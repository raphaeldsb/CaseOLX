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timelines/timeline1.xml" ContentType="application/vnd.ms-excel.timelin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hidePivotFieldList="1"/>
  <mc:AlternateContent xmlns:mc="http://schemas.openxmlformats.org/markup-compatibility/2006">
    <mc:Choice Requires="x15">
      <x15ac:absPath xmlns:x15ac="http://schemas.microsoft.com/office/spreadsheetml/2010/11/ac" url="C:\Users\oi324864\Desktop\Case OLX\"/>
    </mc:Choice>
  </mc:AlternateContent>
  <bookViews>
    <workbookView xWindow="0" yWindow="0" windowWidth="18090" windowHeight="4575" firstSheet="1" activeTab="3"/>
  </bookViews>
  <sheets>
    <sheet name="Dados analíticos" sheetId="1" r:id="rId1"/>
    <sheet name="Dicionário Dados Analíticos" sheetId="2" r:id="rId2"/>
    <sheet name="Resultados Case Analítico" sheetId="3" r:id="rId3"/>
    <sheet name="Dash Geral - Case Analítico" sheetId="7" r:id="rId4"/>
    <sheet name="Case Analítico Aux Dinâmicas" sheetId="6" state="hidden" r:id="rId5"/>
    <sheet name="Dados SQL" sheetId="4" r:id="rId6"/>
    <sheet name="Resultado SQL" sheetId="5" r:id="rId7"/>
  </sheets>
  <functionGroups builtInGroupCount="18"/>
  <definedNames>
    <definedName name="NativeTimeline_Mês">#N/A</definedName>
    <definedName name="SegmentaçãodeDados_Plataforma">#N/A</definedName>
    <definedName name="SegmentaçãodeDados_Região">#N/A</definedName>
    <definedName name="SegmentaçãodeDados_Usuário">#N/A</definedName>
    <definedName name="SegmentaçãodeDados_Vertical">#N/A</definedName>
  </definedNames>
  <calcPr calcId="162913"/>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Lst>
</workbook>
</file>

<file path=xl/calcChain.xml><?xml version="1.0" encoding="utf-8"?>
<calcChain xmlns="http://schemas.openxmlformats.org/spreadsheetml/2006/main">
  <c r="N4" i="7" l="1"/>
  <c r="E4" i="7"/>
  <c r="K4" i="7"/>
  <c r="H4" i="7"/>
</calcChain>
</file>

<file path=xl/sharedStrings.xml><?xml version="1.0" encoding="utf-8"?>
<sst xmlns="http://schemas.openxmlformats.org/spreadsheetml/2006/main" count="7920" uniqueCount="169">
  <si>
    <t>Mês</t>
  </si>
  <si>
    <t>Plataforma</t>
  </si>
  <si>
    <t>Vertical</t>
  </si>
  <si>
    <t>Região</t>
  </si>
  <si>
    <t>Usuário</t>
  </si>
  <si>
    <t>Visitantes</t>
  </si>
  <si>
    <t>Anunciantes</t>
  </si>
  <si>
    <t>Anúncios aprovados</t>
  </si>
  <si>
    <t>Receita</t>
  </si>
  <si>
    <t>App</t>
  </si>
  <si>
    <t>Auto</t>
  </si>
  <si>
    <t>Centro-Oeste</t>
  </si>
  <si>
    <t>private</t>
  </si>
  <si>
    <t>professional</t>
  </si>
  <si>
    <t>Nordeste</t>
  </si>
  <si>
    <t>Norte</t>
  </si>
  <si>
    <t>Sudeste</t>
  </si>
  <si>
    <t>Sul</t>
  </si>
  <si>
    <t>Marketplace</t>
  </si>
  <si>
    <t>Real Estate</t>
  </si>
  <si>
    <t>M Site</t>
  </si>
  <si>
    <t>Web</t>
  </si>
  <si>
    <t>Descrição</t>
  </si>
  <si>
    <t>Métricas</t>
  </si>
  <si>
    <t>Usuários que acessaram qualquer página da plataforma (lista de anúncios, detalhes de um anúncio, conversa de chat, entre outras)</t>
  </si>
  <si>
    <t>Usuários que tiveram pelo menos um anúncio aprovado</t>
  </si>
  <si>
    <t>Anúncios que foram inseridos e, por estarem de acordo com as regras da plataforma de classificados online, se tornaram visíveis na lista de anúncios</t>
  </si>
  <si>
    <t>Receita arrecadada exclusivamente pelos produtos digitais</t>
  </si>
  <si>
    <t>Dimensões</t>
  </si>
  <si>
    <t>Mês em que as métricas foram observadas</t>
  </si>
  <si>
    <t>Plataforma digital (Web, Msite ou App) em que o anúncio foi inserido (Anunciantes, Anúncios aprovados, Receita) ou em que a visita à plataforma foi feita (Visitantes)</t>
  </si>
  <si>
    <t>Categoria cadastrada no anúncio inserido (Anunciantes, Anúncios aprovados, Receita) ou no anúncio visitado (Visitantes). Se um usuário visita uma lista de anúncios filtrada por determinada Vertical, ele também é contado como visitante dessa vertical.
Verticais:
Autos - automóveis e peças de automóveis
Imóveis - aluguel e venda de imóveis
Marketplace - todo o restante, como eletrônicos, vestimenta, decoração, eletrodomésticos</t>
  </si>
  <si>
    <t>Região geográfica cadastrada no anúncio inserido (Anunciantes, Anúncios aprovados, Receita) ou no anúncio visitado (Visitantes). Se um usuário visita uma lista de anúncios filtrada por determinada Região, ele também é contado como visitante dessa Região.</t>
  </si>
  <si>
    <t>Tipo de usuário (privado ou profissional), como declarado pelo próprio usuário no momento em que criou sua conta na plataforma. Usuários não logados contam como privados, porém, para contatar um vendedor, anunciar ou comprar um produto digital, é necessário ter conta.</t>
  </si>
  <si>
    <t>Utilize esse espaço para construir suas análises (utilize quantas abas quiser)</t>
  </si>
  <si>
    <t>Descrição das tabelas e colunas do modelo</t>
  </si>
  <si>
    <t>Tabela</t>
  </si>
  <si>
    <t>Descrição da tabela</t>
  </si>
  <si>
    <t>Coluna</t>
  </si>
  <si>
    <t>Descrição da coluna</t>
  </si>
  <si>
    <t>ad</t>
  </si>
  <si>
    <t>Todos os anúncios distintos já publicados no site</t>
  </si>
  <si>
    <t>ad_id_pk</t>
  </si>
  <si>
    <t>Chave primária</t>
  </si>
  <si>
    <t>ad_type</t>
  </si>
  <si>
    <t>Tipo de anúncio (venda, compra, aluguel)</t>
  </si>
  <si>
    <t>lister_id_nk</t>
  </si>
  <si>
    <t>Identificador do usuário que criou o anúncio</t>
  </si>
  <si>
    <t>category_id_fk</t>
  </si>
  <si>
    <t>Categoria do anúncio; chave da tabela "category"</t>
  </si>
  <si>
    <t>location_id_fk</t>
  </si>
  <si>
    <t>Local do anúncio; chave da tabela "location"</t>
  </si>
  <si>
    <t>creation_date</t>
  </si>
  <si>
    <t>Data da criação do anúncio</t>
  </si>
  <si>
    <t>price</t>
  </si>
  <si>
    <t>Preço do anúncio</t>
  </si>
  <si>
    <t>approval_date</t>
  </si>
  <si>
    <t>Data e hora da aprovação do anúncio (data em que de fato ficou ativo)</t>
  </si>
  <si>
    <t>deletion_date</t>
  </si>
  <si>
    <t>Data e hora em que o anúncio foi removido</t>
  </si>
  <si>
    <t>category</t>
  </si>
  <si>
    <t>Nível mais granular de categoria</t>
  </si>
  <si>
    <t>category_id_pk</t>
  </si>
  <si>
    <t>category_name</t>
  </si>
  <si>
    <t>Nome da categoria (nível mais granular de categoria)</t>
  </si>
  <si>
    <t>category_main_id_fk</t>
  </si>
  <si>
    <t>Categoria principal; chave da tabela "category_main"</t>
  </si>
  <si>
    <t>category_main</t>
  </si>
  <si>
    <t>Nível mais macro de categoria</t>
  </si>
  <si>
    <t>category_main_id_pk</t>
  </si>
  <si>
    <t>category_main_name</t>
  </si>
  <si>
    <t>Nome da categoria principal (nível mais macro de categoria)</t>
  </si>
  <si>
    <t>location</t>
  </si>
  <si>
    <t>Localidade em que o anúncio foi inserido</t>
  </si>
  <si>
    <t>location_id_pk</t>
  </si>
  <si>
    <t>location_name</t>
  </si>
  <si>
    <t>Nome da localização</t>
  </si>
  <si>
    <t>state_id_fk</t>
  </si>
  <si>
    <t>Estado; chave da tabela "state"</t>
  </si>
  <si>
    <t>area_code</t>
  </si>
  <si>
    <t>Código de área (DDD)</t>
  </si>
  <si>
    <t>state</t>
  </si>
  <si>
    <t>Estado a que pertence a localidade</t>
  </si>
  <si>
    <t>state_id_pk</t>
  </si>
  <si>
    <t>state_name</t>
  </si>
  <si>
    <t>Nome do estado</t>
  </si>
  <si>
    <t>Detalhes da árvore de categoria</t>
  </si>
  <si>
    <t>Animais e acessórios</t>
  </si>
  <si>
    <t>Artigos para peixes</t>
  </si>
  <si>
    <t>Cachorros e acessórios</t>
  </si>
  <si>
    <t>Cavalos e acessórios</t>
  </si>
  <si>
    <t>Gatos e acessórios</t>
  </si>
  <si>
    <t>Outros animais e acessórios</t>
  </si>
  <si>
    <t>Roedores e acessórios</t>
  </si>
  <si>
    <t>Bebês e crianças</t>
  </si>
  <si>
    <t>Eletrônicos e celulares</t>
  </si>
  <si>
    <t>Áudio, TV, vídeo e fotografia</t>
  </si>
  <si>
    <t>Celulares e telefonia</t>
  </si>
  <si>
    <t>Computadores e acessórios</t>
  </si>
  <si>
    <t>Videogames</t>
  </si>
  <si>
    <t>Empregos e negócios</t>
  </si>
  <si>
    <t>Currículos</t>
  </si>
  <si>
    <t>Indústria, comércio e agro</t>
  </si>
  <si>
    <t>Ofertas de emprego</t>
  </si>
  <si>
    <t>Serviços</t>
  </si>
  <si>
    <t>Esportes</t>
  </si>
  <si>
    <t>Ciclismo</t>
  </si>
  <si>
    <t>Esportes e ginástica</t>
  </si>
  <si>
    <t>Imóveis</t>
  </si>
  <si>
    <t>Aluguel de quartos</t>
  </si>
  <si>
    <t>Apartamentos</t>
  </si>
  <si>
    <t>Casas</t>
  </si>
  <si>
    <t>Lançamentos</t>
  </si>
  <si>
    <t>Lojas, salas e outros</t>
  </si>
  <si>
    <t>Temporada</t>
  </si>
  <si>
    <t>Terrenos, sítios e fazendas</t>
  </si>
  <si>
    <t>Moda e beleza</t>
  </si>
  <si>
    <t>Beleza e saúde</t>
  </si>
  <si>
    <t>Bijouterias, relógios e joias</t>
  </si>
  <si>
    <t>Malas, mochilas e acessórios</t>
  </si>
  <si>
    <t>Roupas e calçados</t>
  </si>
  <si>
    <t>Música e hobbies</t>
  </si>
  <si>
    <t>Antiguidades</t>
  </si>
  <si>
    <t>Hobbies e coleções</t>
  </si>
  <si>
    <t>Instrumentos musicais</t>
  </si>
  <si>
    <t>Livros e revistas</t>
  </si>
  <si>
    <t>Música e filmes (DVDs, etc.)</t>
  </si>
  <si>
    <t>Para a sua casa</t>
  </si>
  <si>
    <t>Arte e decoração</t>
  </si>
  <si>
    <t>Cama, mesa e banho</t>
  </si>
  <si>
    <t>Eletrodomésticos</t>
  </si>
  <si>
    <t>Jardinagem e construção</t>
  </si>
  <si>
    <t>Móveis</t>
  </si>
  <si>
    <t>Veículos e barcos</t>
  </si>
  <si>
    <t>Barcos, lanchas e aviões</t>
  </si>
  <si>
    <t>Caminhões, ônibus e vans</t>
  </si>
  <si>
    <t>Carros</t>
  </si>
  <si>
    <t>Motos</t>
  </si>
  <si>
    <t>Peças e acessórios</t>
  </si>
  <si>
    <t>Utilize esse espaço para desenvolver sua query</t>
  </si>
  <si>
    <t>Rótulos de Linha</t>
  </si>
  <si>
    <t>Total Geral</t>
  </si>
  <si>
    <t>2018</t>
  </si>
  <si>
    <t>jan</t>
  </si>
  <si>
    <t>fev</t>
  </si>
  <si>
    <t>mar</t>
  </si>
  <si>
    <t>abr</t>
  </si>
  <si>
    <t>mai</t>
  </si>
  <si>
    <t>jun</t>
  </si>
  <si>
    <t>jul</t>
  </si>
  <si>
    <t>ago</t>
  </si>
  <si>
    <t>set</t>
  </si>
  <si>
    <t>out</t>
  </si>
  <si>
    <t>nov</t>
  </si>
  <si>
    <t>dez</t>
  </si>
  <si>
    <t>2019</t>
  </si>
  <si>
    <t>Soma de Receita</t>
  </si>
  <si>
    <t>Mês início</t>
  </si>
  <si>
    <t>Mês fim</t>
  </si>
  <si>
    <t>Soma de Anúncios aprovados</t>
  </si>
  <si>
    <t>Soma de Anunciantes</t>
  </si>
  <si>
    <t>Soma de Visitantes</t>
  </si>
  <si>
    <t>Anúncios Aprovados</t>
  </si>
  <si>
    <t>Rótulos de Coluna</t>
  </si>
  <si>
    <t xml:space="preserve">SELECT
 T5.state_name AS ESTADO,
 T4.area_code AS DDD,
 T3.category_main_name AS CATEGORIA_PRINCIPAL,
 T2.category_name AS CATEGORIA,
 COUNT(T1.ad_id_pk) AS VOLUME_ANUNCIOS 
FROM
 ad AS T1
 LEFT JOIN category AS T2
  ON T2.category_id_pk = T1.category_id_fk
 LEFT JOIN category_main AS T3
  ON T3.category_main_id_pk = T2.category_main_id_fk
 LEFT JOIN location AS T4
  ON T4.location_id_pk = T1.location_id_fk
 LEFT JOIN state AS T5
  ON T5.state_id_pk = T4.state_id_fk
WHERE
 T1.price BETWEEN 10000 AND 100000
 AND T1.approval_date IS NOT NULL
 AND T1.deletion_date IS NULL
GROUP BY
 T5.state_name,
 T4.area_code,
 T3.category_main_name,
 T2.category_name
</t>
  </si>
  <si>
    <t xml:space="preserve">WITH primeiro_anuncio AS (
 SELECT
  ROW_NUMBER() OVER(PARTITION BY lister_id_nk ORDER BY approval_date) AS NUMBER,
  lister_id_nk,
  price,
  approval_date
 FROM 
  ad
 WHERE
  approval_date IS NOT NULL
)
SELECT 
AVG(price) AS MEDIA_PRIMEIRO_ANUNCIO_APROVADO 
FROM 
primeiro_anuncio
WHERE 
NUMBER = 1
</t>
  </si>
  <si>
    <t>Query questão 1</t>
  </si>
  <si>
    <t>Query questão 2</t>
  </si>
  <si>
    <t>Dash na aba "Dash Geral - Case Analítico" e análise no documento "Case OLX - Raphael.pdf";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</si>
</sst>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quot;R$&quot;\ * #,##0.00_-;\-&quot;R$&quot;\ * #,##0.00_-;_-&quot;R$&quot;\ * &quot;-&quot;??_-;_-@_-"/>
    <numFmt numFmtId="43" formatCode="_-* #,##0.00_-;\-* #,##0.00_-;_-* &quot;-&quot;??_-;_-@_-"/>
    <numFmt numFmtId="164" formatCode="yyyy&quot;-&quot;mm"/>
    <numFmt numFmtId="165" formatCode="mm/yyyy"/>
  </numFmts>
  <fonts count="15">
    <font>
      <sz val="10"/>
      <color rgb="FF000000"/>
      <name val="Arial"/>
    </font>
    <font>
      <b/>
      <sz val="10"/>
      <color rgb="FFFFFFFF"/>
      <name val="Montserrat"/>
    </font>
    <font>
      <sz val="10"/>
      <color theme="1"/>
      <name val="Montserrat"/>
    </font>
    <font>
      <b/>
      <sz val="10"/>
      <color theme="1"/>
      <name val="Montserrat"/>
    </font>
    <font>
      <sz val="12"/>
      <color rgb="FFFFFFFF"/>
      <name val="Montserrat"/>
    </font>
    <font>
      <b/>
      <sz val="11"/>
      <color rgb="FFFFFFFF"/>
      <name val="Montserrat"/>
    </font>
    <font>
      <sz val="11"/>
      <color theme="1"/>
      <name val="Montserrat"/>
    </font>
    <font>
      <sz val="10"/>
      <name val="Arial"/>
    </font>
    <font>
      <sz val="11"/>
      <color theme="1"/>
      <name val="Arial"/>
    </font>
    <font>
      <sz val="10"/>
      <color rgb="FF000000"/>
      <name val="Arial"/>
    </font>
    <font>
      <sz val="11"/>
      <color rgb="FF000000"/>
      <name val="Calibri"/>
      <family val="2"/>
    </font>
    <font>
      <sz val="8"/>
      <color rgb="FF000000"/>
      <name val="Segoe UI"/>
      <family val="2"/>
    </font>
    <font>
      <sz val="10"/>
      <color rgb="FF000000"/>
      <name val="Arial"/>
      <family val="2"/>
    </font>
    <font>
      <b/>
      <sz val="10"/>
      <color rgb="FF000000"/>
      <name val="Arial"/>
      <family val="2"/>
    </font>
    <font>
      <sz val="14"/>
      <color rgb="FF000000"/>
      <name val="Arial"/>
      <family val="2"/>
    </font>
  </fonts>
  <fills count="10">
    <fill>
      <patternFill patternType="none"/>
    </fill>
    <fill>
      <patternFill patternType="gray125"/>
    </fill>
    <fill>
      <patternFill patternType="solid">
        <fgColor rgb="FFF28000"/>
        <bgColor rgb="FFF28000"/>
      </patternFill>
    </fill>
    <fill>
      <patternFill patternType="solid">
        <fgColor rgb="FF6E0AD6"/>
        <bgColor rgb="FF6E0AD6"/>
      </patternFill>
    </fill>
    <fill>
      <patternFill patternType="solid">
        <fgColor rgb="FF05CE56"/>
        <bgColor indexed="64"/>
      </patternFill>
    </fill>
    <fill>
      <patternFill patternType="solid">
        <fgColor rgb="FFADFDCD"/>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4"/>
        <bgColor indexed="64"/>
      </patternFill>
    </fill>
  </fills>
  <borders count="14">
    <border>
      <left/>
      <right/>
      <top/>
      <bottom/>
      <diagonal/>
    </border>
    <border>
      <left style="dotted">
        <color rgb="FF999999"/>
      </left>
      <right style="dotted">
        <color rgb="FF999999"/>
      </right>
      <top style="dotted">
        <color rgb="FF999999"/>
      </top>
      <bottom style="dotted">
        <color rgb="FF999999"/>
      </bottom>
      <diagonal/>
    </border>
    <border>
      <left style="dotted">
        <color rgb="FF999999"/>
      </left>
      <right style="dotted">
        <color rgb="FF999999"/>
      </right>
      <top style="dotted">
        <color rgb="FF999999"/>
      </top>
      <bottom/>
      <diagonal/>
    </border>
    <border>
      <left style="dotted">
        <color rgb="FF999999"/>
      </left>
      <right style="dotted">
        <color rgb="FF999999"/>
      </right>
      <top/>
      <bottom/>
      <diagonal/>
    </border>
    <border>
      <left style="dotted">
        <color rgb="FF999999"/>
      </left>
      <right style="dotted">
        <color rgb="FF999999"/>
      </right>
      <top/>
      <bottom style="dotted">
        <color rgb="FF999999"/>
      </bottom>
      <diagonal/>
    </border>
    <border>
      <left style="dotted">
        <color rgb="FF999999"/>
      </left>
      <right/>
      <top style="dotted">
        <color rgb="FF999999"/>
      </top>
      <bottom style="dotted">
        <color rgb="FF999999"/>
      </bottom>
      <diagonal/>
    </border>
    <border>
      <left/>
      <right style="dotted">
        <color rgb="FF999999"/>
      </right>
      <top style="dotted">
        <color rgb="FF999999"/>
      </top>
      <bottom style="dotted">
        <color rgb="FF999999"/>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43" fontId="9" fillId="0" borderId="0" applyFont="0" applyFill="0" applyBorder="0" applyAlignment="0" applyProtection="0"/>
    <xf numFmtId="44" fontId="9" fillId="0" borderId="0" applyFont="0" applyFill="0" applyBorder="0" applyAlignment="0" applyProtection="0"/>
  </cellStyleXfs>
  <cellXfs count="66">
    <xf numFmtId="0" fontId="0" fillId="0" borderId="0" xfId="0" applyFont="1" applyAlignment="1"/>
    <xf numFmtId="164" fontId="1" fillId="2" borderId="0" xfId="0" applyNumberFormat="1" applyFont="1" applyFill="1" applyAlignment="1">
      <alignment horizontal="center"/>
    </xf>
    <xf numFmtId="0" fontId="1" fillId="2" borderId="0" xfId="0" applyFont="1" applyFill="1" applyAlignment="1">
      <alignment horizontal="center"/>
    </xf>
    <xf numFmtId="2" fontId="1" fillId="2" borderId="0" xfId="0" applyNumberFormat="1" applyFont="1" applyFill="1" applyAlignment="1">
      <alignment horizontal="center"/>
    </xf>
    <xf numFmtId="0" fontId="2" fillId="0" borderId="0" xfId="0" applyFont="1"/>
    <xf numFmtId="164" fontId="2" fillId="0" borderId="0" xfId="0" applyNumberFormat="1" applyFont="1"/>
    <xf numFmtId="2" fontId="2" fillId="0" borderId="0" xfId="0" applyNumberFormat="1" applyFont="1"/>
    <xf numFmtId="0" fontId="3" fillId="0" borderId="0" xfId="0" applyFont="1" applyAlignment="1"/>
    <xf numFmtId="0" fontId="4" fillId="0" borderId="0" xfId="0" applyFont="1" applyAlignment="1">
      <alignment vertical="center" textRotation="90"/>
    </xf>
    <xf numFmtId="0" fontId="5" fillId="2" borderId="1" xfId="0" applyFont="1" applyFill="1" applyBorder="1" applyAlignment="1">
      <alignment horizontal="center"/>
    </xf>
    <xf numFmtId="0" fontId="6" fillId="0" borderId="1" xfId="0" applyFont="1" applyBorder="1" applyAlignment="1">
      <alignment vertical="center"/>
    </xf>
    <xf numFmtId="0" fontId="6" fillId="0" borderId="1" xfId="0" applyFont="1" applyBorder="1" applyAlignment="1">
      <alignment wrapText="1"/>
    </xf>
    <xf numFmtId="0" fontId="6" fillId="0" borderId="0" xfId="0" applyFont="1" applyAlignment="1"/>
    <xf numFmtId="0" fontId="6" fillId="0" borderId="0" xfId="0" applyFont="1" applyAlignment="1">
      <alignment vertical="center"/>
    </xf>
    <xf numFmtId="0" fontId="6" fillId="0" borderId="0" xfId="0" applyFont="1" applyAlignment="1">
      <alignment wrapText="1"/>
    </xf>
    <xf numFmtId="0" fontId="2" fillId="0" borderId="0" xfId="0" applyFont="1" applyAlignment="1">
      <alignment wrapText="1"/>
    </xf>
    <xf numFmtId="0" fontId="2" fillId="0" borderId="0" xfId="0" applyFont="1" applyAlignment="1"/>
    <xf numFmtId="0" fontId="2" fillId="0" borderId="0" xfId="0" applyFont="1" applyAlignment="1">
      <alignment wrapText="1"/>
    </xf>
    <xf numFmtId="0" fontId="6" fillId="0" borderId="0" xfId="0" applyFont="1"/>
    <xf numFmtId="0" fontId="5" fillId="2" borderId="1" xfId="0" applyFont="1" applyFill="1" applyBorder="1" applyAlignment="1">
      <alignment horizontal="center"/>
    </xf>
    <xf numFmtId="0" fontId="6" fillId="0" borderId="1" xfId="0" applyFont="1" applyBorder="1" applyAlignment="1"/>
    <xf numFmtId="0" fontId="6" fillId="0" borderId="1" xfId="0" applyFont="1" applyBorder="1" applyAlignment="1"/>
    <xf numFmtId="0" fontId="5" fillId="0" borderId="0" xfId="0" applyFont="1" applyAlignment="1">
      <alignment horizontal="center"/>
    </xf>
    <xf numFmtId="0" fontId="8" fillId="0" borderId="0" xfId="0" applyFont="1"/>
    <xf numFmtId="0" fontId="0" fillId="0" borderId="0" xfId="0" pivotButton="1" applyFont="1" applyAlignment="1"/>
    <xf numFmtId="0" fontId="0" fillId="0" borderId="0" xfId="0" applyFont="1" applyAlignment="1">
      <alignment horizontal="left"/>
    </xf>
    <xf numFmtId="164" fontId="0" fillId="0" borderId="0" xfId="0" applyNumberFormat="1" applyFont="1" applyAlignment="1">
      <alignment horizontal="left" indent="1"/>
    </xf>
    <xf numFmtId="0" fontId="0" fillId="0" borderId="0" xfId="0" applyNumberFormat="1" applyFont="1" applyAlignment="1"/>
    <xf numFmtId="0" fontId="0" fillId="0" borderId="0" xfId="0"/>
    <xf numFmtId="17" fontId="0" fillId="0" borderId="0" xfId="0" applyNumberFormat="1" applyFont="1" applyAlignment="1"/>
    <xf numFmtId="165" fontId="0" fillId="5" borderId="7" xfId="0" applyNumberFormat="1" applyFill="1" applyBorder="1"/>
    <xf numFmtId="0" fontId="12" fillId="0" borderId="0" xfId="0" applyFont="1" applyAlignment="1"/>
    <xf numFmtId="0" fontId="0" fillId="0" borderId="0" xfId="0" applyFont="1" applyAlignment="1"/>
    <xf numFmtId="0" fontId="4" fillId="3" borderId="2" xfId="0" applyFont="1" applyFill="1" applyBorder="1" applyAlignment="1">
      <alignment vertical="center" textRotation="90"/>
    </xf>
    <xf numFmtId="0" fontId="7" fillId="0" borderId="3" xfId="0" applyFont="1" applyBorder="1"/>
    <xf numFmtId="0" fontId="7" fillId="0" borderId="4" xfId="0" applyFont="1" applyBorder="1"/>
    <xf numFmtId="0" fontId="4" fillId="3" borderId="3" xfId="0" applyFont="1" applyFill="1" applyBorder="1" applyAlignment="1">
      <alignment vertical="center" textRotation="90"/>
    </xf>
    <xf numFmtId="0" fontId="5" fillId="2" borderId="5" xfId="0" applyFont="1" applyFill="1" applyBorder="1" applyAlignment="1">
      <alignment horizontal="center"/>
    </xf>
    <xf numFmtId="0" fontId="7" fillId="0" borderId="6" xfId="0" applyFont="1" applyBorder="1"/>
    <xf numFmtId="0" fontId="12" fillId="4" borderId="7" xfId="0" applyFont="1" applyFill="1" applyBorder="1" applyAlignment="1">
      <alignment horizontal="center"/>
    </xf>
    <xf numFmtId="0" fontId="0" fillId="4" borderId="7" xfId="0" applyFill="1" applyBorder="1" applyAlignment="1">
      <alignment horizontal="center"/>
    </xf>
    <xf numFmtId="0" fontId="13" fillId="9" borderId="8" xfId="0" applyFont="1" applyFill="1" applyBorder="1" applyAlignment="1">
      <alignment horizontal="center"/>
    </xf>
    <xf numFmtId="0" fontId="13" fillId="9" borderId="9" xfId="0" applyFont="1" applyFill="1" applyBorder="1" applyAlignment="1">
      <alignment horizontal="center"/>
    </xf>
    <xf numFmtId="3" fontId="14" fillId="0" borderId="10" xfId="1" applyNumberFormat="1" applyFont="1" applyBorder="1" applyAlignment="1">
      <alignment horizontal="center" vertical="center"/>
    </xf>
    <xf numFmtId="3" fontId="14" fillId="0" borderId="11" xfId="1" applyNumberFormat="1" applyFont="1" applyBorder="1" applyAlignment="1">
      <alignment horizontal="center" vertical="center"/>
    </xf>
    <xf numFmtId="3" fontId="14" fillId="0" borderId="12" xfId="1" applyNumberFormat="1" applyFont="1" applyBorder="1" applyAlignment="1">
      <alignment horizontal="center" vertical="center"/>
    </xf>
    <xf numFmtId="3" fontId="14" fillId="0" borderId="13" xfId="1" applyNumberFormat="1" applyFont="1" applyBorder="1" applyAlignment="1">
      <alignment horizontal="center" vertical="center"/>
    </xf>
    <xf numFmtId="0" fontId="13" fillId="6" borderId="8" xfId="0" applyFont="1" applyFill="1" applyBorder="1" applyAlignment="1">
      <alignment horizontal="center"/>
    </xf>
    <xf numFmtId="0" fontId="13" fillId="6" borderId="9" xfId="0" applyFont="1" applyFill="1" applyBorder="1" applyAlignment="1">
      <alignment horizontal="center"/>
    </xf>
    <xf numFmtId="0" fontId="13" fillId="7" borderId="8" xfId="0" applyFont="1" applyFill="1" applyBorder="1" applyAlignment="1">
      <alignment horizontal="center"/>
    </xf>
    <xf numFmtId="0" fontId="13" fillId="7" borderId="9" xfId="0" applyFont="1" applyFill="1" applyBorder="1" applyAlignment="1">
      <alignment horizontal="center"/>
    </xf>
    <xf numFmtId="0" fontId="13" fillId="8" borderId="8" xfId="0" applyFont="1" applyFill="1" applyBorder="1" applyAlignment="1">
      <alignment horizontal="center"/>
    </xf>
    <xf numFmtId="0" fontId="13" fillId="8" borderId="9" xfId="0" applyFont="1" applyFill="1" applyBorder="1" applyAlignment="1">
      <alignment horizontal="center"/>
    </xf>
    <xf numFmtId="44" fontId="14" fillId="0" borderId="10" xfId="2" applyFont="1" applyBorder="1" applyAlignment="1">
      <alignment horizontal="center" vertical="center"/>
    </xf>
    <xf numFmtId="44" fontId="14" fillId="0" borderId="11" xfId="2" applyFont="1" applyBorder="1" applyAlignment="1">
      <alignment horizontal="center" vertical="center"/>
    </xf>
    <xf numFmtId="44" fontId="14" fillId="0" borderId="12" xfId="2" applyFont="1" applyBorder="1" applyAlignment="1">
      <alignment horizontal="center" vertical="center"/>
    </xf>
    <xf numFmtId="44" fontId="14" fillId="0" borderId="13" xfId="2" applyFont="1" applyBorder="1" applyAlignment="1">
      <alignment horizontal="center" vertical="center"/>
    </xf>
    <xf numFmtId="0" fontId="6" fillId="0" borderId="2" xfId="0" applyFont="1" applyBorder="1" applyAlignment="1">
      <alignment vertical="center"/>
    </xf>
    <xf numFmtId="0" fontId="6" fillId="0" borderId="2" xfId="0" applyFont="1" applyBorder="1" applyAlignment="1">
      <alignment vertical="center" wrapText="1"/>
    </xf>
    <xf numFmtId="0" fontId="5" fillId="3" borderId="0" xfId="0" applyFont="1" applyFill="1" applyAlignment="1">
      <alignment horizontal="center"/>
    </xf>
    <xf numFmtId="0" fontId="0" fillId="0" borderId="0" xfId="0" applyFont="1" applyAlignment="1"/>
    <xf numFmtId="0" fontId="6" fillId="0" borderId="2" xfId="0" applyFont="1" applyBorder="1" applyAlignment="1">
      <alignment horizontal="left" vertical="center" wrapText="1"/>
    </xf>
    <xf numFmtId="0" fontId="13" fillId="9" borderId="7" xfId="0" applyFont="1" applyFill="1" applyBorder="1" applyAlignment="1">
      <alignment horizontal="center"/>
    </xf>
    <xf numFmtId="0" fontId="0" fillId="9" borderId="0" xfId="0" applyFont="1" applyFill="1" applyAlignment="1"/>
    <xf numFmtId="0" fontId="2" fillId="0" borderId="7" xfId="0" applyFont="1" applyBorder="1" applyAlignment="1">
      <alignment horizontal="left" vertical="top" wrapText="1"/>
    </xf>
    <xf numFmtId="0" fontId="3" fillId="0" borderId="7" xfId="0" applyFont="1" applyBorder="1" applyAlignment="1">
      <alignment horizontal="center" wrapText="1"/>
    </xf>
  </cellXfs>
  <cellStyles count="3">
    <cellStyle name="Moeda" xfId="2" builtinId="4"/>
    <cellStyle name="Normal" xfId="0" builtinId="0"/>
    <cellStyle name="Vírgula" xfId="1"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[Case - Vaga de Dados (excel).xlsm]Case Analítico Aux Dinâmicas!Tabela dinâmica2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Plataforma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marker>
          <c:symbol val="none"/>
        </c:marke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marker>
          <c:symbol val="none"/>
        </c:marker>
      </c:pivotFmt>
      <c:pivotFmt>
        <c:idx val="11"/>
        <c:spPr>
          <a:solidFill>
            <a:schemeClr val="accent1"/>
          </a:solidFill>
          <a:ln w="19050">
            <a:solidFill>
              <a:schemeClr val="lt1"/>
            </a:solidFill>
          </a:ln>
          <a:effectLst/>
        </c:spPr>
        <c:marker>
          <c:symbol val="none"/>
        </c:marker>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marker>
          <c:symbol val="none"/>
        </c:marke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pivotFmt>
      <c:pivotFmt>
        <c:idx val="23"/>
        <c:spPr>
          <a:solidFill>
            <a:schemeClr val="accent1"/>
          </a:solidFill>
          <a:ln w="19050">
            <a:solidFill>
              <a:schemeClr val="lt1"/>
            </a:solidFill>
          </a:ln>
          <a:effectLst/>
        </c:spPr>
        <c:marker>
          <c:symbol val="none"/>
        </c:marker>
      </c:pivotFmt>
      <c:pivotFmt>
        <c:idx val="24"/>
        <c:spPr>
          <a:solidFill>
            <a:schemeClr val="accent1"/>
          </a:solidFill>
          <a:ln w="19050">
            <a:solidFill>
              <a:schemeClr val="lt1"/>
            </a:solidFill>
          </a:ln>
          <a:effectLst/>
        </c:spPr>
        <c:marker>
          <c:symbol val="none"/>
        </c:marke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7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7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7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8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86"/>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87"/>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8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8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2"/>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3"/>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6"/>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7"/>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0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0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02"/>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doughnutChart>
        <c:varyColors val="1"/>
        <c:ser>
          <c:idx val="0"/>
          <c:order val="0"/>
          <c:tx>
            <c:strRef>
              <c:f>'Case Analítico Aux Dinâmicas'!$I$11</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'Case Analítico Aux Dinâmicas'!$H$12:$H$15</c:f>
              <c:strCache>
                <c:ptCount val="3"/>
                <c:pt idx="0">
                  <c:v>App</c:v>
                </c:pt>
                <c:pt idx="1">
                  <c:v>M Site</c:v>
                </c:pt>
                <c:pt idx="2">
                  <c:v>Web</c:v>
                </c:pt>
              </c:strCache>
            </c:strRef>
          </c:cat>
          <c:val>
            <c:numRef>
              <c:f>'Case Analítico Aux Dinâmicas'!$I$12:$I$15</c:f>
              <c:numCache>
                <c:formatCode>General</c:formatCode>
                <c:ptCount val="3"/>
                <c:pt idx="0">
                  <c:v>5560305</c:v>
                </c:pt>
                <c:pt idx="1">
                  <c:v>119079</c:v>
                </c:pt>
                <c:pt idx="2">
                  <c:v>1928918</c:v>
                </c:pt>
              </c:numCache>
            </c:numRef>
          </c:val>
          <c:extLst>
            <c:ext xmlns:c16="http://schemas.microsoft.com/office/drawing/2014/chart" uri="{C3380CC4-5D6E-409C-BE32-E72D297353CC}">
              <c16:uniqueId val="{00000018-8B8C-4E18-BCA1-10E3E964B443}"/>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[Case - Vaga de Dados (excel).xlsm]Case Analítico Aux Dinâmicas!Tabela dinâmica3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Vertical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2"/>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3"/>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6"/>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7"/>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2"/>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3"/>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6"/>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doughnutChart>
        <c:varyColors val="1"/>
        <c:ser>
          <c:idx val="0"/>
          <c:order val="0"/>
          <c:tx>
            <c:strRef>
              <c:f>'Case Analítico Aux Dinâmicas'!$I$19</c:f>
              <c:strCache>
                <c:ptCount val="1"/>
                <c:pt idx="0">
                  <c:v>Total</c:v>
                </c:pt>
              </c:strCache>
            </c:strRef>
          </c:tx>
          <c:dPt>
            <c:idx val="0"/>
            <c:bubble3D val="0"/>
            <c:spPr>
              <a:solidFill>
                <a:schemeClr val="accent1"/>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'Case Analítico Aux Dinâmicas'!$H$20:$H$21</c:f>
              <c:strCache>
                <c:ptCount val="1"/>
                <c:pt idx="0">
                  <c:v>Auto</c:v>
                </c:pt>
              </c:strCache>
            </c:strRef>
          </c:cat>
          <c:val>
            <c:numRef>
              <c:f>'Case Analítico Aux Dinâmicas'!$I$20:$I$21</c:f>
              <c:numCache>
                <c:formatCode>General</c:formatCode>
                <c:ptCount val="1"/>
                <c:pt idx="0">
                  <c:v>7608302</c:v>
                </c:pt>
              </c:numCache>
            </c:numRef>
          </c:val>
          <c:extLst>
            <c:ext xmlns:c16="http://schemas.microsoft.com/office/drawing/2014/chart" uri="{C3380CC4-5D6E-409C-BE32-E72D297353CC}">
              <c16:uniqueId val="{00000018-8C91-4868-A49D-DC05973776DF}"/>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[Case - Vaga de Dados (excel).xlsm]Case Analítico Aux Dinâmicas!Tabela dinâmica4</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Usuário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4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4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2"/>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3"/>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6"/>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7"/>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2"/>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3"/>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doughnutChart>
        <c:varyColors val="1"/>
        <c:ser>
          <c:idx val="0"/>
          <c:order val="0"/>
          <c:tx>
            <c:strRef>
              <c:f>'Case Analítico Aux Dinâmicas'!$I$27</c:f>
              <c:strCache>
                <c:ptCount val="1"/>
                <c:pt idx="0">
                  <c:v>Total</c:v>
                </c:pt>
              </c:strCache>
            </c:strRef>
          </c:tx>
          <c:dPt>
            <c:idx val="0"/>
            <c:bubble3D val="0"/>
            <c:spPr>
              <a:solidFill>
                <a:schemeClr val="accent1"/>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'Case Analítico Aux Dinâmicas'!$H$28:$H$29</c:f>
              <c:strCache>
                <c:ptCount val="1"/>
                <c:pt idx="0">
                  <c:v>professional</c:v>
                </c:pt>
              </c:strCache>
            </c:strRef>
          </c:cat>
          <c:val>
            <c:numRef>
              <c:f>'Case Analítico Aux Dinâmicas'!$I$28:$I$29</c:f>
              <c:numCache>
                <c:formatCode>General</c:formatCode>
                <c:ptCount val="1"/>
                <c:pt idx="0">
                  <c:v>7608302</c:v>
                </c:pt>
              </c:numCache>
            </c:numRef>
          </c:val>
          <c:extLst>
            <c:ext xmlns:c16="http://schemas.microsoft.com/office/drawing/2014/chart" uri="{C3380CC4-5D6E-409C-BE32-E72D297353CC}">
              <c16:uniqueId val="{00000016-0615-4F74-9D4E-C7E47DA63229}"/>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[Case - Vaga de Dados (excel).xlsm]Case Analítico Aux Dinâmicas!Tabela dinâmica5</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Região</a:t>
            </a:r>
          </a:p>
        </c:rich>
      </c:tx>
      <c:layout>
        <c:manualLayout>
          <c:xMode val="edge"/>
          <c:yMode val="edge"/>
          <c:x val="0.43156326193115824"/>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2"/>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3"/>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6"/>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7"/>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2"/>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3"/>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6"/>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7"/>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doughnutChart>
        <c:varyColors val="1"/>
        <c:ser>
          <c:idx val="0"/>
          <c:order val="0"/>
          <c:tx>
            <c:strRef>
              <c:f>'Case Analítico Aux Dinâmicas'!$I$33</c:f>
              <c:strCache>
                <c:ptCount val="1"/>
                <c:pt idx="0">
                  <c:v>Total</c:v>
                </c:pt>
              </c:strCache>
            </c:strRef>
          </c:tx>
          <c:dPt>
            <c:idx val="0"/>
            <c:bubble3D val="0"/>
            <c:spPr>
              <a:solidFill>
                <a:schemeClr val="accent1"/>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'Case Analítico Aux Dinâmicas'!$H$34:$H$35</c:f>
              <c:strCache>
                <c:ptCount val="1"/>
                <c:pt idx="0">
                  <c:v>Sudeste</c:v>
                </c:pt>
              </c:strCache>
            </c:strRef>
          </c:cat>
          <c:val>
            <c:numRef>
              <c:f>'Case Analítico Aux Dinâmicas'!$I$34:$I$35</c:f>
              <c:numCache>
                <c:formatCode>General</c:formatCode>
                <c:ptCount val="1"/>
                <c:pt idx="0">
                  <c:v>7608302</c:v>
                </c:pt>
              </c:numCache>
            </c:numRef>
          </c:val>
          <c:extLst>
            <c:ext xmlns:c16="http://schemas.microsoft.com/office/drawing/2014/chart" uri="{C3380CC4-5D6E-409C-BE32-E72D297353CC}">
              <c16:uniqueId val="{0000001C-B839-4A16-9F70-97AD577A09A2}"/>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[Case - Vaga de Dados (excel).xlsm]Case Analítico Aux Dinâmicas!Tabela dinâmica7</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Plataforma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19050" cap="rnd">
            <a:solidFill>
              <a:schemeClr val="accent1"/>
            </a:solidFill>
            <a:round/>
          </a:ln>
          <a:effectLst/>
        </c:spPr>
        <c:marker>
          <c:symbol val="none"/>
        </c:marker>
      </c:pivotFmt>
      <c:pivotFmt>
        <c:idx val="1"/>
        <c:spPr>
          <a:solidFill>
            <a:schemeClr val="accent1"/>
          </a:solidFill>
          <a:ln w="19050" cap="rnd">
            <a:solidFill>
              <a:schemeClr val="accent1"/>
            </a:solidFill>
            <a:round/>
          </a:ln>
          <a:effectLst/>
        </c:spPr>
        <c:marker>
          <c:symbol val="none"/>
        </c:marker>
      </c:pivotFmt>
      <c:pivotFmt>
        <c:idx val="2"/>
        <c:spPr>
          <a:solidFill>
            <a:schemeClr val="accent1"/>
          </a:solidFill>
          <a:ln w="19050" cap="rnd">
            <a:solidFill>
              <a:schemeClr val="accent1"/>
            </a:solidFill>
            <a:round/>
          </a:ln>
          <a:effectLst/>
        </c:spPr>
        <c:marker>
          <c:symbol val="none"/>
        </c:marker>
      </c:pivotFmt>
      <c:pivotFmt>
        <c:idx val="3"/>
        <c:spPr>
          <a:solidFill>
            <a:schemeClr val="accent1"/>
          </a:solidFill>
          <a:ln w="19050" cap="rnd">
            <a:solidFill>
              <a:schemeClr val="accent1"/>
            </a:solidFill>
            <a:round/>
          </a:ln>
          <a:effectLst/>
        </c:spPr>
        <c:marker>
          <c:symbol val="none"/>
        </c:marker>
      </c:pivotFmt>
      <c:pivotFmt>
        <c:idx val="4"/>
        <c:spPr>
          <a:solidFill>
            <a:schemeClr val="accent1"/>
          </a:solidFill>
          <a:ln w="19050" cap="rnd">
            <a:solidFill>
              <a:schemeClr val="accent1"/>
            </a:solidFill>
            <a:round/>
          </a:ln>
          <a:effectLst/>
        </c:spPr>
        <c:marker>
          <c:symbol val="none"/>
        </c:marker>
      </c:pivotFmt>
      <c:pivotFmt>
        <c:idx val="5"/>
        <c:spPr>
          <a:solidFill>
            <a:schemeClr val="accent1"/>
          </a:solidFill>
          <a:ln w="19050" cap="rnd">
            <a:solidFill>
              <a:schemeClr val="accent1"/>
            </a:solidFill>
            <a:round/>
          </a:ln>
          <a:effectLst/>
        </c:spPr>
        <c:marker>
          <c:symbol val="none"/>
        </c:marker>
      </c:pivotFmt>
      <c:pivotFmt>
        <c:idx val="6"/>
        <c:spPr>
          <a:solidFill>
            <a:schemeClr val="accent1"/>
          </a:solidFill>
          <a:ln w="19050" cap="rnd">
            <a:solidFill>
              <a:schemeClr val="accent1"/>
            </a:solidFill>
            <a:round/>
          </a:ln>
          <a:effectLst/>
        </c:spPr>
        <c:marker>
          <c:symbol val="none"/>
        </c:marker>
      </c:pivotFmt>
      <c:pivotFmt>
        <c:idx val="7"/>
        <c:spPr>
          <a:solidFill>
            <a:schemeClr val="accent1"/>
          </a:solidFill>
          <a:ln w="19050" cap="rnd">
            <a:solidFill>
              <a:schemeClr val="accent1"/>
            </a:solidFill>
            <a:round/>
          </a:ln>
          <a:effectLst/>
        </c:spPr>
        <c:marker>
          <c:symbol val="none"/>
        </c:marker>
      </c:pivotFmt>
      <c:pivotFmt>
        <c:idx val="8"/>
        <c:spPr>
          <a:solidFill>
            <a:schemeClr val="accent1"/>
          </a:solidFill>
          <a:ln w="19050"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2"/>
            </a:solidFill>
            <a:round/>
          </a:ln>
          <a:effectLst/>
        </c:spPr>
        <c:marker>
          <c:symbol val="none"/>
        </c:marker>
      </c:pivotFmt>
      <c:pivotFmt>
        <c:idx val="14"/>
        <c:spPr>
          <a:ln w="28575" cap="rnd">
            <a:solidFill>
              <a:schemeClr val="accent3"/>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marker>
          <c:spPr>
            <a:solidFill>
              <a:schemeClr val="accent2"/>
            </a:solidFill>
            <a:ln w="9525">
              <a:solidFill>
                <a:schemeClr val="accent1"/>
              </a:solidFill>
            </a:ln>
            <a:effectLst/>
          </c:spPr>
        </c:marker>
      </c:pivotFmt>
      <c:pivotFmt>
        <c:idx val="19"/>
        <c:spPr>
          <a:solidFill>
            <a:schemeClr val="accent1"/>
          </a:solidFill>
          <a:ln w="28575" cap="rnd">
            <a:solidFill>
              <a:schemeClr val="accent3"/>
            </a:solidFill>
            <a:round/>
          </a:ln>
          <a:effectLst/>
        </c:spPr>
      </c:pivotFmt>
      <c:pivotFmt>
        <c:idx val="20"/>
        <c:spPr>
          <a:solidFill>
            <a:schemeClr val="accent1"/>
          </a:solidFill>
          <a:ln w="28575" cap="rnd">
            <a:solidFill>
              <a:schemeClr val="accent3"/>
            </a:solidFill>
            <a:round/>
          </a:ln>
          <a:effectLst/>
        </c:spPr>
      </c:pivotFmt>
      <c:pivotFmt>
        <c:idx val="21"/>
        <c:spPr>
          <a:solidFill>
            <a:schemeClr val="accent1"/>
          </a:solidFill>
          <a:ln w="28575" cap="rnd">
            <a:solidFill>
              <a:schemeClr val="accent3"/>
            </a:solidFill>
            <a:round/>
          </a:ln>
          <a:effectLst/>
        </c:spPr>
      </c:pivotFmt>
      <c:pivotFmt>
        <c:idx val="22"/>
        <c:spPr>
          <a:ln w="28575" cap="rnd">
            <a:solidFill>
              <a:schemeClr val="accent1"/>
            </a:solidFill>
            <a:round/>
          </a:ln>
          <a:effectLst/>
        </c:spPr>
        <c:marker>
          <c:symbol val="none"/>
        </c:marker>
      </c:pivotFmt>
      <c:pivotFmt>
        <c:idx val="23"/>
        <c:spPr>
          <a:ln w="28575" cap="rnd">
            <a:solidFill>
              <a:schemeClr val="accent2"/>
            </a:solidFill>
            <a:round/>
          </a:ln>
          <a:effectLst/>
        </c:spPr>
        <c:marker>
          <c:symbol val="none"/>
        </c:marker>
      </c:pivotFmt>
      <c:pivotFmt>
        <c:idx val="24"/>
        <c:spPr>
          <a:ln w="28575" cap="rnd">
            <a:solidFill>
              <a:schemeClr val="accent3"/>
            </a:solidFill>
            <a:round/>
          </a:ln>
          <a:effectLst/>
        </c:spPr>
        <c:marker>
          <c:symbol val="none"/>
        </c:marker>
      </c:pivotFmt>
      <c:pivotFmt>
        <c:idx val="25"/>
        <c:marker>
          <c:spPr>
            <a:solidFill>
              <a:schemeClr val="accent1"/>
            </a:solidFill>
            <a:ln w="9525">
              <a:solidFill>
                <a:schemeClr val="accent1"/>
              </a:solidFill>
            </a:ln>
            <a:effectLst/>
          </c:spPr>
        </c:marker>
      </c:pivotFmt>
      <c:pivotFmt>
        <c:idx val="26"/>
        <c:marker>
          <c:spPr>
            <a:solidFill>
              <a:schemeClr val="accent3"/>
            </a:solidFill>
            <a:ln w="9525">
              <a:solidFill>
                <a:schemeClr val="accent1"/>
              </a:solidFill>
            </a:ln>
            <a:effectLst/>
          </c:spPr>
        </c:marker>
      </c:pivotFmt>
      <c:pivotFmt>
        <c:idx val="27"/>
        <c:marker>
          <c:spPr>
            <a:solidFill>
              <a:schemeClr val="accent1"/>
            </a:solidFill>
            <a:ln w="9525">
              <a:solidFill>
                <a:schemeClr val="accent3"/>
              </a:solidFill>
            </a:ln>
            <a:effectLst/>
          </c:spPr>
        </c:marker>
      </c:pivotFmt>
      <c:pivotFmt>
        <c:idx val="28"/>
        <c:marker>
          <c:spPr>
            <a:solidFill>
              <a:schemeClr val="accent2"/>
            </a:solidFill>
            <a:ln w="9525">
              <a:solidFill>
                <a:schemeClr val="accent2"/>
              </a:solidFill>
            </a:ln>
            <a:effectLst/>
          </c:spPr>
        </c:marker>
      </c:pivotFmt>
      <c:pivotFmt>
        <c:idx val="29"/>
        <c:marker>
          <c:spPr>
            <a:solidFill>
              <a:schemeClr val="accent1"/>
            </a:solidFill>
            <a:ln w="9525">
              <a:solidFill>
                <a:schemeClr val="accent1"/>
              </a:solidFill>
            </a:ln>
            <a:effectLst/>
          </c:spPr>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s>
    <c:plotArea>
      <c:layout/>
      <c:lineChart>
        <c:grouping val="standard"/>
        <c:varyColors val="0"/>
        <c:ser>
          <c:idx val="0"/>
          <c:order val="0"/>
          <c:tx>
            <c:strRef>
              <c:f>'Case Analítico Aux Dinâmicas'!$M$11:$M$12</c:f>
              <c:strCache>
                <c:ptCount val="1"/>
                <c:pt idx="0">
                  <c:v>App</c:v>
                </c:pt>
              </c:strCache>
            </c:strRef>
          </c:tx>
          <c:spPr>
            <a:ln w="28575" cap="rnd">
              <a:solidFill>
                <a:schemeClr val="accent1"/>
              </a:solidFill>
              <a:round/>
            </a:ln>
            <a:effectLst/>
          </c:spPr>
          <c:marker>
            <c:symbol val="none"/>
          </c:marker>
          <c:cat>
            <c:multiLvlStrRef>
              <c:f>'Case Analítico Aux Dinâmicas'!$L$13:$L$36</c:f>
              <c:multiLvlStrCache>
                <c:ptCount val="21"/>
                <c:lvl>
                  <c:pt idx="0">
                    <c:v>jan</c:v>
                  </c:pt>
                  <c:pt idx="1">
                    <c:v>fev</c:v>
                  </c:pt>
                  <c:pt idx="2">
                    <c:v>mar</c:v>
                  </c:pt>
                  <c:pt idx="3">
                    <c:v>abr</c:v>
                  </c:pt>
                  <c:pt idx="4">
                    <c:v>mai</c:v>
                  </c:pt>
                  <c:pt idx="5">
                    <c:v>jun</c:v>
                  </c:pt>
                  <c:pt idx="6">
                    <c:v>jul</c:v>
                  </c:pt>
                  <c:pt idx="7">
                    <c:v>ago</c:v>
                  </c:pt>
                  <c:pt idx="8">
                    <c:v>set</c:v>
                  </c:pt>
                  <c:pt idx="9">
                    <c:v>out</c:v>
                  </c:pt>
                  <c:pt idx="10">
                    <c:v>nov</c:v>
                  </c:pt>
                  <c:pt idx="11">
                    <c:v>dez</c:v>
                  </c:pt>
                  <c:pt idx="12">
                    <c:v>jan</c:v>
                  </c:pt>
                  <c:pt idx="13">
                    <c:v>fev</c:v>
                  </c:pt>
                  <c:pt idx="14">
                    <c:v>mar</c:v>
                  </c:pt>
                  <c:pt idx="15">
                    <c:v>abr</c:v>
                  </c:pt>
                  <c:pt idx="16">
                    <c:v>mai</c:v>
                  </c:pt>
                  <c:pt idx="17">
                    <c:v>jun</c:v>
                  </c:pt>
                  <c:pt idx="18">
                    <c:v>jul</c:v>
                  </c:pt>
                  <c:pt idx="19">
                    <c:v>ago</c:v>
                  </c:pt>
                  <c:pt idx="20">
                    <c:v>set</c:v>
                  </c:pt>
                </c:lvl>
                <c:lvl>
                  <c:pt idx="0">
                    <c:v>2018</c:v>
                  </c:pt>
                  <c:pt idx="12">
                    <c:v>2019</c:v>
                  </c:pt>
                </c:lvl>
              </c:multiLvlStrCache>
            </c:multiLvlStrRef>
          </c:cat>
          <c:val>
            <c:numRef>
              <c:f>'Case Analítico Aux Dinâmicas'!$M$13:$M$36</c:f>
              <c:numCache>
                <c:formatCode>General</c:formatCode>
                <c:ptCount val="21"/>
                <c:pt idx="0">
                  <c:v>216280</c:v>
                </c:pt>
                <c:pt idx="1">
                  <c:v>218443</c:v>
                </c:pt>
                <c:pt idx="2">
                  <c:v>223905</c:v>
                </c:pt>
                <c:pt idx="3">
                  <c:v>227264</c:v>
                </c:pt>
                <c:pt idx="4">
                  <c:v>231810</c:v>
                </c:pt>
                <c:pt idx="5">
                  <c:v>236447</c:v>
                </c:pt>
                <c:pt idx="6">
                  <c:v>242359</c:v>
                </c:pt>
                <c:pt idx="7">
                  <c:v>247207</c:v>
                </c:pt>
                <c:pt idx="8">
                  <c:v>252152</c:v>
                </c:pt>
                <c:pt idx="9">
                  <c:v>255935</c:v>
                </c:pt>
                <c:pt idx="10">
                  <c:v>261054</c:v>
                </c:pt>
                <c:pt idx="11">
                  <c:v>271497</c:v>
                </c:pt>
                <c:pt idx="12">
                  <c:v>276927</c:v>
                </c:pt>
                <c:pt idx="13">
                  <c:v>282466</c:v>
                </c:pt>
                <c:pt idx="14">
                  <c:v>285291</c:v>
                </c:pt>
                <c:pt idx="15">
                  <c:v>289571</c:v>
                </c:pt>
                <c:pt idx="16">
                  <c:v>295363</c:v>
                </c:pt>
                <c:pt idx="17">
                  <c:v>301271</c:v>
                </c:pt>
                <c:pt idx="18">
                  <c:v>308803</c:v>
                </c:pt>
                <c:pt idx="19">
                  <c:v>314980</c:v>
                </c:pt>
                <c:pt idx="20">
                  <c:v>321280</c:v>
                </c:pt>
              </c:numCache>
            </c:numRef>
          </c:val>
          <c:smooth val="0"/>
          <c:extLst>
            <c:ext xmlns:c16="http://schemas.microsoft.com/office/drawing/2014/chart" uri="{C3380CC4-5D6E-409C-BE32-E72D297353CC}">
              <c16:uniqueId val="{00000000-927C-447D-81FC-C95F77DD7A8D}"/>
            </c:ext>
          </c:extLst>
        </c:ser>
        <c:ser>
          <c:idx val="1"/>
          <c:order val="1"/>
          <c:tx>
            <c:strRef>
              <c:f>'Case Analítico Aux Dinâmicas'!$N$11:$N$12</c:f>
              <c:strCache>
                <c:ptCount val="1"/>
                <c:pt idx="0">
                  <c:v>M Site</c:v>
                </c:pt>
              </c:strCache>
            </c:strRef>
          </c:tx>
          <c:spPr>
            <a:ln w="28575" cap="rnd">
              <a:solidFill>
                <a:schemeClr val="accent2"/>
              </a:solidFill>
              <a:round/>
            </a:ln>
            <a:effectLst/>
          </c:spPr>
          <c:marker>
            <c:symbol val="none"/>
          </c:marker>
          <c:cat>
            <c:multiLvlStrRef>
              <c:f>'Case Analítico Aux Dinâmicas'!$L$13:$L$36</c:f>
              <c:multiLvlStrCache>
                <c:ptCount val="21"/>
                <c:lvl>
                  <c:pt idx="0">
                    <c:v>jan</c:v>
                  </c:pt>
                  <c:pt idx="1">
                    <c:v>fev</c:v>
                  </c:pt>
                  <c:pt idx="2">
                    <c:v>mar</c:v>
                  </c:pt>
                  <c:pt idx="3">
                    <c:v>abr</c:v>
                  </c:pt>
                  <c:pt idx="4">
                    <c:v>mai</c:v>
                  </c:pt>
                  <c:pt idx="5">
                    <c:v>jun</c:v>
                  </c:pt>
                  <c:pt idx="6">
                    <c:v>jul</c:v>
                  </c:pt>
                  <c:pt idx="7">
                    <c:v>ago</c:v>
                  </c:pt>
                  <c:pt idx="8">
                    <c:v>set</c:v>
                  </c:pt>
                  <c:pt idx="9">
                    <c:v>out</c:v>
                  </c:pt>
                  <c:pt idx="10">
                    <c:v>nov</c:v>
                  </c:pt>
                  <c:pt idx="11">
                    <c:v>dez</c:v>
                  </c:pt>
                  <c:pt idx="12">
                    <c:v>jan</c:v>
                  </c:pt>
                  <c:pt idx="13">
                    <c:v>fev</c:v>
                  </c:pt>
                  <c:pt idx="14">
                    <c:v>mar</c:v>
                  </c:pt>
                  <c:pt idx="15">
                    <c:v>abr</c:v>
                  </c:pt>
                  <c:pt idx="16">
                    <c:v>mai</c:v>
                  </c:pt>
                  <c:pt idx="17">
                    <c:v>jun</c:v>
                  </c:pt>
                  <c:pt idx="18">
                    <c:v>jul</c:v>
                  </c:pt>
                  <c:pt idx="19">
                    <c:v>ago</c:v>
                  </c:pt>
                  <c:pt idx="20">
                    <c:v>set</c:v>
                  </c:pt>
                </c:lvl>
                <c:lvl>
                  <c:pt idx="0">
                    <c:v>2018</c:v>
                  </c:pt>
                  <c:pt idx="12">
                    <c:v>2019</c:v>
                  </c:pt>
                </c:lvl>
              </c:multiLvlStrCache>
            </c:multiLvlStrRef>
          </c:cat>
          <c:val>
            <c:numRef>
              <c:f>'Case Analítico Aux Dinâmicas'!$N$13:$N$36</c:f>
              <c:numCache>
                <c:formatCode>General</c:formatCode>
                <c:ptCount val="21"/>
                <c:pt idx="0">
                  <c:v>4628</c:v>
                </c:pt>
                <c:pt idx="1">
                  <c:v>4675</c:v>
                </c:pt>
                <c:pt idx="2">
                  <c:v>4792</c:v>
                </c:pt>
                <c:pt idx="3">
                  <c:v>4864</c:v>
                </c:pt>
                <c:pt idx="4">
                  <c:v>4962</c:v>
                </c:pt>
                <c:pt idx="5">
                  <c:v>5062</c:v>
                </c:pt>
                <c:pt idx="6">
                  <c:v>5189</c:v>
                </c:pt>
                <c:pt idx="7">
                  <c:v>5293</c:v>
                </c:pt>
                <c:pt idx="8">
                  <c:v>5399</c:v>
                </c:pt>
                <c:pt idx="9">
                  <c:v>5480</c:v>
                </c:pt>
                <c:pt idx="10">
                  <c:v>5590</c:v>
                </c:pt>
                <c:pt idx="11">
                  <c:v>5814</c:v>
                </c:pt>
                <c:pt idx="12">
                  <c:v>5931</c:v>
                </c:pt>
                <c:pt idx="13">
                  <c:v>6050</c:v>
                </c:pt>
                <c:pt idx="14">
                  <c:v>6111</c:v>
                </c:pt>
                <c:pt idx="15">
                  <c:v>6203</c:v>
                </c:pt>
                <c:pt idx="16">
                  <c:v>6328</c:v>
                </c:pt>
                <c:pt idx="17">
                  <c:v>6455</c:v>
                </c:pt>
                <c:pt idx="18">
                  <c:v>6617</c:v>
                </c:pt>
                <c:pt idx="19">
                  <c:v>6750</c:v>
                </c:pt>
                <c:pt idx="20">
                  <c:v>6886</c:v>
                </c:pt>
              </c:numCache>
            </c:numRef>
          </c:val>
          <c:smooth val="0"/>
          <c:extLst>
            <c:ext xmlns:c16="http://schemas.microsoft.com/office/drawing/2014/chart" uri="{C3380CC4-5D6E-409C-BE32-E72D297353CC}">
              <c16:uniqueId val="{00000002-E67E-427B-8B21-22F694A41A98}"/>
            </c:ext>
          </c:extLst>
        </c:ser>
        <c:ser>
          <c:idx val="2"/>
          <c:order val="2"/>
          <c:tx>
            <c:strRef>
              <c:f>'Case Analítico Aux Dinâmicas'!$O$11:$O$12</c:f>
              <c:strCache>
                <c:ptCount val="1"/>
                <c:pt idx="0">
                  <c:v>Web</c:v>
                </c:pt>
              </c:strCache>
            </c:strRef>
          </c:tx>
          <c:spPr>
            <a:ln w="28575" cap="rnd">
              <a:solidFill>
                <a:schemeClr val="accent3"/>
              </a:solidFill>
              <a:round/>
            </a:ln>
            <a:effectLst/>
          </c:spPr>
          <c:marker>
            <c:symbol val="none"/>
          </c:marker>
          <c:cat>
            <c:multiLvlStrRef>
              <c:f>'Case Analítico Aux Dinâmicas'!$L$13:$L$36</c:f>
              <c:multiLvlStrCache>
                <c:ptCount val="21"/>
                <c:lvl>
                  <c:pt idx="0">
                    <c:v>jan</c:v>
                  </c:pt>
                  <c:pt idx="1">
                    <c:v>fev</c:v>
                  </c:pt>
                  <c:pt idx="2">
                    <c:v>mar</c:v>
                  </c:pt>
                  <c:pt idx="3">
                    <c:v>abr</c:v>
                  </c:pt>
                  <c:pt idx="4">
                    <c:v>mai</c:v>
                  </c:pt>
                  <c:pt idx="5">
                    <c:v>jun</c:v>
                  </c:pt>
                  <c:pt idx="6">
                    <c:v>jul</c:v>
                  </c:pt>
                  <c:pt idx="7">
                    <c:v>ago</c:v>
                  </c:pt>
                  <c:pt idx="8">
                    <c:v>set</c:v>
                  </c:pt>
                  <c:pt idx="9">
                    <c:v>out</c:v>
                  </c:pt>
                  <c:pt idx="10">
                    <c:v>nov</c:v>
                  </c:pt>
                  <c:pt idx="11">
                    <c:v>dez</c:v>
                  </c:pt>
                  <c:pt idx="12">
                    <c:v>jan</c:v>
                  </c:pt>
                  <c:pt idx="13">
                    <c:v>fev</c:v>
                  </c:pt>
                  <c:pt idx="14">
                    <c:v>mar</c:v>
                  </c:pt>
                  <c:pt idx="15">
                    <c:v>abr</c:v>
                  </c:pt>
                  <c:pt idx="16">
                    <c:v>mai</c:v>
                  </c:pt>
                  <c:pt idx="17">
                    <c:v>jun</c:v>
                  </c:pt>
                  <c:pt idx="18">
                    <c:v>jul</c:v>
                  </c:pt>
                  <c:pt idx="19">
                    <c:v>ago</c:v>
                  </c:pt>
                  <c:pt idx="20">
                    <c:v>set</c:v>
                  </c:pt>
                </c:lvl>
                <c:lvl>
                  <c:pt idx="0">
                    <c:v>2018</c:v>
                  </c:pt>
                  <c:pt idx="12">
                    <c:v>2019</c:v>
                  </c:pt>
                </c:lvl>
              </c:multiLvlStrCache>
            </c:multiLvlStrRef>
          </c:cat>
          <c:val>
            <c:numRef>
              <c:f>'Case Analítico Aux Dinâmicas'!$O$13:$O$36</c:f>
              <c:numCache>
                <c:formatCode>General</c:formatCode>
                <c:ptCount val="21"/>
                <c:pt idx="0">
                  <c:v>75026</c:v>
                </c:pt>
                <c:pt idx="1">
                  <c:v>75777</c:v>
                </c:pt>
                <c:pt idx="2">
                  <c:v>77672</c:v>
                </c:pt>
                <c:pt idx="3">
                  <c:v>78838</c:v>
                </c:pt>
                <c:pt idx="4">
                  <c:v>80415</c:v>
                </c:pt>
                <c:pt idx="5">
                  <c:v>82024</c:v>
                </c:pt>
                <c:pt idx="6">
                  <c:v>84075</c:v>
                </c:pt>
                <c:pt idx="7">
                  <c:v>85757</c:v>
                </c:pt>
                <c:pt idx="8">
                  <c:v>87473</c:v>
                </c:pt>
                <c:pt idx="9">
                  <c:v>88786</c:v>
                </c:pt>
                <c:pt idx="10">
                  <c:v>90562</c:v>
                </c:pt>
                <c:pt idx="11">
                  <c:v>94185</c:v>
                </c:pt>
                <c:pt idx="12">
                  <c:v>96069</c:v>
                </c:pt>
                <c:pt idx="13">
                  <c:v>97991</c:v>
                </c:pt>
                <c:pt idx="14">
                  <c:v>98971</c:v>
                </c:pt>
                <c:pt idx="15">
                  <c:v>100456</c:v>
                </c:pt>
                <c:pt idx="16">
                  <c:v>102466</c:v>
                </c:pt>
                <c:pt idx="17">
                  <c:v>104516</c:v>
                </c:pt>
                <c:pt idx="18">
                  <c:v>107129</c:v>
                </c:pt>
                <c:pt idx="19">
                  <c:v>109272</c:v>
                </c:pt>
                <c:pt idx="20">
                  <c:v>111458</c:v>
                </c:pt>
              </c:numCache>
            </c:numRef>
          </c:val>
          <c:smooth val="0"/>
          <c:extLst>
            <c:ext xmlns:c16="http://schemas.microsoft.com/office/drawing/2014/chart" uri="{C3380CC4-5D6E-409C-BE32-E72D297353CC}">
              <c16:uniqueId val="{00000003-E67E-427B-8B21-22F694A41A98}"/>
            </c:ext>
          </c:extLst>
        </c:ser>
        <c:dLbls>
          <c:showLegendKey val="0"/>
          <c:showVal val="0"/>
          <c:showCatName val="0"/>
          <c:showSerName val="0"/>
          <c:showPercent val="0"/>
          <c:showBubbleSize val="0"/>
        </c:dLbls>
        <c:smooth val="0"/>
        <c:axId val="437969816"/>
        <c:axId val="437971456"/>
      </c:lineChart>
      <c:catAx>
        <c:axId val="437969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7971456"/>
        <c:crosses val="autoZero"/>
        <c:auto val="1"/>
        <c:lblAlgn val="ctr"/>
        <c:lblOffset val="100"/>
        <c:noMultiLvlLbl val="0"/>
      </c:catAx>
      <c:valAx>
        <c:axId val="4379714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7969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[Case - Vaga de Dados (excel).xlsm]Case Analítico Aux Dinâmicas!Tabela dinâmica8</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Vertical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2"/>
            </a:solidFill>
            <a:round/>
          </a:ln>
          <a:effectLst/>
        </c:spPr>
        <c:marker>
          <c:symbol val="none"/>
        </c:marker>
      </c:pivotFmt>
      <c:pivotFmt>
        <c:idx val="11"/>
        <c:spPr>
          <a:ln w="28575" cap="rnd">
            <a:solidFill>
              <a:schemeClr val="accent3"/>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2"/>
            </a:solidFill>
            <a:round/>
          </a:ln>
          <a:effectLst/>
        </c:spPr>
      </c:pivotFmt>
      <c:pivotFmt>
        <c:idx val="16"/>
        <c:spPr>
          <a:solidFill>
            <a:schemeClr val="accent1"/>
          </a:solidFill>
          <a:ln w="28575" cap="rnd">
            <a:solidFill>
              <a:schemeClr val="accent3"/>
            </a:solidFill>
            <a:round/>
          </a:ln>
          <a:effectLst/>
        </c:spPr>
      </c:pivotFmt>
      <c:pivotFmt>
        <c:idx val="17"/>
        <c:spPr>
          <a:solidFill>
            <a:schemeClr val="accent1"/>
          </a:solidFill>
          <a:ln w="28575" cap="rnd">
            <a:solidFill>
              <a:schemeClr val="accent2"/>
            </a:solidFill>
            <a:round/>
          </a:ln>
          <a:effectLst/>
        </c:spPr>
      </c:pivotFmt>
      <c:pivotFmt>
        <c:idx val="18"/>
        <c:spPr>
          <a:solidFill>
            <a:schemeClr val="accent1"/>
          </a:solidFill>
          <a:ln w="28575" cap="rnd">
            <a:solidFill>
              <a:schemeClr val="accent3"/>
            </a:solidFill>
            <a:round/>
          </a:ln>
          <a:effectLst/>
        </c:spPr>
      </c:pivotFmt>
      <c:pivotFmt>
        <c:idx val="19"/>
        <c:spPr>
          <a:solidFill>
            <a:schemeClr val="accent1"/>
          </a:solidFill>
          <a:ln w="28575" cap="rnd">
            <a:solidFill>
              <a:schemeClr val="accent2"/>
            </a:solidFill>
            <a:round/>
          </a:ln>
          <a:effectLst/>
        </c:spPr>
      </c:pivotFmt>
      <c:pivotFmt>
        <c:idx val="20"/>
        <c:spPr>
          <a:solidFill>
            <a:schemeClr val="accent1"/>
          </a:solidFill>
          <a:ln w="28575" cap="rnd">
            <a:solidFill>
              <a:schemeClr val="accent3"/>
            </a:solidFill>
            <a:round/>
          </a:ln>
          <a:effectLst/>
        </c:spPr>
      </c:pivotFmt>
      <c:pivotFmt>
        <c:idx val="21"/>
        <c:spPr>
          <a:ln w="28575" cap="rnd">
            <a:solidFill>
              <a:schemeClr val="accent1"/>
            </a:solidFill>
            <a:round/>
          </a:ln>
          <a:effectLst/>
        </c:spPr>
        <c:marker>
          <c:symbol val="none"/>
        </c:marker>
      </c:pivotFmt>
      <c:pivotFmt>
        <c:idx val="22"/>
        <c:spPr>
          <a:ln w="28575" cap="rnd">
            <a:solidFill>
              <a:schemeClr val="accent2"/>
            </a:solidFill>
            <a:round/>
          </a:ln>
          <a:effectLst/>
        </c:spPr>
        <c:marker>
          <c:symbol val="none"/>
        </c:marker>
      </c:pivotFmt>
      <c:pivotFmt>
        <c:idx val="23"/>
        <c:spPr>
          <a:ln w="28575" cap="rnd">
            <a:solidFill>
              <a:schemeClr val="accent3"/>
            </a:solidFill>
            <a:round/>
          </a:ln>
          <a:effectLst/>
        </c:spPr>
        <c:marker>
          <c:symbol val="none"/>
        </c:marker>
      </c:pivotFmt>
      <c:pivotFmt>
        <c:idx val="24"/>
        <c:marker>
          <c:spPr>
            <a:solidFill>
              <a:schemeClr val="accent2"/>
            </a:solidFill>
            <a:ln w="9525">
              <a:solidFill>
                <a:schemeClr val="accent2"/>
              </a:solidFill>
            </a:ln>
            <a:effectLst/>
          </c:spPr>
        </c:marker>
      </c:pivotFmt>
      <c:pivotFmt>
        <c:idx val="25"/>
        <c:marker>
          <c:spPr>
            <a:solidFill>
              <a:schemeClr val="accent3"/>
            </a:solidFill>
            <a:ln w="9525">
              <a:solidFill>
                <a:schemeClr val="accent3"/>
              </a:solidFill>
            </a:ln>
            <a:effectLst/>
          </c:spPr>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s>
    <c:plotArea>
      <c:layout/>
      <c:lineChart>
        <c:grouping val="standard"/>
        <c:varyColors val="0"/>
        <c:ser>
          <c:idx val="0"/>
          <c:order val="0"/>
          <c:tx>
            <c:strRef>
              <c:f>'Case Analítico Aux Dinâmicas'!$W$11:$W$12</c:f>
              <c:strCache>
                <c:ptCount val="1"/>
                <c:pt idx="0">
                  <c:v>Auto</c:v>
                </c:pt>
              </c:strCache>
            </c:strRef>
          </c:tx>
          <c:spPr>
            <a:ln w="28575" cap="rnd">
              <a:solidFill>
                <a:schemeClr val="accent1"/>
              </a:solidFill>
              <a:round/>
            </a:ln>
            <a:effectLst/>
          </c:spPr>
          <c:marker>
            <c:symbol val="none"/>
          </c:marker>
          <c:cat>
            <c:multiLvlStrRef>
              <c:f>'Case Analítico Aux Dinâmicas'!$V$13:$V$36</c:f>
              <c:multiLvlStrCache>
                <c:ptCount val="21"/>
                <c:lvl>
                  <c:pt idx="0">
                    <c:v>jan</c:v>
                  </c:pt>
                  <c:pt idx="1">
                    <c:v>fev</c:v>
                  </c:pt>
                  <c:pt idx="2">
                    <c:v>mar</c:v>
                  </c:pt>
                  <c:pt idx="3">
                    <c:v>abr</c:v>
                  </c:pt>
                  <c:pt idx="4">
                    <c:v>mai</c:v>
                  </c:pt>
                  <c:pt idx="5">
                    <c:v>jun</c:v>
                  </c:pt>
                  <c:pt idx="6">
                    <c:v>jul</c:v>
                  </c:pt>
                  <c:pt idx="7">
                    <c:v>ago</c:v>
                  </c:pt>
                  <c:pt idx="8">
                    <c:v>set</c:v>
                  </c:pt>
                  <c:pt idx="9">
                    <c:v>out</c:v>
                  </c:pt>
                  <c:pt idx="10">
                    <c:v>nov</c:v>
                  </c:pt>
                  <c:pt idx="11">
                    <c:v>dez</c:v>
                  </c:pt>
                  <c:pt idx="12">
                    <c:v>jan</c:v>
                  </c:pt>
                  <c:pt idx="13">
                    <c:v>fev</c:v>
                  </c:pt>
                  <c:pt idx="14">
                    <c:v>mar</c:v>
                  </c:pt>
                  <c:pt idx="15">
                    <c:v>abr</c:v>
                  </c:pt>
                  <c:pt idx="16">
                    <c:v>mai</c:v>
                  </c:pt>
                  <c:pt idx="17">
                    <c:v>jun</c:v>
                  </c:pt>
                  <c:pt idx="18">
                    <c:v>jul</c:v>
                  </c:pt>
                  <c:pt idx="19">
                    <c:v>ago</c:v>
                  </c:pt>
                  <c:pt idx="20">
                    <c:v>set</c:v>
                  </c:pt>
                </c:lvl>
                <c:lvl>
                  <c:pt idx="0">
                    <c:v>2018</c:v>
                  </c:pt>
                  <c:pt idx="12">
                    <c:v>2019</c:v>
                  </c:pt>
                </c:lvl>
              </c:multiLvlStrCache>
            </c:multiLvlStrRef>
          </c:cat>
          <c:val>
            <c:numRef>
              <c:f>'Case Analítico Aux Dinâmicas'!$W$13:$W$36</c:f>
              <c:numCache>
                <c:formatCode>General</c:formatCode>
                <c:ptCount val="21"/>
                <c:pt idx="0">
                  <c:v>295934</c:v>
                </c:pt>
                <c:pt idx="1">
                  <c:v>298895</c:v>
                </c:pt>
                <c:pt idx="2">
                  <c:v>306369</c:v>
                </c:pt>
                <c:pt idx="3">
                  <c:v>310966</c:v>
                </c:pt>
                <c:pt idx="4">
                  <c:v>317187</c:v>
                </c:pt>
                <c:pt idx="5">
                  <c:v>323533</c:v>
                </c:pt>
                <c:pt idx="6">
                  <c:v>331623</c:v>
                </c:pt>
                <c:pt idx="7">
                  <c:v>338257</c:v>
                </c:pt>
                <c:pt idx="8">
                  <c:v>345024</c:v>
                </c:pt>
                <c:pt idx="9">
                  <c:v>350201</c:v>
                </c:pt>
                <c:pt idx="10">
                  <c:v>357206</c:v>
                </c:pt>
                <c:pt idx="11">
                  <c:v>371496</c:v>
                </c:pt>
                <c:pt idx="12">
                  <c:v>378927</c:v>
                </c:pt>
                <c:pt idx="13">
                  <c:v>386507</c:v>
                </c:pt>
                <c:pt idx="14">
                  <c:v>390373</c:v>
                </c:pt>
                <c:pt idx="15">
                  <c:v>396230</c:v>
                </c:pt>
                <c:pt idx="16">
                  <c:v>404157</c:v>
                </c:pt>
                <c:pt idx="17">
                  <c:v>412242</c:v>
                </c:pt>
                <c:pt idx="18">
                  <c:v>422549</c:v>
                </c:pt>
                <c:pt idx="19">
                  <c:v>431002</c:v>
                </c:pt>
                <c:pt idx="20">
                  <c:v>439624</c:v>
                </c:pt>
              </c:numCache>
            </c:numRef>
          </c:val>
          <c:smooth val="0"/>
          <c:extLst>
            <c:ext xmlns:c16="http://schemas.microsoft.com/office/drawing/2014/chart" uri="{C3380CC4-5D6E-409C-BE32-E72D297353CC}">
              <c16:uniqueId val="{00000000-A85B-43C4-A459-FE8C01873A89}"/>
            </c:ext>
          </c:extLst>
        </c:ser>
        <c:dLbls>
          <c:showLegendKey val="0"/>
          <c:showVal val="0"/>
          <c:showCatName val="0"/>
          <c:showSerName val="0"/>
          <c:showPercent val="0"/>
          <c:showBubbleSize val="0"/>
        </c:dLbls>
        <c:smooth val="0"/>
        <c:axId val="379048536"/>
        <c:axId val="379047224"/>
      </c:lineChart>
      <c:catAx>
        <c:axId val="379048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9047224"/>
        <c:crosses val="autoZero"/>
        <c:auto val="1"/>
        <c:lblAlgn val="ctr"/>
        <c:lblOffset val="100"/>
        <c:noMultiLvlLbl val="0"/>
      </c:catAx>
      <c:valAx>
        <c:axId val="3790472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9048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[Case - Vaga de Dados (excel).xlsm]Case Analítico Aux Dinâmicas!Tabela dinâmica9</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Usuário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chemeClr val="accent2"/>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2"/>
            </a:solidFill>
            <a:round/>
          </a:ln>
          <a:effectLst/>
        </c:spPr>
      </c:pivotFmt>
      <c:pivotFmt>
        <c:idx val="11"/>
        <c:spPr>
          <a:solidFill>
            <a:schemeClr val="accent1"/>
          </a:solidFill>
          <a:ln w="28575" cap="rnd">
            <a:solidFill>
              <a:schemeClr val="accent2"/>
            </a:solidFill>
            <a:round/>
          </a:ln>
          <a:effectLst/>
        </c:spPr>
      </c:pivotFmt>
      <c:pivotFmt>
        <c:idx val="12"/>
        <c:spPr>
          <a:solidFill>
            <a:schemeClr val="accent1"/>
          </a:solidFill>
          <a:ln w="28575" cap="rnd">
            <a:solidFill>
              <a:schemeClr val="accent2"/>
            </a:solidFill>
            <a:round/>
          </a:ln>
          <a:effectLst/>
        </c:spPr>
      </c:pivotFmt>
      <c:pivotFmt>
        <c:idx val="13"/>
        <c:spPr>
          <a:ln w="28575" cap="rnd">
            <a:solidFill>
              <a:schemeClr val="accent1"/>
            </a:solidFill>
            <a:round/>
          </a:ln>
          <a:effectLst/>
        </c:spPr>
        <c:marker>
          <c:symbol val="none"/>
        </c:marker>
      </c:pivotFmt>
      <c:pivotFmt>
        <c:idx val="14"/>
        <c:spPr>
          <a:ln w="28575" cap="rnd">
            <a:solidFill>
              <a:schemeClr val="accent2"/>
            </a:solidFill>
            <a:round/>
          </a:ln>
          <a:effectLst/>
        </c:spPr>
        <c:marker>
          <c:symbol val="none"/>
        </c:marker>
      </c:pivotFmt>
      <c:pivotFmt>
        <c:idx val="15"/>
        <c:marker>
          <c:spPr>
            <a:solidFill>
              <a:schemeClr val="accent2"/>
            </a:solidFill>
            <a:ln w="9525">
              <a:solidFill>
                <a:schemeClr val="accent2"/>
              </a:solidFill>
            </a:ln>
            <a:effectLst/>
          </c:spPr>
        </c:marker>
      </c:pivotFmt>
      <c:pivotFmt>
        <c:idx val="16"/>
        <c:spPr>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s>
    <c:plotArea>
      <c:layout/>
      <c:lineChart>
        <c:grouping val="standard"/>
        <c:varyColors val="0"/>
        <c:ser>
          <c:idx val="0"/>
          <c:order val="0"/>
          <c:tx>
            <c:strRef>
              <c:f>'Case Analítico Aux Dinâmicas'!$AE$11:$AE$12</c:f>
              <c:strCache>
                <c:ptCount val="1"/>
                <c:pt idx="0">
                  <c:v>professional</c:v>
                </c:pt>
              </c:strCache>
            </c:strRef>
          </c:tx>
          <c:spPr>
            <a:ln w="28575" cap="rnd">
              <a:solidFill>
                <a:schemeClr val="accent2"/>
              </a:solidFill>
              <a:round/>
            </a:ln>
            <a:effectLst/>
          </c:spPr>
          <c:marker>
            <c:symbol val="none"/>
          </c:marker>
          <c:cat>
            <c:multiLvlStrRef>
              <c:f>'Case Analítico Aux Dinâmicas'!$AD$13:$AD$36</c:f>
              <c:multiLvlStrCache>
                <c:ptCount val="21"/>
                <c:lvl>
                  <c:pt idx="0">
                    <c:v>jan</c:v>
                  </c:pt>
                  <c:pt idx="1">
                    <c:v>fev</c:v>
                  </c:pt>
                  <c:pt idx="2">
                    <c:v>mar</c:v>
                  </c:pt>
                  <c:pt idx="3">
                    <c:v>abr</c:v>
                  </c:pt>
                  <c:pt idx="4">
                    <c:v>mai</c:v>
                  </c:pt>
                  <c:pt idx="5">
                    <c:v>jun</c:v>
                  </c:pt>
                  <c:pt idx="6">
                    <c:v>jul</c:v>
                  </c:pt>
                  <c:pt idx="7">
                    <c:v>ago</c:v>
                  </c:pt>
                  <c:pt idx="8">
                    <c:v>set</c:v>
                  </c:pt>
                  <c:pt idx="9">
                    <c:v>out</c:v>
                  </c:pt>
                  <c:pt idx="10">
                    <c:v>nov</c:v>
                  </c:pt>
                  <c:pt idx="11">
                    <c:v>dez</c:v>
                  </c:pt>
                  <c:pt idx="12">
                    <c:v>jan</c:v>
                  </c:pt>
                  <c:pt idx="13">
                    <c:v>fev</c:v>
                  </c:pt>
                  <c:pt idx="14">
                    <c:v>mar</c:v>
                  </c:pt>
                  <c:pt idx="15">
                    <c:v>abr</c:v>
                  </c:pt>
                  <c:pt idx="16">
                    <c:v>mai</c:v>
                  </c:pt>
                  <c:pt idx="17">
                    <c:v>jun</c:v>
                  </c:pt>
                  <c:pt idx="18">
                    <c:v>jul</c:v>
                  </c:pt>
                  <c:pt idx="19">
                    <c:v>ago</c:v>
                  </c:pt>
                  <c:pt idx="20">
                    <c:v>set</c:v>
                  </c:pt>
                </c:lvl>
                <c:lvl>
                  <c:pt idx="0">
                    <c:v>2018</c:v>
                  </c:pt>
                  <c:pt idx="12">
                    <c:v>2019</c:v>
                  </c:pt>
                </c:lvl>
              </c:multiLvlStrCache>
            </c:multiLvlStrRef>
          </c:cat>
          <c:val>
            <c:numRef>
              <c:f>'Case Analítico Aux Dinâmicas'!$AE$13:$AE$36</c:f>
              <c:numCache>
                <c:formatCode>General</c:formatCode>
                <c:ptCount val="21"/>
                <c:pt idx="0">
                  <c:v>295934</c:v>
                </c:pt>
                <c:pt idx="1">
                  <c:v>298895</c:v>
                </c:pt>
                <c:pt idx="2">
                  <c:v>306369</c:v>
                </c:pt>
                <c:pt idx="3">
                  <c:v>310966</c:v>
                </c:pt>
                <c:pt idx="4">
                  <c:v>317187</c:v>
                </c:pt>
                <c:pt idx="5">
                  <c:v>323533</c:v>
                </c:pt>
                <c:pt idx="6">
                  <c:v>331623</c:v>
                </c:pt>
                <c:pt idx="7">
                  <c:v>338257</c:v>
                </c:pt>
                <c:pt idx="8">
                  <c:v>345024</c:v>
                </c:pt>
                <c:pt idx="9">
                  <c:v>350201</c:v>
                </c:pt>
                <c:pt idx="10">
                  <c:v>357206</c:v>
                </c:pt>
                <c:pt idx="11">
                  <c:v>371496</c:v>
                </c:pt>
                <c:pt idx="12">
                  <c:v>378927</c:v>
                </c:pt>
                <c:pt idx="13">
                  <c:v>386507</c:v>
                </c:pt>
                <c:pt idx="14">
                  <c:v>390373</c:v>
                </c:pt>
                <c:pt idx="15">
                  <c:v>396230</c:v>
                </c:pt>
                <c:pt idx="16">
                  <c:v>404157</c:v>
                </c:pt>
                <c:pt idx="17">
                  <c:v>412242</c:v>
                </c:pt>
                <c:pt idx="18">
                  <c:v>422549</c:v>
                </c:pt>
                <c:pt idx="19">
                  <c:v>431002</c:v>
                </c:pt>
                <c:pt idx="20">
                  <c:v>439624</c:v>
                </c:pt>
              </c:numCache>
            </c:numRef>
          </c:val>
          <c:smooth val="0"/>
          <c:extLst>
            <c:ext xmlns:c16="http://schemas.microsoft.com/office/drawing/2014/chart" uri="{C3380CC4-5D6E-409C-BE32-E72D297353CC}">
              <c16:uniqueId val="{00000000-D312-4345-8D8F-66A4571E484B}"/>
            </c:ext>
          </c:extLst>
        </c:ser>
        <c:dLbls>
          <c:showLegendKey val="0"/>
          <c:showVal val="0"/>
          <c:showCatName val="0"/>
          <c:showSerName val="0"/>
          <c:showPercent val="0"/>
          <c:showBubbleSize val="0"/>
        </c:dLbls>
        <c:smooth val="0"/>
        <c:axId val="436778184"/>
        <c:axId val="436777200"/>
      </c:lineChart>
      <c:catAx>
        <c:axId val="436778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6777200"/>
        <c:crosses val="autoZero"/>
        <c:auto val="1"/>
        <c:lblAlgn val="ctr"/>
        <c:lblOffset val="100"/>
        <c:noMultiLvlLbl val="0"/>
      </c:catAx>
      <c:valAx>
        <c:axId val="4367772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6778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[Case - Vaga de Dados (excel).xlsm]Case Analítico Aux Dinâmicas!Tabela dinâmica10</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Região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ln w="28575" cap="rnd">
            <a:solidFill>
              <a:schemeClr val="accent2"/>
            </a:solidFill>
            <a:round/>
          </a:ln>
          <a:effectLst/>
        </c:spPr>
        <c:marker>
          <c:symbol val="none"/>
        </c:marker>
      </c:pivotFmt>
      <c:pivotFmt>
        <c:idx val="17"/>
        <c:spPr>
          <a:ln w="28575" cap="rnd">
            <a:solidFill>
              <a:schemeClr val="accent3"/>
            </a:solidFill>
            <a:round/>
          </a:ln>
          <a:effectLst/>
        </c:spPr>
        <c:marker>
          <c:symbol val="none"/>
        </c:marker>
      </c:pivotFmt>
      <c:pivotFmt>
        <c:idx val="18"/>
        <c:spPr>
          <a:ln w="28575" cap="rnd">
            <a:solidFill>
              <a:srgbClr val="00B050"/>
            </a:solidFill>
            <a:round/>
          </a:ln>
          <a:effectLst/>
        </c:spPr>
        <c:marker>
          <c:symbol val="none"/>
        </c:marker>
      </c:pivotFmt>
      <c:pivotFmt>
        <c:idx val="19"/>
        <c:spPr>
          <a:ln w="28575" cap="rnd">
            <a:solidFill>
              <a:schemeClr val="accent5"/>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2"/>
            </a:solidFill>
            <a:round/>
          </a:ln>
          <a:effectLst/>
        </c:spPr>
      </c:pivotFmt>
      <c:pivotFmt>
        <c:idx val="26"/>
        <c:spPr>
          <a:solidFill>
            <a:schemeClr val="accent1"/>
          </a:solidFill>
          <a:ln w="28575" cap="rnd">
            <a:solidFill>
              <a:schemeClr val="accent3"/>
            </a:solidFill>
            <a:round/>
          </a:ln>
          <a:effectLst/>
        </c:spPr>
      </c:pivotFmt>
      <c:pivotFmt>
        <c:idx val="27"/>
        <c:spPr>
          <a:solidFill>
            <a:schemeClr val="accent1"/>
          </a:solidFill>
          <a:ln w="28575" cap="rnd">
            <a:solidFill>
              <a:srgbClr val="00B050"/>
            </a:solidFill>
            <a:round/>
          </a:ln>
          <a:effectLst/>
        </c:spPr>
      </c:pivotFmt>
      <c:pivotFmt>
        <c:idx val="28"/>
        <c:spPr>
          <a:solidFill>
            <a:schemeClr val="accent1"/>
          </a:solidFill>
          <a:ln w="28575" cap="rnd">
            <a:solidFill>
              <a:schemeClr val="accent5"/>
            </a:solidFill>
            <a:round/>
          </a:ln>
          <a:effectLst/>
        </c:spPr>
      </c:pivotFmt>
      <c:pivotFmt>
        <c:idx val="29"/>
        <c:spPr>
          <a:solidFill>
            <a:schemeClr val="accent1"/>
          </a:solidFill>
          <a:ln w="28575" cap="rnd">
            <a:solidFill>
              <a:schemeClr val="accent2"/>
            </a:solidFill>
            <a:round/>
          </a:ln>
          <a:effectLst/>
        </c:spPr>
      </c:pivotFmt>
      <c:pivotFmt>
        <c:idx val="30"/>
        <c:spPr>
          <a:solidFill>
            <a:schemeClr val="accent1"/>
          </a:solidFill>
          <a:ln w="28575" cap="rnd">
            <a:solidFill>
              <a:schemeClr val="accent3"/>
            </a:solidFill>
            <a:round/>
          </a:ln>
          <a:effectLst/>
        </c:spPr>
      </c:pivotFmt>
      <c:pivotFmt>
        <c:idx val="31"/>
        <c:spPr>
          <a:solidFill>
            <a:schemeClr val="accent1"/>
          </a:solidFill>
          <a:ln w="28575" cap="rnd">
            <a:solidFill>
              <a:srgbClr val="00B050"/>
            </a:solidFill>
            <a:round/>
          </a:ln>
          <a:effectLst/>
        </c:spPr>
      </c:pivotFmt>
      <c:pivotFmt>
        <c:idx val="32"/>
        <c:spPr>
          <a:solidFill>
            <a:schemeClr val="accent1"/>
          </a:solidFill>
          <a:ln w="28575" cap="rnd">
            <a:solidFill>
              <a:schemeClr val="accent5"/>
            </a:solidFill>
            <a:round/>
          </a:ln>
          <a:effectLst/>
        </c:spPr>
      </c:pivotFmt>
      <c:pivotFmt>
        <c:idx val="33"/>
        <c:spPr>
          <a:ln w="28575" cap="rnd">
            <a:solidFill>
              <a:schemeClr val="accent1"/>
            </a:solidFill>
            <a:round/>
          </a:ln>
          <a:effectLst/>
        </c:spPr>
        <c:marker>
          <c:symbol val="none"/>
        </c:marker>
      </c:pivotFmt>
      <c:pivotFmt>
        <c:idx val="34"/>
        <c:spPr>
          <a:ln w="28575" cap="rnd">
            <a:solidFill>
              <a:schemeClr val="accent2"/>
            </a:solidFill>
            <a:round/>
          </a:ln>
          <a:effectLst/>
        </c:spPr>
        <c:marker>
          <c:symbol val="none"/>
        </c:marker>
      </c:pivotFmt>
      <c:pivotFmt>
        <c:idx val="35"/>
        <c:spPr>
          <a:ln w="28575" cap="rnd">
            <a:solidFill>
              <a:schemeClr val="accent3"/>
            </a:solidFill>
            <a:round/>
          </a:ln>
          <a:effectLst/>
        </c:spPr>
        <c:marker>
          <c:symbol val="none"/>
        </c:marker>
      </c:pivotFmt>
      <c:pivotFmt>
        <c:idx val="36"/>
        <c:spPr>
          <a:ln w="28575" cap="rnd">
            <a:solidFill>
              <a:schemeClr val="accent4"/>
            </a:solidFill>
            <a:round/>
          </a:ln>
          <a:effectLst/>
        </c:spPr>
        <c:marker>
          <c:symbol val="none"/>
        </c:marker>
      </c:pivotFmt>
      <c:pivotFmt>
        <c:idx val="37"/>
        <c:spPr>
          <a:ln w="28575" cap="rnd">
            <a:solidFill>
              <a:schemeClr val="accent5"/>
            </a:solidFill>
            <a:round/>
          </a:ln>
          <a:effectLst/>
        </c:spPr>
        <c:marker>
          <c:symbol val="none"/>
        </c:marker>
      </c:pivotFmt>
      <c:pivotFmt>
        <c:idx val="38"/>
        <c:marker>
          <c:spPr>
            <a:solidFill>
              <a:schemeClr val="accent2"/>
            </a:solidFill>
            <a:ln w="9525">
              <a:solidFill>
                <a:schemeClr val="accent2"/>
              </a:solidFill>
            </a:ln>
            <a:effectLst/>
          </c:spPr>
        </c:marker>
      </c:pivotFmt>
      <c:pivotFmt>
        <c:idx val="39"/>
        <c:marker>
          <c:spPr>
            <a:solidFill>
              <a:schemeClr val="accent3"/>
            </a:solidFill>
            <a:ln w="9525">
              <a:solidFill>
                <a:schemeClr val="accent3"/>
              </a:solidFill>
            </a:ln>
            <a:effectLst/>
          </c:spPr>
        </c:marker>
      </c:pivotFmt>
      <c:pivotFmt>
        <c:idx val="40"/>
        <c:marker>
          <c:spPr>
            <a:solidFill>
              <a:srgbClr val="00B050"/>
            </a:solidFill>
            <a:ln w="9525">
              <a:solidFill>
                <a:srgbClr val="00B050"/>
              </a:solidFill>
            </a:ln>
            <a:effectLst/>
          </c:spPr>
        </c:marker>
      </c:pivotFmt>
      <c:pivotFmt>
        <c:idx val="41"/>
        <c:marker>
          <c:spPr>
            <a:solidFill>
              <a:schemeClr val="accent5"/>
            </a:solidFill>
            <a:ln w="9525">
              <a:solidFill>
                <a:schemeClr val="accent5"/>
              </a:solidFill>
            </a:ln>
            <a:effectLst/>
          </c:spPr>
        </c:marker>
      </c:pivotFmt>
      <c:pivotFmt>
        <c:idx val="42"/>
        <c:spPr>
          <a:ln w="28575" cap="rnd">
            <a:solidFill>
              <a:schemeClr val="accent1"/>
            </a:solidFill>
            <a:round/>
          </a:ln>
          <a:effectLst/>
        </c:spPr>
        <c:marker>
          <c:symbol val="none"/>
        </c:marker>
      </c:pivotFmt>
      <c:pivotFmt>
        <c:idx val="43"/>
        <c:spPr>
          <a:ln w="28575" cap="rnd">
            <a:solidFill>
              <a:schemeClr val="accent1"/>
            </a:solidFill>
            <a:round/>
          </a:ln>
          <a:effectLst/>
        </c:spPr>
        <c:marker>
          <c:symbol val="none"/>
        </c:marker>
      </c:pivotFmt>
      <c:pivotFmt>
        <c:idx val="44"/>
        <c:spPr>
          <a:ln w="28575" cap="rnd">
            <a:solidFill>
              <a:schemeClr val="accent1"/>
            </a:solidFill>
            <a:round/>
          </a:ln>
          <a:effectLst/>
        </c:spPr>
        <c:marker>
          <c:symbol val="none"/>
        </c:marker>
      </c:pivotFmt>
      <c:pivotFmt>
        <c:idx val="45"/>
        <c:spPr>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ln w="28575" cap="rnd">
            <a:solidFill>
              <a:schemeClr val="accent1"/>
            </a:solidFill>
            <a:round/>
          </a:ln>
          <a:effectLst/>
        </c:spPr>
        <c:marker>
          <c:symbol val="none"/>
        </c:marker>
      </c:pivotFmt>
      <c:pivotFmt>
        <c:idx val="50"/>
        <c:spPr>
          <a:ln w="28575" cap="rnd">
            <a:solidFill>
              <a:schemeClr val="accent1"/>
            </a:solidFill>
            <a:round/>
          </a:ln>
          <a:effectLst/>
        </c:spPr>
        <c:marker>
          <c:symbol val="none"/>
        </c:marker>
      </c:pivotFmt>
      <c:pivotFmt>
        <c:idx val="51"/>
        <c:spPr>
          <a:ln w="28575" cap="rnd">
            <a:solidFill>
              <a:schemeClr val="accent1"/>
            </a:solidFill>
            <a:round/>
          </a:ln>
          <a:effectLst/>
        </c:spPr>
        <c:marker>
          <c:symbol val="none"/>
        </c:marker>
      </c:pivotFmt>
      <c:pivotFmt>
        <c:idx val="52"/>
        <c:spPr>
          <a:ln w="28575" cap="rnd">
            <a:solidFill>
              <a:schemeClr val="accent1"/>
            </a:solidFill>
            <a:round/>
          </a:ln>
          <a:effectLst/>
        </c:spPr>
        <c:marker>
          <c:symbol val="none"/>
        </c:marker>
      </c:pivotFmt>
      <c:pivotFmt>
        <c:idx val="53"/>
        <c:spPr>
          <a:ln w="28575" cap="rnd">
            <a:solidFill>
              <a:schemeClr val="accent1"/>
            </a:solidFill>
            <a:round/>
          </a:ln>
          <a:effectLst/>
        </c:spPr>
        <c:marker>
          <c:symbol val="none"/>
        </c:marker>
      </c:pivotFmt>
    </c:pivotFmts>
    <c:plotArea>
      <c:layout/>
      <c:lineChart>
        <c:grouping val="standard"/>
        <c:varyColors val="0"/>
        <c:ser>
          <c:idx val="0"/>
          <c:order val="0"/>
          <c:tx>
            <c:strRef>
              <c:f>'Case Analítico Aux Dinâmicas'!$AL$11:$AL$12</c:f>
              <c:strCache>
                <c:ptCount val="1"/>
                <c:pt idx="0">
                  <c:v>Sudeste</c:v>
                </c:pt>
              </c:strCache>
            </c:strRef>
          </c:tx>
          <c:spPr>
            <a:ln w="28575" cap="rnd">
              <a:solidFill>
                <a:srgbClr val="00B050"/>
              </a:solidFill>
              <a:round/>
            </a:ln>
            <a:effectLst/>
          </c:spPr>
          <c:marker>
            <c:symbol val="none"/>
          </c:marker>
          <c:cat>
            <c:multiLvlStrRef>
              <c:f>'Case Analítico Aux Dinâmicas'!$AK$13:$AK$36</c:f>
              <c:multiLvlStrCache>
                <c:ptCount val="21"/>
                <c:lvl>
                  <c:pt idx="0">
                    <c:v>jan</c:v>
                  </c:pt>
                  <c:pt idx="1">
                    <c:v>fev</c:v>
                  </c:pt>
                  <c:pt idx="2">
                    <c:v>mar</c:v>
                  </c:pt>
                  <c:pt idx="3">
                    <c:v>abr</c:v>
                  </c:pt>
                  <c:pt idx="4">
                    <c:v>mai</c:v>
                  </c:pt>
                  <c:pt idx="5">
                    <c:v>jun</c:v>
                  </c:pt>
                  <c:pt idx="6">
                    <c:v>jul</c:v>
                  </c:pt>
                  <c:pt idx="7">
                    <c:v>ago</c:v>
                  </c:pt>
                  <c:pt idx="8">
                    <c:v>set</c:v>
                  </c:pt>
                  <c:pt idx="9">
                    <c:v>out</c:v>
                  </c:pt>
                  <c:pt idx="10">
                    <c:v>nov</c:v>
                  </c:pt>
                  <c:pt idx="11">
                    <c:v>dez</c:v>
                  </c:pt>
                  <c:pt idx="12">
                    <c:v>jan</c:v>
                  </c:pt>
                  <c:pt idx="13">
                    <c:v>fev</c:v>
                  </c:pt>
                  <c:pt idx="14">
                    <c:v>mar</c:v>
                  </c:pt>
                  <c:pt idx="15">
                    <c:v>abr</c:v>
                  </c:pt>
                  <c:pt idx="16">
                    <c:v>mai</c:v>
                  </c:pt>
                  <c:pt idx="17">
                    <c:v>jun</c:v>
                  </c:pt>
                  <c:pt idx="18">
                    <c:v>jul</c:v>
                  </c:pt>
                  <c:pt idx="19">
                    <c:v>ago</c:v>
                  </c:pt>
                  <c:pt idx="20">
                    <c:v>set</c:v>
                  </c:pt>
                </c:lvl>
                <c:lvl>
                  <c:pt idx="0">
                    <c:v>2018</c:v>
                  </c:pt>
                  <c:pt idx="12">
                    <c:v>2019</c:v>
                  </c:pt>
                </c:lvl>
              </c:multiLvlStrCache>
            </c:multiLvlStrRef>
          </c:cat>
          <c:val>
            <c:numRef>
              <c:f>'Case Analítico Aux Dinâmicas'!$AL$13:$AL$36</c:f>
              <c:numCache>
                <c:formatCode>General</c:formatCode>
                <c:ptCount val="21"/>
                <c:pt idx="0">
                  <c:v>295934</c:v>
                </c:pt>
                <c:pt idx="1">
                  <c:v>298895</c:v>
                </c:pt>
                <c:pt idx="2">
                  <c:v>306369</c:v>
                </c:pt>
                <c:pt idx="3">
                  <c:v>310966</c:v>
                </c:pt>
                <c:pt idx="4">
                  <c:v>317187</c:v>
                </c:pt>
                <c:pt idx="5">
                  <c:v>323533</c:v>
                </c:pt>
                <c:pt idx="6">
                  <c:v>331623</c:v>
                </c:pt>
                <c:pt idx="7">
                  <c:v>338257</c:v>
                </c:pt>
                <c:pt idx="8">
                  <c:v>345024</c:v>
                </c:pt>
                <c:pt idx="9">
                  <c:v>350201</c:v>
                </c:pt>
                <c:pt idx="10">
                  <c:v>357206</c:v>
                </c:pt>
                <c:pt idx="11">
                  <c:v>371496</c:v>
                </c:pt>
                <c:pt idx="12">
                  <c:v>378927</c:v>
                </c:pt>
                <c:pt idx="13">
                  <c:v>386507</c:v>
                </c:pt>
                <c:pt idx="14">
                  <c:v>390373</c:v>
                </c:pt>
                <c:pt idx="15">
                  <c:v>396230</c:v>
                </c:pt>
                <c:pt idx="16">
                  <c:v>404157</c:v>
                </c:pt>
                <c:pt idx="17">
                  <c:v>412242</c:v>
                </c:pt>
                <c:pt idx="18">
                  <c:v>422549</c:v>
                </c:pt>
                <c:pt idx="19">
                  <c:v>431002</c:v>
                </c:pt>
                <c:pt idx="20">
                  <c:v>439624</c:v>
                </c:pt>
              </c:numCache>
            </c:numRef>
          </c:val>
          <c:smooth val="0"/>
          <c:extLst>
            <c:ext xmlns:c16="http://schemas.microsoft.com/office/drawing/2014/chart" uri="{C3380CC4-5D6E-409C-BE32-E72D297353CC}">
              <c16:uniqueId val="{00000000-B20F-4EB9-B27B-FC62A3682DF5}"/>
            </c:ext>
          </c:extLst>
        </c:ser>
        <c:dLbls>
          <c:showLegendKey val="0"/>
          <c:showVal val="0"/>
          <c:showCatName val="0"/>
          <c:showSerName val="0"/>
          <c:showPercent val="0"/>
          <c:showBubbleSize val="0"/>
        </c:dLbls>
        <c:smooth val="0"/>
        <c:axId val="437967520"/>
        <c:axId val="437968176"/>
      </c:lineChart>
      <c:catAx>
        <c:axId val="43796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7968176"/>
        <c:crosses val="autoZero"/>
        <c:auto val="1"/>
        <c:lblAlgn val="ctr"/>
        <c:lblOffset val="100"/>
        <c:noMultiLvlLbl val="0"/>
      </c:catAx>
      <c:valAx>
        <c:axId val="437968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7967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104775</xdr:colOff>
      <xdr:row>0</xdr:row>
      <xdr:rowOff>0</xdr:rowOff>
    </xdr:from>
    <xdr:ext cx="552450" cy="552450"/>
    <xdr:pic>
      <xdr:nvPicPr>
        <xdr:cNvPr id="2" name="image1.png" title="Image"/>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104775</xdr:colOff>
      <xdr:row>0</xdr:row>
      <xdr:rowOff>0</xdr:rowOff>
    </xdr:from>
    <xdr:ext cx="552450" cy="552450"/>
    <xdr:pic>
      <xdr:nvPicPr>
        <xdr:cNvPr id="2" name="image1.png" title="Image"/>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9525</xdr:colOff>
          <xdr:row>4</xdr:row>
          <xdr:rowOff>95250</xdr:rowOff>
        </xdr:from>
        <xdr:to>
          <xdr:col>19</xdr:col>
          <xdr:colOff>19050</xdr:colOff>
          <xdr:row>6</xdr:row>
          <xdr:rowOff>152400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1</xdr:row>
          <xdr:rowOff>38100</xdr:rowOff>
        </xdr:from>
        <xdr:to>
          <xdr:col>20</xdr:col>
          <xdr:colOff>9525</xdr:colOff>
          <xdr:row>7</xdr:row>
          <xdr:rowOff>47625</xdr:rowOff>
        </xdr:to>
        <xdr:sp macro="" textlink="">
          <xdr:nvSpPr>
            <xdr:cNvPr id="7170" name="Group Box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Parâmetros</a:t>
              </a:r>
            </a:p>
          </xdr:txBody>
        </xdr:sp>
        <xdr:clientData/>
      </xdr:twoCellAnchor>
    </mc:Choice>
    <mc:Fallback/>
  </mc:AlternateContent>
  <xdr:oneCellAnchor>
    <xdr:from>
      <xdr:col>0</xdr:col>
      <xdr:colOff>438150</xdr:colOff>
      <xdr:row>0</xdr:row>
      <xdr:rowOff>0</xdr:rowOff>
    </xdr:from>
    <xdr:ext cx="990600" cy="904875"/>
    <xdr:pic>
      <xdr:nvPicPr>
        <xdr:cNvPr id="4" name="image1.png" title="Image"/>
        <xdr:cNvPicPr preferRelativeResize="0"/>
      </xdr:nvPicPr>
      <xdr:blipFill>
        <a:blip xmlns:r="http://schemas.openxmlformats.org/officeDocument/2006/relationships" r:embed="rId1" cstate="print"/>
        <a:stretch>
          <a:fillRect/>
        </a:stretch>
      </xdr:blipFill>
      <xdr:spPr>
        <a:xfrm>
          <a:off x="438150" y="0"/>
          <a:ext cx="990600" cy="904875"/>
        </a:xfrm>
        <a:prstGeom prst="rect">
          <a:avLst/>
        </a:prstGeom>
        <a:noFill/>
      </xdr:spPr>
    </xdr:pic>
    <xdr:clientData fLocksWithSheet="0"/>
  </xdr:oneCellAnchor>
  <xdr:twoCellAnchor editAs="oneCell">
    <xdr:from>
      <xdr:col>0</xdr:col>
      <xdr:colOff>219075</xdr:colOff>
      <xdr:row>11</xdr:row>
      <xdr:rowOff>47625</xdr:rowOff>
    </xdr:from>
    <xdr:to>
      <xdr:col>2</xdr:col>
      <xdr:colOff>523875</xdr:colOff>
      <xdr:row>18</xdr:row>
      <xdr:rowOff>76200</xdr:rowOff>
    </xdr:to>
    <mc:AlternateContent xmlns:mc="http://schemas.openxmlformats.org/markup-compatibility/2006" xmlns:a14="http://schemas.microsoft.com/office/drawing/2010/main">
      <mc:Choice Requires="a14">
        <xdr:graphicFrame macro="">
          <xdr:nvGraphicFramePr>
            <xdr:cNvPr id="5" name="Plataforma"/>
            <xdr:cNvGraphicFramePr/>
          </xdr:nvGraphicFramePr>
          <xdr:xfrm>
            <a:off x="0" y="0"/>
            <a:ext cx="0" cy="0"/>
          </xdr:xfrm>
          <a:graphic>
            <a:graphicData uri="http://schemas.microsoft.com/office/drawing/2010/slicer">
              <sle:slicer xmlns:sle="http://schemas.microsoft.com/office/drawing/2010/slicer" name="Plataforma"/>
            </a:graphicData>
          </a:graphic>
        </xdr:graphicFrame>
      </mc:Choice>
      <mc:Fallback xmlns="">
        <xdr:sp macro="" textlink="">
          <xdr:nvSpPr>
            <xdr:cNvPr id="0" name=""/>
            <xdr:cNvSpPr>
              <a:spLocks noTextEdit="1"/>
            </xdr:cNvSpPr>
          </xdr:nvSpPr>
          <xdr:spPr>
            <a:xfrm>
              <a:off x="219075" y="1847850"/>
              <a:ext cx="1524000"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219075</xdr:colOff>
      <xdr:row>18</xdr:row>
      <xdr:rowOff>133351</xdr:rowOff>
    </xdr:from>
    <xdr:to>
      <xdr:col>2</xdr:col>
      <xdr:colOff>514350</xdr:colOff>
      <xdr:row>25</xdr:row>
      <xdr:rowOff>104776</xdr:rowOff>
    </xdr:to>
    <mc:AlternateContent xmlns:mc="http://schemas.openxmlformats.org/markup-compatibility/2006" xmlns:a14="http://schemas.microsoft.com/office/drawing/2010/main">
      <mc:Choice Requires="a14">
        <xdr:graphicFrame macro="">
          <xdr:nvGraphicFramePr>
            <xdr:cNvPr id="6" name="Vertical"/>
            <xdr:cNvGraphicFramePr/>
          </xdr:nvGraphicFramePr>
          <xdr:xfrm>
            <a:off x="0" y="0"/>
            <a:ext cx="0" cy="0"/>
          </xdr:xfrm>
          <a:graphic>
            <a:graphicData uri="http://schemas.microsoft.com/office/drawing/2010/slicer">
              <sle:slicer xmlns:sle="http://schemas.microsoft.com/office/drawing/2010/slicer" name="Vertical"/>
            </a:graphicData>
          </a:graphic>
        </xdr:graphicFrame>
      </mc:Choice>
      <mc:Fallback xmlns="">
        <xdr:sp macro="" textlink="">
          <xdr:nvSpPr>
            <xdr:cNvPr id="0" name=""/>
            <xdr:cNvSpPr>
              <a:spLocks noTextEdit="1"/>
            </xdr:cNvSpPr>
          </xdr:nvSpPr>
          <xdr:spPr>
            <a:xfrm>
              <a:off x="219075" y="3067051"/>
              <a:ext cx="1514475" cy="11049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219075</xdr:colOff>
      <xdr:row>26</xdr:row>
      <xdr:rowOff>19050</xdr:rowOff>
    </xdr:from>
    <xdr:to>
      <xdr:col>2</xdr:col>
      <xdr:colOff>514350</xdr:colOff>
      <xdr:row>33</xdr:row>
      <xdr:rowOff>133350</xdr:rowOff>
    </xdr:to>
    <mc:AlternateContent xmlns:mc="http://schemas.openxmlformats.org/markup-compatibility/2006" xmlns:a14="http://schemas.microsoft.com/office/drawing/2010/main">
      <mc:Choice Requires="a14">
        <xdr:graphicFrame macro="">
          <xdr:nvGraphicFramePr>
            <xdr:cNvPr id="7" name="Região"/>
            <xdr:cNvGraphicFramePr/>
          </xdr:nvGraphicFramePr>
          <xdr:xfrm>
            <a:off x="0" y="0"/>
            <a:ext cx="0" cy="0"/>
          </xdr:xfrm>
          <a:graphic>
            <a:graphicData uri="http://schemas.microsoft.com/office/drawing/2010/slicer">
              <sle:slicer xmlns:sle="http://schemas.microsoft.com/office/drawing/2010/slicer" name="Região"/>
            </a:graphicData>
          </a:graphic>
        </xdr:graphicFrame>
      </mc:Choice>
      <mc:Fallback xmlns="">
        <xdr:sp macro="" textlink="">
          <xdr:nvSpPr>
            <xdr:cNvPr id="0" name=""/>
            <xdr:cNvSpPr>
              <a:spLocks noTextEdit="1"/>
            </xdr:cNvSpPr>
          </xdr:nvSpPr>
          <xdr:spPr>
            <a:xfrm>
              <a:off x="219075" y="4248150"/>
              <a:ext cx="1514475" cy="12477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219075</xdr:colOff>
      <xdr:row>5</xdr:row>
      <xdr:rowOff>76200</xdr:rowOff>
    </xdr:from>
    <xdr:to>
      <xdr:col>2</xdr:col>
      <xdr:colOff>523875</xdr:colOff>
      <xdr:row>10</xdr:row>
      <xdr:rowOff>142875</xdr:rowOff>
    </xdr:to>
    <mc:AlternateContent xmlns:mc="http://schemas.openxmlformats.org/markup-compatibility/2006" xmlns:a14="http://schemas.microsoft.com/office/drawing/2010/main">
      <mc:Choice Requires="a14">
        <xdr:graphicFrame macro="">
          <xdr:nvGraphicFramePr>
            <xdr:cNvPr id="8" name="Usuário"/>
            <xdr:cNvGraphicFramePr/>
          </xdr:nvGraphicFramePr>
          <xdr:xfrm>
            <a:off x="0" y="0"/>
            <a:ext cx="0" cy="0"/>
          </xdr:xfrm>
          <a:graphic>
            <a:graphicData uri="http://schemas.microsoft.com/office/drawing/2010/slicer">
              <sle:slicer xmlns:sle="http://schemas.microsoft.com/office/drawing/2010/slicer" name="Usuário"/>
            </a:graphicData>
          </a:graphic>
        </xdr:graphicFrame>
      </mc:Choice>
      <mc:Fallback xmlns="">
        <xdr:sp macro="" textlink="">
          <xdr:nvSpPr>
            <xdr:cNvPr id="0" name=""/>
            <xdr:cNvSpPr>
              <a:spLocks noTextEdit="1"/>
            </xdr:cNvSpPr>
          </xdr:nvSpPr>
          <xdr:spPr>
            <a:xfrm>
              <a:off x="219075" y="904875"/>
              <a:ext cx="1524000" cy="8763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0</xdr:colOff>
          <xdr:row>7</xdr:row>
          <xdr:rowOff>161925</xdr:rowOff>
        </xdr:from>
        <xdr:to>
          <xdr:col>20</xdr:col>
          <xdr:colOff>0</xdr:colOff>
          <xdr:row>61</xdr:row>
          <xdr:rowOff>0</xdr:rowOff>
        </xdr:to>
        <xdr:sp macro="" textlink="">
          <xdr:nvSpPr>
            <xdr:cNvPr id="7174" name="Group Box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4</xdr:col>
      <xdr:colOff>57150</xdr:colOff>
      <xdr:row>8</xdr:row>
      <xdr:rowOff>47625</xdr:rowOff>
    </xdr:from>
    <xdr:to>
      <xdr:col>7</xdr:col>
      <xdr:colOff>428700</xdr:colOff>
      <xdr:row>25</xdr:row>
      <xdr:rowOff>114300</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485775</xdr:colOff>
      <xdr:row>8</xdr:row>
      <xdr:rowOff>47624</xdr:rowOff>
    </xdr:from>
    <xdr:to>
      <xdr:col>10</xdr:col>
      <xdr:colOff>857325</xdr:colOff>
      <xdr:row>25</xdr:row>
      <xdr:rowOff>113699</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8</xdr:row>
      <xdr:rowOff>47625</xdr:rowOff>
    </xdr:from>
    <xdr:to>
      <xdr:col>14</xdr:col>
      <xdr:colOff>371550</xdr:colOff>
      <xdr:row>25</xdr:row>
      <xdr:rowOff>114300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428625</xdr:colOff>
      <xdr:row>8</xdr:row>
      <xdr:rowOff>47625</xdr:rowOff>
    </xdr:from>
    <xdr:to>
      <xdr:col>19</xdr:col>
      <xdr:colOff>66750</xdr:colOff>
      <xdr:row>25</xdr:row>
      <xdr:rowOff>114300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57151</xdr:colOff>
      <xdr:row>26</xdr:row>
      <xdr:rowOff>9525</xdr:rowOff>
    </xdr:from>
    <xdr:to>
      <xdr:col>10</xdr:col>
      <xdr:colOff>857250</xdr:colOff>
      <xdr:row>43</xdr:row>
      <xdr:rowOff>0</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xdr:colOff>
      <xdr:row>26</xdr:row>
      <xdr:rowOff>9525</xdr:rowOff>
    </xdr:from>
    <xdr:to>
      <xdr:col>19</xdr:col>
      <xdr:colOff>66676</xdr:colOff>
      <xdr:row>43</xdr:row>
      <xdr:rowOff>0</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57150</xdr:colOff>
      <xdr:row>43</xdr:row>
      <xdr:rowOff>57150</xdr:rowOff>
    </xdr:from>
    <xdr:to>
      <xdr:col>10</xdr:col>
      <xdr:colOff>857850</xdr:colOff>
      <xdr:row>60</xdr:row>
      <xdr:rowOff>47625</xdr:rowOff>
    </xdr:to>
    <xdr:graphicFrame macro="">
      <xdr:nvGraphicFramePr>
        <xdr:cNvPr id="16" name="Gráfico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43</xdr:row>
      <xdr:rowOff>57150</xdr:rowOff>
    </xdr:from>
    <xdr:to>
      <xdr:col>19</xdr:col>
      <xdr:colOff>67275</xdr:colOff>
      <xdr:row>60</xdr:row>
      <xdr:rowOff>47625</xdr:rowOff>
    </xdr:to>
    <xdr:graphicFrame macro="">
      <xdr:nvGraphicFramePr>
        <xdr:cNvPr id="17" name="Gráfico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2</xdr:col>
      <xdr:colOff>1095375</xdr:colOff>
      <xdr:row>9</xdr:row>
      <xdr:rowOff>0</xdr:rowOff>
    </xdr:to>
    <mc:AlternateContent xmlns:mc="http://schemas.openxmlformats.org/markup-compatibility/2006" xmlns:tsle="http://schemas.microsoft.com/office/drawing/2012/timeslicer">
      <mc:Choice Requires="tsle">
        <xdr:graphicFrame macro="">
          <xdr:nvGraphicFramePr>
            <xdr:cNvPr id="2" name="Mês"/>
            <xdr:cNvGraphicFramePr/>
          </xdr:nvGraphicFramePr>
          <xdr:xfrm>
            <a:off x="0" y="0"/>
            <a:ext cx="0" cy="0"/>
          </xdr:xfrm>
          <a:graphic>
            <a:graphicData uri="http://schemas.microsoft.com/office/drawing/2012/timeslicer">
              <tsle:timeslicer name="Mês"/>
            </a:graphicData>
          </a:graphic>
        </xdr:graphicFrame>
      </mc:Choice>
      <mc:Fallback xmlns="">
        <xdr:sp macro="" textlink="">
          <xdr:nvSpPr>
            <xdr:cNvPr id="0" name=""/>
            <xdr:cNvSpPr>
              <a:spLocks noTextEdit="1"/>
            </xdr:cNvSpPr>
          </xdr:nvSpPr>
          <xdr:spPr>
            <a:xfrm>
              <a:off x="123825" y="85725"/>
              <a:ext cx="3333750" cy="1371600"/>
            </a:xfrm>
            <a:prstGeom prst="rect">
              <a:avLst/>
            </a:prstGeom>
            <a:solidFill>
              <a:prstClr val="white"/>
            </a:solidFill>
            <a:ln w="1">
              <a:solidFill>
                <a:prstClr val="green"/>
              </a:solidFill>
            </a:ln>
          </xdr:spPr>
          <xdr:txBody>
            <a:bodyPr vertOverflow="clip" horzOverflow="clip"/>
            <a:lstStyle/>
            <a:p>
              <a:r>
                <a:rPr lang="pt-BR" sz="1100"/>
                <a:t>Linha do Tempo: funciona no Excel ou versões superiores. Não mova ou redimensione.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5</xdr:col>
      <xdr:colOff>190500</xdr:colOff>
      <xdr:row>0</xdr:row>
      <xdr:rowOff>76200</xdr:rowOff>
    </xdr:from>
    <xdr:ext cx="6296025" cy="4524375"/>
    <xdr:grpSp>
      <xdr:nvGrpSpPr>
        <xdr:cNvPr id="2" name="Shape 2" title="Drawing"/>
        <xdr:cNvGrpSpPr/>
      </xdr:nvGrpSpPr>
      <xdr:grpSpPr>
        <a:xfrm>
          <a:off x="11210925" y="76200"/>
          <a:ext cx="6296025" cy="4524375"/>
          <a:chOff x="282450" y="279075"/>
          <a:chExt cx="7672275" cy="5514875"/>
        </a:xfrm>
      </xdr:grpSpPr>
      <xdr:sp macro="" textlink="">
        <xdr:nvSpPr>
          <xdr:cNvPr id="3" name="Shape 3"/>
          <xdr:cNvSpPr/>
        </xdr:nvSpPr>
        <xdr:spPr>
          <a:xfrm>
            <a:off x="282450" y="901075"/>
            <a:ext cx="2922300" cy="3395151"/>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r>
              <a:rPr lang="en-US" sz="1400">
                <a:latin typeface="Calibri"/>
                <a:ea typeface="Calibri"/>
                <a:cs typeface="Calibri"/>
                <a:sym typeface="Calibri"/>
              </a:rPr>
              <a:t>ad_id_pk</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ad_type</a:t>
            </a:r>
            <a:br>
              <a:rPr lang="en-US" sz="1400">
                <a:latin typeface="Calibri"/>
                <a:ea typeface="Calibri"/>
                <a:cs typeface="Calibri"/>
                <a:sym typeface="Calibri"/>
              </a:rPr>
            </a:br>
            <a:r>
              <a:rPr lang="en-US" sz="1400">
                <a:latin typeface="Calibri"/>
                <a:ea typeface="Calibri"/>
                <a:cs typeface="Calibri"/>
                <a:sym typeface="Calibri"/>
              </a:rPr>
              <a:t>lister_id_nk</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platform</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category_id_fk</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location_id_fk</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creation_date</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price</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approval_date</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deletion_date</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reason_removed</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reason_removed_detail_id_fk</a:t>
            </a:r>
            <a:endParaRPr sz="1400">
              <a:latin typeface="Calibri"/>
              <a:ea typeface="Calibri"/>
              <a:cs typeface="Calibri"/>
              <a:sym typeface="Calibri"/>
            </a:endParaRPr>
          </a:p>
        </xdr:txBody>
      </xdr:sp>
      <xdr:sp macro="" textlink="">
        <xdr:nvSpPr>
          <xdr:cNvPr id="4" name="Shape 4"/>
          <xdr:cNvSpPr/>
        </xdr:nvSpPr>
        <xdr:spPr>
          <a:xfrm>
            <a:off x="282450" y="633175"/>
            <a:ext cx="2922300" cy="267900"/>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400" b="1">
                <a:latin typeface="Calibri"/>
                <a:ea typeface="Calibri"/>
                <a:cs typeface="Calibri"/>
                <a:sym typeface="Calibri"/>
              </a:rPr>
              <a:t>ad</a:t>
            </a:r>
            <a:endParaRPr sz="1400" b="1">
              <a:latin typeface="Calibri"/>
              <a:ea typeface="Calibri"/>
              <a:cs typeface="Calibri"/>
              <a:sym typeface="Calibri"/>
            </a:endParaRPr>
          </a:p>
        </xdr:txBody>
      </xdr:sp>
      <xdr:sp macro="" textlink="">
        <xdr:nvSpPr>
          <xdr:cNvPr id="5" name="Shape 5"/>
          <xdr:cNvSpPr/>
        </xdr:nvSpPr>
        <xdr:spPr>
          <a:xfrm>
            <a:off x="5032425" y="546974"/>
            <a:ext cx="2922300" cy="1090501"/>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r>
              <a:rPr lang="en-US" sz="1400">
                <a:latin typeface="Calibri"/>
                <a:ea typeface="Calibri"/>
                <a:cs typeface="Calibri"/>
                <a:sym typeface="Calibri"/>
              </a:rPr>
              <a:t>location_id_pk</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location_name</a:t>
            </a:r>
            <a:br>
              <a:rPr lang="en-US" sz="1400">
                <a:latin typeface="Calibri"/>
                <a:ea typeface="Calibri"/>
                <a:cs typeface="Calibri"/>
                <a:sym typeface="Calibri"/>
              </a:rPr>
            </a:br>
            <a:r>
              <a:rPr lang="en-US" sz="1400">
                <a:latin typeface="Calibri"/>
                <a:ea typeface="Calibri"/>
                <a:cs typeface="Calibri"/>
                <a:sym typeface="Calibri"/>
              </a:rPr>
              <a:t>state_id_fk</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area_code</a:t>
            </a:r>
            <a:endParaRPr sz="1400">
              <a:latin typeface="Calibri"/>
              <a:ea typeface="Calibri"/>
              <a:cs typeface="Calibri"/>
              <a:sym typeface="Calibri"/>
            </a:endParaRPr>
          </a:p>
        </xdr:txBody>
      </xdr:sp>
      <xdr:sp macro="" textlink="">
        <xdr:nvSpPr>
          <xdr:cNvPr id="6" name="Shape 6"/>
          <xdr:cNvSpPr/>
        </xdr:nvSpPr>
        <xdr:spPr>
          <a:xfrm>
            <a:off x="5032425" y="279075"/>
            <a:ext cx="2922300" cy="267900"/>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400" b="1">
                <a:latin typeface="Calibri"/>
                <a:ea typeface="Calibri"/>
                <a:cs typeface="Calibri"/>
                <a:sym typeface="Calibri"/>
              </a:rPr>
              <a:t>location</a:t>
            </a:r>
            <a:endParaRPr sz="1400" b="1">
              <a:latin typeface="Calibri"/>
              <a:ea typeface="Calibri"/>
              <a:cs typeface="Calibri"/>
              <a:sym typeface="Calibri"/>
            </a:endParaRPr>
          </a:p>
        </xdr:txBody>
      </xdr:sp>
      <xdr:sp macro="" textlink="">
        <xdr:nvSpPr>
          <xdr:cNvPr id="7" name="Shape 7"/>
          <xdr:cNvSpPr/>
        </xdr:nvSpPr>
        <xdr:spPr>
          <a:xfrm>
            <a:off x="5032425" y="2268275"/>
            <a:ext cx="2922300" cy="635100"/>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r>
              <a:rPr lang="en-US" sz="1400">
                <a:latin typeface="Calibri"/>
                <a:ea typeface="Calibri"/>
                <a:cs typeface="Calibri"/>
                <a:sym typeface="Calibri"/>
              </a:rPr>
              <a:t>state_id_pk</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state_name</a:t>
            </a:r>
            <a:endParaRPr sz="1400">
              <a:latin typeface="Calibri"/>
              <a:ea typeface="Calibri"/>
              <a:cs typeface="Calibri"/>
              <a:sym typeface="Calibri"/>
            </a:endParaRPr>
          </a:p>
        </xdr:txBody>
      </xdr:sp>
      <xdr:sp macro="" textlink="">
        <xdr:nvSpPr>
          <xdr:cNvPr id="8" name="Shape 8"/>
          <xdr:cNvSpPr/>
        </xdr:nvSpPr>
        <xdr:spPr>
          <a:xfrm>
            <a:off x="5032425" y="2000375"/>
            <a:ext cx="2922300" cy="267900"/>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400" b="1">
                <a:latin typeface="Calibri"/>
                <a:ea typeface="Calibri"/>
                <a:cs typeface="Calibri"/>
                <a:sym typeface="Calibri"/>
              </a:rPr>
              <a:t>state</a:t>
            </a:r>
            <a:endParaRPr sz="1400" b="1">
              <a:latin typeface="Calibri"/>
              <a:ea typeface="Calibri"/>
              <a:cs typeface="Calibri"/>
              <a:sym typeface="Calibri"/>
            </a:endParaRPr>
          </a:p>
        </xdr:txBody>
      </xdr:sp>
      <xdr:sp macro="" textlink="">
        <xdr:nvSpPr>
          <xdr:cNvPr id="9" name="Shape 9"/>
          <xdr:cNvSpPr/>
        </xdr:nvSpPr>
        <xdr:spPr>
          <a:xfrm>
            <a:off x="5032425" y="3559675"/>
            <a:ext cx="2922300" cy="804000"/>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r>
              <a:rPr lang="en-US" sz="1400">
                <a:latin typeface="Calibri"/>
                <a:ea typeface="Calibri"/>
                <a:cs typeface="Calibri"/>
                <a:sym typeface="Calibri"/>
              </a:rPr>
              <a:t>category_id_pk</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category_name</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category_main_id_fk</a:t>
            </a:r>
            <a:endParaRPr sz="1400">
              <a:latin typeface="Calibri"/>
              <a:ea typeface="Calibri"/>
              <a:cs typeface="Calibri"/>
              <a:sym typeface="Calibri"/>
            </a:endParaRPr>
          </a:p>
        </xdr:txBody>
      </xdr:sp>
      <xdr:sp macro="" textlink="">
        <xdr:nvSpPr>
          <xdr:cNvPr id="10" name="Shape 10"/>
          <xdr:cNvSpPr/>
        </xdr:nvSpPr>
        <xdr:spPr>
          <a:xfrm>
            <a:off x="5032425" y="3291775"/>
            <a:ext cx="2922300" cy="267900"/>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400" b="1">
                <a:latin typeface="Calibri"/>
                <a:ea typeface="Calibri"/>
                <a:cs typeface="Calibri"/>
                <a:sym typeface="Calibri"/>
              </a:rPr>
              <a:t>category</a:t>
            </a:r>
            <a:endParaRPr sz="1400" b="1">
              <a:latin typeface="Calibri"/>
              <a:ea typeface="Calibri"/>
              <a:cs typeface="Calibri"/>
              <a:sym typeface="Calibri"/>
            </a:endParaRPr>
          </a:p>
        </xdr:txBody>
      </xdr:sp>
      <xdr:sp macro="" textlink="">
        <xdr:nvSpPr>
          <xdr:cNvPr id="11" name="Shape 11"/>
          <xdr:cNvSpPr/>
        </xdr:nvSpPr>
        <xdr:spPr>
          <a:xfrm>
            <a:off x="5032425" y="5158850"/>
            <a:ext cx="2922300" cy="635100"/>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r>
              <a:rPr lang="en-US" sz="1400">
                <a:latin typeface="Calibri"/>
                <a:ea typeface="Calibri"/>
                <a:cs typeface="Calibri"/>
                <a:sym typeface="Calibri"/>
              </a:rPr>
              <a:t>category_main_id_pk</a:t>
            </a:r>
            <a:endParaRPr sz="1400">
              <a:latin typeface="Calibri"/>
              <a:ea typeface="Calibri"/>
              <a:cs typeface="Calibri"/>
              <a:sym typeface="Calibri"/>
            </a:endParaRPr>
          </a:p>
          <a:p>
            <a:pPr marL="0" lvl="0" indent="0" algn="l" rtl="0">
              <a:spcBef>
                <a:spcPts val="0"/>
              </a:spcBef>
              <a:spcAft>
                <a:spcPts val="0"/>
              </a:spcAft>
              <a:buNone/>
            </a:pPr>
            <a:r>
              <a:rPr lang="en-US" sz="1400">
                <a:latin typeface="Calibri"/>
                <a:ea typeface="Calibri"/>
                <a:cs typeface="Calibri"/>
                <a:sym typeface="Calibri"/>
              </a:rPr>
              <a:t>category_main_name</a:t>
            </a:r>
            <a:endParaRPr sz="1400">
              <a:latin typeface="Calibri"/>
              <a:ea typeface="Calibri"/>
              <a:cs typeface="Calibri"/>
              <a:sym typeface="Calibri"/>
            </a:endParaRPr>
          </a:p>
        </xdr:txBody>
      </xdr:sp>
      <xdr:sp macro="" textlink="">
        <xdr:nvSpPr>
          <xdr:cNvPr id="12" name="Shape 12"/>
          <xdr:cNvSpPr/>
        </xdr:nvSpPr>
        <xdr:spPr>
          <a:xfrm>
            <a:off x="5032425" y="4890950"/>
            <a:ext cx="2922300" cy="267900"/>
          </a:xfrm>
          <a:prstGeom prst="rect">
            <a:avLst/>
          </a:prstGeom>
          <a:solidFill>
            <a:srgbClr val="FFFFF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400" b="1">
                <a:latin typeface="Calibri"/>
                <a:ea typeface="Calibri"/>
                <a:cs typeface="Calibri"/>
                <a:sym typeface="Calibri"/>
              </a:rPr>
              <a:t>category_main</a:t>
            </a:r>
            <a:endParaRPr sz="1400" b="1">
              <a:latin typeface="Calibri"/>
              <a:ea typeface="Calibri"/>
              <a:cs typeface="Calibri"/>
              <a:sym typeface="Calibri"/>
            </a:endParaRPr>
          </a:p>
        </xdr:txBody>
      </xdr:sp>
      <xdr:cxnSp macro="">
        <xdr:nvCxnSpPr>
          <xdr:cNvPr id="13" name="Shape 13"/>
          <xdr:cNvCxnSpPr/>
        </xdr:nvCxnSpPr>
        <xdr:spPr>
          <a:xfrm>
            <a:off x="3214400" y="1068625"/>
            <a:ext cx="1821600" cy="0"/>
          </a:xfrm>
          <a:prstGeom prst="straightConnector1">
            <a:avLst/>
          </a:prstGeom>
          <a:noFill/>
          <a:ln w="9525" cap="flat" cmpd="sng">
            <a:solidFill>
              <a:srgbClr val="000000"/>
            </a:solidFill>
            <a:prstDash val="solid"/>
            <a:round/>
            <a:headEnd type="none" w="med" len="med"/>
            <a:tailEnd type="none" w="med" len="med"/>
          </a:ln>
        </xdr:spPr>
      </xdr:cxnSp>
      <xdr:cxnSp macro="">
        <xdr:nvCxnSpPr>
          <xdr:cNvPr id="14" name="Shape 14"/>
          <xdr:cNvCxnSpPr/>
        </xdr:nvCxnSpPr>
        <xdr:spPr>
          <a:xfrm>
            <a:off x="3214400" y="3720925"/>
            <a:ext cx="1811700" cy="0"/>
          </a:xfrm>
          <a:prstGeom prst="straightConnector1">
            <a:avLst/>
          </a:prstGeom>
          <a:noFill/>
          <a:ln w="9525" cap="flat" cmpd="sng">
            <a:solidFill>
              <a:srgbClr val="000000"/>
            </a:solidFill>
            <a:prstDash val="solid"/>
            <a:round/>
            <a:headEnd type="none" w="med" len="med"/>
            <a:tailEnd type="none" w="med" len="med"/>
          </a:ln>
        </xdr:spPr>
      </xdr:cxnSp>
      <xdr:cxnSp macro="">
        <xdr:nvCxnSpPr>
          <xdr:cNvPr id="15" name="Shape 15"/>
          <xdr:cNvCxnSpPr>
            <a:stCxn id="9" idx="2"/>
            <a:endCxn id="12" idx="0"/>
          </xdr:cNvCxnSpPr>
        </xdr:nvCxnSpPr>
        <xdr:spPr>
          <a:xfrm>
            <a:off x="6493575" y="4363675"/>
            <a:ext cx="0" cy="527400"/>
          </a:xfrm>
          <a:prstGeom prst="straightConnector1">
            <a:avLst/>
          </a:prstGeom>
          <a:noFill/>
          <a:ln w="9525" cap="flat" cmpd="sng">
            <a:solidFill>
              <a:srgbClr val="000000"/>
            </a:solidFill>
            <a:prstDash val="solid"/>
            <a:round/>
            <a:headEnd type="none" w="med" len="med"/>
            <a:tailEnd type="none" w="med" len="med"/>
          </a:ln>
        </xdr:spPr>
      </xdr:cxnSp>
      <xdr:cxnSp macro="">
        <xdr:nvCxnSpPr>
          <xdr:cNvPr id="16" name="Shape 16"/>
          <xdr:cNvCxnSpPr>
            <a:endCxn id="8" idx="0"/>
          </xdr:cNvCxnSpPr>
        </xdr:nvCxnSpPr>
        <xdr:spPr>
          <a:xfrm flipH="1">
            <a:off x="6493576" y="1649086"/>
            <a:ext cx="10265" cy="351289"/>
          </a:xfrm>
          <a:prstGeom prst="straightConnector1">
            <a:avLst/>
          </a:prstGeom>
          <a:noFill/>
          <a:ln w="9525" cap="flat" cmpd="sng">
            <a:solidFill>
              <a:srgbClr val="000000"/>
            </a:solidFill>
            <a:prstDash val="solid"/>
            <a:round/>
            <a:headEnd type="none" w="med" len="med"/>
            <a:tailEnd type="none" w="med" len="med"/>
          </a:ln>
        </xdr:spPr>
      </xdr:cxnSp>
    </xdr:grpSp>
    <xdr:clientData fLocksWithSheet="0"/>
  </xdr:oneCellAnchor>
  <xdr:oneCellAnchor>
    <xdr:from>
      <xdr:col>0</xdr:col>
      <xdr:colOff>133350</xdr:colOff>
      <xdr:row>0</xdr:row>
      <xdr:rowOff>76200</xdr:rowOff>
    </xdr:from>
    <xdr:ext cx="552450" cy="552450"/>
    <xdr:pic>
      <xdr:nvPicPr>
        <xdr:cNvPr id="17" name="image1.png" title="Image"/>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104775</xdr:colOff>
      <xdr:row>0</xdr:row>
      <xdr:rowOff>0</xdr:rowOff>
    </xdr:from>
    <xdr:ext cx="552450" cy="552450"/>
    <xdr:pic>
      <xdr:nvPicPr>
        <xdr:cNvPr id="2" name="image1.png" title="Image"/>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aphael Da Silva Barradas" refreshedDate="44225.789052777778" createdVersion="6" refreshedVersion="6" minRefreshableVersion="3" recordCount="1890">
  <cacheSource type="worksheet">
    <worksheetSource ref="A1:I1891" sheet="Dados analíticos"/>
  </cacheSource>
  <cacheFields count="11">
    <cacheField name="Mês" numFmtId="164">
      <sharedItems containsSemiMixedTypes="0" containsNonDate="0" containsDate="1" containsString="0" minDate="2018-01-01T00:00:00" maxDate="2019-09-02T00:00:00" count="21">
        <d v="2018-01-01T00:00:00"/>
        <d v="2018-02-01T00:00:00"/>
        <d v="2018-03-01T00:00:00"/>
        <d v="2018-04-01T00:00:00"/>
        <d v="2018-05-01T00:00:00"/>
        <d v="2018-06-01T00:00:00"/>
        <d v="2018-07-01T00:00:00"/>
        <d v="2018-08-01T00:00:00"/>
        <d v="2018-09-01T00:00:00"/>
        <d v="2018-10-01T00:00:00"/>
        <d v="2018-11-01T00:00:00"/>
        <d v="2018-12-01T00:00:00"/>
        <d v="2019-01-01T00:00:00"/>
        <d v="2019-02-01T00:00:00"/>
        <d v="2019-03-01T00:00:00"/>
        <d v="2019-04-01T00:00:00"/>
        <d v="2019-05-01T00:00:00"/>
        <d v="2019-06-01T00:00:00"/>
        <d v="2019-07-01T00:00:00"/>
        <d v="2019-08-01T00:00:00"/>
        <d v="2019-09-01T00:00:00"/>
      </sharedItems>
      <fieldGroup par="10" base="0">
        <rangePr groupBy="months" startDate="2018-01-01T00:00:00" endDate="2019-09-02T00:00:00"/>
        <groupItems count="14">
          <s v="&lt;01/01/2018"/>
          <s v="jan"/>
          <s v="fev"/>
          <s v="mar"/>
          <s v="abr"/>
          <s v="mai"/>
          <s v="jun"/>
          <s v="jul"/>
          <s v="ago"/>
          <s v="set"/>
          <s v="out"/>
          <s v="nov"/>
          <s v="dez"/>
          <s v="&gt;02/09/2019"/>
        </groupItems>
      </fieldGroup>
    </cacheField>
    <cacheField name="Plataforma" numFmtId="0">
      <sharedItems count="3">
        <s v="App"/>
        <s v="M Site"/>
        <s v="Web"/>
      </sharedItems>
    </cacheField>
    <cacheField name="Vertical" numFmtId="0">
      <sharedItems count="3">
        <s v="Auto"/>
        <s v="Marketplace"/>
        <s v="Real Estate"/>
      </sharedItems>
    </cacheField>
    <cacheField name="Região" numFmtId="0">
      <sharedItems count="5">
        <s v="Centro-Oeste"/>
        <s v="Nordeste"/>
        <s v="Norte"/>
        <s v="Sudeste"/>
        <s v="Sul"/>
      </sharedItems>
    </cacheField>
    <cacheField name="Usuário" numFmtId="0">
      <sharedItems count="2">
        <s v="private"/>
        <s v="professional"/>
      </sharedItems>
    </cacheField>
    <cacheField name="Visitantes" numFmtId="0">
      <sharedItems containsSemiMixedTypes="0" containsString="0" containsNumber="1" containsInteger="1" minValue="230" maxValue="129691330" count="1826">
        <n v="988282"/>
        <n v="5882"/>
        <n v="2474397"/>
        <n v="9861"/>
        <n v="999385"/>
        <n v="3771"/>
        <n v="30797841"/>
        <n v="216280"/>
        <n v="1520272"/>
        <n v="9066"/>
        <n v="5815734"/>
        <n v="33022"/>
        <n v="13668125"/>
        <n v="69217"/>
        <n v="6782058"/>
        <n v="25264"/>
        <n v="87309842"/>
        <n v="763158"/>
        <n v="8265048"/>
        <n v="63107"/>
        <n v="100655"/>
        <n v="549"/>
        <n v="246965"/>
        <n v="1323"/>
        <n v="116534"/>
        <n v="408"/>
        <n v="13868816"/>
        <n v="129607"/>
        <n v="193439"/>
        <n v="1305"/>
        <n v="1958862"/>
        <n v="789"/>
        <n v="3547451"/>
        <n v="1703"/>
        <n v="886582"/>
        <n v="230"/>
        <n v="9541042"/>
        <n v="4628"/>
        <n v="3022844"/>
        <n v="1563"/>
        <n v="2191509"/>
        <n v="1126"/>
        <n v="4151711"/>
        <n v="2159"/>
        <n v="1310488"/>
        <n v="449"/>
        <n v="19272851"/>
        <n v="23609"/>
        <n v="3395690"/>
        <n v="1364"/>
        <n v="670432"/>
        <n v="907"/>
        <n v="1577477"/>
        <n v="2378"/>
        <n v="410108"/>
        <n v="3683173"/>
        <n v="3656"/>
        <n v="1125936"/>
        <n v="1174088"/>
        <n v="14099"/>
        <n v="1804374"/>
        <n v="17064"/>
        <n v="479232"/>
        <n v="4190"/>
        <n v="6111017"/>
        <n v="75026"/>
        <n v="1998897"/>
        <n v="28663"/>
        <n v="1372691"/>
        <n v="9681"/>
        <n v="2154598"/>
        <n v="12588"/>
        <n v="744232"/>
        <n v="3850"/>
        <n v="18872068"/>
        <n v="497021"/>
        <n v="2505000"/>
        <n v="22676"/>
        <n v="474915"/>
        <n v="12426"/>
        <n v="853412"/>
        <n v="24288"/>
        <n v="258605"/>
        <n v="6913"/>
        <n v="2403799"/>
        <n v="62332"/>
        <n v="820699"/>
        <n v="21543"/>
        <n v="998165"/>
        <n v="5941"/>
        <n v="2499141"/>
        <n v="9960"/>
        <n v="1009379"/>
        <n v="3809"/>
        <n v="31105820"/>
        <n v="218443"/>
        <n v="1535475"/>
        <n v="9157"/>
        <n v="5873892"/>
        <n v="33353"/>
        <n v="13804807"/>
        <n v="69910"/>
        <n v="6849879"/>
        <n v="25517"/>
        <n v="88182941"/>
        <n v="770790"/>
        <n v="8347699"/>
        <n v="63739"/>
        <n v="101662"/>
        <n v="555"/>
        <n v="249435"/>
        <n v="1337"/>
        <n v="117700"/>
        <n v="413"/>
        <n v="14007505"/>
        <n v="130904"/>
        <n v="195374"/>
        <n v="1319"/>
        <n v="1978451"/>
        <n v="797"/>
        <n v="3582926"/>
        <n v="1721"/>
        <n v="895448"/>
        <n v="233"/>
        <n v="9636453"/>
        <n v="4675"/>
        <n v="3053073"/>
        <n v="1579"/>
        <n v="2213425"/>
        <n v="1138"/>
        <n v="4193229"/>
        <n v="2181"/>
        <n v="1323593"/>
        <n v="454"/>
        <n v="19465580"/>
        <n v="23846"/>
        <n v="3429647"/>
        <n v="1378"/>
        <n v="677137"/>
        <n v="917"/>
        <n v="1593252"/>
        <n v="2402"/>
        <n v="414210"/>
        <n v="3720005"/>
        <n v="3693"/>
        <n v="1137196"/>
        <n v="1185829"/>
        <n v="14240"/>
        <n v="1822418"/>
        <n v="17235"/>
        <n v="484025"/>
        <n v="4232"/>
        <n v="6172128"/>
        <n v="75777"/>
        <n v="2018886"/>
        <n v="28950"/>
        <n v="1386418"/>
        <n v="9778"/>
        <n v="2176144"/>
        <n v="12714"/>
        <n v="751675"/>
        <n v="3889"/>
        <n v="19060789"/>
        <n v="501992"/>
        <n v="2530050"/>
        <n v="22903"/>
        <n v="479665"/>
        <n v="12551"/>
        <n v="861947"/>
        <n v="24531"/>
        <n v="261192"/>
        <n v="6983"/>
        <n v="2427837"/>
        <n v="62956"/>
        <n v="828906"/>
        <n v="21759"/>
        <n v="1023120"/>
        <n v="6090"/>
        <n v="2561620"/>
        <n v="10209"/>
        <n v="1034614"/>
        <n v="3905"/>
        <n v="31883466"/>
        <n v="223905"/>
        <n v="1573862"/>
        <n v="9386"/>
        <n v="6020740"/>
        <n v="34187"/>
        <n v="14149928"/>
        <n v="71658"/>
        <n v="7021126"/>
        <n v="26155"/>
        <n v="90387515"/>
        <n v="790060"/>
        <n v="8556392"/>
        <n v="65333"/>
        <n v="104204"/>
        <n v="569"/>
        <n v="255671"/>
        <n v="1371"/>
        <n v="120643"/>
        <n v="424"/>
        <n v="14357693"/>
        <n v="134177"/>
        <n v="200259"/>
        <n v="1352"/>
        <n v="2027913"/>
        <n v="817"/>
        <n v="3672500"/>
        <n v="1765"/>
        <n v="917835"/>
        <n v="239"/>
        <n v="9877365"/>
        <n v="4792"/>
        <n v="3129400"/>
        <n v="1619"/>
        <n v="2268761"/>
        <n v="1167"/>
        <n v="4298060"/>
        <n v="2236"/>
        <n v="1356683"/>
        <n v="466"/>
        <n v="19952220"/>
        <n v="24443"/>
        <n v="3515389"/>
        <n v="1413"/>
        <n v="694066"/>
        <n v="940"/>
        <n v="1633084"/>
        <n v="2463"/>
        <n v="424566"/>
        <n v="3813006"/>
        <n v="3786"/>
        <n v="1165626"/>
        <n v="1215475"/>
        <n v="14596"/>
        <n v="1867979"/>
        <n v="17666"/>
        <n v="496126"/>
        <n v="4338"/>
        <n v="6326432"/>
        <n v="77672"/>
        <n v="2069359"/>
        <n v="29674"/>
        <n v="1421079"/>
        <n v="10023"/>
        <n v="2230548"/>
        <n v="13032"/>
        <n v="770467"/>
        <n v="3987"/>
        <n v="19537309"/>
        <n v="514542"/>
        <n v="2593302"/>
        <n v="23476"/>
        <n v="491657"/>
        <n v="12865"/>
        <n v="883496"/>
        <n v="25145"/>
        <n v="267722"/>
        <n v="7158"/>
        <n v="2488533"/>
        <n v="64530"/>
        <n v="849629"/>
        <n v="22303"/>
        <n v="1038467"/>
        <n v="6182"/>
        <n v="2600045"/>
        <n v="10363"/>
        <n v="1050134"/>
        <n v="3964"/>
        <n v="32361718"/>
        <n v="227264"/>
        <n v="1597470"/>
        <n v="9527"/>
        <n v="6111052"/>
        <n v="34700"/>
        <n v="14362177"/>
        <n v="72733"/>
        <n v="7126443"/>
        <n v="26548"/>
        <n v="91743328"/>
        <n v="801911"/>
        <n v="8684738"/>
        <n v="66314"/>
        <n v="105768"/>
        <n v="578"/>
        <n v="259507"/>
        <n v="1392"/>
        <n v="122453"/>
        <n v="431"/>
        <n v="14573059"/>
        <n v="136190"/>
        <n v="203263"/>
        <n v="1373"/>
        <n v="2058332"/>
        <n v="830"/>
        <n v="3727588"/>
        <n v="1792"/>
        <n v="931603"/>
        <n v="243"/>
        <n v="10025526"/>
        <n v="4864"/>
        <n v="3176341"/>
        <n v="1644"/>
        <n v="2302793"/>
        <n v="1185"/>
        <n v="4362531"/>
        <n v="2270"/>
        <n v="1377034"/>
        <n v="474"/>
        <n v="20251504"/>
        <n v="24810"/>
        <n v="3568120"/>
        <n v="1435"/>
        <n v="704477"/>
        <n v="955"/>
        <n v="1657581"/>
        <n v="2500"/>
        <n v="430935"/>
        <n v="3870202"/>
        <n v="3843"/>
        <n v="1183111"/>
        <n v="1233708"/>
        <n v="14815"/>
        <n v="1895999"/>
        <n v="17931"/>
        <n v="503568"/>
        <n v="4404"/>
        <n v="6421329"/>
        <n v="78838"/>
        <n v="2100400"/>
        <n v="30120"/>
        <n v="1442396"/>
        <n v="10174"/>
        <n v="2264007"/>
        <n v="13228"/>
        <n v="782025"/>
        <n v="4047"/>
        <n v="19830369"/>
        <n v="522261"/>
        <n v="2632202"/>
        <n v="23829"/>
        <n v="499032"/>
        <n v="13058"/>
        <n v="896749"/>
        <n v="25523"/>
        <n v="271738"/>
        <n v="7266"/>
        <n v="2525861"/>
        <n v="65498"/>
        <n v="862374"/>
        <n v="22638"/>
        <n v="1059237"/>
        <n v="6306"/>
        <n v="2652046"/>
        <n v="10571"/>
        <n v="1071137"/>
        <n v="4044"/>
        <n v="33008953"/>
        <n v="231810"/>
        <n v="1629420"/>
        <n v="9718"/>
        <n v="6233274"/>
        <n v="35394"/>
        <n v="14649421"/>
        <n v="74188"/>
        <n v="7268972"/>
        <n v="27079"/>
        <n v="93578195"/>
        <n v="817950"/>
        <n v="8858433"/>
        <n v="67641"/>
        <n v="107884"/>
        <n v="590"/>
        <n v="264698"/>
        <n v="1420"/>
        <n v="124903"/>
        <n v="440"/>
        <n v="14864521"/>
        <n v="138914"/>
        <n v="207329"/>
        <n v="1401"/>
        <n v="2099499"/>
        <n v="847"/>
        <n v="3802140"/>
        <n v="1828"/>
        <n v="950236"/>
        <n v="248"/>
        <n v="10226037"/>
        <n v="4962"/>
        <n v="3239868"/>
        <n v="1677"/>
        <n v="2348849"/>
        <n v="1209"/>
        <n v="4449782"/>
        <n v="2316"/>
        <n v="1404575"/>
        <n v="484"/>
        <n v="20656535"/>
        <n v="25307"/>
        <n v="3639483"/>
        <n v="1464"/>
        <n v="718567"/>
        <n v="975"/>
        <n v="1690733"/>
        <n v="2550"/>
        <n v="439554"/>
        <n v="3947607"/>
        <n v="3920"/>
        <n v="1206774"/>
        <n v="1258383"/>
        <n v="15112"/>
        <n v="1933919"/>
        <n v="18290"/>
        <n v="513640"/>
        <n v="4493"/>
        <n v="6549756"/>
        <n v="80415"/>
        <n v="2142408"/>
        <n v="30723"/>
        <n v="1471244"/>
        <n v="10378"/>
        <n v="2309288"/>
        <n v="13493"/>
        <n v="797666"/>
        <n v="4128"/>
        <n v="20226977"/>
        <n v="532707"/>
        <n v="2684847"/>
        <n v="24306"/>
        <n v="509013"/>
        <n v="13320"/>
        <n v="914684"/>
        <n v="26034"/>
        <n v="277173"/>
        <n v="7412"/>
        <n v="2576379"/>
        <n v="66808"/>
        <n v="879622"/>
        <n v="23091"/>
        <n v="1080422"/>
        <n v="6433"/>
        <n v="2705087"/>
        <n v="10783"/>
        <n v="1092560"/>
        <n v="4125"/>
        <n v="33669133"/>
        <n v="236447"/>
        <n v="1662009"/>
        <n v="9913"/>
        <n v="6357940"/>
        <n v="36102"/>
        <n v="14942410"/>
        <n v="75672"/>
        <n v="7414352"/>
        <n v="27621"/>
        <n v="95449759"/>
        <n v="834309"/>
        <n v="9035602"/>
        <n v="68994"/>
        <n v="110042"/>
        <n v="602"/>
        <n v="269992"/>
        <n v="1449"/>
        <n v="127402"/>
        <n v="15161812"/>
        <n v="141693"/>
        <n v="211476"/>
        <n v="1430"/>
        <n v="2141489"/>
        <n v="864"/>
        <n v="3878183"/>
        <n v="1865"/>
        <n v="969241"/>
        <n v="253"/>
        <n v="10430558"/>
        <n v="5062"/>
        <n v="3304666"/>
        <n v="1711"/>
        <n v="2395826"/>
        <n v="1234"/>
        <n v="4538778"/>
        <n v="2363"/>
        <n v="1432667"/>
        <n v="494"/>
        <n v="21069666"/>
        <n v="25814"/>
        <n v="3712273"/>
        <n v="1494"/>
        <n v="732939"/>
        <n v="995"/>
        <n v="1724548"/>
        <n v="2601"/>
        <n v="448346"/>
        <n v="4026560"/>
        <n v="3999"/>
        <n v="1230910"/>
        <n v="1283551"/>
        <n v="15415"/>
        <n v="1972598"/>
        <n v="18656"/>
        <n v="523913"/>
        <n v="4583"/>
        <n v="6680752"/>
        <n v="82024"/>
        <n v="2185257"/>
        <n v="31338"/>
        <n v="1500669"/>
        <n v="10586"/>
        <n v="2355474"/>
        <n v="13763"/>
        <n v="813620"/>
        <n v="4211"/>
        <n v="20631517"/>
        <n v="543362"/>
        <n v="2738544"/>
        <n v="24793"/>
        <n v="519194"/>
        <n v="13587"/>
        <n v="932978"/>
        <n v="26555"/>
        <n v="282717"/>
        <n v="7561"/>
        <n v="2627907"/>
        <n v="68145"/>
        <n v="897215"/>
        <n v="23553"/>
        <n v="1107433"/>
        <n v="6594"/>
        <n v="2772715"/>
        <n v="11053"/>
        <n v="1119875"/>
        <n v="4229"/>
        <n v="34510862"/>
        <n v="242359"/>
        <n v="1703560"/>
        <n v="10161"/>
        <n v="6516889"/>
        <n v="37005"/>
        <n v="15315971"/>
        <n v="77564"/>
        <n v="7599711"/>
        <n v="28312"/>
        <n v="97836003"/>
        <n v="855167"/>
        <n v="9261493"/>
        <n v="70719"/>
        <n v="112794"/>
        <n v="618"/>
        <n v="276742"/>
        <n v="1486"/>
        <n v="130588"/>
        <n v="461"/>
        <n v="15540858"/>
        <n v="145236"/>
        <n v="216763"/>
        <n v="1466"/>
        <n v="2195027"/>
        <n v="886"/>
        <n v="3975138"/>
        <n v="1912"/>
        <n v="993473"/>
        <n v="260"/>
        <n v="10691322"/>
        <n v="5189"/>
        <n v="3387283"/>
        <n v="1754"/>
        <n v="2455722"/>
        <n v="1265"/>
        <n v="4652248"/>
        <n v="2423"/>
        <n v="1468484"/>
        <n v="507"/>
        <n v="21596408"/>
        <n v="26460"/>
        <n v="3805080"/>
        <n v="1532"/>
        <n v="751263"/>
        <n v="1020"/>
        <n v="1767662"/>
        <n v="2667"/>
        <n v="459555"/>
        <n v="4127225"/>
        <n v="4099"/>
        <n v="1261683"/>
        <n v="1315640"/>
        <n v="15801"/>
        <n v="2021913"/>
        <n v="19123"/>
        <n v="537011"/>
        <n v="4698"/>
        <n v="6847771"/>
        <n v="84075"/>
        <n v="2239889"/>
        <n v="32122"/>
        <n v="1538186"/>
        <n v="10851"/>
        <n v="2414361"/>
        <n v="14108"/>
        <n v="833961"/>
        <n v="4317"/>
        <n v="21147305"/>
        <n v="556947"/>
        <n v="2807008"/>
        <n v="25413"/>
        <n v="532174"/>
        <n v="13927"/>
        <n v="956303"/>
        <n v="27219"/>
        <n v="289785"/>
        <n v="7751"/>
        <n v="2693605"/>
        <n v="69849"/>
        <n v="919646"/>
        <n v="24142"/>
        <n v="1129582"/>
        <n v="6726"/>
        <n v="2828170"/>
        <n v="11275"/>
        <n v="1142273"/>
        <n v="4314"/>
        <n v="35201080"/>
        <n v="247207"/>
        <n v="1737632"/>
        <n v="10365"/>
        <n v="6647227"/>
        <n v="37746"/>
        <n v="15622291"/>
        <n v="79116"/>
        <n v="7751706"/>
        <n v="28879"/>
        <n v="99792724"/>
        <n v="872271"/>
        <n v="9446723"/>
        <n v="72134"/>
        <n v="115050"/>
        <n v="631"/>
        <n v="282277"/>
        <n v="1516"/>
        <n v="133200"/>
        <n v="471"/>
        <n v="15851676"/>
        <n v="148141"/>
        <n v="221099"/>
        <n v="1496"/>
        <n v="2238928"/>
        <n v="904"/>
        <n v="4054641"/>
        <n v="1951"/>
        <n v="1013343"/>
        <n v="266"/>
        <n v="10905149"/>
        <n v="5293"/>
        <n v="3455029"/>
        <n v="1790"/>
        <n v="2504837"/>
        <n v="1291"/>
        <n v="4745293"/>
        <n v="2472"/>
        <n v="1497854"/>
        <n v="518"/>
        <n v="22028337"/>
        <n v="26990"/>
        <n v="3881182"/>
        <n v="766289"/>
        <n v="1041"/>
        <n v="1803016"/>
        <n v="2721"/>
        <n v="468747"/>
        <n v="4209770"/>
        <n v="4181"/>
        <n v="1286917"/>
        <n v="1341953"/>
        <n v="16118"/>
        <n v="2062352"/>
        <n v="19506"/>
        <n v="547752"/>
        <n v="6984727"/>
        <n v="85757"/>
        <n v="2284687"/>
        <n v="32765"/>
        <n v="1568950"/>
        <n v="11069"/>
        <n v="2462649"/>
        <n v="14391"/>
        <n v="850641"/>
        <n v="21570252"/>
        <n v="568086"/>
        <n v="2863149"/>
        <n v="25922"/>
        <n v="542818"/>
        <n v="14206"/>
        <n v="975430"/>
        <n v="27764"/>
        <n v="295581"/>
        <n v="7907"/>
        <n v="2747478"/>
        <n v="71246"/>
        <n v="938039"/>
        <n v="24625"/>
        <n v="1152174"/>
        <n v="6861"/>
        <n v="2884734"/>
        <n v="11501"/>
        <n v="1165119"/>
        <n v="4401"/>
        <n v="35905102"/>
        <n v="252152"/>
        <n v="1772385"/>
        <n v="10573"/>
        <n v="6780172"/>
        <n v="38501"/>
        <n v="15934737"/>
        <n v="80699"/>
        <n v="7906741"/>
        <n v="29457"/>
        <n v="101788579"/>
        <n v="889717"/>
        <n v="9635658"/>
        <n v="73577"/>
        <n v="117351"/>
        <n v="644"/>
        <n v="287923"/>
        <n v="1547"/>
        <n v="135864"/>
        <n v="481"/>
        <n v="16168710"/>
        <n v="151104"/>
        <n v="225521"/>
        <n v="1526"/>
        <n v="2283707"/>
        <n v="923"/>
        <n v="4135734"/>
        <n v="1991"/>
        <n v="1033610"/>
        <n v="272"/>
        <n v="11123252"/>
        <n v="5399"/>
        <n v="3524130"/>
        <n v="1826"/>
        <n v="2554934"/>
        <n v="1317"/>
        <n v="4840199"/>
        <n v="2522"/>
        <n v="1527812"/>
        <n v="529"/>
        <n v="22468904"/>
        <n v="27530"/>
        <n v="3958806"/>
        <n v="1595"/>
        <n v="781615"/>
        <n v="1062"/>
        <n v="1839077"/>
        <n v="2776"/>
        <n v="478122"/>
        <n v="4293966"/>
        <n v="4265"/>
        <n v="1312656"/>
        <n v="1368793"/>
        <n v="16441"/>
        <n v="2103600"/>
        <n v="19897"/>
        <n v="558708"/>
        <n v="4888"/>
        <n v="7124422"/>
        <n v="87473"/>
        <n v="2330381"/>
        <n v="33421"/>
        <n v="1600329"/>
        <n v="11291"/>
        <n v="2511902"/>
        <n v="14679"/>
        <n v="867654"/>
        <n v="22001658"/>
        <n v="579448"/>
        <n v="2920412"/>
        <n v="26441"/>
        <n v="553675"/>
        <n v="14491"/>
        <n v="994939"/>
        <n v="28320"/>
        <n v="301493"/>
        <n v="8066"/>
        <n v="2802428"/>
        <n v="72671"/>
        <n v="956800"/>
        <n v="25118"/>
        <n v="1169457"/>
        <n v="6964"/>
        <n v="2928006"/>
        <n v="11674"/>
        <n v="1182596"/>
        <n v="4468"/>
        <n v="36443679"/>
        <n v="255935"/>
        <n v="1798971"/>
        <n v="10732"/>
        <n v="6881875"/>
        <n v="39079"/>
        <n v="16173759"/>
        <n v="81910"/>
        <n v="8025343"/>
        <n v="29899"/>
        <n v="103315408"/>
        <n v="903063"/>
        <n v="9780193"/>
        <n v="74681"/>
        <n v="119112"/>
        <n v="654"/>
        <n v="292242"/>
        <n v="1571"/>
        <n v="137902"/>
        <n v="489"/>
        <n v="16411241"/>
        <n v="153371"/>
        <n v="228904"/>
        <n v="1549"/>
        <n v="2317963"/>
        <n v="937"/>
        <n v="4197771"/>
        <n v="2021"/>
        <n v="1049115"/>
        <n v="277"/>
        <n v="11290101"/>
        <n v="5480"/>
        <n v="3576992"/>
        <n v="1854"/>
        <n v="2593259"/>
        <n v="4912802"/>
        <n v="2560"/>
        <n v="1550730"/>
        <n v="537"/>
        <n v="22805938"/>
        <n v="27943"/>
        <n v="4018189"/>
        <n v="793340"/>
        <n v="1078"/>
        <n v="1866664"/>
        <n v="2818"/>
        <n v="485294"/>
        <n v="4358376"/>
        <n v="4329"/>
        <n v="1332346"/>
        <n v="1389325"/>
        <n v="16688"/>
        <n v="2135155"/>
        <n v="20196"/>
        <n v="567089"/>
        <n v="7231289"/>
        <n v="88786"/>
        <n v="2365337"/>
        <n v="33923"/>
        <n v="1624334"/>
        <n v="11461"/>
        <n v="2549581"/>
        <n v="14900"/>
        <n v="880669"/>
        <n v="4561"/>
        <n v="22331683"/>
        <n v="588140"/>
        <n v="2964219"/>
        <n v="26838"/>
        <n v="561981"/>
        <n v="14709"/>
        <n v="1009864"/>
        <n v="28745"/>
        <n v="306016"/>
        <n v="8188"/>
        <n v="2844465"/>
        <n v="73762"/>
        <n v="971153"/>
        <n v="25495"/>
        <n v="1192847"/>
        <n v="7104"/>
        <n v="2986567"/>
        <n v="11908"/>
        <n v="1206248"/>
        <n v="4558"/>
        <n v="37172553"/>
        <n v="261054"/>
        <n v="1834951"/>
        <n v="10947"/>
        <n v="7019513"/>
        <n v="39861"/>
        <n v="16497235"/>
        <n v="83549"/>
        <n v="8185850"/>
        <n v="30497"/>
        <n v="105381717"/>
        <n v="921125"/>
        <n v="9975797"/>
        <n v="76175"/>
        <n v="121495"/>
        <n v="668"/>
        <n v="298087"/>
        <n v="1603"/>
        <n v="140661"/>
        <n v="499"/>
        <n v="16739466"/>
        <n v="156439"/>
        <n v="233483"/>
        <n v="1580"/>
        <n v="2364323"/>
        <n v="956"/>
        <n v="4281727"/>
        <n v="2062"/>
        <n v="1070098"/>
        <n v="283"/>
        <n v="11515904"/>
        <n v="5590"/>
        <n v="3648532"/>
        <n v="1892"/>
        <n v="2645125"/>
        <n v="5011059"/>
        <n v="2612"/>
        <n v="1581745"/>
        <n v="548"/>
        <n v="23262057"/>
        <n v="28502"/>
        <n v="4098553"/>
        <n v="1652"/>
        <n v="809207"/>
        <n v="1100"/>
        <n v="1903998"/>
        <n v="2875"/>
        <n v="495000"/>
        <n v="4445544"/>
        <n v="4416"/>
        <n v="1358993"/>
        <n v="1417112"/>
        <n v="17022"/>
        <n v="2177859"/>
        <n v="20600"/>
        <n v="578431"/>
        <n v="7375915"/>
        <n v="90562"/>
        <n v="2412644"/>
        <n v="34602"/>
        <n v="1656821"/>
        <n v="11691"/>
        <n v="2600573"/>
        <n v="15198"/>
        <n v="898283"/>
        <n v="4653"/>
        <n v="22778317"/>
        <n v="599903"/>
        <n v="3023504"/>
        <n v="27375"/>
        <n v="573221"/>
        <n v="15004"/>
        <n v="1030062"/>
        <n v="29320"/>
        <n v="312137"/>
        <n v="8352"/>
        <n v="2901355"/>
        <n v="75238"/>
        <n v="990577"/>
        <n v="26005"/>
        <n v="1240561"/>
        <n v="7389"/>
        <n v="3106030"/>
        <n v="12385"/>
        <n v="1254498"/>
        <n v="4741"/>
        <n v="38659456"/>
        <n v="271497"/>
        <n v="1908350"/>
        <n v="11385"/>
        <n v="7300294"/>
        <n v="41456"/>
        <n v="17157125"/>
        <n v="86891"/>
        <n v="8513284"/>
        <n v="31717"/>
        <n v="109596986"/>
        <n v="957970"/>
        <n v="10374829"/>
        <n v="79223"/>
        <n v="126355"/>
        <n v="695"/>
        <n v="310011"/>
        <n v="1668"/>
        <n v="146288"/>
        <n v="519"/>
        <n v="17409045"/>
        <n v="162697"/>
        <n v="242823"/>
        <n v="2458896"/>
        <n v="4452997"/>
        <n v="2145"/>
        <n v="1112902"/>
        <n v="295"/>
        <n v="11976541"/>
        <n v="5814"/>
        <n v="3794474"/>
        <n v="1968"/>
        <n v="2750930"/>
        <n v="1419"/>
        <n v="5211502"/>
        <n v="2717"/>
        <n v="1645015"/>
        <n v="570"/>
        <n v="24192540"/>
        <n v="29643"/>
        <n v="4262496"/>
        <n v="1719"/>
        <n v="841576"/>
        <n v="1145"/>
        <n v="1980158"/>
        <n v="2991"/>
        <n v="514800"/>
        <n v="4623366"/>
        <n v="4593"/>
        <n v="1413353"/>
        <n v="1473797"/>
        <n v="17703"/>
        <n v="2264974"/>
        <n v="21425"/>
        <n v="601569"/>
        <n v="5265"/>
        <n v="7670952"/>
        <n v="94185"/>
        <n v="2509150"/>
        <n v="35987"/>
        <n v="1723094"/>
        <n v="12159"/>
        <n v="2704596"/>
        <n v="15806"/>
        <n v="934215"/>
        <n v="4840"/>
        <n v="23689450"/>
        <n v="623900"/>
        <n v="3144445"/>
        <n v="28470"/>
        <n v="596150"/>
        <n v="15605"/>
        <n v="1071265"/>
        <n v="30493"/>
        <n v="324623"/>
        <n v="8687"/>
        <n v="3017410"/>
        <n v="78248"/>
        <n v="1030201"/>
        <n v="27046"/>
        <n v="1265373"/>
        <n v="7537"/>
        <n v="3168151"/>
        <n v="12633"/>
        <n v="1279588"/>
        <n v="4836"/>
        <n v="39432646"/>
        <n v="276927"/>
        <n v="1946517"/>
        <n v="11613"/>
        <n v="7446300"/>
        <n v="42286"/>
        <n v="17500268"/>
        <n v="88629"/>
        <n v="8683550"/>
        <n v="32352"/>
        <n v="111788926"/>
        <n v="977130"/>
        <n v="10582326"/>
        <n v="80808"/>
        <n v="128883"/>
        <n v="709"/>
        <n v="316212"/>
        <n v="1702"/>
        <n v="149214"/>
        <n v="530"/>
        <n v="17757226"/>
        <n v="165951"/>
        <n v="247680"/>
        <n v="2508074"/>
        <n v="1015"/>
        <n v="4542057"/>
        <n v="2188"/>
        <n v="1135161"/>
        <n v="301"/>
        <n v="12216072"/>
        <n v="5931"/>
        <n v="3870364"/>
        <n v="2008"/>
        <n v="2805949"/>
        <n v="1448"/>
        <n v="5315733"/>
        <n v="2772"/>
        <n v="1677916"/>
        <n v="582"/>
        <n v="24676391"/>
        <n v="30236"/>
        <n v="4347746"/>
        <n v="858408"/>
        <n v="1168"/>
        <n v="2019762"/>
        <n v="3051"/>
        <n v="525097"/>
        <n v="4715834"/>
        <n v="4685"/>
        <n v="1441621"/>
        <n v="1503273"/>
        <n v="18058"/>
        <n v="2310274"/>
        <n v="21854"/>
        <n v="613601"/>
        <n v="5371"/>
        <n v="7824372"/>
        <n v="96069"/>
        <n v="2559333"/>
        <n v="36707"/>
        <n v="1757556"/>
        <n v="12403"/>
        <n v="2758688"/>
        <n v="16123"/>
        <n v="952900"/>
        <n v="4937"/>
        <n v="24163239"/>
        <n v="636379"/>
        <n v="3207334"/>
        <n v="29040"/>
        <n v="608073"/>
        <n v="15918"/>
        <n v="1092691"/>
        <n v="31103"/>
        <n v="331116"/>
        <n v="8861"/>
        <n v="3077759"/>
        <n v="79813"/>
        <n v="1050806"/>
        <n v="27587"/>
        <n v="1290681"/>
        <n v="7688"/>
        <n v="3231515"/>
        <n v="12886"/>
        <n v="1305180"/>
        <n v="4933"/>
        <n v="40221299"/>
        <n v="282466"/>
        <n v="1985448"/>
        <n v="11846"/>
        <n v="7595226"/>
        <n v="43132"/>
        <n v="17850274"/>
        <n v="90402"/>
        <n v="8857221"/>
        <n v="33000"/>
        <n v="114024705"/>
        <n v="996673"/>
        <n v="10793973"/>
        <n v="82425"/>
        <n v="131461"/>
        <n v="724"/>
        <n v="322537"/>
        <n v="1737"/>
        <n v="152199"/>
        <n v="541"/>
        <n v="18112371"/>
        <n v="169271"/>
        <n v="252634"/>
        <n v="2558236"/>
        <n v="1036"/>
        <n v="4632899"/>
        <n v="2232"/>
        <n v="1157865"/>
        <n v="308"/>
        <n v="12460394"/>
        <n v="6050"/>
        <n v="3947772"/>
        <n v="2049"/>
        <n v="2862068"/>
        <n v="1477"/>
        <n v="5422048"/>
        <n v="2828"/>
        <n v="1711475"/>
        <n v="594"/>
        <n v="25169919"/>
        <n v="30841"/>
        <n v="4434701"/>
        <n v="875577"/>
        <n v="1192"/>
        <n v="2060158"/>
        <n v="3113"/>
        <n v="535599"/>
        <n v="4810151"/>
        <n v="4779"/>
        <n v="1470454"/>
        <n v="1533339"/>
        <n v="18420"/>
        <n v="2356480"/>
        <n v="22292"/>
        <n v="625874"/>
        <n v="5479"/>
        <n v="7980860"/>
        <n v="97991"/>
        <n v="2610520"/>
        <n v="37442"/>
        <n v="1792708"/>
        <n v="12652"/>
        <n v="2813862"/>
        <n v="16446"/>
        <n v="971959"/>
        <n v="5036"/>
        <n v="24646504"/>
        <n v="649107"/>
        <n v="3271481"/>
        <n v="29621"/>
        <n v="620235"/>
        <n v="16237"/>
        <n v="1114545"/>
        <n v="31726"/>
        <n v="337739"/>
        <n v="9039"/>
        <n v="3139315"/>
        <n v="81410"/>
        <n v="1071823"/>
        <n v="28139"/>
        <n v="1303588"/>
        <n v="7765"/>
        <n v="3263831"/>
        <n v="13015"/>
        <n v="1318232"/>
        <n v="4983"/>
        <n v="40623512"/>
        <n v="285291"/>
        <n v="2005303"/>
        <n v="11965"/>
        <n v="7671179"/>
        <n v="43564"/>
        <n v="18028777"/>
        <n v="91307"/>
        <n v="8945794"/>
        <n v="33330"/>
        <n v="115164953"/>
        <n v="1006640"/>
        <n v="10901913"/>
        <n v="83250"/>
        <n v="132776"/>
        <n v="732"/>
        <n v="325763"/>
        <n v="1755"/>
        <n v="153721"/>
        <n v="547"/>
        <n v="18293495"/>
        <n v="170964"/>
        <n v="255161"/>
        <n v="1729"/>
        <n v="2583819"/>
        <n v="1047"/>
        <n v="4679228"/>
        <n v="2255"/>
        <n v="1169444"/>
        <n v="312"/>
        <n v="12584998"/>
        <n v="6111"/>
        <n v="3987250"/>
        <n v="2070"/>
        <n v="2890689"/>
        <n v="1492"/>
        <n v="5476269"/>
        <n v="2857"/>
        <n v="1728590"/>
        <n v="600"/>
        <n v="25421619"/>
        <n v="31150"/>
        <n v="4479049"/>
        <n v="1808"/>
        <n v="884333"/>
        <n v="1204"/>
        <n v="2080760"/>
        <n v="3145"/>
        <n v="540955"/>
        <n v="4858253"/>
        <n v="4827"/>
        <n v="1485159"/>
        <n v="1548673"/>
        <n v="18605"/>
        <n v="2380045"/>
        <n v="22515"/>
        <n v="632133"/>
        <n v="5534"/>
        <n v="8060669"/>
        <n v="98971"/>
        <n v="2636626"/>
        <n v="37817"/>
        <n v="1810636"/>
        <n v="12779"/>
        <n v="2842001"/>
        <n v="16611"/>
        <n v="981679"/>
        <n v="5087"/>
        <n v="24892970"/>
        <n v="655599"/>
        <n v="3304196"/>
        <n v="29918"/>
        <n v="626438"/>
        <n v="16400"/>
        <n v="1125691"/>
        <n v="32044"/>
        <n v="341117"/>
        <n v="9130"/>
        <n v="3170709"/>
        <n v="82225"/>
        <n v="1082542"/>
        <n v="28421"/>
        <n v="1323142"/>
        <n v="7882"/>
        <n v="3312789"/>
        <n v="13211"/>
        <n v="1338006"/>
        <n v="5058"/>
        <n v="41232865"/>
        <n v="289571"/>
        <n v="2035383"/>
        <n v="12145"/>
        <n v="7786247"/>
        <n v="44218"/>
        <n v="18299209"/>
        <n v="92677"/>
        <n v="9079981"/>
        <n v="33830"/>
        <n v="116892428"/>
        <n v="1021740"/>
        <n v="11065442"/>
        <n v="84499"/>
        <n v="134768"/>
        <n v="743"/>
        <n v="330650"/>
        <n v="1782"/>
        <n v="156027"/>
        <n v="556"/>
        <n v="18567898"/>
        <n v="173529"/>
        <n v="258989"/>
        <n v="2622577"/>
        <n v="1063"/>
        <n v="4749417"/>
        <n v="2289"/>
        <n v="1186986"/>
        <n v="317"/>
        <n v="12773773"/>
        <n v="6203"/>
        <n v="4047059"/>
        <n v="2102"/>
        <n v="2934050"/>
        <n v="1515"/>
        <n v="5558414"/>
        <n v="2900"/>
        <n v="1754519"/>
        <n v="609"/>
        <n v="25802944"/>
        <n v="31618"/>
        <n v="4546235"/>
        <n v="1836"/>
        <n v="897598"/>
        <n v="1223"/>
        <n v="2111972"/>
        <n v="3193"/>
        <n v="549070"/>
        <n v="4931127"/>
        <n v="4900"/>
        <n v="1507437"/>
        <n v="1571904"/>
        <n v="18885"/>
        <n v="2415746"/>
        <n v="22853"/>
        <n v="641616"/>
        <n v="5618"/>
        <n v="8181580"/>
        <n v="100456"/>
        <n v="2676176"/>
        <n v="38385"/>
        <n v="1837796"/>
        <n v="12971"/>
        <n v="2884632"/>
        <n v="16861"/>
        <n v="996405"/>
        <n v="5164"/>
        <n v="25266365"/>
        <n v="665433"/>
        <n v="3353759"/>
        <n v="30367"/>
        <n v="635835"/>
        <n v="16647"/>
        <n v="1142577"/>
        <n v="32525"/>
        <n v="346234"/>
        <n v="9267"/>
        <n v="3218270"/>
        <n v="83459"/>
        <n v="1098781"/>
        <n v="28848"/>
        <n v="1349605"/>
        <n v="8040"/>
        <n v="3379045"/>
        <n v="13476"/>
        <n v="1364767"/>
        <n v="5160"/>
        <n v="42057523"/>
        <n v="295363"/>
        <n v="2076091"/>
        <n v="12388"/>
        <n v="7941972"/>
        <n v="45103"/>
        <n v="18665194"/>
        <n v="94531"/>
        <n v="9261581"/>
        <n v="34507"/>
        <n v="119230277"/>
        <n v="1042175"/>
        <n v="11286751"/>
        <n v="86189"/>
        <n v="137464"/>
        <n v="758"/>
        <n v="337263"/>
        <n v="1818"/>
        <n v="159148"/>
        <n v="568"/>
        <n v="18939256"/>
        <n v="177000"/>
        <n v="264169"/>
        <n v="1791"/>
        <n v="2675029"/>
        <n v="1085"/>
        <n v="4844406"/>
        <n v="2335"/>
        <n v="1210726"/>
        <n v="324"/>
        <n v="13029249"/>
        <n v="6328"/>
        <n v="4128001"/>
        <n v="2992731"/>
        <n v="1546"/>
        <n v="5669583"/>
        <n v="2959"/>
        <n v="1789610"/>
        <n v="622"/>
        <n v="26319003"/>
        <n v="32251"/>
        <n v="4637160"/>
        <n v="1873"/>
        <n v="915550"/>
        <n v="1248"/>
        <n v="2154212"/>
        <n v="3257"/>
        <n v="560052"/>
        <n v="5029750"/>
        <n v="4998"/>
        <n v="1537586"/>
        <n v="1603343"/>
        <n v="19263"/>
        <n v="2464061"/>
        <n v="23311"/>
        <n v="654449"/>
        <n v="5731"/>
        <n v="8345212"/>
        <n v="102466"/>
        <n v="2729700"/>
        <n v="39153"/>
        <n v="1874552"/>
        <n v="13231"/>
        <n v="2942325"/>
        <n v="17199"/>
        <n v="1016334"/>
        <n v="5268"/>
        <n v="25771693"/>
        <n v="678742"/>
        <n v="3420835"/>
        <n v="30975"/>
        <n v="648552"/>
        <n v="16980"/>
        <n v="1165429"/>
        <n v="33176"/>
        <n v="353159"/>
        <n v="9453"/>
        <n v="3282636"/>
        <n v="85129"/>
        <n v="1120757"/>
        <n v="29425"/>
        <n v="1376598"/>
        <n v="8201"/>
        <n v="3446626"/>
        <n v="13746"/>
        <n v="1392063"/>
        <n v="5264"/>
        <n v="42898674"/>
        <n v="301271"/>
        <n v="2117613"/>
        <n v="12636"/>
        <n v="8100812"/>
        <n v="46006"/>
        <n v="19038498"/>
        <n v="96422"/>
        <n v="9446813"/>
        <n v="35198"/>
        <n v="121614883"/>
        <n v="1063019"/>
        <n v="11512487"/>
        <n v="87913"/>
        <n v="140214"/>
        <n v="774"/>
        <n v="344009"/>
        <n v="1855"/>
        <n v="162331"/>
        <n v="580"/>
        <n v="19318042"/>
        <n v="180540"/>
        <n v="269453"/>
        <n v="1827"/>
        <n v="2728530"/>
        <n v="1107"/>
        <n v="4941295"/>
        <n v="2382"/>
        <n v="1234941"/>
        <n v="331"/>
        <n v="13289834"/>
        <n v="6455"/>
        <n v="4210562"/>
        <n v="3052586"/>
        <n v="1577"/>
        <n v="5782975"/>
        <n v="3019"/>
        <n v="1825403"/>
        <n v="635"/>
        <n v="26845384"/>
        <n v="32897"/>
        <n v="4729904"/>
        <n v="1911"/>
        <n v="933861"/>
        <n v="1273"/>
        <n v="2197297"/>
        <n v="3323"/>
        <n v="571254"/>
        <n v="5130346"/>
        <n v="5098"/>
        <n v="1568338"/>
        <n v="1635410"/>
        <n v="19649"/>
        <n v="2513343"/>
        <n v="23778"/>
        <n v="667538"/>
        <n v="5846"/>
        <n v="8512117"/>
        <n v="104516"/>
        <n v="2784294"/>
        <n v="39937"/>
        <n v="1912044"/>
        <n v="13496"/>
        <n v="3001172"/>
        <n v="17543"/>
        <n v="1036661"/>
        <n v="5374"/>
        <n v="26287127"/>
        <n v="692317"/>
        <n v="3489252"/>
        <n v="31595"/>
        <n v="661524"/>
        <n v="17320"/>
        <n v="1188738"/>
        <n v="33840"/>
        <n v="360223"/>
        <n v="9643"/>
        <n v="3348289"/>
        <n v="86832"/>
        <n v="1143173"/>
        <n v="30014"/>
        <n v="1411013"/>
        <n v="8407"/>
        <n v="3532792"/>
        <n v="14090"/>
        <n v="1426865"/>
        <n v="5396"/>
        <n v="43971141"/>
        <n v="308803"/>
        <n v="2170554"/>
        <n v="12952"/>
        <n v="8303333"/>
        <n v="47157"/>
        <n v="19514461"/>
        <n v="98833"/>
        <n v="9682984"/>
        <n v="36078"/>
        <n v="124655256"/>
        <n v="1089595"/>
        <n v="11800300"/>
        <n v="90111"/>
        <n v="143720"/>
        <n v="794"/>
        <n v="352610"/>
        <n v="1902"/>
        <n v="166390"/>
        <n v="595"/>
        <n v="19800994"/>
        <n v="185054"/>
        <n v="276190"/>
        <n v="2796744"/>
        <n v="1135"/>
        <n v="5064828"/>
        <n v="2442"/>
        <n v="1265815"/>
        <n v="340"/>
        <n v="13622080"/>
        <n v="6617"/>
        <n v="4315827"/>
        <n v="2243"/>
        <n v="3128901"/>
        <n v="1617"/>
        <n v="5927550"/>
        <n v="3095"/>
        <n v="1871039"/>
        <n v="651"/>
        <n v="27516519"/>
        <n v="33720"/>
        <n v="4848152"/>
        <n v="1959"/>
        <n v="957208"/>
        <n v="2252230"/>
        <n v="3407"/>
        <n v="585536"/>
        <n v="5258605"/>
        <n v="5226"/>
        <n v="1607547"/>
        <n v="1676296"/>
        <n v="20141"/>
        <n v="2576177"/>
        <n v="24373"/>
        <n v="684227"/>
        <n v="5993"/>
        <n v="8724920"/>
        <n v="107129"/>
        <n v="2853902"/>
        <n v="40936"/>
        <n v="1959846"/>
        <n v="13834"/>
        <n v="3076202"/>
        <n v="17982"/>
        <n v="1062578"/>
        <n v="5509"/>
        <n v="26944306"/>
        <n v="709625"/>
        <n v="3576484"/>
        <n v="32385"/>
        <n v="678063"/>
        <n v="17753"/>
        <n v="1218457"/>
        <n v="34686"/>
        <n v="369229"/>
        <n v="9885"/>
        <n v="3431997"/>
        <n v="89003"/>
        <n v="1171753"/>
        <n v="30765"/>
        <n v="1439234"/>
        <n v="8576"/>
        <n v="3603448"/>
        <n v="14372"/>
        <n v="1455403"/>
        <n v="5504"/>
        <n v="44850564"/>
        <n v="314980"/>
        <n v="2213966"/>
        <n v="13212"/>
        <n v="8469400"/>
        <n v="48101"/>
        <n v="19904751"/>
        <n v="100810"/>
        <n v="9876644"/>
        <n v="36800"/>
        <n v="127148362"/>
        <n v="1111387"/>
        <n v="12036307"/>
        <n v="91914"/>
        <n v="146595"/>
        <n v="810"/>
        <n v="359663"/>
        <n v="1941"/>
        <n v="169718"/>
        <n v="607"/>
        <n v="20197014"/>
        <n v="188756"/>
        <n v="281714"/>
        <n v="2852679"/>
        <n v="1158"/>
        <n v="5166125"/>
        <n v="2491"/>
        <n v="1291132"/>
        <n v="347"/>
        <n v="13894522"/>
        <n v="6750"/>
        <n v="4402144"/>
        <n v="2288"/>
        <n v="3191480"/>
        <n v="1650"/>
        <n v="6046101"/>
        <n v="3157"/>
        <n v="1908460"/>
        <n v="665"/>
        <n v="28066850"/>
        <n v="34395"/>
        <n v="4945116"/>
        <n v="1999"/>
        <n v="976353"/>
        <n v="1332"/>
        <n v="2297275"/>
        <n v="3476"/>
        <n v="597247"/>
        <n v="5363778"/>
        <n v="5331"/>
        <n v="1639698"/>
        <n v="1709822"/>
        <n v="20544"/>
        <n v="2627701"/>
        <n v="24861"/>
        <n v="697912"/>
        <n v="6113"/>
        <n v="8899419"/>
        <n v="109272"/>
        <n v="2910981"/>
        <n v="41755"/>
        <n v="1999043"/>
        <n v="14111"/>
        <n v="3137727"/>
        <n v="18342"/>
        <n v="1083830"/>
        <n v="5620"/>
        <n v="27483193"/>
        <n v="723818"/>
        <n v="3648014"/>
        <n v="33033"/>
        <n v="691625"/>
        <n v="18109"/>
        <n v="1242827"/>
        <n v="35380"/>
        <n v="376614"/>
        <n v="10083"/>
        <n v="3500637"/>
        <n v="90784"/>
        <n v="1195189"/>
        <n v="31381"/>
        <n v="1468019"/>
        <n v="8748"/>
        <n v="3675517"/>
        <n v="14660"/>
        <n v="1484512"/>
        <n v="5615"/>
        <n v="45747576"/>
        <n v="321280"/>
        <n v="2258246"/>
        <n v="13477"/>
        <n v="8638788"/>
        <n v="49064"/>
        <n v="20302847"/>
        <n v="102827"/>
        <n v="10074177"/>
        <n v="37536"/>
        <n v="129691330"/>
        <n v="1133615"/>
        <n v="12277034"/>
        <n v="93753"/>
        <n v="149527"/>
        <n v="827"/>
        <n v="366857"/>
        <n v="1980"/>
        <n v="173113"/>
        <n v="620"/>
        <n v="20600955"/>
        <n v="192532"/>
        <n v="287349"/>
        <n v="1950"/>
        <n v="2909733"/>
        <n v="1182"/>
        <n v="5269448"/>
        <n v="2541"/>
        <n v="1316955"/>
        <n v="354"/>
        <n v="14172413"/>
        <n v="6886"/>
        <n v="4490187"/>
        <n v="2334"/>
        <n v="3255310"/>
        <n v="1684"/>
        <n v="6167024"/>
        <n v="3221"/>
        <n v="1946630"/>
        <n v="679"/>
        <n v="28628187"/>
        <n v="35083"/>
        <n v="5044019"/>
        <n v="2039"/>
        <n v="995881"/>
        <n v="1359"/>
        <n v="2343221"/>
        <n v="3546"/>
        <n v="609192"/>
        <n v="5471054"/>
        <n v="5438"/>
        <n v="1672492"/>
        <n v="1744019"/>
        <n v="20955"/>
        <n v="2680256"/>
        <n v="25359"/>
        <n v="711871"/>
        <n v="6236"/>
        <n v="9077408"/>
        <n v="111458"/>
        <n v="2969201"/>
        <n v="42591"/>
        <n v="2039024"/>
        <n v="14394"/>
        <n v="3200482"/>
        <n v="18709"/>
        <n v="1105507"/>
        <n v="5733"/>
        <n v="28032857"/>
        <n v="738295"/>
        <n v="3720975"/>
        <n v="33694"/>
        <n v="705458"/>
        <n v="18472"/>
        <n v="1267684"/>
        <n v="36088"/>
        <n v="384147"/>
        <n v="10285"/>
        <n v="3570650"/>
        <n v="92600"/>
        <n v="1219093"/>
        <n v="32009"/>
      </sharedItems>
    </cacheField>
    <cacheField name="Anunciantes" numFmtId="0">
      <sharedItems containsSemiMixedTypes="0" containsString="0" containsNumber="1" containsInteger="1" minValue="0" maxValue="880167" count="1672">
        <n v="45798"/>
        <n v="1008"/>
        <n v="80125"/>
        <n v="2027"/>
        <n v="33142"/>
        <n v="586"/>
        <n v="206988"/>
        <n v="4400"/>
        <n v="68676"/>
        <n v="1846"/>
        <n v="161561"/>
        <n v="599"/>
        <n v="333799"/>
        <n v="835"/>
        <n v="179662"/>
        <n v="331"/>
        <n v="610219"/>
        <n v="1744"/>
        <n v="196159"/>
        <n v="700"/>
        <n v="16372"/>
        <n v="633"/>
        <n v="38609"/>
        <n v="1417"/>
        <n v="19812"/>
        <n v="580"/>
        <n v="60759"/>
        <n v="1822"/>
        <n v="21921"/>
        <n v="595"/>
        <n v="4600"/>
        <n v="17"/>
        <n v="8188"/>
        <n v="39"/>
        <n v="2065"/>
        <n v="2"/>
        <n v="29832"/>
        <n v="198"/>
        <n v="9925"/>
        <n v="58"/>
        <n v="13012"/>
        <n v="8"/>
        <n v="25684"/>
        <n v="20"/>
        <n v="8888"/>
        <n v="0"/>
        <n v="63589"/>
        <n v="73"/>
        <n v="21464"/>
        <n v="12"/>
        <n v="2047"/>
        <n v="31"/>
        <n v="5270"/>
        <n v="93"/>
        <n v="1428"/>
        <n v="7"/>
        <n v="10326"/>
        <n v="146"/>
        <n v="3659"/>
        <n v="40"/>
        <n v="9695"/>
        <n v="837"/>
        <n v="11272"/>
        <n v="1101"/>
        <n v="3107"/>
        <n v="276"/>
        <n v="51374"/>
        <n v="5420"/>
        <n v="21325"/>
        <n v="2395"/>
        <n v="25089"/>
        <n v="287"/>
        <n v="35763"/>
        <n v="328"/>
        <n v="11212"/>
        <n v="118"/>
        <n v="109190"/>
        <n v="1146"/>
        <n v="39858"/>
        <n v="551"/>
        <n v="6770"/>
        <n v="1087"/>
        <n v="13513"/>
        <n v="2084"/>
        <n v="3654"/>
        <n v="573"/>
        <n v="35858"/>
        <n v="5418"/>
        <n v="13471"/>
        <n v="1914"/>
        <n v="46256"/>
        <n v="1019"/>
        <n v="80927"/>
        <n v="2048"/>
        <n v="33474"/>
        <n v="592"/>
        <n v="209058"/>
        <n v="4444"/>
        <n v="69363"/>
        <n v="1865"/>
        <n v="163177"/>
        <n v="605"/>
        <n v="337137"/>
        <n v="844"/>
        <n v="181459"/>
        <n v="335"/>
        <n v="616322"/>
        <n v="1762"/>
        <n v="198121"/>
        <n v="707"/>
        <n v="16536"/>
        <n v="640"/>
        <n v="38996"/>
        <n v="1432"/>
        <n v="20011"/>
        <n v="61367"/>
        <n v="1841"/>
        <n v="22141"/>
        <n v="601"/>
        <n v="4646"/>
        <n v="18"/>
        <n v="8270"/>
        <n v="2086"/>
        <n v="3"/>
        <n v="30131"/>
        <n v="200"/>
        <n v="10025"/>
        <n v="59"/>
        <n v="13143"/>
        <n v="9"/>
        <n v="25941"/>
        <n v="21"/>
        <n v="8977"/>
        <n v="64225"/>
        <n v="74"/>
        <n v="21679"/>
        <n v="13"/>
        <n v="2068"/>
        <n v="32"/>
        <n v="5323"/>
        <n v="94"/>
        <n v="1443"/>
        <n v="10430"/>
        <n v="148"/>
        <n v="3696"/>
        <n v="41"/>
        <n v="9792"/>
        <n v="846"/>
        <n v="11385"/>
        <n v="1113"/>
        <n v="3139"/>
        <n v="279"/>
        <n v="51888"/>
        <n v="5475"/>
        <n v="21539"/>
        <n v="2419"/>
        <n v="25340"/>
        <n v="290"/>
        <n v="36121"/>
        <n v="332"/>
        <n v="11325"/>
        <n v="120"/>
        <n v="110282"/>
        <n v="1158"/>
        <n v="40257"/>
        <n v="557"/>
        <n v="6838"/>
        <n v="1098"/>
        <n v="13649"/>
        <n v="2105"/>
        <n v="3691"/>
        <n v="579"/>
        <n v="36217"/>
        <n v="5473"/>
        <n v="13606"/>
        <n v="1934"/>
        <n v="46950"/>
        <n v="1035"/>
        <n v="82141"/>
        <n v="2079"/>
        <n v="33977"/>
        <n v="212194"/>
        <n v="4511"/>
        <n v="70404"/>
        <n v="1893"/>
        <n v="165625"/>
        <n v="615"/>
        <n v="342195"/>
        <n v="857"/>
        <n v="184181"/>
        <n v="341"/>
        <n v="625567"/>
        <n v="1789"/>
        <n v="201093"/>
        <n v="718"/>
        <n v="16785"/>
        <n v="650"/>
        <n v="39581"/>
        <n v="1454"/>
        <n v="20312"/>
        <n v="62288"/>
        <n v="1869"/>
        <n v="22474"/>
        <n v="611"/>
        <n v="4716"/>
        <n v="19"/>
        <n v="8395"/>
        <n v="2118"/>
        <n v="4"/>
        <n v="30583"/>
        <n v="203"/>
        <n v="10176"/>
        <n v="60"/>
        <n v="13341"/>
        <n v="10"/>
        <n v="26331"/>
        <n v="22"/>
        <n v="9112"/>
        <n v="65189"/>
        <n v="76"/>
        <n v="22005"/>
        <n v="14"/>
        <n v="2100"/>
        <n v="33"/>
        <n v="5403"/>
        <n v="96"/>
        <n v="1465"/>
        <n v="10587"/>
        <n v="151"/>
        <n v="3752"/>
        <n v="42"/>
        <n v="9939"/>
        <n v="859"/>
        <n v="11556"/>
        <n v="1130"/>
        <n v="3187"/>
        <n v="284"/>
        <n v="52667"/>
        <n v="5558"/>
        <n v="21863"/>
        <n v="2456"/>
        <n v="25721"/>
        <n v="295"/>
        <n v="36663"/>
        <n v="337"/>
        <n v="11495"/>
        <n v="122"/>
        <n v="111937"/>
        <n v="1176"/>
        <n v="40861"/>
        <n v="566"/>
        <n v="6941"/>
        <n v="1115"/>
        <n v="13854"/>
        <n v="2137"/>
        <n v="3747"/>
        <n v="588"/>
        <n v="36761"/>
        <n v="5556"/>
        <n v="13811"/>
        <n v="1964"/>
        <n v="47889"/>
        <n v="1056"/>
        <n v="83784"/>
        <n v="2121"/>
        <n v="34657"/>
        <n v="614"/>
        <n v="216438"/>
        <n v="4602"/>
        <n v="71813"/>
        <n v="1931"/>
        <n v="168938"/>
        <n v="628"/>
        <n v="349039"/>
        <n v="875"/>
        <n v="187865"/>
        <n v="348"/>
        <n v="638079"/>
        <n v="1825"/>
        <n v="205115"/>
        <n v="733"/>
        <n v="17121"/>
        <n v="663"/>
        <n v="40373"/>
        <n v="1484"/>
        <n v="20719"/>
        <n v="607"/>
        <n v="63534"/>
        <n v="1907"/>
        <n v="22924"/>
        <n v="624"/>
        <n v="4811"/>
        <n v="8563"/>
        <n v="2161"/>
        <n v="5"/>
        <n v="31195"/>
        <n v="208"/>
        <n v="10380"/>
        <n v="62"/>
        <n v="13608"/>
        <n v="11"/>
        <n v="26858"/>
        <n v="23"/>
        <n v="9295"/>
        <n v="66493"/>
        <n v="78"/>
        <n v="22446"/>
        <n v="15"/>
        <n v="2143"/>
        <n v="34"/>
        <n v="5512"/>
        <n v="98"/>
        <n v="1495"/>
        <n v="10799"/>
        <n v="155"/>
        <n v="3828"/>
        <n v="43"/>
        <n v="10138"/>
        <n v="877"/>
        <n v="11788"/>
        <n v="1153"/>
        <n v="3251"/>
        <n v="53721"/>
        <n v="5670"/>
        <n v="22301"/>
        <n v="2506"/>
        <n v="26236"/>
        <n v="301"/>
        <n v="37397"/>
        <n v="344"/>
        <n v="11725"/>
        <n v="125"/>
        <n v="114176"/>
        <n v="1200"/>
        <n v="41679"/>
        <n v="578"/>
        <n v="7080"/>
        <n v="1138"/>
        <n v="14132"/>
        <n v="2180"/>
        <n v="3822"/>
        <n v="600"/>
        <n v="37497"/>
        <n v="5668"/>
        <n v="14088"/>
        <n v="2004"/>
        <n v="48847"/>
        <n v="1078"/>
        <n v="85460"/>
        <n v="2164"/>
        <n v="35351"/>
        <n v="627"/>
        <n v="220767"/>
        <n v="4695"/>
        <n v="73250"/>
        <n v="1970"/>
        <n v="172317"/>
        <n v="641"/>
        <n v="356020"/>
        <n v="893"/>
        <n v="191623"/>
        <n v="355"/>
        <n v="650841"/>
        <n v="1862"/>
        <n v="209218"/>
        <n v="748"/>
        <n v="17464"/>
        <n v="677"/>
        <n v="41181"/>
        <n v="1514"/>
        <n v="21134"/>
        <n v="620"/>
        <n v="64805"/>
        <n v="1946"/>
        <n v="23383"/>
        <n v="637"/>
        <n v="4908"/>
        <n v="8735"/>
        <n v="2205"/>
        <n v="6"/>
        <n v="31819"/>
        <n v="213"/>
        <n v="10588"/>
        <n v="64"/>
        <n v="13881"/>
        <n v="27396"/>
        <n v="24"/>
        <n v="9481"/>
        <n v="67823"/>
        <n v="80"/>
        <n v="22895"/>
        <n v="16"/>
        <n v="2186"/>
        <n v="35"/>
        <n v="5623"/>
        <n v="100"/>
        <n v="1525"/>
        <n v="11015"/>
        <n v="159"/>
        <n v="3905"/>
        <n v="44"/>
        <n v="10341"/>
        <n v="895"/>
        <n v="12024"/>
        <n v="1177"/>
        <n v="3317"/>
        <n v="296"/>
        <n v="54796"/>
        <n v="5784"/>
        <n v="22748"/>
        <n v="2557"/>
        <n v="26761"/>
        <n v="308"/>
        <n v="38145"/>
        <n v="351"/>
        <n v="11960"/>
        <n v="128"/>
        <n v="116460"/>
        <n v="1225"/>
        <n v="42513"/>
        <n v="590"/>
        <n v="7222"/>
        <n v="1161"/>
        <n v="14415"/>
        <n v="2224"/>
        <n v="3899"/>
        <n v="612"/>
        <n v="38247"/>
        <n v="5782"/>
        <n v="14370"/>
        <n v="2045"/>
        <n v="50069"/>
        <n v="1105"/>
        <n v="87597"/>
        <n v="2219"/>
        <n v="36235"/>
        <n v="643"/>
        <n v="226287"/>
        <n v="4813"/>
        <n v="75082"/>
        <n v="2020"/>
        <n v="176625"/>
        <n v="658"/>
        <n v="364921"/>
        <n v="916"/>
        <n v="196414"/>
        <n v="364"/>
        <n v="667113"/>
        <n v="1909"/>
        <n v="214449"/>
        <n v="767"/>
        <n v="17901"/>
        <n v="694"/>
        <n v="42211"/>
        <n v="1552"/>
        <n v="21663"/>
        <n v="636"/>
        <n v="66426"/>
        <n v="1995"/>
        <n v="23968"/>
        <n v="653"/>
        <n v="5031"/>
        <n v="8954"/>
        <n v="45"/>
        <n v="2261"/>
        <n v="32615"/>
        <n v="219"/>
        <n v="10853"/>
        <n v="66"/>
        <n v="14229"/>
        <n v="28081"/>
        <n v="25"/>
        <n v="9719"/>
        <n v="69519"/>
        <n v="83"/>
        <n v="23468"/>
        <n v="2241"/>
        <n v="36"/>
        <n v="5764"/>
        <n v="103"/>
        <n v="1564"/>
        <n v="11291"/>
        <n v="163"/>
        <n v="4003"/>
        <n v="46"/>
        <n v="10600"/>
        <n v="918"/>
        <n v="12325"/>
        <n v="1207"/>
        <n v="3400"/>
        <n v="304"/>
        <n v="56166"/>
        <n v="5929"/>
        <n v="23317"/>
        <n v="2621"/>
        <n v="27431"/>
        <n v="316"/>
        <n v="39099"/>
        <n v="360"/>
        <n v="12260"/>
        <n v="132"/>
        <n v="119372"/>
        <n v="1256"/>
        <n v="43576"/>
        <n v="7403"/>
        <n v="1191"/>
        <n v="14776"/>
        <n v="2280"/>
        <n v="3997"/>
        <n v="39204"/>
        <n v="5927"/>
        <n v="14730"/>
        <n v="2097"/>
        <n v="50821"/>
        <n v="1122"/>
        <n v="88911"/>
        <n v="2253"/>
        <n v="36779"/>
        <n v="229682"/>
        <n v="4886"/>
        <n v="76209"/>
        <n v="2051"/>
        <n v="179275"/>
        <n v="668"/>
        <n v="370395"/>
        <n v="930"/>
        <n v="199361"/>
        <n v="370"/>
        <n v="677120"/>
        <n v="1938"/>
        <n v="217666"/>
        <n v="779"/>
        <n v="18170"/>
        <n v="705"/>
        <n v="42845"/>
        <n v="1576"/>
        <n v="21988"/>
        <n v="646"/>
        <n v="67423"/>
        <n v="2025"/>
        <n v="24328"/>
        <n v="5107"/>
        <n v="9089"/>
        <n v="2295"/>
        <n v="33105"/>
        <n v="223"/>
        <n v="11016"/>
        <n v="68"/>
        <n v="14443"/>
        <n v="28503"/>
        <n v="26"/>
        <n v="9865"/>
        <n v="70562"/>
        <n v="85"/>
        <n v="23821"/>
        <n v="2275"/>
        <n v="37"/>
        <n v="5851"/>
        <n v="105"/>
        <n v="1588"/>
        <n v="11461"/>
        <n v="166"/>
        <n v="4064"/>
        <n v="47"/>
        <n v="10759"/>
        <n v="932"/>
        <n v="12510"/>
        <n v="1226"/>
        <n v="3452"/>
        <n v="309"/>
        <n v="57009"/>
        <n v="6018"/>
        <n v="23667"/>
        <n v="2661"/>
        <n v="27843"/>
        <n v="321"/>
        <n v="39686"/>
        <n v="366"/>
        <n v="12444"/>
        <n v="134"/>
        <n v="121163"/>
        <n v="1275"/>
        <n v="44230"/>
        <n v="7515"/>
        <n v="1209"/>
        <n v="14998"/>
        <n v="2315"/>
        <n v="4057"/>
        <n v="638"/>
        <n v="39793"/>
        <n v="6016"/>
        <n v="14951"/>
        <n v="2129"/>
        <n v="52346"/>
        <n v="1156"/>
        <n v="91579"/>
        <n v="2321"/>
        <n v="37883"/>
        <n v="673"/>
        <n v="236573"/>
        <n v="5033"/>
        <n v="78496"/>
        <n v="2113"/>
        <n v="184654"/>
        <n v="689"/>
        <n v="381507"/>
        <n v="958"/>
        <n v="205342"/>
        <n v="382"/>
        <n v="697434"/>
        <n v="1997"/>
        <n v="224196"/>
        <n v="803"/>
        <n v="18716"/>
        <n v="727"/>
        <n v="44131"/>
        <n v="1624"/>
        <n v="22648"/>
        <n v="666"/>
        <n v="69446"/>
        <n v="25058"/>
        <n v="683"/>
        <n v="5261"/>
        <n v="9362"/>
        <n v="48"/>
        <n v="2364"/>
        <n v="34099"/>
        <n v="230"/>
        <n v="11347"/>
        <n v="71"/>
        <n v="14877"/>
        <n v="29359"/>
        <n v="27"/>
        <n v="10161"/>
        <n v="72679"/>
        <n v="88"/>
        <n v="24536"/>
        <n v="2344"/>
        <n v="6027"/>
        <n v="109"/>
        <n v="1636"/>
        <n v="11805"/>
        <n v="172"/>
        <n v="4186"/>
        <n v="49"/>
        <n v="11082"/>
        <n v="960"/>
        <n v="12886"/>
        <n v="1263"/>
        <n v="3556"/>
        <n v="319"/>
        <n v="58720"/>
        <n v="6199"/>
        <n v="24378"/>
        <n v="2741"/>
        <n v="28679"/>
        <n v="40877"/>
        <n v="377"/>
        <n v="12818"/>
        <n v="139"/>
        <n v="124798"/>
        <n v="1314"/>
        <n v="45557"/>
        <n v="634"/>
        <n v="7741"/>
        <n v="1246"/>
        <n v="15448"/>
        <n v="2385"/>
        <n v="4179"/>
        <n v="40987"/>
        <n v="6197"/>
        <n v="15400"/>
        <n v="2193"/>
        <n v="53393"/>
        <n v="1180"/>
        <n v="93411"/>
        <n v="2368"/>
        <n v="38641"/>
        <n v="687"/>
        <n v="241305"/>
        <n v="5134"/>
        <n v="80066"/>
        <n v="2156"/>
        <n v="188348"/>
        <n v="703"/>
        <n v="389138"/>
        <n v="978"/>
        <n v="209449"/>
        <n v="390"/>
        <n v="711383"/>
        <n v="2037"/>
        <n v="228680"/>
        <n v="820"/>
        <n v="19091"/>
        <n v="742"/>
        <n v="45014"/>
        <n v="1657"/>
        <n v="23101"/>
        <n v="680"/>
        <n v="70835"/>
        <n v="2128"/>
        <n v="25560"/>
        <n v="697"/>
        <n v="5367"/>
        <n v="9550"/>
        <n v="2412"/>
        <n v="34781"/>
        <n v="235"/>
        <n v="11574"/>
        <n v="15175"/>
        <n v="29947"/>
        <n v="28"/>
        <n v="10365"/>
        <n v="74133"/>
        <n v="90"/>
        <n v="25027"/>
        <n v="2391"/>
        <n v="6148"/>
        <n v="112"/>
        <n v="1669"/>
        <n v="12042"/>
        <n v="176"/>
        <n v="4270"/>
        <n v="50"/>
        <n v="11304"/>
        <n v="980"/>
        <n v="13144"/>
        <n v="1289"/>
        <n v="3628"/>
        <n v="326"/>
        <n v="59895"/>
        <n v="6323"/>
        <n v="24866"/>
        <n v="2796"/>
        <n v="29253"/>
        <n v="338"/>
        <n v="41695"/>
        <n v="385"/>
        <n v="13075"/>
        <n v="142"/>
        <n v="127294"/>
        <n v="1341"/>
        <n v="46469"/>
        <n v="647"/>
        <n v="7896"/>
        <n v="1271"/>
        <n v="15757"/>
        <n v="2433"/>
        <n v="4263"/>
        <n v="672"/>
        <n v="41807"/>
        <n v="6321"/>
        <n v="15709"/>
        <n v="2237"/>
        <n v="54461"/>
        <n v="1204"/>
        <n v="95280"/>
        <n v="2416"/>
        <n v="39414"/>
        <n v="701"/>
        <n v="246132"/>
        <n v="5237"/>
        <n v="81668"/>
        <n v="2200"/>
        <n v="192115"/>
        <n v="396921"/>
        <n v="998"/>
        <n v="213638"/>
        <n v="398"/>
        <n v="725611"/>
        <n v="2078"/>
        <n v="233254"/>
        <n v="19473"/>
        <n v="757"/>
        <n v="45915"/>
        <n v="1691"/>
        <n v="23564"/>
        <n v="72252"/>
        <n v="2171"/>
        <n v="26072"/>
        <n v="711"/>
        <n v="9741"/>
        <n v="2461"/>
        <n v="35477"/>
        <n v="240"/>
        <n v="11806"/>
        <n v="75"/>
        <n v="15479"/>
        <n v="30546"/>
        <n v="29"/>
        <n v="10573"/>
        <n v="1"/>
        <n v="75616"/>
        <n v="92"/>
        <n v="25528"/>
        <n v="2439"/>
        <n v="6271"/>
        <n v="115"/>
        <n v="1703"/>
        <n v="12283"/>
        <n v="180"/>
        <n v="4356"/>
        <n v="52"/>
        <n v="11531"/>
        <n v="1000"/>
        <n v="13407"/>
        <n v="1315"/>
        <n v="3701"/>
        <n v="333"/>
        <n v="61093"/>
        <n v="6450"/>
        <n v="25364"/>
        <n v="2852"/>
        <n v="29839"/>
        <n v="345"/>
        <n v="42529"/>
        <n v="393"/>
        <n v="13337"/>
        <n v="145"/>
        <n v="129840"/>
        <n v="1368"/>
        <n v="47399"/>
        <n v="660"/>
        <n v="8054"/>
        <n v="1297"/>
        <n v="16073"/>
        <n v="2482"/>
        <n v="4349"/>
        <n v="686"/>
        <n v="42644"/>
        <n v="6448"/>
        <n v="16024"/>
        <n v="2282"/>
        <n v="55278"/>
        <n v="1223"/>
        <n v="96710"/>
        <n v="2453"/>
        <n v="40006"/>
        <n v="712"/>
        <n v="249824"/>
        <n v="5316"/>
        <n v="82894"/>
        <n v="2234"/>
        <n v="194997"/>
        <n v="729"/>
        <n v="402875"/>
        <n v="1013"/>
        <n v="216843"/>
        <n v="404"/>
        <n v="736496"/>
        <n v="2110"/>
        <n v="236753"/>
        <n v="850"/>
        <n v="19766"/>
        <n v="769"/>
        <n v="46604"/>
        <n v="1717"/>
        <n v="23918"/>
        <n v="73336"/>
        <n v="2204"/>
        <n v="26464"/>
        <n v="722"/>
        <n v="9888"/>
        <n v="51"/>
        <n v="2498"/>
        <n v="36010"/>
        <n v="244"/>
        <n v="11984"/>
        <n v="77"/>
        <n v="15712"/>
        <n v="31005"/>
        <n v="30"/>
        <n v="10732"/>
        <n v="76751"/>
        <n v="25911"/>
        <n v="2476"/>
        <n v="6366"/>
        <n v="117"/>
        <n v="1729"/>
        <n v="12468"/>
        <n v="183"/>
        <n v="4422"/>
        <n v="53"/>
        <n v="11704"/>
        <n v="1016"/>
        <n v="13609"/>
        <n v="1335"/>
        <n v="3757"/>
        <n v="62010"/>
        <n v="6547"/>
        <n v="25745"/>
        <n v="2895"/>
        <n v="30287"/>
        <n v="43167"/>
        <n v="399"/>
        <n v="13538"/>
        <n v="131788"/>
        <n v="1389"/>
        <n v="48110"/>
        <n v="670"/>
        <n v="8175"/>
        <n v="1317"/>
        <n v="16315"/>
        <n v="2520"/>
        <n v="4415"/>
        <n v="43284"/>
        <n v="6545"/>
        <n v="16265"/>
        <n v="2317"/>
        <n v="55831"/>
        <n v="1236"/>
        <n v="97678"/>
        <n v="2478"/>
        <n v="40407"/>
        <n v="720"/>
        <n v="252323"/>
        <n v="5370"/>
        <n v="83723"/>
        <n v="2257"/>
        <n v="196947"/>
        <n v="737"/>
        <n v="406904"/>
        <n v="1024"/>
        <n v="219012"/>
        <n v="409"/>
        <n v="743861"/>
        <n v="2132"/>
        <n v="239121"/>
        <n v="19964"/>
        <n v="777"/>
        <n v="47071"/>
        <n v="1735"/>
        <n v="24158"/>
        <n v="713"/>
        <n v="74070"/>
        <n v="2227"/>
        <n v="26729"/>
        <n v="730"/>
        <n v="5614"/>
        <n v="9987"/>
        <n v="2523"/>
        <n v="36371"/>
        <n v="247"/>
        <n v="12104"/>
        <n v="15870"/>
        <n v="31316"/>
        <n v="10840"/>
        <n v="77519"/>
        <n v="95"/>
        <n v="26171"/>
        <n v="2501"/>
        <n v="6430"/>
        <n v="119"/>
        <n v="1747"/>
        <n v="12593"/>
        <n v="185"/>
        <n v="4467"/>
        <n v="54"/>
        <n v="11822"/>
        <n v="1027"/>
        <n v="13746"/>
        <n v="1349"/>
        <n v="3795"/>
        <n v="342"/>
        <n v="62631"/>
        <n v="6613"/>
        <n v="26003"/>
        <n v="2924"/>
        <n v="30590"/>
        <n v="43599"/>
        <n v="403"/>
        <n v="13674"/>
        <n v="150"/>
        <n v="133106"/>
        <n v="1403"/>
        <n v="48592"/>
        <n v="8257"/>
        <n v="1331"/>
        <n v="16479"/>
        <n v="2546"/>
        <n v="4460"/>
        <n v="704"/>
        <n v="43717"/>
        <n v="6611"/>
        <n v="16428"/>
        <n v="2341"/>
        <n v="56390"/>
        <n v="1249"/>
        <n v="98655"/>
        <n v="2503"/>
        <n v="40812"/>
        <n v="728"/>
        <n v="254847"/>
        <n v="5424"/>
        <n v="84561"/>
        <n v="198917"/>
        <n v="745"/>
        <n v="410974"/>
        <n v="221203"/>
        <n v="414"/>
        <n v="751300"/>
        <n v="2154"/>
        <n v="241513"/>
        <n v="868"/>
        <n v="20164"/>
        <n v="785"/>
        <n v="47542"/>
        <n v="1753"/>
        <n v="24400"/>
        <n v="721"/>
        <n v="74811"/>
        <n v="2250"/>
        <n v="26997"/>
        <n v="738"/>
        <n v="5671"/>
        <n v="10087"/>
        <n v="2549"/>
        <n v="36735"/>
        <n v="250"/>
        <n v="12226"/>
        <n v="79"/>
        <n v="16029"/>
        <n v="31630"/>
        <n v="10949"/>
        <n v="78295"/>
        <n v="26433"/>
        <n v="2527"/>
        <n v="6495"/>
        <n v="121"/>
        <n v="1765"/>
        <n v="12719"/>
        <n v="187"/>
        <n v="4512"/>
        <n v="55"/>
        <n v="11941"/>
        <n v="1038"/>
        <n v="13884"/>
        <n v="1363"/>
        <n v="3833"/>
        <n v="346"/>
        <n v="63258"/>
        <n v="6680"/>
        <n v="26264"/>
        <n v="2954"/>
        <n v="30896"/>
        <n v="359"/>
        <n v="44035"/>
        <n v="408"/>
        <n v="152"/>
        <n v="134438"/>
        <n v="1418"/>
        <n v="49078"/>
        <n v="684"/>
        <n v="8340"/>
        <n v="1345"/>
        <n v="16644"/>
        <n v="2572"/>
        <n v="4505"/>
        <n v="44155"/>
        <n v="6678"/>
        <n v="16593"/>
        <n v="2365"/>
        <n v="57518"/>
        <n v="1274"/>
        <n v="100629"/>
        <n v="2554"/>
        <n v="41629"/>
        <n v="743"/>
        <n v="259944"/>
        <n v="5533"/>
        <n v="86253"/>
        <n v="2326"/>
        <n v="202896"/>
        <n v="760"/>
        <n v="419194"/>
        <n v="225628"/>
        <n v="423"/>
        <n v="766327"/>
        <n v="2198"/>
        <n v="246344"/>
        <n v="886"/>
        <n v="20568"/>
        <n v="801"/>
        <n v="48493"/>
        <n v="24888"/>
        <n v="736"/>
        <n v="76308"/>
        <n v="27537"/>
        <n v="753"/>
        <n v="5785"/>
        <n v="10289"/>
        <n v="2600"/>
        <n v="37470"/>
        <n v="255"/>
        <n v="12471"/>
        <n v="81"/>
        <n v="16350"/>
        <n v="32263"/>
        <n v="11168"/>
        <n v="79861"/>
        <n v="26962"/>
        <n v="2578"/>
        <n v="6625"/>
        <n v="124"/>
        <n v="1801"/>
        <n v="12974"/>
        <n v="191"/>
        <n v="4603"/>
        <n v="57"/>
        <n v="12180"/>
        <n v="1059"/>
        <n v="14162"/>
        <n v="1391"/>
        <n v="3910"/>
        <n v="353"/>
        <n v="64524"/>
        <n v="6814"/>
        <n v="26790"/>
        <n v="3014"/>
        <n v="31514"/>
        <n v="367"/>
        <n v="44916"/>
        <n v="417"/>
        <n v="156"/>
        <n v="137127"/>
        <n v="1447"/>
        <n v="50060"/>
        <n v="698"/>
        <n v="8507"/>
        <n v="1372"/>
        <n v="16977"/>
        <n v="2624"/>
        <n v="4596"/>
        <n v="45039"/>
        <n v="6812"/>
        <n v="16925"/>
        <n v="2413"/>
        <n v="58094"/>
        <n v="1287"/>
        <n v="101636"/>
        <n v="2580"/>
        <n v="42046"/>
        <n v="751"/>
        <n v="262544"/>
        <n v="5589"/>
        <n v="87116"/>
        <n v="2350"/>
        <n v="204925"/>
        <n v="768"/>
        <n v="423386"/>
        <n v="1067"/>
        <n v="227885"/>
        <n v="428"/>
        <n v="773991"/>
        <n v="2220"/>
        <n v="248808"/>
        <n v="20774"/>
        <n v="810"/>
        <n v="48978"/>
        <n v="1807"/>
        <n v="25137"/>
        <n v="744"/>
        <n v="77072"/>
        <n v="2318"/>
        <n v="27813"/>
        <n v="761"/>
        <n v="5843"/>
        <n v="10392"/>
        <n v="56"/>
        <n v="2626"/>
        <n v="37845"/>
        <n v="258"/>
        <n v="12596"/>
        <n v="82"/>
        <n v="16514"/>
        <n v="32586"/>
        <n v="11280"/>
        <n v="80660"/>
        <n v="99"/>
        <n v="27232"/>
        <n v="2604"/>
        <n v="6692"/>
        <n v="126"/>
        <n v="1820"/>
        <n v="13104"/>
        <n v="193"/>
        <n v="4650"/>
        <n v="12302"/>
        <n v="1070"/>
        <n v="14304"/>
        <n v="1405"/>
        <n v="3950"/>
        <n v="357"/>
        <n v="65170"/>
        <n v="6883"/>
        <n v="27058"/>
        <n v="3045"/>
        <n v="31830"/>
        <n v="371"/>
        <n v="45366"/>
        <n v="422"/>
        <n v="158"/>
        <n v="138499"/>
        <n v="1462"/>
        <n v="50561"/>
        <n v="8593"/>
        <n v="1386"/>
        <n v="17147"/>
        <n v="2651"/>
        <n v="4642"/>
        <n v="735"/>
        <n v="45490"/>
        <n v="6881"/>
        <n v="17095"/>
        <n v="2438"/>
        <n v="59256"/>
        <n v="1313"/>
        <n v="103669"/>
        <n v="2632"/>
        <n v="42887"/>
        <n v="267795"/>
        <n v="5701"/>
        <n v="88859"/>
        <n v="2397"/>
        <n v="209024"/>
        <n v="784"/>
        <n v="431854"/>
        <n v="1089"/>
        <n v="232443"/>
        <n v="437"/>
        <n v="789471"/>
        <n v="2265"/>
        <n v="253785"/>
        <n v="913"/>
        <n v="21190"/>
        <n v="827"/>
        <n v="49958"/>
        <n v="1844"/>
        <n v="25640"/>
        <n v="759"/>
        <n v="78614"/>
        <n v="28370"/>
        <n v="5960"/>
        <n v="2679"/>
        <n v="38602"/>
        <n v="264"/>
        <n v="12848"/>
        <n v="84"/>
        <n v="16845"/>
        <n v="33238"/>
        <n v="11506"/>
        <n v="82274"/>
        <n v="101"/>
        <n v="27777"/>
        <n v="2657"/>
        <n v="6826"/>
        <n v="129"/>
        <n v="1857"/>
        <n v="13367"/>
        <n v="197"/>
        <n v="4744"/>
        <n v="12549"/>
        <n v="1092"/>
        <n v="14591"/>
        <n v="1434"/>
        <n v="4029"/>
        <n v="365"/>
        <n v="66474"/>
        <n v="7021"/>
        <n v="27600"/>
        <n v="3106"/>
        <n v="32467"/>
        <n v="379"/>
        <n v="46274"/>
        <n v="431"/>
        <n v="14514"/>
        <n v="162"/>
        <n v="141269"/>
        <n v="1492"/>
        <n v="51573"/>
        <n v="8765"/>
        <n v="1414"/>
        <n v="17490"/>
        <n v="2705"/>
        <n v="4735"/>
        <n v="750"/>
        <n v="46400"/>
        <n v="7019"/>
        <n v="17437"/>
        <n v="2487"/>
        <n v="60442"/>
        <n v="1340"/>
        <n v="105743"/>
        <n v="2685"/>
        <n v="43745"/>
        <n v="783"/>
        <n v="273151"/>
        <n v="5816"/>
        <n v="90637"/>
        <n v="2445"/>
        <n v="213205"/>
        <n v="800"/>
        <n v="440492"/>
        <n v="1111"/>
        <n v="237092"/>
        <n v="446"/>
        <n v="805261"/>
        <n v="2311"/>
        <n v="258861"/>
        <n v="21614"/>
        <n v="50958"/>
        <n v="1881"/>
        <n v="26153"/>
        <n v="775"/>
        <n v="80187"/>
        <n v="28938"/>
        <n v="793"/>
        <n v="6080"/>
        <n v="10812"/>
        <n v="2733"/>
        <n v="39375"/>
        <n v="270"/>
        <n v="13105"/>
        <n v="86"/>
        <n v="17182"/>
        <n v="33903"/>
        <n v="11737"/>
        <n v="83920"/>
        <n v="104"/>
        <n v="28333"/>
        <n v="2711"/>
        <n v="6963"/>
        <n v="1895"/>
        <n v="13635"/>
        <n v="201"/>
        <n v="4839"/>
        <n v="12800"/>
        <n v="1114"/>
        <n v="14883"/>
        <n v="1463"/>
        <n v="4110"/>
        <n v="373"/>
        <n v="67804"/>
        <n v="7162"/>
        <n v="28152"/>
        <n v="3169"/>
        <n v="33117"/>
        <n v="387"/>
        <n v="47200"/>
        <n v="440"/>
        <n v="14805"/>
        <n v="144095"/>
        <n v="1522"/>
        <n v="52605"/>
        <n v="8941"/>
        <n v="17840"/>
        <n v="2760"/>
        <n v="4830"/>
        <n v="765"/>
        <n v="47329"/>
        <n v="7160"/>
        <n v="17786"/>
        <n v="2537"/>
        <n v="61954"/>
        <n v="1374"/>
        <n v="108387"/>
        <n v="2753"/>
        <n v="44839"/>
        <n v="279980"/>
        <n v="5962"/>
        <n v="92903"/>
        <n v="2507"/>
        <n v="218536"/>
        <n v="451505"/>
        <n v="1139"/>
        <n v="243020"/>
        <n v="458"/>
        <n v="825393"/>
        <n v="2369"/>
        <n v="265333"/>
        <n v="956"/>
        <n v="22155"/>
        <n v="866"/>
        <n v="52232"/>
        <n v="1929"/>
        <n v="26807"/>
        <n v="795"/>
        <n v="82192"/>
        <n v="2474"/>
        <n v="29662"/>
        <n v="813"/>
        <n v="6233"/>
        <n v="11083"/>
        <n v="2802"/>
        <n v="40360"/>
        <n v="277"/>
        <n v="13433"/>
        <n v="89"/>
        <n v="17612"/>
        <n v="34751"/>
        <n v="12031"/>
        <n v="86019"/>
        <n v="107"/>
        <n v="29042"/>
        <n v="2779"/>
        <n v="7138"/>
        <n v="136"/>
        <n v="1943"/>
        <n v="13976"/>
        <n v="207"/>
        <n v="4960"/>
        <n v="13121"/>
        <n v="1142"/>
        <n v="15256"/>
        <n v="1500"/>
        <n v="4213"/>
        <n v="383"/>
        <n v="69500"/>
        <n v="7342"/>
        <n v="28856"/>
        <n v="3249"/>
        <n v="33945"/>
        <n v="397"/>
        <n v="48381"/>
        <n v="451"/>
        <n v="15176"/>
        <n v="171"/>
        <n v="147698"/>
        <n v="1561"/>
        <n v="53921"/>
        <n v="754"/>
        <n v="9165"/>
        <n v="1480"/>
        <n v="18286"/>
        <n v="2829"/>
        <n v="4951"/>
        <n v="48513"/>
        <n v="7340"/>
        <n v="18231"/>
        <n v="2601"/>
        <n v="62884"/>
        <n v="1395"/>
        <n v="110013"/>
        <n v="2795"/>
        <n v="45512"/>
        <n v="816"/>
        <n v="284180"/>
        <n v="6052"/>
        <n v="94297"/>
        <n v="2545"/>
        <n v="221815"/>
        <n v="833"/>
        <n v="458278"/>
        <n v="1157"/>
        <n v="246666"/>
        <n v="465"/>
        <n v="837774"/>
        <n v="2405"/>
        <n v="269314"/>
        <n v="971"/>
        <n v="22488"/>
        <n v="880"/>
        <n v="53016"/>
        <n v="1958"/>
        <n v="27210"/>
        <n v="807"/>
        <n v="83425"/>
        <n v="2512"/>
        <n v="30107"/>
        <n v="826"/>
        <n v="6327"/>
        <n v="11250"/>
        <n v="63"/>
        <n v="2845"/>
        <n v="40966"/>
        <n v="282"/>
        <n v="91"/>
        <n v="17877"/>
        <n v="35273"/>
        <n v="38"/>
        <n v="12212"/>
        <n v="87310"/>
        <n v="29478"/>
        <n v="2821"/>
        <n v="7246"/>
        <n v="1973"/>
        <n v="14186"/>
        <n v="211"/>
        <n v="5035"/>
        <n v="65"/>
        <n v="13318"/>
        <n v="1160"/>
        <n v="15485"/>
        <n v="1523"/>
        <n v="4277"/>
        <n v="389"/>
        <n v="70543"/>
        <n v="7453"/>
        <n v="29289"/>
        <n v="3298"/>
        <n v="34455"/>
        <n v="49107"/>
        <n v="15404"/>
        <n v="174"/>
        <n v="149914"/>
        <n v="1585"/>
        <n v="54730"/>
        <n v="766"/>
        <n v="9303"/>
        <n v="1503"/>
        <n v="18561"/>
        <n v="2872"/>
        <n v="5026"/>
        <n v="797"/>
        <n v="49241"/>
        <n v="7451"/>
        <n v="18505"/>
        <n v="2641"/>
        <n v="64771"/>
        <n v="1437"/>
        <n v="113314"/>
        <n v="2879"/>
        <n v="46878"/>
        <n v="841"/>
        <n v="292706"/>
        <n v="6234"/>
        <n v="97126"/>
        <n v="2622"/>
        <n v="228470"/>
        <n v="472027"/>
        <n v="1192"/>
        <n v="254066"/>
        <n v="479"/>
        <n v="862908"/>
        <n v="277394"/>
        <n v="1001"/>
        <n v="23163"/>
        <n v="907"/>
        <n v="54607"/>
        <n v="2017"/>
        <n v="28027"/>
        <n v="832"/>
        <n v="85928"/>
        <n v="2588"/>
        <n v="31011"/>
        <n v="851"/>
        <n v="6517"/>
        <n v="11588"/>
        <n v="2931"/>
        <n v="42196"/>
        <n v="291"/>
        <n v="14045"/>
        <n v="18414"/>
        <n v="36332"/>
        <n v="12579"/>
        <n v="89930"/>
        <n v="113"/>
        <n v="30363"/>
        <n v="2906"/>
        <n v="7464"/>
        <n v="144"/>
        <n v="2033"/>
        <n v="14612"/>
        <n v="218"/>
        <n v="5187"/>
        <n v="67"/>
        <n v="13718"/>
        <n v="1195"/>
        <n v="15950"/>
        <n v="1569"/>
        <n v="4406"/>
        <n v="401"/>
        <n v="72660"/>
        <n v="7677"/>
        <n v="30168"/>
        <n v="3397"/>
        <n v="35489"/>
        <n v="416"/>
        <n v="50581"/>
        <n v="472"/>
        <n v="15867"/>
        <n v="154412"/>
        <n v="1633"/>
        <n v="56372"/>
        <n v="789"/>
        <n v="9583"/>
        <n v="1549"/>
        <n v="19118"/>
        <n v="2959"/>
        <n v="5177"/>
        <n v="821"/>
        <n v="50719"/>
        <n v="7675"/>
        <n v="19061"/>
        <n v="2721"/>
        <n v="66067"/>
        <n v="1466"/>
        <n v="115581"/>
        <n v="2937"/>
        <n v="47816"/>
        <n v="858"/>
        <n v="298561"/>
        <n v="3217"/>
        <n v="99069"/>
        <n v="2675"/>
        <n v="233040"/>
        <n v="481468"/>
        <n v="1216"/>
        <n v="259148"/>
        <n v="489"/>
        <n v="880167"/>
        <n v="2528"/>
        <n v="282942"/>
        <n v="1022"/>
        <n v="23627"/>
        <n v="926"/>
        <n v="55700"/>
        <n v="2058"/>
        <n v="28588"/>
        <n v="849"/>
        <n v="87647"/>
        <n v="2640"/>
        <n v="31632"/>
        <n v="869"/>
        <n v="6648"/>
        <n v="11820"/>
        <n v="2990"/>
        <n v="43040"/>
        <n v="14326"/>
        <n v="18783"/>
        <n v="37059"/>
        <n v="12831"/>
        <n v="91729"/>
        <n v="116"/>
        <n v="30971"/>
        <n v="2965"/>
        <n v="7614"/>
        <n v="147"/>
        <n v="2074"/>
        <n v="14905"/>
        <n v="5291"/>
        <n v="69"/>
        <n v="13993"/>
        <n v="1219"/>
        <n v="16269"/>
        <n v="1601"/>
        <n v="4495"/>
        <n v="410"/>
        <n v="74114"/>
        <n v="3420"/>
        <n v="30772"/>
        <n v="3465"/>
        <n v="36199"/>
        <n v="425"/>
        <n v="51593"/>
        <n v="482"/>
        <n v="16185"/>
        <n v="184"/>
        <n v="157501"/>
        <n v="1666"/>
        <n v="57500"/>
        <n v="805"/>
        <n v="9775"/>
        <n v="1580"/>
        <n v="19501"/>
        <n v="3019"/>
        <n v="5281"/>
        <n v="838"/>
        <n v="51734"/>
        <n v="7829"/>
        <n v="19443"/>
        <n v="2776"/>
      </sharedItems>
    </cacheField>
    <cacheField name="Anúncios aprovados" numFmtId="0">
      <sharedItems containsSemiMixedTypes="0" containsString="0" containsNumber="1" containsInteger="1" minValue="0" maxValue="2520956"/>
    </cacheField>
    <cacheField name="Receita" numFmtId="2">
      <sharedItems containsSemiMixedTypes="0" containsString="0" containsNumber="1" minValue="0" maxValue="1367061.3177653947"/>
    </cacheField>
    <cacheField name="Trimestres" numFmtId="0" databaseField="0">
      <fieldGroup base="0">
        <rangePr groupBy="quarters" startDate="2018-01-01T00:00:00" endDate="2019-09-02T00:00:00"/>
        <groupItems count="6">
          <s v="&lt;01/01/2018"/>
          <s v="Trim1"/>
          <s v="Trim2"/>
          <s v="Trim3"/>
          <s v="Trim4"/>
          <s v="&gt;02/09/2019"/>
        </groupItems>
      </fieldGroup>
    </cacheField>
    <cacheField name="Anos" numFmtId="0" databaseField="0">
      <fieldGroup base="0">
        <rangePr groupBy="years" startDate="2018-01-01T00:00:00" endDate="2019-09-02T00:00:00"/>
        <groupItems count="4">
          <s v="&lt;01/01/2018"/>
          <s v="2018"/>
          <s v="2019"/>
          <s v="&gt;02/09/2019"/>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890">
  <r>
    <x v="0"/>
    <x v="0"/>
    <x v="0"/>
    <x v="0"/>
    <x v="0"/>
    <x v="0"/>
    <x v="0"/>
    <n v="54396"/>
    <n v="40847.487610599572"/>
  </r>
  <r>
    <x v="0"/>
    <x v="0"/>
    <x v="0"/>
    <x v="0"/>
    <x v="1"/>
    <x v="1"/>
    <x v="1"/>
    <n v="5944"/>
    <n v="206369.85862616188"/>
  </r>
  <r>
    <x v="0"/>
    <x v="0"/>
    <x v="0"/>
    <x v="1"/>
    <x v="0"/>
    <x v="2"/>
    <x v="2"/>
    <n v="94709"/>
    <n v="68830.121880633218"/>
  </r>
  <r>
    <x v="0"/>
    <x v="0"/>
    <x v="0"/>
    <x v="1"/>
    <x v="1"/>
    <x v="3"/>
    <x v="3"/>
    <n v="14849"/>
    <n v="319140.25844632764"/>
  </r>
  <r>
    <x v="0"/>
    <x v="0"/>
    <x v="0"/>
    <x v="2"/>
    <x v="0"/>
    <x v="4"/>
    <x v="4"/>
    <n v="42596"/>
    <n v="31956.023798873768"/>
  </r>
  <r>
    <x v="0"/>
    <x v="0"/>
    <x v="0"/>
    <x v="2"/>
    <x v="1"/>
    <x v="5"/>
    <x v="5"/>
    <n v="4864"/>
    <n v="79356.748602860273"/>
  </r>
  <r>
    <x v="0"/>
    <x v="0"/>
    <x v="0"/>
    <x v="3"/>
    <x v="0"/>
    <x v="6"/>
    <x v="6"/>
    <n v="233185"/>
    <n v="177066.73244169677"/>
  </r>
  <r>
    <x v="0"/>
    <x v="0"/>
    <x v="0"/>
    <x v="3"/>
    <x v="1"/>
    <x v="7"/>
    <x v="7"/>
    <n v="28726"/>
    <n v="964869.8627550056"/>
  </r>
  <r>
    <x v="0"/>
    <x v="0"/>
    <x v="0"/>
    <x v="4"/>
    <x v="0"/>
    <x v="8"/>
    <x v="8"/>
    <n v="78158"/>
    <n v="76498.381951601259"/>
  </r>
  <r>
    <x v="0"/>
    <x v="0"/>
    <x v="0"/>
    <x v="4"/>
    <x v="1"/>
    <x v="9"/>
    <x v="9"/>
    <n v="10836"/>
    <n v="365189.39312359545"/>
  </r>
  <r>
    <x v="0"/>
    <x v="0"/>
    <x v="1"/>
    <x v="0"/>
    <x v="0"/>
    <x v="10"/>
    <x v="10"/>
    <n v="498445"/>
    <n v="122184.90311515222"/>
  </r>
  <r>
    <x v="0"/>
    <x v="0"/>
    <x v="1"/>
    <x v="0"/>
    <x v="1"/>
    <x v="11"/>
    <x v="11"/>
    <n v="16626"/>
    <n v="12203.951131505855"/>
  </r>
  <r>
    <x v="0"/>
    <x v="0"/>
    <x v="1"/>
    <x v="1"/>
    <x v="0"/>
    <x v="12"/>
    <x v="12"/>
    <n v="1006155"/>
    <n v="162249.99167936124"/>
  </r>
  <r>
    <x v="0"/>
    <x v="0"/>
    <x v="1"/>
    <x v="1"/>
    <x v="1"/>
    <x v="13"/>
    <x v="13"/>
    <n v="12385"/>
    <n v="14246.154579779433"/>
  </r>
  <r>
    <x v="0"/>
    <x v="0"/>
    <x v="1"/>
    <x v="2"/>
    <x v="0"/>
    <x v="14"/>
    <x v="14"/>
    <n v="591975"/>
    <n v="65352.896769924962"/>
  </r>
  <r>
    <x v="0"/>
    <x v="0"/>
    <x v="1"/>
    <x v="2"/>
    <x v="1"/>
    <x v="15"/>
    <x v="15"/>
    <n v="4710"/>
    <n v="6113.655604055195"/>
  </r>
  <r>
    <x v="0"/>
    <x v="0"/>
    <x v="1"/>
    <x v="3"/>
    <x v="0"/>
    <x v="16"/>
    <x v="16"/>
    <n v="1747777"/>
    <n v="421258.88095478382"/>
  </r>
  <r>
    <x v="0"/>
    <x v="0"/>
    <x v="1"/>
    <x v="3"/>
    <x v="1"/>
    <x v="17"/>
    <x v="17"/>
    <n v="42939"/>
    <n v="27605.363342257362"/>
  </r>
  <r>
    <x v="0"/>
    <x v="0"/>
    <x v="1"/>
    <x v="4"/>
    <x v="0"/>
    <x v="18"/>
    <x v="18"/>
    <n v="559233"/>
    <n v="143062.66799282431"/>
  </r>
  <r>
    <x v="0"/>
    <x v="0"/>
    <x v="1"/>
    <x v="4"/>
    <x v="1"/>
    <x v="19"/>
    <x v="19"/>
    <n v="15474"/>
    <n v="11099.529662141649"/>
  </r>
  <r>
    <x v="0"/>
    <x v="0"/>
    <x v="2"/>
    <x v="0"/>
    <x v="0"/>
    <x v="20"/>
    <x v="20"/>
    <n v="17244"/>
    <n v="87183.714412448302"/>
  </r>
  <r>
    <x v="0"/>
    <x v="0"/>
    <x v="2"/>
    <x v="0"/>
    <x v="1"/>
    <x v="21"/>
    <x v="21"/>
    <n v="6613"/>
    <n v="14825.605193963334"/>
  </r>
  <r>
    <x v="0"/>
    <x v="0"/>
    <x v="2"/>
    <x v="1"/>
    <x v="0"/>
    <x v="22"/>
    <x v="22"/>
    <n v="40581"/>
    <n v="155386.97039955793"/>
  </r>
  <r>
    <x v="0"/>
    <x v="0"/>
    <x v="2"/>
    <x v="1"/>
    <x v="1"/>
    <x v="23"/>
    <x v="23"/>
    <n v="35993"/>
    <n v="24639.87138687363"/>
  </r>
  <r>
    <x v="0"/>
    <x v="0"/>
    <x v="2"/>
    <x v="2"/>
    <x v="0"/>
    <x v="24"/>
    <x v="24"/>
    <n v="20530"/>
    <n v="57442.039090578153"/>
  </r>
  <r>
    <x v="0"/>
    <x v="0"/>
    <x v="2"/>
    <x v="2"/>
    <x v="1"/>
    <x v="25"/>
    <x v="25"/>
    <n v="19330"/>
    <n v="10721.154821051174"/>
  </r>
  <r>
    <x v="0"/>
    <x v="0"/>
    <x v="2"/>
    <x v="3"/>
    <x v="0"/>
    <x v="26"/>
    <x v="26"/>
    <n v="62290"/>
    <n v="358372.54171121825"/>
  </r>
  <r>
    <x v="0"/>
    <x v="0"/>
    <x v="2"/>
    <x v="3"/>
    <x v="1"/>
    <x v="27"/>
    <x v="27"/>
    <n v="31348"/>
    <n v="48554.935737903048"/>
  </r>
  <r>
    <x v="0"/>
    <x v="0"/>
    <x v="2"/>
    <x v="4"/>
    <x v="0"/>
    <x v="28"/>
    <x v="28"/>
    <n v="22633"/>
    <n v="132880.49392987933"/>
  </r>
  <r>
    <x v="0"/>
    <x v="0"/>
    <x v="2"/>
    <x v="4"/>
    <x v="1"/>
    <x v="29"/>
    <x v="29"/>
    <n v="5994"/>
    <n v="16359.293534019698"/>
  </r>
  <r>
    <x v="0"/>
    <x v="1"/>
    <x v="0"/>
    <x v="0"/>
    <x v="0"/>
    <x v="30"/>
    <x v="30"/>
    <n v="5213"/>
    <n v="1226.8048072729639"/>
  </r>
  <r>
    <x v="0"/>
    <x v="1"/>
    <x v="0"/>
    <x v="0"/>
    <x v="1"/>
    <x v="31"/>
    <x v="31"/>
    <n v="43"/>
    <n v="9561.423535353535"/>
  </r>
  <r>
    <x v="0"/>
    <x v="1"/>
    <x v="0"/>
    <x v="1"/>
    <x v="0"/>
    <x v="32"/>
    <x v="32"/>
    <n v="8894"/>
    <n v="1117.4780293655035"/>
  </r>
  <r>
    <x v="0"/>
    <x v="1"/>
    <x v="0"/>
    <x v="1"/>
    <x v="1"/>
    <x v="33"/>
    <x v="33"/>
    <n v="163"/>
    <n v="18258.316286206897"/>
  </r>
  <r>
    <x v="0"/>
    <x v="1"/>
    <x v="0"/>
    <x v="2"/>
    <x v="0"/>
    <x v="34"/>
    <x v="34"/>
    <n v="2240"/>
    <n v="357.31689332124512"/>
  </r>
  <r>
    <x v="0"/>
    <x v="1"/>
    <x v="0"/>
    <x v="2"/>
    <x v="1"/>
    <x v="35"/>
    <x v="35"/>
    <n v="6"/>
    <n v="730.23126760563378"/>
  </r>
  <r>
    <x v="0"/>
    <x v="1"/>
    <x v="0"/>
    <x v="3"/>
    <x v="0"/>
    <x v="36"/>
    <x v="36"/>
    <n v="31331"/>
    <n v="5283.8205313091003"/>
  </r>
  <r>
    <x v="0"/>
    <x v="1"/>
    <x v="0"/>
    <x v="3"/>
    <x v="1"/>
    <x v="37"/>
    <x v="37"/>
    <n v="534"/>
    <n v="87398.963985330061"/>
  </r>
  <r>
    <x v="0"/>
    <x v="1"/>
    <x v="0"/>
    <x v="4"/>
    <x v="0"/>
    <x v="38"/>
    <x v="38"/>
    <n v="10530"/>
    <n v="1602.4886776523704"/>
  </r>
  <r>
    <x v="0"/>
    <x v="1"/>
    <x v="0"/>
    <x v="4"/>
    <x v="1"/>
    <x v="39"/>
    <x v="39"/>
    <n v="183"/>
    <n v="27829.364903225804"/>
  </r>
  <r>
    <x v="0"/>
    <x v="1"/>
    <x v="1"/>
    <x v="0"/>
    <x v="0"/>
    <x v="40"/>
    <x v="40"/>
    <n v="25075"/>
    <n v="7713.5049294439486"/>
  </r>
  <r>
    <x v="0"/>
    <x v="1"/>
    <x v="1"/>
    <x v="0"/>
    <x v="1"/>
    <x v="41"/>
    <x v="41"/>
    <n v="13"/>
    <n v="67.841800000000006"/>
  </r>
  <r>
    <x v="0"/>
    <x v="1"/>
    <x v="1"/>
    <x v="1"/>
    <x v="0"/>
    <x v="42"/>
    <x v="42"/>
    <n v="48016"/>
    <n v="9799.7822736663366"/>
  </r>
  <r>
    <x v="0"/>
    <x v="1"/>
    <x v="1"/>
    <x v="1"/>
    <x v="1"/>
    <x v="43"/>
    <x v="43"/>
    <n v="115"/>
    <n v="193.32831528925618"/>
  </r>
  <r>
    <x v="0"/>
    <x v="1"/>
    <x v="1"/>
    <x v="2"/>
    <x v="0"/>
    <x v="44"/>
    <x v="44"/>
    <n v="16684"/>
    <n v="2719.9150588139528"/>
  </r>
  <r>
    <x v="0"/>
    <x v="1"/>
    <x v="1"/>
    <x v="2"/>
    <x v="1"/>
    <x v="45"/>
    <x v="45"/>
    <n v="0"/>
    <n v="0"/>
  </r>
  <r>
    <x v="0"/>
    <x v="1"/>
    <x v="1"/>
    <x v="3"/>
    <x v="0"/>
    <x v="46"/>
    <x v="46"/>
    <n v="118439"/>
    <n v="39081.050505190186"/>
  </r>
  <r>
    <x v="0"/>
    <x v="1"/>
    <x v="1"/>
    <x v="3"/>
    <x v="1"/>
    <x v="47"/>
    <x v="47"/>
    <n v="796"/>
    <n v="1066.6216024653313"/>
  </r>
  <r>
    <x v="0"/>
    <x v="1"/>
    <x v="1"/>
    <x v="4"/>
    <x v="0"/>
    <x v="48"/>
    <x v="48"/>
    <n v="37705"/>
    <n v="12852.074283732161"/>
  </r>
  <r>
    <x v="0"/>
    <x v="1"/>
    <x v="1"/>
    <x v="4"/>
    <x v="1"/>
    <x v="49"/>
    <x v="49"/>
    <n v="66"/>
    <n v="41.232065217391309"/>
  </r>
  <r>
    <x v="0"/>
    <x v="1"/>
    <x v="2"/>
    <x v="0"/>
    <x v="0"/>
    <x v="50"/>
    <x v="50"/>
    <n v="2201"/>
    <n v="7707.3892901044865"/>
  </r>
  <r>
    <x v="0"/>
    <x v="1"/>
    <x v="2"/>
    <x v="0"/>
    <x v="1"/>
    <x v="51"/>
    <x v="51"/>
    <n v="182"/>
    <n v="857.29041666666672"/>
  </r>
  <r>
    <x v="0"/>
    <x v="1"/>
    <x v="2"/>
    <x v="1"/>
    <x v="0"/>
    <x v="52"/>
    <x v="52"/>
    <n v="5324"/>
    <n v="16362.795305212185"/>
  </r>
  <r>
    <x v="0"/>
    <x v="1"/>
    <x v="2"/>
    <x v="1"/>
    <x v="1"/>
    <x v="53"/>
    <x v="53"/>
    <n v="385"/>
    <n v="1818.8402733118969"/>
  </r>
  <r>
    <x v="0"/>
    <x v="1"/>
    <x v="2"/>
    <x v="2"/>
    <x v="0"/>
    <x v="54"/>
    <x v="54"/>
    <n v="1446"/>
    <n v="5242.7549160447761"/>
  </r>
  <r>
    <x v="0"/>
    <x v="1"/>
    <x v="2"/>
    <x v="2"/>
    <x v="1"/>
    <x v="25"/>
    <x v="55"/>
    <n v="71"/>
    <n v="97.890315789473689"/>
  </r>
  <r>
    <x v="0"/>
    <x v="1"/>
    <x v="2"/>
    <x v="3"/>
    <x v="0"/>
    <x v="55"/>
    <x v="56"/>
    <n v="10587"/>
    <n v="49156.604354352428"/>
  </r>
  <r>
    <x v="0"/>
    <x v="1"/>
    <x v="2"/>
    <x v="3"/>
    <x v="1"/>
    <x v="56"/>
    <x v="57"/>
    <n v="748"/>
    <n v="4518.6494439692042"/>
  </r>
  <r>
    <x v="0"/>
    <x v="1"/>
    <x v="2"/>
    <x v="4"/>
    <x v="0"/>
    <x v="57"/>
    <x v="58"/>
    <n v="3694"/>
    <n v="14620.491345200955"/>
  </r>
  <r>
    <x v="0"/>
    <x v="1"/>
    <x v="2"/>
    <x v="4"/>
    <x v="1"/>
    <x v="29"/>
    <x v="59"/>
    <n v="472"/>
    <n v="1027.0697497020262"/>
  </r>
  <r>
    <x v="0"/>
    <x v="2"/>
    <x v="0"/>
    <x v="0"/>
    <x v="0"/>
    <x v="58"/>
    <x v="60"/>
    <n v="12162"/>
    <n v="18097.511752373506"/>
  </r>
  <r>
    <x v="0"/>
    <x v="2"/>
    <x v="0"/>
    <x v="0"/>
    <x v="1"/>
    <x v="59"/>
    <x v="61"/>
    <n v="14085"/>
    <n v="77875.341960447127"/>
  </r>
  <r>
    <x v="0"/>
    <x v="2"/>
    <x v="0"/>
    <x v="1"/>
    <x v="0"/>
    <x v="60"/>
    <x v="62"/>
    <n v="12845"/>
    <n v="27294.63337034687"/>
  </r>
  <r>
    <x v="0"/>
    <x v="2"/>
    <x v="0"/>
    <x v="1"/>
    <x v="1"/>
    <x v="61"/>
    <x v="63"/>
    <n v="15132"/>
    <n v="92205.182452578141"/>
  </r>
  <r>
    <x v="0"/>
    <x v="2"/>
    <x v="0"/>
    <x v="2"/>
    <x v="0"/>
    <x v="62"/>
    <x v="64"/>
    <n v="3647"/>
    <n v="6714.9659048680787"/>
  </r>
  <r>
    <x v="0"/>
    <x v="2"/>
    <x v="0"/>
    <x v="2"/>
    <x v="1"/>
    <x v="63"/>
    <x v="65"/>
    <n v="3004"/>
    <n v="22042.885691734271"/>
  </r>
  <r>
    <x v="0"/>
    <x v="2"/>
    <x v="0"/>
    <x v="3"/>
    <x v="0"/>
    <x v="64"/>
    <x v="66"/>
    <n v="56898"/>
    <n v="139730.15148446738"/>
  </r>
  <r>
    <x v="0"/>
    <x v="2"/>
    <x v="0"/>
    <x v="3"/>
    <x v="1"/>
    <x v="65"/>
    <x v="67"/>
    <n v="78085"/>
    <n v="439136.10204157"/>
  </r>
  <r>
    <x v="0"/>
    <x v="2"/>
    <x v="0"/>
    <x v="4"/>
    <x v="0"/>
    <x v="66"/>
    <x v="68"/>
    <n v="23282"/>
    <n v="57602.034993142493"/>
  </r>
  <r>
    <x v="0"/>
    <x v="2"/>
    <x v="0"/>
    <x v="4"/>
    <x v="1"/>
    <x v="67"/>
    <x v="69"/>
    <n v="34620"/>
    <n v="189579.12"/>
  </r>
  <r>
    <x v="0"/>
    <x v="2"/>
    <x v="1"/>
    <x v="0"/>
    <x v="0"/>
    <x v="68"/>
    <x v="70"/>
    <n v="109148"/>
    <n v="58166.632050400927"/>
  </r>
  <r>
    <x v="0"/>
    <x v="2"/>
    <x v="1"/>
    <x v="0"/>
    <x v="1"/>
    <x v="69"/>
    <x v="71"/>
    <n v="12723"/>
    <n v="10057.881628813471"/>
  </r>
  <r>
    <x v="0"/>
    <x v="2"/>
    <x v="1"/>
    <x v="1"/>
    <x v="0"/>
    <x v="70"/>
    <x v="72"/>
    <n v="133934"/>
    <n v="64226.804264599188"/>
  </r>
  <r>
    <x v="0"/>
    <x v="2"/>
    <x v="1"/>
    <x v="1"/>
    <x v="1"/>
    <x v="71"/>
    <x v="73"/>
    <n v="7880"/>
    <n v="9934"/>
  </r>
  <r>
    <x v="0"/>
    <x v="2"/>
    <x v="1"/>
    <x v="2"/>
    <x v="0"/>
    <x v="72"/>
    <x v="74"/>
    <n v="53562"/>
    <n v="17067.341445471488"/>
  </r>
  <r>
    <x v="0"/>
    <x v="2"/>
    <x v="1"/>
    <x v="2"/>
    <x v="1"/>
    <x v="73"/>
    <x v="75"/>
    <n v="3074"/>
    <n v="1678.3424948958759"/>
  </r>
  <r>
    <x v="0"/>
    <x v="2"/>
    <x v="1"/>
    <x v="3"/>
    <x v="0"/>
    <x v="74"/>
    <x v="76"/>
    <n v="390297"/>
    <n v="247203.80029098925"/>
  </r>
  <r>
    <x v="0"/>
    <x v="2"/>
    <x v="1"/>
    <x v="3"/>
    <x v="1"/>
    <x v="75"/>
    <x v="77"/>
    <n v="40149"/>
    <n v="29755.668452936632"/>
  </r>
  <r>
    <x v="0"/>
    <x v="2"/>
    <x v="1"/>
    <x v="4"/>
    <x v="0"/>
    <x v="76"/>
    <x v="78"/>
    <n v="131394"/>
    <n v="93720.699978898047"/>
  </r>
  <r>
    <x v="0"/>
    <x v="2"/>
    <x v="1"/>
    <x v="4"/>
    <x v="1"/>
    <x v="77"/>
    <x v="79"/>
    <n v="20705"/>
    <n v="16632.525110880895"/>
  </r>
  <r>
    <x v="0"/>
    <x v="2"/>
    <x v="2"/>
    <x v="0"/>
    <x v="0"/>
    <x v="78"/>
    <x v="80"/>
    <n v="7015"/>
    <n v="74350.689547038332"/>
  </r>
  <r>
    <x v="0"/>
    <x v="2"/>
    <x v="2"/>
    <x v="0"/>
    <x v="1"/>
    <x v="79"/>
    <x v="81"/>
    <n v="31985"/>
    <n v="18247.49172429059"/>
  </r>
  <r>
    <x v="0"/>
    <x v="2"/>
    <x v="2"/>
    <x v="1"/>
    <x v="0"/>
    <x v="80"/>
    <x v="82"/>
    <n v="14561"/>
    <n v="135391.954961045"/>
  </r>
  <r>
    <x v="0"/>
    <x v="2"/>
    <x v="2"/>
    <x v="1"/>
    <x v="1"/>
    <x v="81"/>
    <x v="83"/>
    <n v="98051"/>
    <n v="30722.583515488608"/>
  </r>
  <r>
    <x v="0"/>
    <x v="2"/>
    <x v="2"/>
    <x v="2"/>
    <x v="0"/>
    <x v="82"/>
    <x v="84"/>
    <n v="3934"/>
    <n v="37201.762475862073"/>
  </r>
  <r>
    <x v="0"/>
    <x v="2"/>
    <x v="2"/>
    <x v="2"/>
    <x v="1"/>
    <x v="83"/>
    <x v="85"/>
    <n v="25938"/>
    <n v="8470.0664990698642"/>
  </r>
  <r>
    <x v="0"/>
    <x v="2"/>
    <x v="2"/>
    <x v="3"/>
    <x v="0"/>
    <x v="84"/>
    <x v="86"/>
    <n v="36564"/>
    <n v="407799.63268226502"/>
  </r>
  <r>
    <x v="0"/>
    <x v="2"/>
    <x v="2"/>
    <x v="3"/>
    <x v="1"/>
    <x v="85"/>
    <x v="87"/>
    <n v="359009"/>
    <n v="82882.264804666178"/>
  </r>
  <r>
    <x v="0"/>
    <x v="2"/>
    <x v="2"/>
    <x v="4"/>
    <x v="0"/>
    <x v="86"/>
    <x v="88"/>
    <n v="14864"/>
    <n v="139185.35763114606"/>
  </r>
  <r>
    <x v="0"/>
    <x v="2"/>
    <x v="2"/>
    <x v="4"/>
    <x v="1"/>
    <x v="87"/>
    <x v="89"/>
    <n v="81603"/>
    <n v="33587.303324775137"/>
  </r>
  <r>
    <x v="1"/>
    <x v="0"/>
    <x v="0"/>
    <x v="0"/>
    <x v="0"/>
    <x v="88"/>
    <x v="90"/>
    <n v="54940"/>
    <n v="41255.992523831541"/>
  </r>
  <r>
    <x v="1"/>
    <x v="0"/>
    <x v="0"/>
    <x v="0"/>
    <x v="1"/>
    <x v="89"/>
    <x v="91"/>
    <n v="6009"/>
    <n v="208626.59496712763"/>
  </r>
  <r>
    <x v="1"/>
    <x v="0"/>
    <x v="0"/>
    <x v="1"/>
    <x v="0"/>
    <x v="90"/>
    <x v="92"/>
    <n v="95657"/>
    <n v="69519.084445361383"/>
  </r>
  <r>
    <x v="1"/>
    <x v="0"/>
    <x v="0"/>
    <x v="1"/>
    <x v="1"/>
    <x v="91"/>
    <x v="93"/>
    <n v="15003"/>
    <n v="322450.08401038818"/>
  </r>
  <r>
    <x v="1"/>
    <x v="0"/>
    <x v="0"/>
    <x v="2"/>
    <x v="0"/>
    <x v="92"/>
    <x v="94"/>
    <n v="43023"/>
    <n v="32276.364257182508"/>
  </r>
  <r>
    <x v="1"/>
    <x v="0"/>
    <x v="0"/>
    <x v="2"/>
    <x v="1"/>
    <x v="93"/>
    <x v="95"/>
    <n v="4914"/>
    <n v="80172.504653465337"/>
  </r>
  <r>
    <x v="1"/>
    <x v="0"/>
    <x v="0"/>
    <x v="3"/>
    <x v="0"/>
    <x v="94"/>
    <x v="96"/>
    <n v="235517"/>
    <n v="178837.51366713597"/>
  </r>
  <r>
    <x v="1"/>
    <x v="0"/>
    <x v="0"/>
    <x v="3"/>
    <x v="1"/>
    <x v="95"/>
    <x v="97"/>
    <n v="29013"/>
    <n v="974509.82831271249"/>
  </r>
  <r>
    <x v="1"/>
    <x v="0"/>
    <x v="0"/>
    <x v="4"/>
    <x v="0"/>
    <x v="96"/>
    <x v="98"/>
    <n v="78939"/>
    <n v="77262.798086919473"/>
  </r>
  <r>
    <x v="1"/>
    <x v="0"/>
    <x v="0"/>
    <x v="4"/>
    <x v="1"/>
    <x v="97"/>
    <x v="99"/>
    <n v="10948"/>
    <n v="368963.96049438196"/>
  </r>
  <r>
    <x v="1"/>
    <x v="0"/>
    <x v="1"/>
    <x v="0"/>
    <x v="0"/>
    <x v="98"/>
    <x v="100"/>
    <n v="503430"/>
    <n v="123406.88696899575"/>
  </r>
  <r>
    <x v="1"/>
    <x v="0"/>
    <x v="1"/>
    <x v="0"/>
    <x v="1"/>
    <x v="99"/>
    <x v="101"/>
    <n v="16793"/>
    <n v="12326.533823612284"/>
  </r>
  <r>
    <x v="1"/>
    <x v="0"/>
    <x v="1"/>
    <x v="1"/>
    <x v="0"/>
    <x v="100"/>
    <x v="102"/>
    <n v="1016217"/>
    <n v="163872.56416200826"/>
  </r>
  <r>
    <x v="1"/>
    <x v="0"/>
    <x v="1"/>
    <x v="1"/>
    <x v="1"/>
    <x v="101"/>
    <x v="103"/>
    <n v="12518"/>
    <n v="14399.141140870322"/>
  </r>
  <r>
    <x v="1"/>
    <x v="0"/>
    <x v="1"/>
    <x v="2"/>
    <x v="0"/>
    <x v="102"/>
    <x v="104"/>
    <n v="597896"/>
    <n v="66006.563735210191"/>
  </r>
  <r>
    <x v="1"/>
    <x v="0"/>
    <x v="1"/>
    <x v="2"/>
    <x v="1"/>
    <x v="103"/>
    <x v="105"/>
    <n v="4767"/>
    <n v="6187.6425190087293"/>
  </r>
  <r>
    <x v="1"/>
    <x v="0"/>
    <x v="1"/>
    <x v="3"/>
    <x v="0"/>
    <x v="104"/>
    <x v="106"/>
    <n v="1765257"/>
    <n v="425472.00725126761"/>
  </r>
  <r>
    <x v="1"/>
    <x v="0"/>
    <x v="1"/>
    <x v="3"/>
    <x v="1"/>
    <x v="105"/>
    <x v="107"/>
    <n v="43383"/>
    <n v="27890.809703932347"/>
  </r>
  <r>
    <x v="1"/>
    <x v="0"/>
    <x v="1"/>
    <x v="4"/>
    <x v="0"/>
    <x v="106"/>
    <x v="108"/>
    <n v="564826"/>
    <n v="144493.46607177149"/>
  </r>
  <r>
    <x v="1"/>
    <x v="0"/>
    <x v="1"/>
    <x v="4"/>
    <x v="1"/>
    <x v="107"/>
    <x v="109"/>
    <n v="15629"/>
    <n v="11210.711457258099"/>
  </r>
  <r>
    <x v="1"/>
    <x v="0"/>
    <x v="2"/>
    <x v="0"/>
    <x v="0"/>
    <x v="108"/>
    <x v="110"/>
    <n v="17417"/>
    <n v="88058.382853259813"/>
  </r>
  <r>
    <x v="1"/>
    <x v="0"/>
    <x v="2"/>
    <x v="0"/>
    <x v="1"/>
    <x v="109"/>
    <x v="111"/>
    <n v="6686"/>
    <n v="14989.263016307099"/>
  </r>
  <r>
    <x v="1"/>
    <x v="0"/>
    <x v="2"/>
    <x v="1"/>
    <x v="0"/>
    <x v="110"/>
    <x v="112"/>
    <n v="40987"/>
    <n v="156941.56762442229"/>
  </r>
  <r>
    <x v="1"/>
    <x v="0"/>
    <x v="2"/>
    <x v="1"/>
    <x v="1"/>
    <x v="111"/>
    <x v="113"/>
    <n v="36374"/>
    <n v="24900.694074573985"/>
  </r>
  <r>
    <x v="1"/>
    <x v="0"/>
    <x v="2"/>
    <x v="2"/>
    <x v="0"/>
    <x v="112"/>
    <x v="114"/>
    <n v="20736"/>
    <n v="58018.418050766129"/>
  </r>
  <r>
    <x v="1"/>
    <x v="0"/>
    <x v="2"/>
    <x v="2"/>
    <x v="1"/>
    <x v="113"/>
    <x v="5"/>
    <n v="19530"/>
    <n v="10832.082444652324"/>
  </r>
  <r>
    <x v="1"/>
    <x v="0"/>
    <x v="2"/>
    <x v="3"/>
    <x v="0"/>
    <x v="114"/>
    <x v="115"/>
    <n v="62914"/>
    <n v="361962.59574923076"/>
  </r>
  <r>
    <x v="1"/>
    <x v="0"/>
    <x v="2"/>
    <x v="3"/>
    <x v="1"/>
    <x v="115"/>
    <x v="116"/>
    <n v="31675"/>
    <n v="49061.426231277241"/>
  </r>
  <r>
    <x v="1"/>
    <x v="0"/>
    <x v="2"/>
    <x v="4"/>
    <x v="0"/>
    <x v="116"/>
    <x v="117"/>
    <n v="22860"/>
    <n v="134213.23250285166"/>
  </r>
  <r>
    <x v="1"/>
    <x v="0"/>
    <x v="2"/>
    <x v="4"/>
    <x v="1"/>
    <x v="117"/>
    <x v="118"/>
    <n v="6054"/>
    <n v="16523.050226051928"/>
  </r>
  <r>
    <x v="1"/>
    <x v="1"/>
    <x v="0"/>
    <x v="0"/>
    <x v="0"/>
    <x v="118"/>
    <x v="119"/>
    <n v="5266"/>
    <n v="1239.2775973718449"/>
  </r>
  <r>
    <x v="1"/>
    <x v="1"/>
    <x v="0"/>
    <x v="0"/>
    <x v="1"/>
    <x v="119"/>
    <x v="120"/>
    <n v="45"/>
    <n v="10006.140909090907"/>
  </r>
  <r>
    <x v="1"/>
    <x v="1"/>
    <x v="0"/>
    <x v="1"/>
    <x v="0"/>
    <x v="120"/>
    <x v="121"/>
    <n v="8983"/>
    <n v="1128.6603483011374"/>
  </r>
  <r>
    <x v="1"/>
    <x v="1"/>
    <x v="0"/>
    <x v="1"/>
    <x v="1"/>
    <x v="121"/>
    <x v="59"/>
    <n v="168"/>
    <n v="18818.387337931035"/>
  </r>
  <r>
    <x v="1"/>
    <x v="1"/>
    <x v="0"/>
    <x v="2"/>
    <x v="0"/>
    <x v="122"/>
    <x v="122"/>
    <n v="2263"/>
    <n v="360.98577213659718"/>
  </r>
  <r>
    <x v="1"/>
    <x v="1"/>
    <x v="0"/>
    <x v="2"/>
    <x v="1"/>
    <x v="123"/>
    <x v="123"/>
    <n v="9"/>
    <n v="1095.3469014084508"/>
  </r>
  <r>
    <x v="1"/>
    <x v="1"/>
    <x v="0"/>
    <x v="3"/>
    <x v="0"/>
    <x v="124"/>
    <x v="124"/>
    <n v="31645"/>
    <n v="5336.7751017610826"/>
  </r>
  <r>
    <x v="1"/>
    <x v="1"/>
    <x v="0"/>
    <x v="3"/>
    <x v="1"/>
    <x v="125"/>
    <x v="125"/>
    <n v="539"/>
    <n v="88217.306344743265"/>
  </r>
  <r>
    <x v="1"/>
    <x v="1"/>
    <x v="0"/>
    <x v="4"/>
    <x v="0"/>
    <x v="126"/>
    <x v="126"/>
    <n v="10636"/>
    <n v="1618.6200926410838"/>
  </r>
  <r>
    <x v="1"/>
    <x v="1"/>
    <x v="0"/>
    <x v="4"/>
    <x v="1"/>
    <x v="127"/>
    <x v="127"/>
    <n v="186"/>
    <n v="28285.583999999999"/>
  </r>
  <r>
    <x v="1"/>
    <x v="1"/>
    <x v="1"/>
    <x v="0"/>
    <x v="0"/>
    <x v="128"/>
    <x v="128"/>
    <n v="25327"/>
    <n v="7791.0245004198168"/>
  </r>
  <r>
    <x v="1"/>
    <x v="1"/>
    <x v="1"/>
    <x v="0"/>
    <x v="1"/>
    <x v="129"/>
    <x v="129"/>
    <n v="15"/>
    <n v="78.279000000000011"/>
  </r>
  <r>
    <x v="1"/>
    <x v="1"/>
    <x v="1"/>
    <x v="1"/>
    <x v="0"/>
    <x v="130"/>
    <x v="130"/>
    <n v="48497"/>
    <n v="9897.9515354464402"/>
  </r>
  <r>
    <x v="1"/>
    <x v="1"/>
    <x v="1"/>
    <x v="1"/>
    <x v="1"/>
    <x v="131"/>
    <x v="131"/>
    <n v="121"/>
    <n v="203.41501"/>
  </r>
  <r>
    <x v="1"/>
    <x v="1"/>
    <x v="1"/>
    <x v="2"/>
    <x v="0"/>
    <x v="132"/>
    <x v="132"/>
    <n v="16851"/>
    <n v="2747.1402934592375"/>
  </r>
  <r>
    <x v="1"/>
    <x v="1"/>
    <x v="1"/>
    <x v="2"/>
    <x v="1"/>
    <x v="133"/>
    <x v="45"/>
    <n v="0"/>
    <n v="0"/>
  </r>
  <r>
    <x v="1"/>
    <x v="1"/>
    <x v="1"/>
    <x v="3"/>
    <x v="0"/>
    <x v="134"/>
    <x v="133"/>
    <n v="119624"/>
    <n v="39472.062290570429"/>
  </r>
  <r>
    <x v="1"/>
    <x v="1"/>
    <x v="1"/>
    <x v="3"/>
    <x v="1"/>
    <x v="135"/>
    <x v="134"/>
    <n v="807"/>
    <n v="1081.3613482280432"/>
  </r>
  <r>
    <x v="1"/>
    <x v="1"/>
    <x v="1"/>
    <x v="4"/>
    <x v="0"/>
    <x v="136"/>
    <x v="135"/>
    <n v="38083"/>
    <n v="12980.918842258901"/>
  </r>
  <r>
    <x v="1"/>
    <x v="1"/>
    <x v="1"/>
    <x v="4"/>
    <x v="1"/>
    <x v="137"/>
    <x v="136"/>
    <n v="72"/>
    <n v="44.980434782608697"/>
  </r>
  <r>
    <x v="1"/>
    <x v="1"/>
    <x v="2"/>
    <x v="0"/>
    <x v="0"/>
    <x v="138"/>
    <x v="137"/>
    <n v="2224"/>
    <n v="7787.9299323909036"/>
  </r>
  <r>
    <x v="1"/>
    <x v="1"/>
    <x v="2"/>
    <x v="0"/>
    <x v="1"/>
    <x v="139"/>
    <x v="138"/>
    <n v="188"/>
    <n v="885.55273809523817"/>
  </r>
  <r>
    <x v="1"/>
    <x v="1"/>
    <x v="2"/>
    <x v="1"/>
    <x v="0"/>
    <x v="140"/>
    <x v="139"/>
    <n v="5377"/>
    <n v="16525.685641646491"/>
  </r>
  <r>
    <x v="1"/>
    <x v="1"/>
    <x v="2"/>
    <x v="1"/>
    <x v="1"/>
    <x v="141"/>
    <x v="140"/>
    <n v="389"/>
    <n v="1837.7373151125398"/>
  </r>
  <r>
    <x v="1"/>
    <x v="1"/>
    <x v="2"/>
    <x v="2"/>
    <x v="0"/>
    <x v="142"/>
    <x v="141"/>
    <n v="1462"/>
    <n v="5300.7660354477612"/>
  </r>
  <r>
    <x v="1"/>
    <x v="1"/>
    <x v="2"/>
    <x v="2"/>
    <x v="1"/>
    <x v="113"/>
    <x v="41"/>
    <n v="81"/>
    <n v="111.67768421052632"/>
  </r>
  <r>
    <x v="1"/>
    <x v="1"/>
    <x v="2"/>
    <x v="3"/>
    <x v="0"/>
    <x v="143"/>
    <x v="142"/>
    <n v="10694"/>
    <n v="49653.417112066199"/>
  </r>
  <r>
    <x v="1"/>
    <x v="1"/>
    <x v="2"/>
    <x v="3"/>
    <x v="1"/>
    <x v="144"/>
    <x v="143"/>
    <n v="758"/>
    <n v="4579.0591958939258"/>
  </r>
  <r>
    <x v="1"/>
    <x v="1"/>
    <x v="2"/>
    <x v="4"/>
    <x v="0"/>
    <x v="145"/>
    <x v="144"/>
    <n v="3731"/>
    <n v="14766.933732795009"/>
  </r>
  <r>
    <x v="1"/>
    <x v="1"/>
    <x v="2"/>
    <x v="4"/>
    <x v="1"/>
    <x v="117"/>
    <x v="145"/>
    <n v="484"/>
    <n v="1053.1816924910609"/>
  </r>
  <r>
    <x v="1"/>
    <x v="2"/>
    <x v="0"/>
    <x v="0"/>
    <x v="0"/>
    <x v="146"/>
    <x v="146"/>
    <n v="12284"/>
    <n v="18279.052324137159"/>
  </r>
  <r>
    <x v="1"/>
    <x v="2"/>
    <x v="0"/>
    <x v="0"/>
    <x v="1"/>
    <x v="147"/>
    <x v="147"/>
    <n v="14236"/>
    <n v="78710.214281073859"/>
  </r>
  <r>
    <x v="1"/>
    <x v="2"/>
    <x v="0"/>
    <x v="1"/>
    <x v="0"/>
    <x v="148"/>
    <x v="148"/>
    <n v="12974"/>
    <n v="27568.748411590524"/>
  </r>
  <r>
    <x v="1"/>
    <x v="2"/>
    <x v="0"/>
    <x v="1"/>
    <x v="1"/>
    <x v="149"/>
    <x v="149"/>
    <n v="15297"/>
    <n v="93210.59185679935"/>
  </r>
  <r>
    <x v="1"/>
    <x v="2"/>
    <x v="0"/>
    <x v="2"/>
    <x v="0"/>
    <x v="150"/>
    <x v="150"/>
    <n v="3684"/>
    <n v="6783.0914158305459"/>
  </r>
  <r>
    <x v="1"/>
    <x v="2"/>
    <x v="0"/>
    <x v="2"/>
    <x v="1"/>
    <x v="151"/>
    <x v="151"/>
    <n v="3037"/>
    <n v="22285.034569173429"/>
  </r>
  <r>
    <x v="1"/>
    <x v="2"/>
    <x v="0"/>
    <x v="3"/>
    <x v="0"/>
    <x v="152"/>
    <x v="152"/>
    <n v="57468"/>
    <n v="141129.95791608442"/>
  </r>
  <r>
    <x v="1"/>
    <x v="2"/>
    <x v="0"/>
    <x v="3"/>
    <x v="1"/>
    <x v="153"/>
    <x v="153"/>
    <n v="78878"/>
    <n v="443595.79249324399"/>
  </r>
  <r>
    <x v="1"/>
    <x v="2"/>
    <x v="0"/>
    <x v="4"/>
    <x v="0"/>
    <x v="154"/>
    <x v="154"/>
    <n v="23515"/>
    <n v="58178.500681373844"/>
  </r>
  <r>
    <x v="1"/>
    <x v="2"/>
    <x v="0"/>
    <x v="4"/>
    <x v="1"/>
    <x v="155"/>
    <x v="155"/>
    <n v="34967"/>
    <n v="191479.29199999999"/>
  </r>
  <r>
    <x v="1"/>
    <x v="2"/>
    <x v="1"/>
    <x v="0"/>
    <x v="0"/>
    <x v="156"/>
    <x v="156"/>
    <n v="110240"/>
    <n v="58748.575486827045"/>
  </r>
  <r>
    <x v="1"/>
    <x v="2"/>
    <x v="1"/>
    <x v="0"/>
    <x v="1"/>
    <x v="157"/>
    <x v="157"/>
    <n v="12856"/>
    <n v="10163.021788888313"/>
  </r>
  <r>
    <x v="1"/>
    <x v="2"/>
    <x v="1"/>
    <x v="1"/>
    <x v="0"/>
    <x v="158"/>
    <x v="158"/>
    <n v="135274"/>
    <n v="64869.388804107919"/>
  </r>
  <r>
    <x v="1"/>
    <x v="2"/>
    <x v="1"/>
    <x v="1"/>
    <x v="1"/>
    <x v="159"/>
    <x v="159"/>
    <n v="7976"/>
    <n v="10055.023350253807"/>
  </r>
  <r>
    <x v="1"/>
    <x v="2"/>
    <x v="1"/>
    <x v="2"/>
    <x v="0"/>
    <x v="160"/>
    <x v="160"/>
    <n v="54101"/>
    <n v="17239.091884945537"/>
  </r>
  <r>
    <x v="1"/>
    <x v="2"/>
    <x v="1"/>
    <x v="2"/>
    <x v="1"/>
    <x v="161"/>
    <x v="161"/>
    <n v="3126"/>
    <n v="1706.7334544712128"/>
  </r>
  <r>
    <x v="1"/>
    <x v="2"/>
    <x v="1"/>
    <x v="3"/>
    <x v="0"/>
    <x v="162"/>
    <x v="162"/>
    <n v="394201"/>
    <n v="249676.49066866579"/>
  </r>
  <r>
    <x v="1"/>
    <x v="2"/>
    <x v="1"/>
    <x v="3"/>
    <x v="1"/>
    <x v="163"/>
    <x v="163"/>
    <n v="40569"/>
    <n v="30066.943472245541"/>
  </r>
  <r>
    <x v="1"/>
    <x v="2"/>
    <x v="1"/>
    <x v="4"/>
    <x v="0"/>
    <x v="164"/>
    <x v="164"/>
    <n v="132709"/>
    <n v="94658.663055387457"/>
  </r>
  <r>
    <x v="1"/>
    <x v="2"/>
    <x v="1"/>
    <x v="4"/>
    <x v="1"/>
    <x v="165"/>
    <x v="165"/>
    <n v="20930"/>
    <n v="16813.269769173494"/>
  </r>
  <r>
    <x v="1"/>
    <x v="2"/>
    <x v="2"/>
    <x v="0"/>
    <x v="0"/>
    <x v="166"/>
    <x v="166"/>
    <n v="7085"/>
    <n v="75092.606620209059"/>
  </r>
  <r>
    <x v="1"/>
    <x v="2"/>
    <x v="2"/>
    <x v="0"/>
    <x v="1"/>
    <x v="167"/>
    <x v="167"/>
    <n v="32309"/>
    <n v="18432.334222920264"/>
  </r>
  <r>
    <x v="1"/>
    <x v="2"/>
    <x v="2"/>
    <x v="1"/>
    <x v="0"/>
    <x v="168"/>
    <x v="168"/>
    <n v="14707"/>
    <n v="136749.50083181713"/>
  </r>
  <r>
    <x v="1"/>
    <x v="2"/>
    <x v="2"/>
    <x v="1"/>
    <x v="1"/>
    <x v="169"/>
    <x v="169"/>
    <n v="99039"/>
    <n v="31032.156212486116"/>
  </r>
  <r>
    <x v="1"/>
    <x v="2"/>
    <x v="2"/>
    <x v="2"/>
    <x v="0"/>
    <x v="170"/>
    <x v="170"/>
    <n v="3973"/>
    <n v="37570.564900000005"/>
  </r>
  <r>
    <x v="1"/>
    <x v="2"/>
    <x v="2"/>
    <x v="2"/>
    <x v="1"/>
    <x v="171"/>
    <x v="171"/>
    <n v="26210"/>
    <n v="8558.8882311905745"/>
  </r>
  <r>
    <x v="1"/>
    <x v="2"/>
    <x v="2"/>
    <x v="3"/>
    <x v="0"/>
    <x v="172"/>
    <x v="172"/>
    <n v="36930"/>
    <n v="411881.64410228771"/>
  </r>
  <r>
    <x v="1"/>
    <x v="2"/>
    <x v="2"/>
    <x v="3"/>
    <x v="1"/>
    <x v="173"/>
    <x v="173"/>
    <n v="362653"/>
    <n v="83723.533332608931"/>
  </r>
  <r>
    <x v="1"/>
    <x v="2"/>
    <x v="2"/>
    <x v="4"/>
    <x v="0"/>
    <x v="174"/>
    <x v="174"/>
    <n v="15013"/>
    <n v="140580.58221988668"/>
  </r>
  <r>
    <x v="1"/>
    <x v="2"/>
    <x v="2"/>
    <x v="4"/>
    <x v="1"/>
    <x v="175"/>
    <x v="175"/>
    <n v="82455"/>
    <n v="33937.981393384238"/>
  </r>
  <r>
    <x v="2"/>
    <x v="0"/>
    <x v="0"/>
    <x v="0"/>
    <x v="0"/>
    <x v="176"/>
    <x v="176"/>
    <n v="55764"/>
    <n v="41874.757318874079"/>
  </r>
  <r>
    <x v="2"/>
    <x v="0"/>
    <x v="0"/>
    <x v="0"/>
    <x v="1"/>
    <x v="177"/>
    <x v="177"/>
    <n v="6103"/>
    <n v="211890.18290637044"/>
  </r>
  <r>
    <x v="2"/>
    <x v="0"/>
    <x v="0"/>
    <x v="1"/>
    <x v="0"/>
    <x v="178"/>
    <x v="178"/>
    <n v="97092"/>
    <n v="70561.976091337041"/>
  </r>
  <r>
    <x v="2"/>
    <x v="0"/>
    <x v="0"/>
    <x v="1"/>
    <x v="1"/>
    <x v="179"/>
    <x v="179"/>
    <n v="15230"/>
    <n v="327328.85286130855"/>
  </r>
  <r>
    <x v="2"/>
    <x v="0"/>
    <x v="0"/>
    <x v="2"/>
    <x v="0"/>
    <x v="180"/>
    <x v="180"/>
    <n v="43669"/>
    <n v="32761.001109799479"/>
  </r>
  <r>
    <x v="2"/>
    <x v="0"/>
    <x v="0"/>
    <x v="2"/>
    <x v="1"/>
    <x v="181"/>
    <x v="118"/>
    <n v="4989"/>
    <n v="81396.138729372935"/>
  </r>
  <r>
    <x v="2"/>
    <x v="0"/>
    <x v="0"/>
    <x v="3"/>
    <x v="0"/>
    <x v="182"/>
    <x v="181"/>
    <n v="239050"/>
    <n v="181520.26241047931"/>
  </r>
  <r>
    <x v="2"/>
    <x v="0"/>
    <x v="0"/>
    <x v="3"/>
    <x v="1"/>
    <x v="183"/>
    <x v="182"/>
    <n v="29451"/>
    <n v="989221.69212551939"/>
  </r>
  <r>
    <x v="2"/>
    <x v="0"/>
    <x v="0"/>
    <x v="4"/>
    <x v="0"/>
    <x v="184"/>
    <x v="183"/>
    <n v="80124"/>
    <n v="78422.635628983597"/>
  </r>
  <r>
    <x v="2"/>
    <x v="0"/>
    <x v="0"/>
    <x v="4"/>
    <x v="1"/>
    <x v="185"/>
    <x v="184"/>
    <n v="11112"/>
    <n v="374491.00557303365"/>
  </r>
  <r>
    <x v="2"/>
    <x v="0"/>
    <x v="1"/>
    <x v="0"/>
    <x v="0"/>
    <x v="186"/>
    <x v="185"/>
    <n v="510983"/>
    <n v="125258.37022838996"/>
  </r>
  <r>
    <x v="2"/>
    <x v="0"/>
    <x v="1"/>
    <x v="0"/>
    <x v="1"/>
    <x v="187"/>
    <x v="186"/>
    <n v="17070"/>
    <n v="12529.859606327736"/>
  </r>
  <r>
    <x v="2"/>
    <x v="0"/>
    <x v="1"/>
    <x v="1"/>
    <x v="0"/>
    <x v="188"/>
    <x v="187"/>
    <n v="1031463"/>
    <n v="166331.0952761443"/>
  </r>
  <r>
    <x v="2"/>
    <x v="0"/>
    <x v="1"/>
    <x v="1"/>
    <x v="1"/>
    <x v="189"/>
    <x v="188"/>
    <n v="12711"/>
    <n v="14621.144195686426"/>
  </r>
  <r>
    <x v="2"/>
    <x v="0"/>
    <x v="1"/>
    <x v="2"/>
    <x v="0"/>
    <x v="190"/>
    <x v="189"/>
    <n v="606865"/>
    <n v="66996.724014156876"/>
  </r>
  <r>
    <x v="2"/>
    <x v="0"/>
    <x v="1"/>
    <x v="2"/>
    <x v="1"/>
    <x v="191"/>
    <x v="190"/>
    <n v="4853"/>
    <n v="6299.2718994649395"/>
  </r>
  <r>
    <x v="2"/>
    <x v="0"/>
    <x v="1"/>
    <x v="3"/>
    <x v="0"/>
    <x v="192"/>
    <x v="191"/>
    <n v="1791736"/>
    <n v="431854.12230873876"/>
  </r>
  <r>
    <x v="2"/>
    <x v="0"/>
    <x v="1"/>
    <x v="3"/>
    <x v="1"/>
    <x v="193"/>
    <x v="192"/>
    <n v="44047"/>
    <n v="28317.693452022868"/>
  </r>
  <r>
    <x v="2"/>
    <x v="0"/>
    <x v="1"/>
    <x v="4"/>
    <x v="0"/>
    <x v="194"/>
    <x v="193"/>
    <n v="573299"/>
    <n v="146661.02411270112"/>
  </r>
  <r>
    <x v="2"/>
    <x v="0"/>
    <x v="1"/>
    <x v="4"/>
    <x v="1"/>
    <x v="195"/>
    <x v="194"/>
    <n v="15872"/>
    <n v="11385.015819924534"/>
  </r>
  <r>
    <x v="2"/>
    <x v="0"/>
    <x v="2"/>
    <x v="0"/>
    <x v="0"/>
    <x v="196"/>
    <x v="195"/>
    <n v="17679"/>
    <n v="89383.02523182983"/>
  </r>
  <r>
    <x v="2"/>
    <x v="0"/>
    <x v="2"/>
    <x v="0"/>
    <x v="1"/>
    <x v="197"/>
    <x v="196"/>
    <n v="6790"/>
    <n v="15222.419365947533"/>
  </r>
  <r>
    <x v="2"/>
    <x v="0"/>
    <x v="2"/>
    <x v="1"/>
    <x v="0"/>
    <x v="198"/>
    <x v="197"/>
    <n v="41602"/>
    <n v="159296.43780494342"/>
  </r>
  <r>
    <x v="2"/>
    <x v="0"/>
    <x v="2"/>
    <x v="1"/>
    <x v="1"/>
    <x v="199"/>
    <x v="198"/>
    <n v="36933"/>
    <n v="25283.370931331199"/>
  </r>
  <r>
    <x v="2"/>
    <x v="0"/>
    <x v="2"/>
    <x v="2"/>
    <x v="0"/>
    <x v="200"/>
    <x v="199"/>
    <n v="21048"/>
    <n v="58891.38035940034"/>
  </r>
  <r>
    <x v="2"/>
    <x v="0"/>
    <x v="2"/>
    <x v="2"/>
    <x v="1"/>
    <x v="201"/>
    <x v="29"/>
    <n v="19830"/>
    <n v="10998.473880054049"/>
  </r>
  <r>
    <x v="2"/>
    <x v="0"/>
    <x v="2"/>
    <x v="3"/>
    <x v="0"/>
    <x v="202"/>
    <x v="200"/>
    <n v="63858"/>
    <n v="367393.70314007025"/>
  </r>
  <r>
    <x v="2"/>
    <x v="0"/>
    <x v="2"/>
    <x v="3"/>
    <x v="1"/>
    <x v="203"/>
    <x v="201"/>
    <n v="32156"/>
    <n v="49806.447415720628"/>
  </r>
  <r>
    <x v="2"/>
    <x v="0"/>
    <x v="2"/>
    <x v="4"/>
    <x v="0"/>
    <x v="204"/>
    <x v="202"/>
    <n v="23204"/>
    <n v="136232.88919493306"/>
  </r>
  <r>
    <x v="2"/>
    <x v="0"/>
    <x v="2"/>
    <x v="4"/>
    <x v="1"/>
    <x v="205"/>
    <x v="203"/>
    <n v="6155"/>
    <n v="16798.707324306179"/>
  </r>
  <r>
    <x v="2"/>
    <x v="1"/>
    <x v="0"/>
    <x v="0"/>
    <x v="0"/>
    <x v="206"/>
    <x v="204"/>
    <n v="5345"/>
    <n v="1257.8691146890449"/>
  </r>
  <r>
    <x v="2"/>
    <x v="1"/>
    <x v="0"/>
    <x v="0"/>
    <x v="1"/>
    <x v="207"/>
    <x v="205"/>
    <n v="48"/>
    <n v="10673.216969696969"/>
  </r>
  <r>
    <x v="2"/>
    <x v="1"/>
    <x v="0"/>
    <x v="1"/>
    <x v="0"/>
    <x v="208"/>
    <x v="206"/>
    <n v="9119"/>
    <n v="1145.7479367870503"/>
  </r>
  <r>
    <x v="2"/>
    <x v="1"/>
    <x v="0"/>
    <x v="1"/>
    <x v="1"/>
    <x v="209"/>
    <x v="145"/>
    <n v="172"/>
    <n v="19266.444179310347"/>
  </r>
  <r>
    <x v="2"/>
    <x v="1"/>
    <x v="0"/>
    <x v="2"/>
    <x v="0"/>
    <x v="210"/>
    <x v="207"/>
    <n v="2297"/>
    <n v="366.40933212450892"/>
  </r>
  <r>
    <x v="2"/>
    <x v="1"/>
    <x v="0"/>
    <x v="2"/>
    <x v="1"/>
    <x v="211"/>
    <x v="208"/>
    <n v="12"/>
    <n v="1460.4625352112676"/>
  </r>
  <r>
    <x v="2"/>
    <x v="1"/>
    <x v="0"/>
    <x v="3"/>
    <x v="0"/>
    <x v="212"/>
    <x v="209"/>
    <n v="32120"/>
    <n v="5416.8815379543676"/>
  </r>
  <r>
    <x v="2"/>
    <x v="1"/>
    <x v="0"/>
    <x v="3"/>
    <x v="1"/>
    <x v="213"/>
    <x v="210"/>
    <n v="548"/>
    <n v="89690.322591687029"/>
  </r>
  <r>
    <x v="2"/>
    <x v="1"/>
    <x v="0"/>
    <x v="4"/>
    <x v="0"/>
    <x v="214"/>
    <x v="211"/>
    <n v="10797"/>
    <n v="1643.1215814446955"/>
  </r>
  <r>
    <x v="2"/>
    <x v="1"/>
    <x v="0"/>
    <x v="4"/>
    <x v="1"/>
    <x v="215"/>
    <x v="212"/>
    <n v="189"/>
    <n v="28741.803096774191"/>
  </r>
  <r>
    <x v="2"/>
    <x v="1"/>
    <x v="1"/>
    <x v="0"/>
    <x v="0"/>
    <x v="216"/>
    <x v="213"/>
    <n v="25709"/>
    <n v="7908.5343262641873"/>
  </r>
  <r>
    <x v="2"/>
    <x v="1"/>
    <x v="1"/>
    <x v="0"/>
    <x v="1"/>
    <x v="217"/>
    <x v="214"/>
    <n v="17"/>
    <n v="88.716200000000001"/>
  </r>
  <r>
    <x v="2"/>
    <x v="1"/>
    <x v="1"/>
    <x v="1"/>
    <x v="0"/>
    <x v="218"/>
    <x v="215"/>
    <n v="49226"/>
    <n v="10046.73613386161"/>
  </r>
  <r>
    <x v="2"/>
    <x v="1"/>
    <x v="1"/>
    <x v="1"/>
    <x v="1"/>
    <x v="219"/>
    <x v="216"/>
    <n v="126"/>
    <n v="211.82058892561983"/>
  </r>
  <r>
    <x v="2"/>
    <x v="1"/>
    <x v="1"/>
    <x v="2"/>
    <x v="0"/>
    <x v="220"/>
    <x v="217"/>
    <n v="17105"/>
    <n v="2788.5487341772155"/>
  </r>
  <r>
    <x v="2"/>
    <x v="1"/>
    <x v="1"/>
    <x v="2"/>
    <x v="1"/>
    <x v="221"/>
    <x v="45"/>
    <n v="0"/>
    <n v="0"/>
  </r>
  <r>
    <x v="2"/>
    <x v="1"/>
    <x v="1"/>
    <x v="3"/>
    <x v="0"/>
    <x v="222"/>
    <x v="218"/>
    <n v="121420"/>
    <n v="40064.684372041243"/>
  </r>
  <r>
    <x v="2"/>
    <x v="1"/>
    <x v="1"/>
    <x v="3"/>
    <x v="1"/>
    <x v="223"/>
    <x v="219"/>
    <n v="828"/>
    <n v="1109.5008628659475"/>
  </r>
  <r>
    <x v="2"/>
    <x v="1"/>
    <x v="1"/>
    <x v="4"/>
    <x v="0"/>
    <x v="224"/>
    <x v="220"/>
    <n v="38656"/>
    <n v="13176.23083177166"/>
  </r>
  <r>
    <x v="2"/>
    <x v="1"/>
    <x v="1"/>
    <x v="4"/>
    <x v="1"/>
    <x v="225"/>
    <x v="221"/>
    <n v="78"/>
    <n v="48.728804347826085"/>
  </r>
  <r>
    <x v="2"/>
    <x v="1"/>
    <x v="2"/>
    <x v="0"/>
    <x v="0"/>
    <x v="226"/>
    <x v="222"/>
    <n v="2258"/>
    <n v="7906.9900122925628"/>
  </r>
  <r>
    <x v="2"/>
    <x v="1"/>
    <x v="2"/>
    <x v="0"/>
    <x v="1"/>
    <x v="227"/>
    <x v="223"/>
    <n v="194"/>
    <n v="913.81505952380962"/>
  </r>
  <r>
    <x v="2"/>
    <x v="1"/>
    <x v="2"/>
    <x v="1"/>
    <x v="0"/>
    <x v="228"/>
    <x v="224"/>
    <n v="5458"/>
    <n v="16774.631250159298"/>
  </r>
  <r>
    <x v="2"/>
    <x v="1"/>
    <x v="2"/>
    <x v="1"/>
    <x v="1"/>
    <x v="229"/>
    <x v="225"/>
    <n v="398"/>
    <n v="1880.2556591639868"/>
  </r>
  <r>
    <x v="2"/>
    <x v="1"/>
    <x v="2"/>
    <x v="2"/>
    <x v="0"/>
    <x v="230"/>
    <x v="226"/>
    <n v="1484"/>
    <n v="5380.5313246268652"/>
  </r>
  <r>
    <x v="2"/>
    <x v="1"/>
    <x v="2"/>
    <x v="2"/>
    <x v="1"/>
    <x v="201"/>
    <x v="129"/>
    <n v="91"/>
    <n v="125.46505263157896"/>
  </r>
  <r>
    <x v="2"/>
    <x v="1"/>
    <x v="2"/>
    <x v="3"/>
    <x v="0"/>
    <x v="231"/>
    <x v="227"/>
    <n v="10855"/>
    <n v="50400.957803579447"/>
  </r>
  <r>
    <x v="2"/>
    <x v="1"/>
    <x v="2"/>
    <x v="3"/>
    <x v="1"/>
    <x v="232"/>
    <x v="228"/>
    <n v="774"/>
    <n v="4675.7147989734813"/>
  </r>
  <r>
    <x v="2"/>
    <x v="1"/>
    <x v="2"/>
    <x v="4"/>
    <x v="0"/>
    <x v="233"/>
    <x v="229"/>
    <n v="3788"/>
    <n v="14992.5341677372"/>
  </r>
  <r>
    <x v="2"/>
    <x v="1"/>
    <x v="2"/>
    <x v="4"/>
    <x v="1"/>
    <x v="205"/>
    <x v="230"/>
    <n v="496"/>
    <n v="1079.2936352800953"/>
  </r>
  <r>
    <x v="2"/>
    <x v="2"/>
    <x v="0"/>
    <x v="0"/>
    <x v="0"/>
    <x v="234"/>
    <x v="231"/>
    <n v="12468"/>
    <n v="18552.851219256114"/>
  </r>
  <r>
    <x v="2"/>
    <x v="2"/>
    <x v="0"/>
    <x v="0"/>
    <x v="1"/>
    <x v="235"/>
    <x v="232"/>
    <n v="14455"/>
    <n v="79921.0555937709"/>
  </r>
  <r>
    <x v="2"/>
    <x v="2"/>
    <x v="0"/>
    <x v="1"/>
    <x v="0"/>
    <x v="236"/>
    <x v="233"/>
    <n v="13169"/>
    <n v="27983.108357656514"/>
  </r>
  <r>
    <x v="2"/>
    <x v="2"/>
    <x v="0"/>
    <x v="1"/>
    <x v="1"/>
    <x v="237"/>
    <x v="234"/>
    <n v="15530"/>
    <n v="94630.351803366284"/>
  </r>
  <r>
    <x v="2"/>
    <x v="2"/>
    <x v="0"/>
    <x v="2"/>
    <x v="0"/>
    <x v="238"/>
    <x v="235"/>
    <n v="3740"/>
    <n v="6886.2002972872533"/>
  </r>
  <r>
    <x v="2"/>
    <x v="2"/>
    <x v="0"/>
    <x v="2"/>
    <x v="1"/>
    <x v="239"/>
    <x v="236"/>
    <n v="3091"/>
    <n v="22681.278186801141"/>
  </r>
  <r>
    <x v="2"/>
    <x v="2"/>
    <x v="0"/>
    <x v="3"/>
    <x v="0"/>
    <x v="240"/>
    <x v="237"/>
    <n v="58331"/>
    <n v="143249.31396956777"/>
  </r>
  <r>
    <x v="2"/>
    <x v="2"/>
    <x v="0"/>
    <x v="3"/>
    <x v="1"/>
    <x v="241"/>
    <x v="238"/>
    <n v="80074"/>
    <n v="450321.88301052281"/>
  </r>
  <r>
    <x v="2"/>
    <x v="2"/>
    <x v="0"/>
    <x v="4"/>
    <x v="0"/>
    <x v="242"/>
    <x v="239"/>
    <n v="23869"/>
    <n v="59054.332671218886"/>
  </r>
  <r>
    <x v="2"/>
    <x v="2"/>
    <x v="0"/>
    <x v="4"/>
    <x v="1"/>
    <x v="243"/>
    <x v="240"/>
    <n v="35502"/>
    <n v="194408.95199999999"/>
  </r>
  <r>
    <x v="2"/>
    <x v="2"/>
    <x v="1"/>
    <x v="0"/>
    <x v="0"/>
    <x v="244"/>
    <x v="241"/>
    <n v="111898"/>
    <n v="59632.14894616267"/>
  </r>
  <r>
    <x v="2"/>
    <x v="2"/>
    <x v="1"/>
    <x v="0"/>
    <x v="1"/>
    <x v="245"/>
    <x v="242"/>
    <n v="13078"/>
    <n v="10338.518898186165"/>
  </r>
  <r>
    <x v="2"/>
    <x v="2"/>
    <x v="1"/>
    <x v="1"/>
    <x v="0"/>
    <x v="246"/>
    <x v="243"/>
    <n v="137304"/>
    <n v="65842.856427393548"/>
  </r>
  <r>
    <x v="2"/>
    <x v="2"/>
    <x v="1"/>
    <x v="1"/>
    <x v="1"/>
    <x v="247"/>
    <x v="244"/>
    <n v="8096"/>
    <n v="10206.302538071066"/>
  </r>
  <r>
    <x v="2"/>
    <x v="2"/>
    <x v="1"/>
    <x v="2"/>
    <x v="0"/>
    <x v="248"/>
    <x v="245"/>
    <n v="54914"/>
    <n v="17498.151453206028"/>
  </r>
  <r>
    <x v="2"/>
    <x v="2"/>
    <x v="1"/>
    <x v="2"/>
    <x v="1"/>
    <x v="249"/>
    <x v="246"/>
    <n v="3178"/>
    <n v="1735.1244140465496"/>
  </r>
  <r>
    <x v="2"/>
    <x v="2"/>
    <x v="1"/>
    <x v="3"/>
    <x v="0"/>
    <x v="250"/>
    <x v="247"/>
    <n v="400117"/>
    <n v="253423.52864877196"/>
  </r>
  <r>
    <x v="2"/>
    <x v="2"/>
    <x v="1"/>
    <x v="3"/>
    <x v="1"/>
    <x v="251"/>
    <x v="248"/>
    <n v="41200"/>
    <n v="30534.597132207258"/>
  </r>
  <r>
    <x v="2"/>
    <x v="2"/>
    <x v="1"/>
    <x v="4"/>
    <x v="0"/>
    <x v="252"/>
    <x v="249"/>
    <n v="134701"/>
    <n v="96079.516628290061"/>
  </r>
  <r>
    <x v="2"/>
    <x v="2"/>
    <x v="1"/>
    <x v="4"/>
    <x v="1"/>
    <x v="253"/>
    <x v="250"/>
    <n v="21269"/>
    <n v="17085.591721001005"/>
  </r>
  <r>
    <x v="2"/>
    <x v="2"/>
    <x v="2"/>
    <x v="0"/>
    <x v="0"/>
    <x v="254"/>
    <x v="251"/>
    <n v="7192"/>
    <n v="76226.679860627177"/>
  </r>
  <r>
    <x v="2"/>
    <x v="2"/>
    <x v="2"/>
    <x v="0"/>
    <x v="1"/>
    <x v="255"/>
    <x v="252"/>
    <n v="32809"/>
    <n v="18717.584992410506"/>
  </r>
  <r>
    <x v="2"/>
    <x v="2"/>
    <x v="2"/>
    <x v="1"/>
    <x v="0"/>
    <x v="256"/>
    <x v="253"/>
    <n v="14928"/>
    <n v="138804.41615675297"/>
  </r>
  <r>
    <x v="2"/>
    <x v="2"/>
    <x v="2"/>
    <x v="1"/>
    <x v="1"/>
    <x v="257"/>
    <x v="254"/>
    <n v="100545"/>
    <n v="31504.035242524831"/>
  </r>
  <r>
    <x v="2"/>
    <x v="2"/>
    <x v="2"/>
    <x v="2"/>
    <x v="0"/>
    <x v="258"/>
    <x v="255"/>
    <n v="4034"/>
    <n v="38147.409717241382"/>
  </r>
  <r>
    <x v="2"/>
    <x v="2"/>
    <x v="2"/>
    <x v="2"/>
    <x v="1"/>
    <x v="259"/>
    <x v="256"/>
    <n v="26617"/>
    <n v="8691.7942788859036"/>
  </r>
  <r>
    <x v="2"/>
    <x v="2"/>
    <x v="2"/>
    <x v="3"/>
    <x v="0"/>
    <x v="260"/>
    <x v="257"/>
    <n v="37485"/>
    <n v="418071.5794523221"/>
  </r>
  <r>
    <x v="2"/>
    <x v="2"/>
    <x v="2"/>
    <x v="3"/>
    <x v="1"/>
    <x v="261"/>
    <x v="258"/>
    <n v="368153"/>
    <n v="84993.285501567545"/>
  </r>
  <r>
    <x v="2"/>
    <x v="2"/>
    <x v="2"/>
    <x v="4"/>
    <x v="0"/>
    <x v="262"/>
    <x v="259"/>
    <n v="15240"/>
    <n v="142706.19283494793"/>
  </r>
  <r>
    <x v="2"/>
    <x v="2"/>
    <x v="2"/>
    <x v="4"/>
    <x v="1"/>
    <x v="263"/>
    <x v="260"/>
    <n v="83734"/>
    <n v="34464.410090275131"/>
  </r>
  <r>
    <x v="3"/>
    <x v="0"/>
    <x v="0"/>
    <x v="0"/>
    <x v="0"/>
    <x v="264"/>
    <x v="261"/>
    <n v="56879"/>
    <n v="42712.042205369748"/>
  </r>
  <r>
    <x v="3"/>
    <x v="0"/>
    <x v="0"/>
    <x v="0"/>
    <x v="1"/>
    <x v="265"/>
    <x v="262"/>
    <n v="6227"/>
    <n v="216195.34146452052"/>
  </r>
  <r>
    <x v="3"/>
    <x v="0"/>
    <x v="0"/>
    <x v="1"/>
    <x v="0"/>
    <x v="266"/>
    <x v="263"/>
    <n v="99034"/>
    <n v="71973.331893765426"/>
  </r>
  <r>
    <x v="3"/>
    <x v="0"/>
    <x v="0"/>
    <x v="1"/>
    <x v="1"/>
    <x v="267"/>
    <x v="264"/>
    <n v="15537"/>
    <n v="333927.01161563693"/>
  </r>
  <r>
    <x v="3"/>
    <x v="0"/>
    <x v="0"/>
    <x v="2"/>
    <x v="0"/>
    <x v="268"/>
    <x v="265"/>
    <n v="44543"/>
    <n v="33416.686263340089"/>
  </r>
  <r>
    <x v="3"/>
    <x v="0"/>
    <x v="0"/>
    <x v="2"/>
    <x v="1"/>
    <x v="269"/>
    <x v="266"/>
    <n v="5097"/>
    <n v="83158.171798679861"/>
  </r>
  <r>
    <x v="3"/>
    <x v="0"/>
    <x v="0"/>
    <x v="3"/>
    <x v="0"/>
    <x v="270"/>
    <x v="267"/>
    <n v="243832"/>
    <n v="185151.42699883701"/>
  </r>
  <r>
    <x v="3"/>
    <x v="0"/>
    <x v="0"/>
    <x v="3"/>
    <x v="1"/>
    <x v="271"/>
    <x v="268"/>
    <n v="30045"/>
    <n v="1009173.3978442576"/>
  </r>
  <r>
    <x v="3"/>
    <x v="0"/>
    <x v="0"/>
    <x v="4"/>
    <x v="0"/>
    <x v="272"/>
    <x v="269"/>
    <n v="81728"/>
    <n v="79992.576065667847"/>
  </r>
  <r>
    <x v="3"/>
    <x v="0"/>
    <x v="0"/>
    <x v="4"/>
    <x v="1"/>
    <x v="273"/>
    <x v="270"/>
    <n v="11335"/>
    <n v="382006.43882022466"/>
  </r>
  <r>
    <x v="3"/>
    <x v="0"/>
    <x v="1"/>
    <x v="0"/>
    <x v="0"/>
    <x v="274"/>
    <x v="271"/>
    <n v="521204"/>
    <n v="127763.86611006189"/>
  </r>
  <r>
    <x v="3"/>
    <x v="0"/>
    <x v="1"/>
    <x v="0"/>
    <x v="1"/>
    <x v="275"/>
    <x v="272"/>
    <n v="17431"/>
    <n v="12794.843749144628"/>
  </r>
  <r>
    <x v="3"/>
    <x v="0"/>
    <x v="1"/>
    <x v="1"/>
    <x v="0"/>
    <x v="276"/>
    <x v="273"/>
    <n v="1052092"/>
    <n v="169657.67525472963"/>
  </r>
  <r>
    <x v="3"/>
    <x v="0"/>
    <x v="1"/>
    <x v="1"/>
    <x v="1"/>
    <x v="277"/>
    <x v="274"/>
    <n v="12978"/>
    <n v="14928.267592763623"/>
  </r>
  <r>
    <x v="3"/>
    <x v="0"/>
    <x v="1"/>
    <x v="2"/>
    <x v="0"/>
    <x v="278"/>
    <x v="275"/>
    <n v="619004"/>
    <n v="68336.84617115694"/>
  </r>
  <r>
    <x v="3"/>
    <x v="0"/>
    <x v="1"/>
    <x v="2"/>
    <x v="1"/>
    <x v="279"/>
    <x v="276"/>
    <n v="4952"/>
    <n v="6427.7754885947616"/>
  </r>
  <r>
    <x v="3"/>
    <x v="0"/>
    <x v="1"/>
    <x v="3"/>
    <x v="0"/>
    <x v="280"/>
    <x v="277"/>
    <n v="1827573"/>
    <n v="440491.75429312611"/>
  </r>
  <r>
    <x v="3"/>
    <x v="0"/>
    <x v="1"/>
    <x v="3"/>
    <x v="1"/>
    <x v="281"/>
    <x v="278"/>
    <n v="44934"/>
    <n v="28887.943278161863"/>
  </r>
  <r>
    <x v="3"/>
    <x v="0"/>
    <x v="1"/>
    <x v="4"/>
    <x v="0"/>
    <x v="282"/>
    <x v="279"/>
    <n v="584766"/>
    <n v="149594.505530775"/>
  </r>
  <r>
    <x v="3"/>
    <x v="0"/>
    <x v="1"/>
    <x v="4"/>
    <x v="1"/>
    <x v="283"/>
    <x v="280"/>
    <n v="16204"/>
    <n v="11623.160052044932"/>
  </r>
  <r>
    <x v="3"/>
    <x v="0"/>
    <x v="2"/>
    <x v="0"/>
    <x v="0"/>
    <x v="284"/>
    <x v="281"/>
    <n v="18033"/>
    <n v="91172.809208981693"/>
  </r>
  <r>
    <x v="3"/>
    <x v="0"/>
    <x v="2"/>
    <x v="0"/>
    <x v="1"/>
    <x v="285"/>
    <x v="282"/>
    <n v="6926"/>
    <n v="15527.316130861946"/>
  </r>
  <r>
    <x v="3"/>
    <x v="0"/>
    <x v="2"/>
    <x v="1"/>
    <x v="0"/>
    <x v="286"/>
    <x v="283"/>
    <n v="42435"/>
    <n v="162486.04245595823"/>
  </r>
  <r>
    <x v="3"/>
    <x v="0"/>
    <x v="2"/>
    <x v="1"/>
    <x v="1"/>
    <x v="287"/>
    <x v="284"/>
    <n v="37695"/>
    <n v="25805.016306731904"/>
  </r>
  <r>
    <x v="3"/>
    <x v="0"/>
    <x v="2"/>
    <x v="2"/>
    <x v="0"/>
    <x v="288"/>
    <x v="285"/>
    <n v="21470"/>
    <n v="60072.117840950457"/>
  </r>
  <r>
    <x v="3"/>
    <x v="0"/>
    <x v="2"/>
    <x v="2"/>
    <x v="1"/>
    <x v="289"/>
    <x v="286"/>
    <n v="20230"/>
    <n v="11220.329127256349"/>
  </r>
  <r>
    <x v="3"/>
    <x v="0"/>
    <x v="2"/>
    <x v="3"/>
    <x v="0"/>
    <x v="290"/>
    <x v="287"/>
    <n v="65135"/>
    <n v="374740.65667619527"/>
  </r>
  <r>
    <x v="3"/>
    <x v="0"/>
    <x v="2"/>
    <x v="3"/>
    <x v="1"/>
    <x v="291"/>
    <x v="288"/>
    <n v="32810"/>
    <n v="50819.428402469021"/>
  </r>
  <r>
    <x v="3"/>
    <x v="0"/>
    <x v="2"/>
    <x v="4"/>
    <x v="0"/>
    <x v="292"/>
    <x v="289"/>
    <n v="23669"/>
    <n v="138962.94838626403"/>
  </r>
  <r>
    <x v="3"/>
    <x v="0"/>
    <x v="2"/>
    <x v="4"/>
    <x v="1"/>
    <x v="293"/>
    <x v="290"/>
    <n v="6286"/>
    <n v="17156.242768576547"/>
  </r>
  <r>
    <x v="3"/>
    <x v="1"/>
    <x v="0"/>
    <x v="0"/>
    <x v="0"/>
    <x v="294"/>
    <x v="291"/>
    <n v="5453"/>
    <n v="1283.2853662112932"/>
  </r>
  <r>
    <x v="3"/>
    <x v="1"/>
    <x v="0"/>
    <x v="0"/>
    <x v="1"/>
    <x v="295"/>
    <x v="43"/>
    <n v="50"/>
    <n v="11117.934343434343"/>
  </r>
  <r>
    <x v="3"/>
    <x v="1"/>
    <x v="0"/>
    <x v="1"/>
    <x v="0"/>
    <x v="296"/>
    <x v="292"/>
    <n v="9301"/>
    <n v="1168.6151507902571"/>
  </r>
  <r>
    <x v="3"/>
    <x v="1"/>
    <x v="0"/>
    <x v="1"/>
    <x v="1"/>
    <x v="297"/>
    <x v="230"/>
    <n v="176"/>
    <n v="19714.501020689655"/>
  </r>
  <r>
    <x v="3"/>
    <x v="1"/>
    <x v="0"/>
    <x v="2"/>
    <x v="0"/>
    <x v="298"/>
    <x v="293"/>
    <n v="2344"/>
    <n v="373.90660622544578"/>
  </r>
  <r>
    <x v="3"/>
    <x v="1"/>
    <x v="0"/>
    <x v="2"/>
    <x v="1"/>
    <x v="299"/>
    <x v="294"/>
    <n v="15"/>
    <n v="1825.5781690140846"/>
  </r>
  <r>
    <x v="3"/>
    <x v="1"/>
    <x v="0"/>
    <x v="3"/>
    <x v="0"/>
    <x v="300"/>
    <x v="295"/>
    <n v="32763"/>
    <n v="5525.3203557907518"/>
  </r>
  <r>
    <x v="3"/>
    <x v="1"/>
    <x v="0"/>
    <x v="3"/>
    <x v="1"/>
    <x v="301"/>
    <x v="296"/>
    <n v="561"/>
    <n v="91818.012726161367"/>
  </r>
  <r>
    <x v="3"/>
    <x v="1"/>
    <x v="0"/>
    <x v="4"/>
    <x v="0"/>
    <x v="302"/>
    <x v="297"/>
    <n v="11013"/>
    <n v="1675.9931440632056"/>
  </r>
  <r>
    <x v="3"/>
    <x v="1"/>
    <x v="0"/>
    <x v="4"/>
    <x v="1"/>
    <x v="303"/>
    <x v="298"/>
    <n v="196"/>
    <n v="29806.314322580642"/>
  </r>
  <r>
    <x v="3"/>
    <x v="1"/>
    <x v="1"/>
    <x v="0"/>
    <x v="0"/>
    <x v="304"/>
    <x v="299"/>
    <n v="26223"/>
    <n v="8066.6496416673453"/>
  </r>
  <r>
    <x v="3"/>
    <x v="1"/>
    <x v="1"/>
    <x v="0"/>
    <x v="1"/>
    <x v="305"/>
    <x v="300"/>
    <n v="18"/>
    <n v="93.93480000000001"/>
  </r>
  <r>
    <x v="3"/>
    <x v="1"/>
    <x v="1"/>
    <x v="1"/>
    <x v="0"/>
    <x v="306"/>
    <x v="301"/>
    <n v="50211"/>
    <n v="10247.768821706522"/>
  </r>
  <r>
    <x v="3"/>
    <x v="1"/>
    <x v="1"/>
    <x v="1"/>
    <x v="1"/>
    <x v="307"/>
    <x v="302"/>
    <n v="132"/>
    <n v="221.90728363636362"/>
  </r>
  <r>
    <x v="3"/>
    <x v="1"/>
    <x v="1"/>
    <x v="2"/>
    <x v="0"/>
    <x v="308"/>
    <x v="303"/>
    <n v="17448"/>
    <n v="2844.4664316822013"/>
  </r>
  <r>
    <x v="3"/>
    <x v="1"/>
    <x v="1"/>
    <x v="2"/>
    <x v="1"/>
    <x v="309"/>
    <x v="45"/>
    <n v="0"/>
    <n v="0"/>
  </r>
  <r>
    <x v="3"/>
    <x v="1"/>
    <x v="1"/>
    <x v="3"/>
    <x v="0"/>
    <x v="310"/>
    <x v="304"/>
    <n v="123848"/>
    <n v="40865.846072381515"/>
  </r>
  <r>
    <x v="3"/>
    <x v="1"/>
    <x v="1"/>
    <x v="3"/>
    <x v="1"/>
    <x v="311"/>
    <x v="305"/>
    <n v="850"/>
    <n v="1138.9803543913713"/>
  </r>
  <r>
    <x v="3"/>
    <x v="1"/>
    <x v="1"/>
    <x v="4"/>
    <x v="0"/>
    <x v="312"/>
    <x v="306"/>
    <n v="39430"/>
    <n v="13440.055403993081"/>
  </r>
  <r>
    <x v="3"/>
    <x v="1"/>
    <x v="1"/>
    <x v="4"/>
    <x v="1"/>
    <x v="313"/>
    <x v="307"/>
    <n v="83"/>
    <n v="51.852445652173913"/>
  </r>
  <r>
    <x v="3"/>
    <x v="1"/>
    <x v="2"/>
    <x v="0"/>
    <x v="0"/>
    <x v="314"/>
    <x v="308"/>
    <n v="2305"/>
    <n v="8071.573063921327"/>
  </r>
  <r>
    <x v="3"/>
    <x v="1"/>
    <x v="2"/>
    <x v="0"/>
    <x v="1"/>
    <x v="315"/>
    <x v="309"/>
    <n v="200"/>
    <n v="942.07738095238108"/>
  </r>
  <r>
    <x v="3"/>
    <x v="1"/>
    <x v="2"/>
    <x v="1"/>
    <x v="0"/>
    <x v="316"/>
    <x v="310"/>
    <n v="5568"/>
    <n v="17112.705533324839"/>
  </r>
  <r>
    <x v="3"/>
    <x v="1"/>
    <x v="2"/>
    <x v="1"/>
    <x v="1"/>
    <x v="317"/>
    <x v="311"/>
    <n v="406"/>
    <n v="1918.0497427652731"/>
  </r>
  <r>
    <x v="3"/>
    <x v="1"/>
    <x v="2"/>
    <x v="2"/>
    <x v="0"/>
    <x v="318"/>
    <x v="312"/>
    <n v="1514"/>
    <n v="5489.3021735074626"/>
  </r>
  <r>
    <x v="3"/>
    <x v="1"/>
    <x v="2"/>
    <x v="2"/>
    <x v="1"/>
    <x v="289"/>
    <x v="214"/>
    <n v="101"/>
    <n v="139.25242105263158"/>
  </r>
  <r>
    <x v="3"/>
    <x v="1"/>
    <x v="2"/>
    <x v="3"/>
    <x v="0"/>
    <x v="319"/>
    <x v="313"/>
    <n v="11072"/>
    <n v="51408.512648662516"/>
  </r>
  <r>
    <x v="3"/>
    <x v="1"/>
    <x v="2"/>
    <x v="3"/>
    <x v="1"/>
    <x v="320"/>
    <x v="314"/>
    <n v="794"/>
    <n v="4796.5343028229254"/>
  </r>
  <r>
    <x v="3"/>
    <x v="1"/>
    <x v="2"/>
    <x v="4"/>
    <x v="0"/>
    <x v="321"/>
    <x v="315"/>
    <n v="3864"/>
    <n v="15293.334747660121"/>
  </r>
  <r>
    <x v="3"/>
    <x v="1"/>
    <x v="2"/>
    <x v="4"/>
    <x v="1"/>
    <x v="293"/>
    <x v="316"/>
    <n v="508"/>
    <n v="1105.4055780691299"/>
  </r>
  <r>
    <x v="3"/>
    <x v="2"/>
    <x v="0"/>
    <x v="0"/>
    <x v="0"/>
    <x v="322"/>
    <x v="317"/>
    <n v="12718"/>
    <n v="18924.860587624258"/>
  </r>
  <r>
    <x v="3"/>
    <x v="2"/>
    <x v="0"/>
    <x v="0"/>
    <x v="1"/>
    <x v="323"/>
    <x v="318"/>
    <n v="14758"/>
    <n v="81596.329190790115"/>
  </r>
  <r>
    <x v="3"/>
    <x v="2"/>
    <x v="0"/>
    <x v="1"/>
    <x v="0"/>
    <x v="324"/>
    <x v="319"/>
    <n v="13433"/>
    <n v="28544.087976945855"/>
  </r>
  <r>
    <x v="3"/>
    <x v="2"/>
    <x v="0"/>
    <x v="1"/>
    <x v="1"/>
    <x v="325"/>
    <x v="320"/>
    <n v="15847"/>
    <n v="96561.956537536738"/>
  </r>
  <r>
    <x v="3"/>
    <x v="2"/>
    <x v="0"/>
    <x v="2"/>
    <x v="0"/>
    <x v="326"/>
    <x v="321"/>
    <n v="3816"/>
    <n v="7026.1337792642134"/>
  </r>
  <r>
    <x v="3"/>
    <x v="2"/>
    <x v="0"/>
    <x v="2"/>
    <x v="1"/>
    <x v="327"/>
    <x v="157"/>
    <n v="3156"/>
    <n v="23158.238096908575"/>
  </r>
  <r>
    <x v="3"/>
    <x v="2"/>
    <x v="0"/>
    <x v="3"/>
    <x v="0"/>
    <x v="328"/>
    <x v="322"/>
    <n v="59498"/>
    <n v="146115.23345324685"/>
  </r>
  <r>
    <x v="3"/>
    <x v="2"/>
    <x v="0"/>
    <x v="3"/>
    <x v="1"/>
    <x v="329"/>
    <x v="323"/>
    <n v="81687"/>
    <n v="459393.10709444486"/>
  </r>
  <r>
    <x v="3"/>
    <x v="2"/>
    <x v="0"/>
    <x v="4"/>
    <x v="0"/>
    <x v="330"/>
    <x v="324"/>
    <n v="24347"/>
    <n v="60236.953267676327"/>
  </r>
  <r>
    <x v="3"/>
    <x v="2"/>
    <x v="0"/>
    <x v="4"/>
    <x v="1"/>
    <x v="331"/>
    <x v="325"/>
    <n v="36225"/>
    <n v="198368.1"/>
  </r>
  <r>
    <x v="3"/>
    <x v="2"/>
    <x v="1"/>
    <x v="0"/>
    <x v="0"/>
    <x v="332"/>
    <x v="326"/>
    <n v="114138"/>
    <n v="60825.879072164957"/>
  </r>
  <r>
    <x v="3"/>
    <x v="2"/>
    <x v="1"/>
    <x v="0"/>
    <x v="1"/>
    <x v="333"/>
    <x v="327"/>
    <n v="13344"/>
    <n v="10548.799218335846"/>
  </r>
  <r>
    <x v="3"/>
    <x v="2"/>
    <x v="1"/>
    <x v="1"/>
    <x v="0"/>
    <x v="334"/>
    <x v="328"/>
    <n v="140053"/>
    <n v="67161.113814788696"/>
  </r>
  <r>
    <x v="3"/>
    <x v="2"/>
    <x v="1"/>
    <x v="1"/>
    <x v="1"/>
    <x v="335"/>
    <x v="329"/>
    <n v="8264"/>
    <n v="10418.093401015229"/>
  </r>
  <r>
    <x v="3"/>
    <x v="2"/>
    <x v="1"/>
    <x v="2"/>
    <x v="0"/>
    <x v="336"/>
    <x v="330"/>
    <n v="56012"/>
    <n v="17848.025261262628"/>
  </r>
  <r>
    <x v="3"/>
    <x v="2"/>
    <x v="1"/>
    <x v="2"/>
    <x v="1"/>
    <x v="337"/>
    <x v="331"/>
    <n v="3256"/>
    <n v="1777.7108534095551"/>
  </r>
  <r>
    <x v="3"/>
    <x v="2"/>
    <x v="1"/>
    <x v="3"/>
    <x v="0"/>
    <x v="338"/>
    <x v="332"/>
    <n v="408120"/>
    <n v="258492.4172482969"/>
  </r>
  <r>
    <x v="3"/>
    <x v="2"/>
    <x v="1"/>
    <x v="3"/>
    <x v="1"/>
    <x v="339"/>
    <x v="333"/>
    <n v="42040"/>
    <n v="31157.147170825076"/>
  </r>
  <r>
    <x v="3"/>
    <x v="2"/>
    <x v="1"/>
    <x v="4"/>
    <x v="0"/>
    <x v="340"/>
    <x v="334"/>
    <n v="137397"/>
    <n v="98002.519255069899"/>
  </r>
  <r>
    <x v="3"/>
    <x v="2"/>
    <x v="1"/>
    <x v="4"/>
    <x v="1"/>
    <x v="341"/>
    <x v="335"/>
    <n v="21720"/>
    <n v="17447.884347178606"/>
  </r>
  <r>
    <x v="3"/>
    <x v="2"/>
    <x v="2"/>
    <x v="0"/>
    <x v="0"/>
    <x v="342"/>
    <x v="336"/>
    <n v="7336"/>
    <n v="77752.909268292686"/>
  </r>
  <r>
    <x v="3"/>
    <x v="2"/>
    <x v="2"/>
    <x v="0"/>
    <x v="1"/>
    <x v="343"/>
    <x v="337"/>
    <n v="33486"/>
    <n v="19103.814534300287"/>
  </r>
  <r>
    <x v="3"/>
    <x v="2"/>
    <x v="2"/>
    <x v="1"/>
    <x v="0"/>
    <x v="344"/>
    <x v="338"/>
    <n v="15228"/>
    <n v="141593.89397340798"/>
  </r>
  <r>
    <x v="3"/>
    <x v="2"/>
    <x v="2"/>
    <x v="1"/>
    <x v="1"/>
    <x v="345"/>
    <x v="339"/>
    <n v="102568"/>
    <n v="32137.90727291548"/>
  </r>
  <r>
    <x v="3"/>
    <x v="2"/>
    <x v="2"/>
    <x v="2"/>
    <x v="0"/>
    <x v="346"/>
    <x v="340"/>
    <n v="4115"/>
    <n v="38913.383982758627"/>
  </r>
  <r>
    <x v="3"/>
    <x v="2"/>
    <x v="2"/>
    <x v="2"/>
    <x v="1"/>
    <x v="347"/>
    <x v="341"/>
    <n v="27160"/>
    <n v="8869.111192641587"/>
  </r>
  <r>
    <x v="3"/>
    <x v="2"/>
    <x v="2"/>
    <x v="3"/>
    <x v="0"/>
    <x v="348"/>
    <x v="342"/>
    <n v="38236"/>
    <n v="426447.50998903526"/>
  </r>
  <r>
    <x v="3"/>
    <x v="2"/>
    <x v="2"/>
    <x v="3"/>
    <x v="1"/>
    <x v="349"/>
    <x v="343"/>
    <n v="375574"/>
    <n v="86706.527473538808"/>
  </r>
  <r>
    <x v="3"/>
    <x v="2"/>
    <x v="2"/>
    <x v="4"/>
    <x v="0"/>
    <x v="350"/>
    <x v="344"/>
    <n v="15545"/>
    <n v="145562.18947632975"/>
  </r>
  <r>
    <x v="3"/>
    <x v="2"/>
    <x v="2"/>
    <x v="4"/>
    <x v="1"/>
    <x v="351"/>
    <x v="345"/>
    <n v="85440"/>
    <n v="35166.589415447816"/>
  </r>
  <r>
    <x v="4"/>
    <x v="0"/>
    <x v="0"/>
    <x v="0"/>
    <x v="0"/>
    <x v="352"/>
    <x v="346"/>
    <n v="58017"/>
    <n v="43566.598439299858"/>
  </r>
  <r>
    <x v="4"/>
    <x v="0"/>
    <x v="0"/>
    <x v="0"/>
    <x v="1"/>
    <x v="353"/>
    <x v="347"/>
    <n v="6357"/>
    <n v="220708.81414645206"/>
  </r>
  <r>
    <x v="4"/>
    <x v="0"/>
    <x v="0"/>
    <x v="1"/>
    <x v="0"/>
    <x v="354"/>
    <x v="348"/>
    <n v="101015"/>
    <n v="73413.031092844016"/>
  </r>
  <r>
    <x v="4"/>
    <x v="0"/>
    <x v="0"/>
    <x v="1"/>
    <x v="1"/>
    <x v="355"/>
    <x v="349"/>
    <n v="15852"/>
    <n v="340697.10936030617"/>
  </r>
  <r>
    <x v="4"/>
    <x v="0"/>
    <x v="0"/>
    <x v="2"/>
    <x v="0"/>
    <x v="356"/>
    <x v="350"/>
    <n v="45435"/>
    <n v="34085.875230111502"/>
  </r>
  <r>
    <x v="4"/>
    <x v="0"/>
    <x v="0"/>
    <x v="2"/>
    <x v="1"/>
    <x v="357"/>
    <x v="351"/>
    <n v="5204"/>
    <n v="84903.889746974688"/>
  </r>
  <r>
    <x v="4"/>
    <x v="0"/>
    <x v="0"/>
    <x v="3"/>
    <x v="0"/>
    <x v="358"/>
    <x v="352"/>
    <n v="248708"/>
    <n v="188853.96956111895"/>
  </r>
  <r>
    <x v="4"/>
    <x v="0"/>
    <x v="0"/>
    <x v="3"/>
    <x v="1"/>
    <x v="359"/>
    <x v="353"/>
    <n v="30652"/>
    <n v="1029561.7570551567"/>
  </r>
  <r>
    <x v="4"/>
    <x v="0"/>
    <x v="0"/>
    <x v="4"/>
    <x v="0"/>
    <x v="360"/>
    <x v="354"/>
    <n v="83363"/>
    <n v="81592.85824395885"/>
  </r>
  <r>
    <x v="4"/>
    <x v="0"/>
    <x v="0"/>
    <x v="4"/>
    <x v="1"/>
    <x v="361"/>
    <x v="355"/>
    <n v="11564"/>
    <n v="389724.08103370783"/>
  </r>
  <r>
    <x v="4"/>
    <x v="0"/>
    <x v="1"/>
    <x v="0"/>
    <x v="0"/>
    <x v="362"/>
    <x v="356"/>
    <n v="531629"/>
    <n v="130319.36895385702"/>
  </r>
  <r>
    <x v="4"/>
    <x v="0"/>
    <x v="1"/>
    <x v="0"/>
    <x v="1"/>
    <x v="363"/>
    <x v="357"/>
    <n v="17792"/>
    <n v="13059.827891961517"/>
  </r>
  <r>
    <x v="4"/>
    <x v="0"/>
    <x v="1"/>
    <x v="1"/>
    <x v="0"/>
    <x v="364"/>
    <x v="358"/>
    <n v="1073135"/>
    <n v="173051.01581846864"/>
  </r>
  <r>
    <x v="4"/>
    <x v="0"/>
    <x v="1"/>
    <x v="1"/>
    <x v="1"/>
    <x v="365"/>
    <x v="359"/>
    <n v="13245"/>
    <n v="15235.390989840822"/>
  </r>
  <r>
    <x v="4"/>
    <x v="0"/>
    <x v="1"/>
    <x v="2"/>
    <x v="0"/>
    <x v="366"/>
    <x v="360"/>
    <n v="631386"/>
    <n v="69703.795058872158"/>
  </r>
  <r>
    <x v="4"/>
    <x v="0"/>
    <x v="1"/>
    <x v="2"/>
    <x v="1"/>
    <x v="367"/>
    <x v="361"/>
    <n v="5052"/>
    <n v="6557.5770937764009"/>
  </r>
  <r>
    <x v="4"/>
    <x v="0"/>
    <x v="1"/>
    <x v="3"/>
    <x v="0"/>
    <x v="368"/>
    <x v="362"/>
    <n v="1864125"/>
    <n v="449301.71953277581"/>
  </r>
  <r>
    <x v="4"/>
    <x v="0"/>
    <x v="1"/>
    <x v="3"/>
    <x v="1"/>
    <x v="369"/>
    <x v="363"/>
    <n v="45845"/>
    <n v="29473.622637364369"/>
  </r>
  <r>
    <x v="4"/>
    <x v="0"/>
    <x v="1"/>
    <x v="4"/>
    <x v="0"/>
    <x v="370"/>
    <x v="364"/>
    <n v="596463"/>
    <n v="152586.825418035"/>
  </r>
  <r>
    <x v="4"/>
    <x v="0"/>
    <x v="1"/>
    <x v="4"/>
    <x v="1"/>
    <x v="371"/>
    <x v="365"/>
    <n v="16535"/>
    <n v="11860.586982261353"/>
  </r>
  <r>
    <x v="4"/>
    <x v="0"/>
    <x v="2"/>
    <x v="0"/>
    <x v="0"/>
    <x v="372"/>
    <x v="366"/>
    <n v="18395"/>
    <n v="93003.040281662412"/>
  </r>
  <r>
    <x v="4"/>
    <x v="0"/>
    <x v="2"/>
    <x v="0"/>
    <x v="1"/>
    <x v="373"/>
    <x v="367"/>
    <n v="7073"/>
    <n v="15856.873663526789"/>
  </r>
  <r>
    <x v="4"/>
    <x v="0"/>
    <x v="2"/>
    <x v="1"/>
    <x v="0"/>
    <x v="374"/>
    <x v="368"/>
    <n v="43284"/>
    <n v="165736.9120222386"/>
  </r>
  <r>
    <x v="4"/>
    <x v="0"/>
    <x v="2"/>
    <x v="1"/>
    <x v="1"/>
    <x v="375"/>
    <x v="369"/>
    <n v="38457"/>
    <n v="26326.661682132613"/>
  </r>
  <r>
    <x v="4"/>
    <x v="0"/>
    <x v="2"/>
    <x v="2"/>
    <x v="0"/>
    <x v="376"/>
    <x v="370"/>
    <n v="21900"/>
    <n v="61275.238971439918"/>
  </r>
  <r>
    <x v="4"/>
    <x v="0"/>
    <x v="2"/>
    <x v="2"/>
    <x v="1"/>
    <x v="377"/>
    <x v="371"/>
    <n v="20664"/>
    <n v="11461.042070470847"/>
  </r>
  <r>
    <x v="4"/>
    <x v="0"/>
    <x v="2"/>
    <x v="3"/>
    <x v="0"/>
    <x v="378"/>
    <x v="372"/>
    <n v="66438"/>
    <n v="382237.19579723745"/>
  </r>
  <r>
    <x v="4"/>
    <x v="0"/>
    <x v="2"/>
    <x v="3"/>
    <x v="1"/>
    <x v="379"/>
    <x v="373"/>
    <n v="33481"/>
    <n v="51858.740699270507"/>
  </r>
  <r>
    <x v="4"/>
    <x v="0"/>
    <x v="2"/>
    <x v="4"/>
    <x v="0"/>
    <x v="380"/>
    <x v="374"/>
    <n v="24143"/>
    <n v="141745.8474329111"/>
  </r>
  <r>
    <x v="4"/>
    <x v="0"/>
    <x v="2"/>
    <x v="4"/>
    <x v="1"/>
    <x v="381"/>
    <x v="375"/>
    <n v="6417"/>
    <n v="17513.778212846915"/>
  </r>
  <r>
    <x v="4"/>
    <x v="1"/>
    <x v="0"/>
    <x v="0"/>
    <x v="0"/>
    <x v="382"/>
    <x v="376"/>
    <n v="5563"/>
    <n v="1309.1722890580274"/>
  </r>
  <r>
    <x v="4"/>
    <x v="1"/>
    <x v="0"/>
    <x v="0"/>
    <x v="1"/>
    <x v="383"/>
    <x v="131"/>
    <n v="53"/>
    <n v="11785.010404040402"/>
  </r>
  <r>
    <x v="4"/>
    <x v="1"/>
    <x v="0"/>
    <x v="1"/>
    <x v="0"/>
    <x v="384"/>
    <x v="377"/>
    <n v="9488"/>
    <n v="1192.1105849583873"/>
  </r>
  <r>
    <x v="4"/>
    <x v="1"/>
    <x v="0"/>
    <x v="1"/>
    <x v="1"/>
    <x v="385"/>
    <x v="316"/>
    <n v="180"/>
    <n v="20162.557862068967"/>
  </r>
  <r>
    <x v="4"/>
    <x v="1"/>
    <x v="0"/>
    <x v="2"/>
    <x v="0"/>
    <x v="386"/>
    <x v="378"/>
    <n v="2392"/>
    <n v="381.56339679661534"/>
  </r>
  <r>
    <x v="4"/>
    <x v="1"/>
    <x v="0"/>
    <x v="2"/>
    <x v="1"/>
    <x v="387"/>
    <x v="379"/>
    <n v="18"/>
    <n v="2190.6938028169016"/>
  </r>
  <r>
    <x v="4"/>
    <x v="1"/>
    <x v="0"/>
    <x v="3"/>
    <x v="0"/>
    <x v="388"/>
    <x v="380"/>
    <n v="33418"/>
    <n v="5635.7829151730721"/>
  </r>
  <r>
    <x v="4"/>
    <x v="1"/>
    <x v="0"/>
    <x v="3"/>
    <x v="1"/>
    <x v="389"/>
    <x v="381"/>
    <n v="575"/>
    <n v="94109.371332518334"/>
  </r>
  <r>
    <x v="4"/>
    <x v="1"/>
    <x v="0"/>
    <x v="4"/>
    <x v="0"/>
    <x v="390"/>
    <x v="382"/>
    <n v="11234"/>
    <n v="1709.6256224830702"/>
  </r>
  <r>
    <x v="4"/>
    <x v="1"/>
    <x v="0"/>
    <x v="4"/>
    <x v="1"/>
    <x v="391"/>
    <x v="383"/>
    <n v="202"/>
    <n v="30718.752516129029"/>
  </r>
  <r>
    <x v="4"/>
    <x v="1"/>
    <x v="1"/>
    <x v="0"/>
    <x v="0"/>
    <x v="392"/>
    <x v="384"/>
    <n v="26749"/>
    <n v="8228.4563652122106"/>
  </r>
  <r>
    <x v="4"/>
    <x v="1"/>
    <x v="1"/>
    <x v="0"/>
    <x v="1"/>
    <x v="393"/>
    <x v="49"/>
    <n v="20"/>
    <n v="104.37200000000001"/>
  </r>
  <r>
    <x v="4"/>
    <x v="1"/>
    <x v="1"/>
    <x v="1"/>
    <x v="0"/>
    <x v="394"/>
    <x v="385"/>
    <n v="51217"/>
    <n v="10453.08748563747"/>
  </r>
  <r>
    <x v="4"/>
    <x v="1"/>
    <x v="1"/>
    <x v="1"/>
    <x v="1"/>
    <x v="395"/>
    <x v="386"/>
    <n v="138"/>
    <n v="231.99397834710743"/>
  </r>
  <r>
    <x v="4"/>
    <x v="1"/>
    <x v="1"/>
    <x v="2"/>
    <x v="0"/>
    <x v="396"/>
    <x v="387"/>
    <n v="17797"/>
    <n v="2901.3622813301317"/>
  </r>
  <r>
    <x v="4"/>
    <x v="1"/>
    <x v="1"/>
    <x v="2"/>
    <x v="1"/>
    <x v="397"/>
    <x v="45"/>
    <n v="0"/>
    <n v="0"/>
  </r>
  <r>
    <x v="4"/>
    <x v="1"/>
    <x v="1"/>
    <x v="3"/>
    <x v="0"/>
    <x v="398"/>
    <x v="388"/>
    <n v="126326"/>
    <n v="41683.506160290577"/>
  </r>
  <r>
    <x v="4"/>
    <x v="1"/>
    <x v="1"/>
    <x v="3"/>
    <x v="1"/>
    <x v="399"/>
    <x v="389"/>
    <n v="872"/>
    <n v="1168.4598459167951"/>
  </r>
  <r>
    <x v="4"/>
    <x v="1"/>
    <x v="1"/>
    <x v="4"/>
    <x v="0"/>
    <x v="400"/>
    <x v="390"/>
    <n v="40219"/>
    <n v="13708.992855521119"/>
  </r>
  <r>
    <x v="4"/>
    <x v="1"/>
    <x v="1"/>
    <x v="4"/>
    <x v="1"/>
    <x v="401"/>
    <x v="391"/>
    <n v="89"/>
    <n v="55.600815217391307"/>
  </r>
  <r>
    <x v="4"/>
    <x v="1"/>
    <x v="2"/>
    <x v="0"/>
    <x v="0"/>
    <x v="402"/>
    <x v="392"/>
    <n v="2351"/>
    <n v="8232.6543484941612"/>
  </r>
  <r>
    <x v="4"/>
    <x v="1"/>
    <x v="2"/>
    <x v="0"/>
    <x v="1"/>
    <x v="403"/>
    <x v="393"/>
    <n v="206"/>
    <n v="970.33970238095242"/>
  </r>
  <r>
    <x v="4"/>
    <x v="1"/>
    <x v="2"/>
    <x v="1"/>
    <x v="0"/>
    <x v="404"/>
    <x v="394"/>
    <n v="5680"/>
    <n v="17456.926621638846"/>
  </r>
  <r>
    <x v="4"/>
    <x v="1"/>
    <x v="2"/>
    <x v="1"/>
    <x v="1"/>
    <x v="405"/>
    <x v="395"/>
    <n v="414"/>
    <n v="1955.8438263665591"/>
  </r>
  <r>
    <x v="4"/>
    <x v="1"/>
    <x v="2"/>
    <x v="2"/>
    <x v="0"/>
    <x v="406"/>
    <x v="396"/>
    <n v="1545"/>
    <n v="5601.6987173507459"/>
  </r>
  <r>
    <x v="4"/>
    <x v="1"/>
    <x v="2"/>
    <x v="2"/>
    <x v="1"/>
    <x v="377"/>
    <x v="300"/>
    <n v="111"/>
    <n v="153.03978947368421"/>
  </r>
  <r>
    <x v="4"/>
    <x v="1"/>
    <x v="2"/>
    <x v="3"/>
    <x v="0"/>
    <x v="407"/>
    <x v="397"/>
    <n v="11293"/>
    <n v="52434.639933286286"/>
  </r>
  <r>
    <x v="4"/>
    <x v="1"/>
    <x v="2"/>
    <x v="3"/>
    <x v="1"/>
    <x v="408"/>
    <x v="398"/>
    <n v="815"/>
    <n v="4923.3947818648412"/>
  </r>
  <r>
    <x v="4"/>
    <x v="1"/>
    <x v="2"/>
    <x v="4"/>
    <x v="0"/>
    <x v="409"/>
    <x v="399"/>
    <n v="3942"/>
    <n v="15602.051132317858"/>
  </r>
  <r>
    <x v="4"/>
    <x v="1"/>
    <x v="2"/>
    <x v="4"/>
    <x v="1"/>
    <x v="381"/>
    <x v="400"/>
    <n v="519"/>
    <n v="1129.3415256257449"/>
  </r>
  <r>
    <x v="4"/>
    <x v="2"/>
    <x v="0"/>
    <x v="0"/>
    <x v="0"/>
    <x v="410"/>
    <x v="401"/>
    <n v="12973"/>
    <n v="19304.310143359766"/>
  </r>
  <r>
    <x v="4"/>
    <x v="2"/>
    <x v="0"/>
    <x v="0"/>
    <x v="1"/>
    <x v="411"/>
    <x v="402"/>
    <n v="15061"/>
    <n v="83271.602787809315"/>
  </r>
  <r>
    <x v="4"/>
    <x v="2"/>
    <x v="0"/>
    <x v="1"/>
    <x v="0"/>
    <x v="412"/>
    <x v="403"/>
    <n v="13702"/>
    <n v="29115.692210236888"/>
  </r>
  <r>
    <x v="4"/>
    <x v="2"/>
    <x v="0"/>
    <x v="1"/>
    <x v="1"/>
    <x v="413"/>
    <x v="404"/>
    <n v="16176"/>
    <n v="98566.681955650551"/>
  </r>
  <r>
    <x v="4"/>
    <x v="2"/>
    <x v="0"/>
    <x v="2"/>
    <x v="0"/>
    <x v="414"/>
    <x v="405"/>
    <n v="3893"/>
    <n v="7167.9084912671869"/>
  </r>
  <r>
    <x v="4"/>
    <x v="2"/>
    <x v="0"/>
    <x v="2"/>
    <x v="1"/>
    <x v="415"/>
    <x v="406"/>
    <n v="3222"/>
    <n v="23642.535851786892"/>
  </r>
  <r>
    <x v="4"/>
    <x v="2"/>
    <x v="0"/>
    <x v="3"/>
    <x v="0"/>
    <x v="416"/>
    <x v="407"/>
    <n v="60688"/>
    <n v="149037.63635434207"/>
  </r>
  <r>
    <x v="4"/>
    <x v="2"/>
    <x v="0"/>
    <x v="3"/>
    <x v="1"/>
    <x v="417"/>
    <x v="408"/>
    <n v="83330"/>
    <n v="468633.04582344915"/>
  </r>
  <r>
    <x v="4"/>
    <x v="2"/>
    <x v="0"/>
    <x v="4"/>
    <x v="0"/>
    <x v="418"/>
    <x v="409"/>
    <n v="24835"/>
    <n v="61444.314880796061"/>
  </r>
  <r>
    <x v="4"/>
    <x v="2"/>
    <x v="0"/>
    <x v="4"/>
    <x v="1"/>
    <x v="419"/>
    <x v="410"/>
    <n v="36962"/>
    <n v="202403.91200000001"/>
  </r>
  <r>
    <x v="4"/>
    <x v="2"/>
    <x v="1"/>
    <x v="0"/>
    <x v="0"/>
    <x v="420"/>
    <x v="411"/>
    <n v="116422"/>
    <n v="62043.057468499435"/>
  </r>
  <r>
    <x v="4"/>
    <x v="2"/>
    <x v="1"/>
    <x v="0"/>
    <x v="1"/>
    <x v="421"/>
    <x v="412"/>
    <n v="13654"/>
    <n v="10793.862749337353"/>
  </r>
  <r>
    <x v="4"/>
    <x v="2"/>
    <x v="1"/>
    <x v="1"/>
    <x v="0"/>
    <x v="422"/>
    <x v="413"/>
    <n v="142854"/>
    <n v="68504.307318642401"/>
  </r>
  <r>
    <x v="4"/>
    <x v="2"/>
    <x v="1"/>
    <x v="1"/>
    <x v="1"/>
    <x v="423"/>
    <x v="414"/>
    <n v="8432"/>
    <n v="10629.884263959391"/>
  </r>
  <r>
    <x v="4"/>
    <x v="2"/>
    <x v="1"/>
    <x v="2"/>
    <x v="0"/>
    <x v="424"/>
    <x v="415"/>
    <n v="57135"/>
    <n v="18205.865230704854"/>
  </r>
  <r>
    <x v="4"/>
    <x v="2"/>
    <x v="1"/>
    <x v="2"/>
    <x v="1"/>
    <x v="425"/>
    <x v="416"/>
    <n v="3334"/>
    <n v="1820.2972927725602"/>
  </r>
  <r>
    <x v="4"/>
    <x v="2"/>
    <x v="1"/>
    <x v="3"/>
    <x v="0"/>
    <x v="426"/>
    <x v="417"/>
    <n v="416284"/>
    <n v="263663.27899095858"/>
  </r>
  <r>
    <x v="4"/>
    <x v="2"/>
    <x v="1"/>
    <x v="3"/>
    <x v="1"/>
    <x v="427"/>
    <x v="418"/>
    <n v="42916"/>
    <n v="31806.377925383658"/>
  </r>
  <r>
    <x v="4"/>
    <x v="2"/>
    <x v="1"/>
    <x v="4"/>
    <x v="0"/>
    <x v="428"/>
    <x v="419"/>
    <n v="140146"/>
    <n v="99963.325716871739"/>
  </r>
  <r>
    <x v="4"/>
    <x v="2"/>
    <x v="1"/>
    <x v="4"/>
    <x v="1"/>
    <x v="429"/>
    <x v="420"/>
    <n v="22170"/>
    <n v="17809.373663763799"/>
  </r>
  <r>
    <x v="4"/>
    <x v="2"/>
    <x v="2"/>
    <x v="0"/>
    <x v="0"/>
    <x v="430"/>
    <x v="421"/>
    <n v="7483"/>
    <n v="79310.935121951217"/>
  </r>
  <r>
    <x v="4"/>
    <x v="2"/>
    <x v="2"/>
    <x v="0"/>
    <x v="1"/>
    <x v="431"/>
    <x v="422"/>
    <n v="34163"/>
    <n v="19490.044076190072"/>
  </r>
  <r>
    <x v="4"/>
    <x v="2"/>
    <x v="2"/>
    <x v="1"/>
    <x v="0"/>
    <x v="432"/>
    <x v="423"/>
    <n v="15533"/>
    <n v="144429.86308700722"/>
  </r>
  <r>
    <x v="4"/>
    <x v="2"/>
    <x v="2"/>
    <x v="1"/>
    <x v="1"/>
    <x v="433"/>
    <x v="424"/>
    <n v="104638"/>
    <n v="32786.505939701754"/>
  </r>
  <r>
    <x v="4"/>
    <x v="2"/>
    <x v="2"/>
    <x v="2"/>
    <x v="0"/>
    <x v="434"/>
    <x v="425"/>
    <n v="4197"/>
    <n v="39688.814720689661"/>
  </r>
  <r>
    <x v="4"/>
    <x v="2"/>
    <x v="2"/>
    <x v="2"/>
    <x v="1"/>
    <x v="435"/>
    <x v="426"/>
    <n v="27703"/>
    <n v="9046.4281063972721"/>
  </r>
  <r>
    <x v="4"/>
    <x v="2"/>
    <x v="2"/>
    <x v="3"/>
    <x v="0"/>
    <x v="436"/>
    <x v="427"/>
    <n v="39000"/>
    <n v="434968.43000241596"/>
  </r>
  <r>
    <x v="4"/>
    <x v="2"/>
    <x v="2"/>
    <x v="3"/>
    <x v="1"/>
    <x v="437"/>
    <x v="428"/>
    <n v="383128"/>
    <n v="88450.474361595785"/>
  </r>
  <r>
    <x v="4"/>
    <x v="2"/>
    <x v="2"/>
    <x v="4"/>
    <x v="0"/>
    <x v="438"/>
    <x v="429"/>
    <n v="15856"/>
    <n v="148474.3696581978"/>
  </r>
  <r>
    <x v="4"/>
    <x v="2"/>
    <x v="2"/>
    <x v="4"/>
    <x v="1"/>
    <x v="439"/>
    <x v="430"/>
    <n v="87188"/>
    <n v="35886.055687664608"/>
  </r>
  <r>
    <x v="5"/>
    <x v="0"/>
    <x v="0"/>
    <x v="0"/>
    <x v="0"/>
    <x v="440"/>
    <x v="431"/>
    <n v="59469"/>
    <n v="44656.946112117541"/>
  </r>
  <r>
    <x v="5"/>
    <x v="0"/>
    <x v="0"/>
    <x v="0"/>
    <x v="1"/>
    <x v="441"/>
    <x v="432"/>
    <n v="6516"/>
    <n v="226229.13842666062"/>
  </r>
  <r>
    <x v="5"/>
    <x v="0"/>
    <x v="0"/>
    <x v="1"/>
    <x v="0"/>
    <x v="442"/>
    <x v="433"/>
    <n v="103541"/>
    <n v="75248.811091265277"/>
  </r>
  <r>
    <x v="5"/>
    <x v="0"/>
    <x v="0"/>
    <x v="1"/>
    <x v="1"/>
    <x v="443"/>
    <x v="434"/>
    <n v="16255"/>
    <n v="349358.53599872423"/>
  </r>
  <r>
    <x v="5"/>
    <x v="0"/>
    <x v="0"/>
    <x v="2"/>
    <x v="0"/>
    <x v="444"/>
    <x v="435"/>
    <n v="46572"/>
    <n v="34938.866099191218"/>
  </r>
  <r>
    <x v="5"/>
    <x v="0"/>
    <x v="0"/>
    <x v="2"/>
    <x v="1"/>
    <x v="445"/>
    <x v="436"/>
    <n v="5337"/>
    <n v="87073.800841584147"/>
  </r>
  <r>
    <x v="5"/>
    <x v="0"/>
    <x v="0"/>
    <x v="3"/>
    <x v="0"/>
    <x v="446"/>
    <x v="437"/>
    <n v="254927"/>
    <n v="193576.3059423395"/>
  </r>
  <r>
    <x v="5"/>
    <x v="0"/>
    <x v="0"/>
    <x v="3"/>
    <x v="1"/>
    <x v="447"/>
    <x v="438"/>
    <n v="31422"/>
    <n v="1055425.0792831506"/>
  </r>
  <r>
    <x v="5"/>
    <x v="0"/>
    <x v="0"/>
    <x v="4"/>
    <x v="0"/>
    <x v="448"/>
    <x v="439"/>
    <n v="85448"/>
    <n v="83633.585058476732"/>
  </r>
  <r>
    <x v="5"/>
    <x v="0"/>
    <x v="0"/>
    <x v="4"/>
    <x v="1"/>
    <x v="449"/>
    <x v="440"/>
    <n v="11857"/>
    <n v="399598.61888764042"/>
  </r>
  <r>
    <x v="5"/>
    <x v="0"/>
    <x v="1"/>
    <x v="0"/>
    <x v="0"/>
    <x v="450"/>
    <x v="441"/>
    <n v="544920"/>
    <n v="133577.42058904943"/>
  </r>
  <r>
    <x v="5"/>
    <x v="0"/>
    <x v="1"/>
    <x v="0"/>
    <x v="1"/>
    <x v="451"/>
    <x v="442"/>
    <n v="18264"/>
    <n v="13406.289153483878"/>
  </r>
  <r>
    <x v="5"/>
    <x v="0"/>
    <x v="1"/>
    <x v="1"/>
    <x v="0"/>
    <x v="452"/>
    <x v="443"/>
    <n v="1099965"/>
    <n v="177377.55325728995"/>
  </r>
  <r>
    <x v="5"/>
    <x v="0"/>
    <x v="1"/>
    <x v="1"/>
    <x v="1"/>
    <x v="453"/>
    <x v="444"/>
    <n v="13586"/>
    <n v="15627.634729179117"/>
  </r>
  <r>
    <x v="5"/>
    <x v="0"/>
    <x v="1"/>
    <x v="2"/>
    <x v="0"/>
    <x v="454"/>
    <x v="445"/>
    <n v="647172"/>
    <n v="71446.538972736817"/>
  </r>
  <r>
    <x v="5"/>
    <x v="0"/>
    <x v="1"/>
    <x v="2"/>
    <x v="1"/>
    <x v="455"/>
    <x v="446"/>
    <n v="5180"/>
    <n v="6723.7231484088989"/>
  </r>
  <r>
    <x v="5"/>
    <x v="0"/>
    <x v="1"/>
    <x v="3"/>
    <x v="0"/>
    <x v="456"/>
    <x v="447"/>
    <n v="1910731"/>
    <n v="460534.95546949923"/>
  </r>
  <r>
    <x v="5"/>
    <x v="0"/>
    <x v="1"/>
    <x v="3"/>
    <x v="1"/>
    <x v="457"/>
    <x v="448"/>
    <n v="47002"/>
    <n v="30217.454710467886"/>
  </r>
  <r>
    <x v="5"/>
    <x v="0"/>
    <x v="1"/>
    <x v="4"/>
    <x v="0"/>
    <x v="458"/>
    <x v="449"/>
    <n v="611376"/>
    <n v="156401.86059617539"/>
  </r>
  <r>
    <x v="5"/>
    <x v="0"/>
    <x v="1"/>
    <x v="4"/>
    <x v="1"/>
    <x v="459"/>
    <x v="450"/>
    <n v="16955"/>
    <n v="12161.853781931735"/>
  </r>
  <r>
    <x v="5"/>
    <x v="0"/>
    <x v="2"/>
    <x v="0"/>
    <x v="0"/>
    <x v="460"/>
    <x v="451"/>
    <n v="18855"/>
    <n v="95328.748274571612"/>
  </r>
  <r>
    <x v="5"/>
    <x v="0"/>
    <x v="2"/>
    <x v="0"/>
    <x v="1"/>
    <x v="461"/>
    <x v="452"/>
    <n v="7250"/>
    <n v="16253.687835510989"/>
  </r>
  <r>
    <x v="5"/>
    <x v="0"/>
    <x v="2"/>
    <x v="1"/>
    <x v="0"/>
    <x v="462"/>
    <x v="453"/>
    <n v="44367"/>
    <n v="169883.78097427826"/>
  </r>
  <r>
    <x v="5"/>
    <x v="0"/>
    <x v="2"/>
    <x v="1"/>
    <x v="1"/>
    <x v="463"/>
    <x v="454"/>
    <n v="39423"/>
    <n v="26987.960150160285"/>
  </r>
  <r>
    <x v="5"/>
    <x v="0"/>
    <x v="2"/>
    <x v="2"/>
    <x v="0"/>
    <x v="464"/>
    <x v="455"/>
    <n v="22448"/>
    <n v="62808.518923784628"/>
  </r>
  <r>
    <x v="5"/>
    <x v="0"/>
    <x v="2"/>
    <x v="2"/>
    <x v="1"/>
    <x v="45"/>
    <x v="456"/>
    <n v="21197"/>
    <n v="11756.664187367911"/>
  </r>
  <r>
    <x v="5"/>
    <x v="0"/>
    <x v="2"/>
    <x v="3"/>
    <x v="0"/>
    <x v="465"/>
    <x v="457"/>
    <n v="68100"/>
    <n v="391799.16664848232"/>
  </r>
  <r>
    <x v="5"/>
    <x v="0"/>
    <x v="2"/>
    <x v="3"/>
    <x v="1"/>
    <x v="466"/>
    <x v="458"/>
    <n v="34324"/>
    <n v="53164.463897785638"/>
  </r>
  <r>
    <x v="5"/>
    <x v="0"/>
    <x v="2"/>
    <x v="4"/>
    <x v="0"/>
    <x v="467"/>
    <x v="459"/>
    <n v="24747"/>
    <n v="145291.9888341238"/>
  </r>
  <r>
    <x v="5"/>
    <x v="0"/>
    <x v="2"/>
    <x v="4"/>
    <x v="1"/>
    <x v="468"/>
    <x v="460"/>
    <n v="6578"/>
    <n v="17953.192003133394"/>
  </r>
  <r>
    <x v="5"/>
    <x v="1"/>
    <x v="0"/>
    <x v="0"/>
    <x v="0"/>
    <x v="469"/>
    <x v="461"/>
    <n v="5702"/>
    <n v="1341.88394610981"/>
  </r>
  <r>
    <x v="5"/>
    <x v="1"/>
    <x v="0"/>
    <x v="0"/>
    <x v="1"/>
    <x v="470"/>
    <x v="216"/>
    <n v="55"/>
    <n v="12229.727777777776"/>
  </r>
  <r>
    <x v="5"/>
    <x v="1"/>
    <x v="0"/>
    <x v="1"/>
    <x v="0"/>
    <x v="471"/>
    <x v="462"/>
    <n v="9726"/>
    <n v="1222.0138648087348"/>
  </r>
  <r>
    <x v="5"/>
    <x v="1"/>
    <x v="0"/>
    <x v="1"/>
    <x v="1"/>
    <x v="472"/>
    <x v="463"/>
    <n v="189"/>
    <n v="21170.685755172413"/>
  </r>
  <r>
    <x v="5"/>
    <x v="1"/>
    <x v="0"/>
    <x v="2"/>
    <x v="0"/>
    <x v="473"/>
    <x v="464"/>
    <n v="2452"/>
    <n v="391.13438501057726"/>
  </r>
  <r>
    <x v="5"/>
    <x v="1"/>
    <x v="0"/>
    <x v="2"/>
    <x v="1"/>
    <x v="474"/>
    <x v="55"/>
    <n v="21"/>
    <n v="2555.8094366197183"/>
  </r>
  <r>
    <x v="5"/>
    <x v="1"/>
    <x v="0"/>
    <x v="3"/>
    <x v="0"/>
    <x v="475"/>
    <x v="465"/>
    <n v="34254"/>
    <n v="5776.7702428732537"/>
  </r>
  <r>
    <x v="5"/>
    <x v="1"/>
    <x v="0"/>
    <x v="3"/>
    <x v="1"/>
    <x v="476"/>
    <x v="466"/>
    <n v="591"/>
    <n v="96728.066882640574"/>
  </r>
  <r>
    <x v="5"/>
    <x v="1"/>
    <x v="0"/>
    <x v="4"/>
    <x v="0"/>
    <x v="477"/>
    <x v="467"/>
    <n v="11515"/>
    <n v="1752.3890905191877"/>
  </r>
  <r>
    <x v="5"/>
    <x v="1"/>
    <x v="0"/>
    <x v="4"/>
    <x v="1"/>
    <x v="478"/>
    <x v="468"/>
    <n v="208"/>
    <n v="31631.190709677416"/>
  </r>
  <r>
    <x v="5"/>
    <x v="1"/>
    <x v="1"/>
    <x v="0"/>
    <x v="0"/>
    <x v="479"/>
    <x v="469"/>
    <n v="27420"/>
    <n v="8434.8676038027152"/>
  </r>
  <r>
    <x v="5"/>
    <x v="1"/>
    <x v="1"/>
    <x v="0"/>
    <x v="1"/>
    <x v="480"/>
    <x v="136"/>
    <n v="22"/>
    <n v="114.8092"/>
  </r>
  <r>
    <x v="5"/>
    <x v="1"/>
    <x v="1"/>
    <x v="1"/>
    <x v="0"/>
    <x v="481"/>
    <x v="470"/>
    <n v="52498"/>
    <n v="10714.532026885523"/>
  </r>
  <r>
    <x v="5"/>
    <x v="1"/>
    <x v="1"/>
    <x v="1"/>
    <x v="1"/>
    <x v="482"/>
    <x v="471"/>
    <n v="144"/>
    <n v="242.08067305785124"/>
  </r>
  <r>
    <x v="5"/>
    <x v="1"/>
    <x v="1"/>
    <x v="2"/>
    <x v="0"/>
    <x v="483"/>
    <x v="472"/>
    <n v="18244"/>
    <n v="2974.2346159794865"/>
  </r>
  <r>
    <x v="5"/>
    <x v="1"/>
    <x v="1"/>
    <x v="2"/>
    <x v="1"/>
    <x v="484"/>
    <x v="45"/>
    <n v="0"/>
    <n v="0"/>
  </r>
  <r>
    <x v="5"/>
    <x v="1"/>
    <x v="1"/>
    <x v="3"/>
    <x v="0"/>
    <x v="485"/>
    <x v="473"/>
    <n v="129485"/>
    <n v="42725.874286886508"/>
  </r>
  <r>
    <x v="5"/>
    <x v="1"/>
    <x v="1"/>
    <x v="3"/>
    <x v="1"/>
    <x v="486"/>
    <x v="474"/>
    <n v="905"/>
    <n v="1212.6790832049305"/>
  </r>
  <r>
    <x v="5"/>
    <x v="1"/>
    <x v="1"/>
    <x v="4"/>
    <x v="0"/>
    <x v="487"/>
    <x v="475"/>
    <n v="41226"/>
    <n v="14052.237486305319"/>
  </r>
  <r>
    <x v="5"/>
    <x v="1"/>
    <x v="1"/>
    <x v="4"/>
    <x v="1"/>
    <x v="488"/>
    <x v="31"/>
    <n v="94"/>
    <n v="58.724456521739128"/>
  </r>
  <r>
    <x v="5"/>
    <x v="1"/>
    <x v="2"/>
    <x v="0"/>
    <x v="0"/>
    <x v="489"/>
    <x v="476"/>
    <n v="2410"/>
    <n v="8439.2586047940986"/>
  </r>
  <r>
    <x v="5"/>
    <x v="1"/>
    <x v="2"/>
    <x v="0"/>
    <x v="1"/>
    <x v="490"/>
    <x v="477"/>
    <n v="212"/>
    <n v="998.60202380952387"/>
  </r>
  <r>
    <x v="5"/>
    <x v="1"/>
    <x v="2"/>
    <x v="1"/>
    <x v="0"/>
    <x v="491"/>
    <x v="478"/>
    <n v="5823"/>
    <n v="17896.423189754049"/>
  </r>
  <r>
    <x v="5"/>
    <x v="1"/>
    <x v="2"/>
    <x v="1"/>
    <x v="1"/>
    <x v="492"/>
    <x v="479"/>
    <n v="427"/>
    <n v="2017.2592122186493"/>
  </r>
  <r>
    <x v="5"/>
    <x v="1"/>
    <x v="2"/>
    <x v="2"/>
    <x v="0"/>
    <x v="493"/>
    <x v="480"/>
    <n v="1584"/>
    <n v="5743.1008208955227"/>
  </r>
  <r>
    <x v="5"/>
    <x v="1"/>
    <x v="2"/>
    <x v="2"/>
    <x v="1"/>
    <x v="45"/>
    <x v="49"/>
    <n v="122"/>
    <n v="168.20589473684211"/>
  </r>
  <r>
    <x v="5"/>
    <x v="1"/>
    <x v="2"/>
    <x v="3"/>
    <x v="0"/>
    <x v="494"/>
    <x v="481"/>
    <n v="11576"/>
    <n v="53748.640030790943"/>
  </r>
  <r>
    <x v="5"/>
    <x v="1"/>
    <x v="2"/>
    <x v="3"/>
    <x v="1"/>
    <x v="495"/>
    <x v="482"/>
    <n v="835"/>
    <n v="5044.2142857142853"/>
  </r>
  <r>
    <x v="5"/>
    <x v="1"/>
    <x v="2"/>
    <x v="4"/>
    <x v="0"/>
    <x v="496"/>
    <x v="483"/>
    <n v="4041"/>
    <n v="15993.883466691137"/>
  </r>
  <r>
    <x v="5"/>
    <x v="1"/>
    <x v="2"/>
    <x v="4"/>
    <x v="1"/>
    <x v="468"/>
    <x v="484"/>
    <n v="543"/>
    <n v="1181.5654112038142"/>
  </r>
  <r>
    <x v="5"/>
    <x v="2"/>
    <x v="0"/>
    <x v="0"/>
    <x v="0"/>
    <x v="497"/>
    <x v="485"/>
    <n v="13298"/>
    <n v="19787.922322238355"/>
  </r>
  <r>
    <x v="5"/>
    <x v="2"/>
    <x v="0"/>
    <x v="0"/>
    <x v="1"/>
    <x v="498"/>
    <x v="486"/>
    <n v="15448"/>
    <n v="85411.308669150676"/>
  </r>
  <r>
    <x v="5"/>
    <x v="2"/>
    <x v="0"/>
    <x v="1"/>
    <x v="0"/>
    <x v="499"/>
    <x v="487"/>
    <n v="14045"/>
    <n v="29844.54073075296"/>
  </r>
  <r>
    <x v="5"/>
    <x v="2"/>
    <x v="0"/>
    <x v="1"/>
    <x v="1"/>
    <x v="500"/>
    <x v="488"/>
    <n v="16589"/>
    <n v="101083.25216136788"/>
  </r>
  <r>
    <x v="5"/>
    <x v="2"/>
    <x v="0"/>
    <x v="2"/>
    <x v="0"/>
    <x v="501"/>
    <x v="489"/>
    <n v="3991"/>
    <n v="7348.3490338164247"/>
  </r>
  <r>
    <x v="5"/>
    <x v="2"/>
    <x v="0"/>
    <x v="2"/>
    <x v="1"/>
    <x v="502"/>
    <x v="490"/>
    <n v="3309"/>
    <n v="24280.928346853761"/>
  </r>
  <r>
    <x v="5"/>
    <x v="2"/>
    <x v="0"/>
    <x v="3"/>
    <x v="0"/>
    <x v="503"/>
    <x v="491"/>
    <n v="62206"/>
    <n v="152765.54190380641"/>
  </r>
  <r>
    <x v="5"/>
    <x v="2"/>
    <x v="0"/>
    <x v="3"/>
    <x v="1"/>
    <x v="504"/>
    <x v="492"/>
    <n v="85419"/>
    <n v="480381.20894267614"/>
  </r>
  <r>
    <x v="5"/>
    <x v="2"/>
    <x v="0"/>
    <x v="4"/>
    <x v="0"/>
    <x v="505"/>
    <x v="493"/>
    <n v="25457"/>
    <n v="62983.206117190464"/>
  </r>
  <r>
    <x v="5"/>
    <x v="2"/>
    <x v="0"/>
    <x v="4"/>
    <x v="1"/>
    <x v="506"/>
    <x v="494"/>
    <n v="37887"/>
    <n v="207469.212"/>
  </r>
  <r>
    <x v="5"/>
    <x v="2"/>
    <x v="1"/>
    <x v="0"/>
    <x v="0"/>
    <x v="507"/>
    <x v="495"/>
    <n v="119337"/>
    <n v="63596.505378006885"/>
  </r>
  <r>
    <x v="5"/>
    <x v="2"/>
    <x v="1"/>
    <x v="0"/>
    <x v="1"/>
    <x v="508"/>
    <x v="496"/>
    <n v="14009"/>
    <n v="11074.500018710047"/>
  </r>
  <r>
    <x v="5"/>
    <x v="2"/>
    <x v="1"/>
    <x v="1"/>
    <x v="0"/>
    <x v="509"/>
    <x v="497"/>
    <n v="146427"/>
    <n v="70217.706243765322"/>
  </r>
  <r>
    <x v="5"/>
    <x v="2"/>
    <x v="1"/>
    <x v="1"/>
    <x v="1"/>
    <x v="510"/>
    <x v="498"/>
    <n v="8648"/>
    <n v="10902.186802030457"/>
  </r>
  <r>
    <x v="5"/>
    <x v="2"/>
    <x v="1"/>
    <x v="2"/>
    <x v="0"/>
    <x v="511"/>
    <x v="499"/>
    <n v="58568"/>
    <n v="18662.485601328815"/>
  </r>
  <r>
    <x v="5"/>
    <x v="2"/>
    <x v="1"/>
    <x v="2"/>
    <x v="1"/>
    <x v="512"/>
    <x v="500"/>
    <n v="3439"/>
    <n v="1877.6251919150675"/>
  </r>
  <r>
    <x v="5"/>
    <x v="2"/>
    <x v="1"/>
    <x v="3"/>
    <x v="0"/>
    <x v="513"/>
    <x v="501"/>
    <n v="426693"/>
    <n v="270256.06437549629"/>
  </r>
  <r>
    <x v="5"/>
    <x v="2"/>
    <x v="1"/>
    <x v="3"/>
    <x v="1"/>
    <x v="514"/>
    <x v="502"/>
    <n v="44002"/>
    <n v="32611.246189596695"/>
  </r>
  <r>
    <x v="5"/>
    <x v="2"/>
    <x v="1"/>
    <x v="4"/>
    <x v="0"/>
    <x v="515"/>
    <x v="503"/>
    <n v="143651"/>
    <n v="102463.37178766674"/>
  </r>
  <r>
    <x v="5"/>
    <x v="2"/>
    <x v="1"/>
    <x v="4"/>
    <x v="1"/>
    <x v="516"/>
    <x v="101"/>
    <n v="22734"/>
    <n v="18262.440273883905"/>
  </r>
  <r>
    <x v="5"/>
    <x v="2"/>
    <x v="2"/>
    <x v="0"/>
    <x v="0"/>
    <x v="517"/>
    <x v="504"/>
    <n v="7671"/>
    <n v="81303.51240418118"/>
  </r>
  <r>
    <x v="5"/>
    <x v="2"/>
    <x v="2"/>
    <x v="0"/>
    <x v="1"/>
    <x v="518"/>
    <x v="505"/>
    <n v="35045"/>
    <n v="19993.226433570853"/>
  </r>
  <r>
    <x v="5"/>
    <x v="2"/>
    <x v="2"/>
    <x v="1"/>
    <x v="0"/>
    <x v="519"/>
    <x v="506"/>
    <n v="15922"/>
    <n v="148046.88598926988"/>
  </r>
  <r>
    <x v="5"/>
    <x v="2"/>
    <x v="2"/>
    <x v="1"/>
    <x v="1"/>
    <x v="520"/>
    <x v="507"/>
    <n v="107273"/>
    <n v="33612.137575924869"/>
  </r>
  <r>
    <x v="5"/>
    <x v="2"/>
    <x v="2"/>
    <x v="2"/>
    <x v="0"/>
    <x v="521"/>
    <x v="508"/>
    <n v="4303"/>
    <n v="40691.200796551726"/>
  </r>
  <r>
    <x v="5"/>
    <x v="2"/>
    <x v="2"/>
    <x v="2"/>
    <x v="1"/>
    <x v="522"/>
    <x v="272"/>
    <n v="28428"/>
    <n v="9283.1772085572557"/>
  </r>
  <r>
    <x v="5"/>
    <x v="2"/>
    <x v="2"/>
    <x v="3"/>
    <x v="0"/>
    <x v="523"/>
    <x v="509"/>
    <n v="39976"/>
    <n v="445853.79378914309"/>
  </r>
  <r>
    <x v="5"/>
    <x v="2"/>
    <x v="2"/>
    <x v="3"/>
    <x v="1"/>
    <x v="524"/>
    <x v="510"/>
    <n v="392736"/>
    <n v="90668.615968751124"/>
  </r>
  <r>
    <x v="5"/>
    <x v="2"/>
    <x v="2"/>
    <x v="4"/>
    <x v="0"/>
    <x v="525"/>
    <x v="511"/>
    <n v="16254"/>
    <n v="152201.21117711571"/>
  </r>
  <r>
    <x v="5"/>
    <x v="2"/>
    <x v="2"/>
    <x v="4"/>
    <x v="1"/>
    <x v="526"/>
    <x v="512"/>
    <n v="89405"/>
    <n v="36798.5595352073"/>
  </r>
  <r>
    <x v="6"/>
    <x v="0"/>
    <x v="0"/>
    <x v="0"/>
    <x v="0"/>
    <x v="527"/>
    <x v="513"/>
    <n v="60362"/>
    <n v="45327.524949463404"/>
  </r>
  <r>
    <x v="6"/>
    <x v="0"/>
    <x v="0"/>
    <x v="0"/>
    <x v="1"/>
    <x v="528"/>
    <x v="514"/>
    <n v="6616"/>
    <n v="229701.04048968488"/>
  </r>
  <r>
    <x v="6"/>
    <x v="0"/>
    <x v="0"/>
    <x v="1"/>
    <x v="0"/>
    <x v="529"/>
    <x v="515"/>
    <n v="105094"/>
    <n v="76377.459680951826"/>
  </r>
  <r>
    <x v="6"/>
    <x v="0"/>
    <x v="0"/>
    <x v="1"/>
    <x v="1"/>
    <x v="530"/>
    <x v="516"/>
    <n v="16504"/>
    <n v="354710.1370730818"/>
  </r>
  <r>
    <x v="6"/>
    <x v="0"/>
    <x v="0"/>
    <x v="2"/>
    <x v="0"/>
    <x v="531"/>
    <x v="517"/>
    <n v="47271"/>
    <n v="35463.26417965447"/>
  </r>
  <r>
    <x v="6"/>
    <x v="0"/>
    <x v="0"/>
    <x v="2"/>
    <x v="1"/>
    <x v="532"/>
    <x v="460"/>
    <n v="5420"/>
    <n v="88427.955885588555"/>
  </r>
  <r>
    <x v="6"/>
    <x v="0"/>
    <x v="0"/>
    <x v="3"/>
    <x v="0"/>
    <x v="533"/>
    <x v="518"/>
    <n v="258752"/>
    <n v="196480.7820089368"/>
  </r>
  <r>
    <x v="6"/>
    <x v="0"/>
    <x v="0"/>
    <x v="3"/>
    <x v="1"/>
    <x v="534"/>
    <x v="519"/>
    <n v="31899"/>
    <n v="1071446.9035724404"/>
  </r>
  <r>
    <x v="6"/>
    <x v="0"/>
    <x v="0"/>
    <x v="4"/>
    <x v="0"/>
    <x v="535"/>
    <x v="520"/>
    <n v="86731"/>
    <n v="84889.341654652482"/>
  </r>
  <r>
    <x v="6"/>
    <x v="0"/>
    <x v="0"/>
    <x v="4"/>
    <x v="1"/>
    <x v="536"/>
    <x v="521"/>
    <n v="12039"/>
    <n v="405732.2908651685"/>
  </r>
  <r>
    <x v="6"/>
    <x v="0"/>
    <x v="1"/>
    <x v="0"/>
    <x v="0"/>
    <x v="537"/>
    <x v="522"/>
    <n v="553096"/>
    <n v="135581.6211886532"/>
  </r>
  <r>
    <x v="6"/>
    <x v="0"/>
    <x v="1"/>
    <x v="0"/>
    <x v="1"/>
    <x v="538"/>
    <x v="523"/>
    <n v="18542"/>
    <n v="13610.348964295776"/>
  </r>
  <r>
    <x v="6"/>
    <x v="0"/>
    <x v="1"/>
    <x v="1"/>
    <x v="0"/>
    <x v="539"/>
    <x v="524"/>
    <n v="1116465"/>
    <n v="180038.30121631164"/>
  </r>
  <r>
    <x v="6"/>
    <x v="0"/>
    <x v="1"/>
    <x v="1"/>
    <x v="1"/>
    <x v="540"/>
    <x v="525"/>
    <n v="13794"/>
    <n v="15866.891907426523"/>
  </r>
  <r>
    <x v="6"/>
    <x v="0"/>
    <x v="1"/>
    <x v="2"/>
    <x v="0"/>
    <x v="541"/>
    <x v="526"/>
    <n v="656882"/>
    <n v="72518.504220654329"/>
  </r>
  <r>
    <x v="6"/>
    <x v="0"/>
    <x v="1"/>
    <x v="2"/>
    <x v="1"/>
    <x v="542"/>
    <x v="527"/>
    <n v="5266"/>
    <n v="6835.3525288651081"/>
  </r>
  <r>
    <x v="6"/>
    <x v="0"/>
    <x v="1"/>
    <x v="3"/>
    <x v="0"/>
    <x v="543"/>
    <x v="528"/>
    <n v="1939393"/>
    <n v="467443.22926296719"/>
  </r>
  <r>
    <x v="6"/>
    <x v="0"/>
    <x v="1"/>
    <x v="3"/>
    <x v="1"/>
    <x v="544"/>
    <x v="529"/>
    <n v="47716"/>
    <n v="30676.483319107392"/>
  </r>
  <r>
    <x v="6"/>
    <x v="0"/>
    <x v="1"/>
    <x v="4"/>
    <x v="0"/>
    <x v="545"/>
    <x v="530"/>
    <n v="620548"/>
    <n v="158748.23641954453"/>
  </r>
  <r>
    <x v="6"/>
    <x v="0"/>
    <x v="1"/>
    <x v="4"/>
    <x v="1"/>
    <x v="546"/>
    <x v="531"/>
    <n v="17220"/>
    <n v="12351.938786485667"/>
  </r>
  <r>
    <x v="6"/>
    <x v="0"/>
    <x v="2"/>
    <x v="0"/>
    <x v="0"/>
    <x v="547"/>
    <x v="532"/>
    <n v="19138"/>
    <n v="96759.564278904872"/>
  </r>
  <r>
    <x v="6"/>
    <x v="0"/>
    <x v="2"/>
    <x v="0"/>
    <x v="1"/>
    <x v="548"/>
    <x v="533"/>
    <n v="7365"/>
    <n v="16511.504952901854"/>
  </r>
  <r>
    <x v="6"/>
    <x v="0"/>
    <x v="2"/>
    <x v="1"/>
    <x v="0"/>
    <x v="549"/>
    <x v="534"/>
    <n v="45033"/>
    <n v="172433.93307220846"/>
  </r>
  <r>
    <x v="6"/>
    <x v="0"/>
    <x v="2"/>
    <x v="1"/>
    <x v="1"/>
    <x v="550"/>
    <x v="535"/>
    <n v="40032"/>
    <n v="27404.865706090772"/>
  </r>
  <r>
    <x v="6"/>
    <x v="0"/>
    <x v="2"/>
    <x v="2"/>
    <x v="0"/>
    <x v="551"/>
    <x v="536"/>
    <n v="22785"/>
    <n v="63751.430135354276"/>
  </r>
  <r>
    <x v="6"/>
    <x v="0"/>
    <x v="2"/>
    <x v="2"/>
    <x v="1"/>
    <x v="552"/>
    <x v="537"/>
    <n v="21530"/>
    <n v="11941.358680663827"/>
  </r>
  <r>
    <x v="6"/>
    <x v="0"/>
    <x v="2"/>
    <x v="3"/>
    <x v="0"/>
    <x v="553"/>
    <x v="538"/>
    <n v="69122"/>
    <n v="397679.03079407336"/>
  </r>
  <r>
    <x v="6"/>
    <x v="0"/>
    <x v="2"/>
    <x v="3"/>
    <x v="1"/>
    <x v="554"/>
    <x v="539"/>
    <n v="34840"/>
    <n v="53963.696602926568"/>
  </r>
  <r>
    <x v="6"/>
    <x v="0"/>
    <x v="2"/>
    <x v="4"/>
    <x v="0"/>
    <x v="555"/>
    <x v="540"/>
    <n v="25118"/>
    <n v="147470.16509215345"/>
  </r>
  <r>
    <x v="6"/>
    <x v="0"/>
    <x v="2"/>
    <x v="4"/>
    <x v="1"/>
    <x v="556"/>
    <x v="282"/>
    <n v="6679"/>
    <n v="18228.849101387648"/>
  </r>
  <r>
    <x v="6"/>
    <x v="1"/>
    <x v="0"/>
    <x v="0"/>
    <x v="0"/>
    <x v="557"/>
    <x v="541"/>
    <n v="5788"/>
    <n v="1362.1228130627114"/>
  </r>
  <r>
    <x v="6"/>
    <x v="1"/>
    <x v="0"/>
    <x v="0"/>
    <x v="1"/>
    <x v="558"/>
    <x v="302"/>
    <n v="58"/>
    <n v="12896.803838383838"/>
  </r>
  <r>
    <x v="6"/>
    <x v="1"/>
    <x v="0"/>
    <x v="1"/>
    <x v="0"/>
    <x v="559"/>
    <x v="542"/>
    <n v="9872"/>
    <n v="1240.357893624494"/>
  </r>
  <r>
    <x v="6"/>
    <x v="1"/>
    <x v="0"/>
    <x v="1"/>
    <x v="1"/>
    <x v="560"/>
    <x v="484"/>
    <n v="193"/>
    <n v="21618.742596551725"/>
  </r>
  <r>
    <x v="6"/>
    <x v="1"/>
    <x v="0"/>
    <x v="2"/>
    <x v="0"/>
    <x v="561"/>
    <x v="543"/>
    <n v="2489"/>
    <n v="397.03649440918713"/>
  </r>
  <r>
    <x v="6"/>
    <x v="1"/>
    <x v="0"/>
    <x v="2"/>
    <x v="1"/>
    <x v="562"/>
    <x v="41"/>
    <n v="24"/>
    <n v="2920.9250704225351"/>
  </r>
  <r>
    <x v="6"/>
    <x v="1"/>
    <x v="0"/>
    <x v="3"/>
    <x v="0"/>
    <x v="563"/>
    <x v="544"/>
    <n v="34769"/>
    <n v="5863.622484219658"/>
  </r>
  <r>
    <x v="6"/>
    <x v="1"/>
    <x v="0"/>
    <x v="3"/>
    <x v="1"/>
    <x v="564"/>
    <x v="545"/>
    <n v="602"/>
    <n v="98528.420073349625"/>
  </r>
  <r>
    <x v="6"/>
    <x v="1"/>
    <x v="0"/>
    <x v="4"/>
    <x v="0"/>
    <x v="565"/>
    <x v="546"/>
    <n v="11688"/>
    <n v="1778.71677724605"/>
  </r>
  <r>
    <x v="6"/>
    <x v="1"/>
    <x v="0"/>
    <x v="4"/>
    <x v="1"/>
    <x v="566"/>
    <x v="547"/>
    <n v="215"/>
    <n v="32695.701935483867"/>
  </r>
  <r>
    <x v="6"/>
    <x v="1"/>
    <x v="1"/>
    <x v="0"/>
    <x v="0"/>
    <x v="567"/>
    <x v="548"/>
    <n v="27832"/>
    <n v="8561.6059500013562"/>
  </r>
  <r>
    <x v="6"/>
    <x v="1"/>
    <x v="1"/>
    <x v="0"/>
    <x v="1"/>
    <x v="568"/>
    <x v="221"/>
    <n v="24"/>
    <n v="125.24640000000001"/>
  </r>
  <r>
    <x v="6"/>
    <x v="1"/>
    <x v="1"/>
    <x v="1"/>
    <x v="0"/>
    <x v="569"/>
    <x v="549"/>
    <n v="53287"/>
    <n v="10875.562271260789"/>
  </r>
  <r>
    <x v="6"/>
    <x v="1"/>
    <x v="1"/>
    <x v="1"/>
    <x v="1"/>
    <x v="570"/>
    <x v="550"/>
    <n v="149"/>
    <n v="250.48625198347105"/>
  </r>
  <r>
    <x v="6"/>
    <x v="1"/>
    <x v="1"/>
    <x v="2"/>
    <x v="0"/>
    <x v="571"/>
    <x v="551"/>
    <n v="18518"/>
    <n v="3018.9035638406122"/>
  </r>
  <r>
    <x v="6"/>
    <x v="1"/>
    <x v="1"/>
    <x v="2"/>
    <x v="1"/>
    <x v="572"/>
    <x v="45"/>
    <n v="0"/>
    <n v="0"/>
  </r>
  <r>
    <x v="6"/>
    <x v="1"/>
    <x v="1"/>
    <x v="3"/>
    <x v="0"/>
    <x v="573"/>
    <x v="552"/>
    <n v="131427"/>
    <n v="43366.671660058179"/>
  </r>
  <r>
    <x v="6"/>
    <x v="1"/>
    <x v="1"/>
    <x v="3"/>
    <x v="1"/>
    <x v="574"/>
    <x v="553"/>
    <n v="927"/>
    <n v="1242.1585747303543"/>
  </r>
  <r>
    <x v="6"/>
    <x v="1"/>
    <x v="1"/>
    <x v="4"/>
    <x v="0"/>
    <x v="575"/>
    <x v="554"/>
    <n v="41846"/>
    <n v="14263.569830978809"/>
  </r>
  <r>
    <x v="6"/>
    <x v="1"/>
    <x v="1"/>
    <x v="4"/>
    <x v="1"/>
    <x v="576"/>
    <x v="120"/>
    <n v="100"/>
    <n v="62.472826086956523"/>
  </r>
  <r>
    <x v="6"/>
    <x v="1"/>
    <x v="2"/>
    <x v="0"/>
    <x v="0"/>
    <x v="577"/>
    <x v="555"/>
    <n v="2447"/>
    <n v="8568.8239858635516"/>
  </r>
  <r>
    <x v="6"/>
    <x v="1"/>
    <x v="2"/>
    <x v="0"/>
    <x v="1"/>
    <x v="578"/>
    <x v="556"/>
    <n v="218"/>
    <n v="1026.8643452380952"/>
  </r>
  <r>
    <x v="6"/>
    <x v="1"/>
    <x v="2"/>
    <x v="1"/>
    <x v="0"/>
    <x v="579"/>
    <x v="557"/>
    <n v="5911"/>
    <n v="18166.882616286479"/>
  </r>
  <r>
    <x v="6"/>
    <x v="1"/>
    <x v="2"/>
    <x v="1"/>
    <x v="1"/>
    <x v="580"/>
    <x v="558"/>
    <n v="435"/>
    <n v="2055.0532958199356"/>
  </r>
  <r>
    <x v="6"/>
    <x v="1"/>
    <x v="2"/>
    <x v="2"/>
    <x v="0"/>
    <x v="581"/>
    <x v="559"/>
    <n v="1609"/>
    <n v="5833.7431949626862"/>
  </r>
  <r>
    <x v="6"/>
    <x v="1"/>
    <x v="2"/>
    <x v="2"/>
    <x v="1"/>
    <x v="552"/>
    <x v="136"/>
    <n v="132"/>
    <n v="181.99326315789475"/>
  </r>
  <r>
    <x v="6"/>
    <x v="1"/>
    <x v="2"/>
    <x v="3"/>
    <x v="0"/>
    <x v="582"/>
    <x v="560"/>
    <n v="11751"/>
    <n v="54561.184260696646"/>
  </r>
  <r>
    <x v="6"/>
    <x v="1"/>
    <x v="2"/>
    <x v="3"/>
    <x v="1"/>
    <x v="583"/>
    <x v="561"/>
    <n v="851"/>
    <n v="5140.8698887938399"/>
  </r>
  <r>
    <x v="6"/>
    <x v="1"/>
    <x v="2"/>
    <x v="4"/>
    <x v="0"/>
    <x v="584"/>
    <x v="562"/>
    <n v="4103"/>
    <n v="16239.273413470362"/>
  </r>
  <r>
    <x v="6"/>
    <x v="1"/>
    <x v="2"/>
    <x v="4"/>
    <x v="1"/>
    <x v="556"/>
    <x v="563"/>
    <n v="555"/>
    <n v="1207.6773539928486"/>
  </r>
  <r>
    <x v="6"/>
    <x v="2"/>
    <x v="0"/>
    <x v="0"/>
    <x v="0"/>
    <x v="585"/>
    <x v="564"/>
    <n v="13497"/>
    <n v="20084.0417794594"/>
  </r>
  <r>
    <x v="6"/>
    <x v="2"/>
    <x v="0"/>
    <x v="0"/>
    <x v="1"/>
    <x v="586"/>
    <x v="565"/>
    <n v="15683"/>
    <n v="86710.613274099553"/>
  </r>
  <r>
    <x v="6"/>
    <x v="2"/>
    <x v="0"/>
    <x v="1"/>
    <x v="0"/>
    <x v="587"/>
    <x v="566"/>
    <n v="14256"/>
    <n v="30292.899441624366"/>
  </r>
  <r>
    <x v="6"/>
    <x v="2"/>
    <x v="0"/>
    <x v="1"/>
    <x v="1"/>
    <x v="588"/>
    <x v="567"/>
    <n v="16850"/>
    <n v="102673.62703713599"/>
  </r>
  <r>
    <x v="6"/>
    <x v="2"/>
    <x v="0"/>
    <x v="2"/>
    <x v="0"/>
    <x v="589"/>
    <x v="568"/>
    <n v="4052"/>
    <n v="7460.6640654031953"/>
  </r>
  <r>
    <x v="6"/>
    <x v="2"/>
    <x v="0"/>
    <x v="2"/>
    <x v="1"/>
    <x v="590"/>
    <x v="569"/>
    <n v="3363"/>
    <n v="24677.171964481477"/>
  </r>
  <r>
    <x v="6"/>
    <x v="2"/>
    <x v="0"/>
    <x v="3"/>
    <x v="0"/>
    <x v="591"/>
    <x v="570"/>
    <n v="63139"/>
    <n v="155056.80401029537"/>
  </r>
  <r>
    <x v="6"/>
    <x v="2"/>
    <x v="0"/>
    <x v="3"/>
    <x v="1"/>
    <x v="592"/>
    <x v="571"/>
    <n v="86701"/>
    <n v="487590.94810919074"/>
  </r>
  <r>
    <x v="6"/>
    <x v="2"/>
    <x v="0"/>
    <x v="4"/>
    <x v="0"/>
    <x v="593"/>
    <x v="572"/>
    <n v="25839"/>
    <n v="63928.312953689929"/>
  </r>
  <r>
    <x v="6"/>
    <x v="2"/>
    <x v="0"/>
    <x v="4"/>
    <x v="1"/>
    <x v="594"/>
    <x v="573"/>
    <n v="38465"/>
    <n v="210634.34"/>
  </r>
  <r>
    <x v="6"/>
    <x v="2"/>
    <x v="1"/>
    <x v="0"/>
    <x v="0"/>
    <x v="595"/>
    <x v="574"/>
    <n v="121129"/>
    <n v="64551.489478808719"/>
  </r>
  <r>
    <x v="6"/>
    <x v="2"/>
    <x v="1"/>
    <x v="0"/>
    <x v="1"/>
    <x v="596"/>
    <x v="575"/>
    <n v="14231"/>
    <n v="11249.997128007901"/>
  </r>
  <r>
    <x v="6"/>
    <x v="2"/>
    <x v="1"/>
    <x v="1"/>
    <x v="0"/>
    <x v="597"/>
    <x v="576"/>
    <n v="148625"/>
    <n v="71271.736704840107"/>
  </r>
  <r>
    <x v="6"/>
    <x v="2"/>
    <x v="1"/>
    <x v="1"/>
    <x v="1"/>
    <x v="598"/>
    <x v="577"/>
    <n v="8792"/>
    <n v="11083.721827411167"/>
  </r>
  <r>
    <x v="6"/>
    <x v="2"/>
    <x v="1"/>
    <x v="2"/>
    <x v="0"/>
    <x v="599"/>
    <x v="578"/>
    <n v="59447"/>
    <n v="18942.575835647353"/>
  </r>
  <r>
    <x v="6"/>
    <x v="2"/>
    <x v="1"/>
    <x v="2"/>
    <x v="1"/>
    <x v="600"/>
    <x v="579"/>
    <n v="3491"/>
    <n v="1906.0161514904044"/>
  </r>
  <r>
    <x v="6"/>
    <x v="2"/>
    <x v="1"/>
    <x v="3"/>
    <x v="0"/>
    <x v="601"/>
    <x v="580"/>
    <n v="433095"/>
    <n v="274310.92190569232"/>
  </r>
  <r>
    <x v="6"/>
    <x v="2"/>
    <x v="1"/>
    <x v="3"/>
    <x v="1"/>
    <x v="602"/>
    <x v="581"/>
    <n v="44668"/>
    <n v="33104.83943450082"/>
  </r>
  <r>
    <x v="6"/>
    <x v="2"/>
    <x v="1"/>
    <x v="4"/>
    <x v="0"/>
    <x v="603"/>
    <x v="582"/>
    <n v="145807"/>
    <n v="104001.20326516574"/>
  </r>
  <r>
    <x v="6"/>
    <x v="2"/>
    <x v="1"/>
    <x v="4"/>
    <x v="1"/>
    <x v="604"/>
    <x v="186"/>
    <n v="23110"/>
    <n v="18564.484680630645"/>
  </r>
  <r>
    <x v="6"/>
    <x v="2"/>
    <x v="2"/>
    <x v="0"/>
    <x v="0"/>
    <x v="605"/>
    <x v="583"/>
    <n v="7787"/>
    <n v="82532.974982578395"/>
  </r>
  <r>
    <x v="6"/>
    <x v="2"/>
    <x v="2"/>
    <x v="0"/>
    <x v="1"/>
    <x v="606"/>
    <x v="584"/>
    <n v="35575"/>
    <n v="20295.592249230507"/>
  </r>
  <r>
    <x v="6"/>
    <x v="2"/>
    <x v="2"/>
    <x v="1"/>
    <x v="0"/>
    <x v="607"/>
    <x v="585"/>
    <n v="16161"/>
    <n v="150269.16998320504"/>
  </r>
  <r>
    <x v="6"/>
    <x v="2"/>
    <x v="2"/>
    <x v="1"/>
    <x v="1"/>
    <x v="608"/>
    <x v="586"/>
    <n v="108919"/>
    <n v="34127.883182461206"/>
  </r>
  <r>
    <x v="6"/>
    <x v="2"/>
    <x v="2"/>
    <x v="2"/>
    <x v="0"/>
    <x v="609"/>
    <x v="587"/>
    <n v="4368"/>
    <n v="41305.871503448281"/>
  </r>
  <r>
    <x v="6"/>
    <x v="2"/>
    <x v="2"/>
    <x v="2"/>
    <x v="1"/>
    <x v="610"/>
    <x v="588"/>
    <n v="28880"/>
    <n v="9430.7780281107898"/>
  </r>
  <r>
    <x v="6"/>
    <x v="2"/>
    <x v="2"/>
    <x v="3"/>
    <x v="0"/>
    <x v="611"/>
    <x v="589"/>
    <n v="40577"/>
    <n v="452556.76882584696"/>
  </r>
  <r>
    <x v="6"/>
    <x v="2"/>
    <x v="2"/>
    <x v="3"/>
    <x v="1"/>
    <x v="612"/>
    <x v="590"/>
    <n v="398634"/>
    <n v="92030.252021936205"/>
  </r>
  <r>
    <x v="6"/>
    <x v="2"/>
    <x v="2"/>
    <x v="4"/>
    <x v="0"/>
    <x v="613"/>
    <x v="591"/>
    <n v="16497"/>
    <n v="154476.64456680682"/>
  </r>
  <r>
    <x v="6"/>
    <x v="2"/>
    <x v="2"/>
    <x v="4"/>
    <x v="1"/>
    <x v="614"/>
    <x v="592"/>
    <n v="90769"/>
    <n v="37359.973720163653"/>
  </r>
  <r>
    <x v="7"/>
    <x v="0"/>
    <x v="0"/>
    <x v="0"/>
    <x v="0"/>
    <x v="615"/>
    <x v="593"/>
    <n v="62173"/>
    <n v="46687.45582788821"/>
  </r>
  <r>
    <x v="7"/>
    <x v="0"/>
    <x v="0"/>
    <x v="0"/>
    <x v="1"/>
    <x v="616"/>
    <x v="594"/>
    <n v="6817"/>
    <n v="236679.56363636363"/>
  </r>
  <r>
    <x v="7"/>
    <x v="0"/>
    <x v="0"/>
    <x v="1"/>
    <x v="0"/>
    <x v="617"/>
    <x v="595"/>
    <n v="108248"/>
    <n v="78669.6410408175"/>
  </r>
  <r>
    <x v="7"/>
    <x v="0"/>
    <x v="0"/>
    <x v="1"/>
    <x v="1"/>
    <x v="618"/>
    <x v="596"/>
    <n v="17003"/>
    <n v="365434.83159558958"/>
  </r>
  <r>
    <x v="7"/>
    <x v="0"/>
    <x v="0"/>
    <x v="2"/>
    <x v="0"/>
    <x v="619"/>
    <x v="597"/>
    <n v="48690"/>
    <n v="36527.814789350261"/>
  </r>
  <r>
    <x v="7"/>
    <x v="0"/>
    <x v="0"/>
    <x v="2"/>
    <x v="1"/>
    <x v="620"/>
    <x v="598"/>
    <n v="5586"/>
    <n v="91136.265973597358"/>
  </r>
  <r>
    <x v="7"/>
    <x v="0"/>
    <x v="0"/>
    <x v="3"/>
    <x v="0"/>
    <x v="621"/>
    <x v="599"/>
    <n v="266515"/>
    <n v="202375.53957887008"/>
  </r>
  <r>
    <x v="7"/>
    <x v="0"/>
    <x v="0"/>
    <x v="3"/>
    <x v="1"/>
    <x v="622"/>
    <x v="600"/>
    <n v="32859"/>
    <n v="1103692.0845320174"/>
  </r>
  <r>
    <x v="7"/>
    <x v="0"/>
    <x v="0"/>
    <x v="4"/>
    <x v="0"/>
    <x v="623"/>
    <x v="601"/>
    <n v="89333"/>
    <n v="87436.090417902145"/>
  </r>
  <r>
    <x v="7"/>
    <x v="0"/>
    <x v="0"/>
    <x v="4"/>
    <x v="1"/>
    <x v="624"/>
    <x v="602"/>
    <n v="12403"/>
    <n v="417999.63482022466"/>
  </r>
  <r>
    <x v="7"/>
    <x v="0"/>
    <x v="1"/>
    <x v="0"/>
    <x v="0"/>
    <x v="625"/>
    <x v="603"/>
    <n v="569691"/>
    <n v="139649.5895045074"/>
  </r>
  <r>
    <x v="7"/>
    <x v="0"/>
    <x v="1"/>
    <x v="0"/>
    <x v="1"/>
    <x v="626"/>
    <x v="604"/>
    <n v="19124"/>
    <n v="14037.553316427162"/>
  </r>
  <r>
    <x v="7"/>
    <x v="0"/>
    <x v="1"/>
    <x v="1"/>
    <x v="0"/>
    <x v="627"/>
    <x v="605"/>
    <n v="1149959"/>
    <n v="185439.45831567358"/>
  </r>
  <r>
    <x v="7"/>
    <x v="0"/>
    <x v="1"/>
    <x v="1"/>
    <x v="1"/>
    <x v="628"/>
    <x v="606"/>
    <n v="14209"/>
    <n v="16344.255989025914"/>
  </r>
  <r>
    <x v="7"/>
    <x v="0"/>
    <x v="1"/>
    <x v="2"/>
    <x v="0"/>
    <x v="629"/>
    <x v="607"/>
    <n v="676589"/>
    <n v="74694.118962231107"/>
  </r>
  <r>
    <x v="7"/>
    <x v="0"/>
    <x v="1"/>
    <x v="2"/>
    <x v="1"/>
    <x v="630"/>
    <x v="608"/>
    <n v="5436"/>
    <n v="7056.0152576738947"/>
  </r>
  <r>
    <x v="7"/>
    <x v="0"/>
    <x v="1"/>
    <x v="3"/>
    <x v="0"/>
    <x v="631"/>
    <x v="609"/>
    <n v="1997576"/>
    <n v="481466.81778174971"/>
  </r>
  <r>
    <x v="7"/>
    <x v="0"/>
    <x v="1"/>
    <x v="3"/>
    <x v="1"/>
    <x v="632"/>
    <x v="610"/>
    <n v="49169"/>
    <n v="31610.612966660894"/>
  </r>
  <r>
    <x v="7"/>
    <x v="0"/>
    <x v="1"/>
    <x v="4"/>
    <x v="0"/>
    <x v="633"/>
    <x v="611"/>
    <n v="639164"/>
    <n v="163510.57095158109"/>
  </r>
  <r>
    <x v="7"/>
    <x v="0"/>
    <x v="1"/>
    <x v="4"/>
    <x v="1"/>
    <x v="634"/>
    <x v="612"/>
    <n v="17751"/>
    <n v="12732.826097497507"/>
  </r>
  <r>
    <x v="7"/>
    <x v="0"/>
    <x v="2"/>
    <x v="0"/>
    <x v="0"/>
    <x v="635"/>
    <x v="613"/>
    <n v="19713"/>
    <n v="99666.699270041368"/>
  </r>
  <r>
    <x v="7"/>
    <x v="0"/>
    <x v="2"/>
    <x v="0"/>
    <x v="1"/>
    <x v="636"/>
    <x v="614"/>
    <n v="7595"/>
    <n v="17027.139187683581"/>
  </r>
  <r>
    <x v="7"/>
    <x v="0"/>
    <x v="2"/>
    <x v="1"/>
    <x v="0"/>
    <x v="637"/>
    <x v="615"/>
    <n v="46385"/>
    <n v="177610.81841215087"/>
  </r>
  <r>
    <x v="7"/>
    <x v="0"/>
    <x v="2"/>
    <x v="1"/>
    <x v="1"/>
    <x v="638"/>
    <x v="616"/>
    <n v="41251"/>
    <n v="28239.361391935214"/>
  </r>
  <r>
    <x v="7"/>
    <x v="0"/>
    <x v="2"/>
    <x v="2"/>
    <x v="0"/>
    <x v="639"/>
    <x v="617"/>
    <n v="23468"/>
    <n v="65662.434163550322"/>
  </r>
  <r>
    <x v="7"/>
    <x v="0"/>
    <x v="2"/>
    <x v="2"/>
    <x v="1"/>
    <x v="640"/>
    <x v="618"/>
    <n v="22197"/>
    <n v="12311.302305373663"/>
  </r>
  <r>
    <x v="7"/>
    <x v="0"/>
    <x v="2"/>
    <x v="3"/>
    <x v="0"/>
    <x v="641"/>
    <x v="619"/>
    <n v="71196"/>
    <n v="409611.35783708293"/>
  </r>
  <r>
    <x v="7"/>
    <x v="0"/>
    <x v="2"/>
    <x v="3"/>
    <x v="1"/>
    <x v="642"/>
    <x v="122"/>
    <n v="35890"/>
    <n v="55590.042223852884"/>
  </r>
  <r>
    <x v="7"/>
    <x v="0"/>
    <x v="2"/>
    <x v="4"/>
    <x v="0"/>
    <x v="643"/>
    <x v="620"/>
    <n v="25872"/>
    <n v="151896.97074863422"/>
  </r>
  <r>
    <x v="7"/>
    <x v="0"/>
    <x v="2"/>
    <x v="4"/>
    <x v="1"/>
    <x v="644"/>
    <x v="621"/>
    <n v="6880"/>
    <n v="18777.434019695615"/>
  </r>
  <r>
    <x v="7"/>
    <x v="1"/>
    <x v="0"/>
    <x v="0"/>
    <x v="0"/>
    <x v="645"/>
    <x v="622"/>
    <n v="5963"/>
    <n v="1403.3065539552433"/>
  </r>
  <r>
    <x v="7"/>
    <x v="1"/>
    <x v="0"/>
    <x v="0"/>
    <x v="1"/>
    <x v="646"/>
    <x v="386"/>
    <n v="60"/>
    <n v="13341.52121212121"/>
  </r>
  <r>
    <x v="7"/>
    <x v="1"/>
    <x v="0"/>
    <x v="1"/>
    <x v="0"/>
    <x v="647"/>
    <x v="623"/>
    <n v="10169"/>
    <n v="1277.6741714209359"/>
  </r>
  <r>
    <x v="7"/>
    <x v="1"/>
    <x v="0"/>
    <x v="1"/>
    <x v="1"/>
    <x v="648"/>
    <x v="624"/>
    <n v="201"/>
    <n v="22514.856279310345"/>
  </r>
  <r>
    <x v="7"/>
    <x v="1"/>
    <x v="0"/>
    <x v="2"/>
    <x v="0"/>
    <x v="649"/>
    <x v="625"/>
    <n v="2564"/>
    <n v="409.00022967663949"/>
  </r>
  <r>
    <x v="7"/>
    <x v="1"/>
    <x v="0"/>
    <x v="2"/>
    <x v="1"/>
    <x v="650"/>
    <x v="129"/>
    <n v="27"/>
    <n v="3286.0407042253523"/>
  </r>
  <r>
    <x v="7"/>
    <x v="1"/>
    <x v="0"/>
    <x v="3"/>
    <x v="0"/>
    <x v="651"/>
    <x v="626"/>
    <n v="35813"/>
    <n v="6039.6879987160582"/>
  </r>
  <r>
    <x v="7"/>
    <x v="1"/>
    <x v="0"/>
    <x v="3"/>
    <x v="1"/>
    <x v="652"/>
    <x v="627"/>
    <n v="620"/>
    <n v="101474.45256723715"/>
  </r>
  <r>
    <x v="7"/>
    <x v="1"/>
    <x v="0"/>
    <x v="4"/>
    <x v="0"/>
    <x v="653"/>
    <x v="628"/>
    <n v="12039"/>
    <n v="1832.133066501129"/>
  </r>
  <r>
    <x v="7"/>
    <x v="1"/>
    <x v="0"/>
    <x v="4"/>
    <x v="1"/>
    <x v="654"/>
    <x v="629"/>
    <n v="224"/>
    <n v="34064.359225806445"/>
  </r>
  <r>
    <x v="7"/>
    <x v="1"/>
    <x v="1"/>
    <x v="0"/>
    <x v="0"/>
    <x v="655"/>
    <x v="630"/>
    <n v="28669"/>
    <n v="8819.0816678854862"/>
  </r>
  <r>
    <x v="7"/>
    <x v="1"/>
    <x v="1"/>
    <x v="0"/>
    <x v="1"/>
    <x v="656"/>
    <x v="307"/>
    <n v="25"/>
    <n v="130.465"/>
  </r>
  <r>
    <x v="7"/>
    <x v="1"/>
    <x v="1"/>
    <x v="1"/>
    <x v="0"/>
    <x v="657"/>
    <x v="631"/>
    <n v="54887"/>
    <n v="11202.112830196689"/>
  </r>
  <r>
    <x v="7"/>
    <x v="1"/>
    <x v="1"/>
    <x v="1"/>
    <x v="1"/>
    <x v="658"/>
    <x v="632"/>
    <n v="155"/>
    <n v="260.57294669421486"/>
  </r>
  <r>
    <x v="7"/>
    <x v="1"/>
    <x v="1"/>
    <x v="2"/>
    <x v="0"/>
    <x v="659"/>
    <x v="633"/>
    <n v="19074"/>
    <n v="3109.5456624201229"/>
  </r>
  <r>
    <x v="7"/>
    <x v="1"/>
    <x v="1"/>
    <x v="2"/>
    <x v="1"/>
    <x v="660"/>
    <x v="45"/>
    <n v="0"/>
    <n v="0"/>
  </r>
  <r>
    <x v="7"/>
    <x v="1"/>
    <x v="1"/>
    <x v="3"/>
    <x v="0"/>
    <x v="661"/>
    <x v="634"/>
    <n v="135370"/>
    <n v="44667.734503732689"/>
  </r>
  <r>
    <x v="7"/>
    <x v="1"/>
    <x v="1"/>
    <x v="3"/>
    <x v="1"/>
    <x v="662"/>
    <x v="635"/>
    <n v="959"/>
    <n v="1285.0378351309707"/>
  </r>
  <r>
    <x v="7"/>
    <x v="1"/>
    <x v="1"/>
    <x v="4"/>
    <x v="0"/>
    <x v="663"/>
    <x v="636"/>
    <n v="43102"/>
    <n v="14691.688258252847"/>
  </r>
  <r>
    <x v="7"/>
    <x v="1"/>
    <x v="1"/>
    <x v="4"/>
    <x v="1"/>
    <x v="39"/>
    <x v="205"/>
    <n v="105"/>
    <n v="65.596467391304344"/>
  </r>
  <r>
    <x v="7"/>
    <x v="1"/>
    <x v="2"/>
    <x v="0"/>
    <x v="0"/>
    <x v="664"/>
    <x v="637"/>
    <n v="2521"/>
    <n v="8827.9547480024576"/>
  </r>
  <r>
    <x v="7"/>
    <x v="1"/>
    <x v="2"/>
    <x v="0"/>
    <x v="1"/>
    <x v="665"/>
    <x v="33"/>
    <n v="229"/>
    <n v="1078.6786011904762"/>
  </r>
  <r>
    <x v="7"/>
    <x v="1"/>
    <x v="2"/>
    <x v="1"/>
    <x v="0"/>
    <x v="666"/>
    <x v="638"/>
    <n v="6089"/>
    <n v="18713.948274499809"/>
  </r>
  <r>
    <x v="7"/>
    <x v="1"/>
    <x v="2"/>
    <x v="1"/>
    <x v="1"/>
    <x v="667"/>
    <x v="639"/>
    <n v="451"/>
    <n v="2130.6414630225077"/>
  </r>
  <r>
    <x v="7"/>
    <x v="1"/>
    <x v="2"/>
    <x v="2"/>
    <x v="0"/>
    <x v="668"/>
    <x v="640"/>
    <n v="1657"/>
    <n v="6007.7765531716414"/>
  </r>
  <r>
    <x v="7"/>
    <x v="1"/>
    <x v="2"/>
    <x v="2"/>
    <x v="1"/>
    <x v="640"/>
    <x v="221"/>
    <n v="142"/>
    <n v="195.78063157894738"/>
  </r>
  <r>
    <x v="7"/>
    <x v="1"/>
    <x v="2"/>
    <x v="3"/>
    <x v="0"/>
    <x v="669"/>
    <x v="641"/>
    <n v="12103"/>
    <n v="56195.558940278395"/>
  </r>
  <r>
    <x v="7"/>
    <x v="1"/>
    <x v="2"/>
    <x v="3"/>
    <x v="1"/>
    <x v="670"/>
    <x v="642"/>
    <n v="881"/>
    <n v="5322.0991445680065"/>
  </r>
  <r>
    <x v="7"/>
    <x v="1"/>
    <x v="2"/>
    <x v="4"/>
    <x v="0"/>
    <x v="671"/>
    <x v="643"/>
    <n v="4226"/>
    <n v="16726.095404661406"/>
  </r>
  <r>
    <x v="7"/>
    <x v="1"/>
    <x v="2"/>
    <x v="4"/>
    <x v="1"/>
    <x v="644"/>
    <x v="644"/>
    <n v="579"/>
    <n v="1259.9012395709178"/>
  </r>
  <r>
    <x v="7"/>
    <x v="2"/>
    <x v="0"/>
    <x v="0"/>
    <x v="0"/>
    <x v="672"/>
    <x v="645"/>
    <n v="13902"/>
    <n v="20686.696956215794"/>
  </r>
  <r>
    <x v="7"/>
    <x v="2"/>
    <x v="0"/>
    <x v="0"/>
    <x v="1"/>
    <x v="673"/>
    <x v="646"/>
    <n v="16154"/>
    <n v="89314.751439763073"/>
  </r>
  <r>
    <x v="7"/>
    <x v="2"/>
    <x v="0"/>
    <x v="1"/>
    <x v="0"/>
    <x v="674"/>
    <x v="647"/>
    <n v="14685"/>
    <n v="31204.491322969545"/>
  </r>
  <r>
    <x v="7"/>
    <x v="2"/>
    <x v="0"/>
    <x v="1"/>
    <x v="1"/>
    <x v="675"/>
    <x v="648"/>
    <n v="17358"/>
    <n v="105769.06932407159"/>
  </r>
  <r>
    <x v="7"/>
    <x v="2"/>
    <x v="0"/>
    <x v="2"/>
    <x v="0"/>
    <x v="676"/>
    <x v="649"/>
    <n v="4174"/>
    <n v="7685.2941285767374"/>
  </r>
  <r>
    <x v="7"/>
    <x v="2"/>
    <x v="0"/>
    <x v="2"/>
    <x v="1"/>
    <x v="213"/>
    <x v="650"/>
    <n v="3472"/>
    <n v="25476.997044507785"/>
  </r>
  <r>
    <x v="7"/>
    <x v="2"/>
    <x v="0"/>
    <x v="3"/>
    <x v="0"/>
    <x v="677"/>
    <x v="651"/>
    <n v="65034"/>
    <n v="159710.54644523273"/>
  </r>
  <r>
    <x v="7"/>
    <x v="2"/>
    <x v="0"/>
    <x v="3"/>
    <x v="1"/>
    <x v="678"/>
    <x v="652"/>
    <n v="89308"/>
    <n v="502252.25076683785"/>
  </r>
  <r>
    <x v="7"/>
    <x v="2"/>
    <x v="0"/>
    <x v="4"/>
    <x v="0"/>
    <x v="679"/>
    <x v="653"/>
    <n v="26615"/>
    <n v="65848.215846683597"/>
  </r>
  <r>
    <x v="7"/>
    <x v="2"/>
    <x v="0"/>
    <x v="4"/>
    <x v="1"/>
    <x v="680"/>
    <x v="654"/>
    <n v="39622"/>
    <n v="216970.07199999999"/>
  </r>
  <r>
    <x v="7"/>
    <x v="2"/>
    <x v="1"/>
    <x v="0"/>
    <x v="0"/>
    <x v="681"/>
    <x v="655"/>
    <n v="124766"/>
    <n v="66489.702187857969"/>
  </r>
  <r>
    <x v="7"/>
    <x v="2"/>
    <x v="1"/>
    <x v="0"/>
    <x v="1"/>
    <x v="682"/>
    <x v="15"/>
    <n v="14674"/>
    <n v="11600.200819084248"/>
  </r>
  <r>
    <x v="7"/>
    <x v="2"/>
    <x v="1"/>
    <x v="1"/>
    <x v="0"/>
    <x v="683"/>
    <x v="656"/>
    <n v="153086"/>
    <n v="73410.967772562843"/>
  </r>
  <r>
    <x v="7"/>
    <x v="2"/>
    <x v="1"/>
    <x v="1"/>
    <x v="1"/>
    <x v="684"/>
    <x v="657"/>
    <n v="9057"/>
    <n v="11417.796700507613"/>
  </r>
  <r>
    <x v="7"/>
    <x v="2"/>
    <x v="1"/>
    <x v="2"/>
    <x v="0"/>
    <x v="685"/>
    <x v="658"/>
    <n v="61234"/>
    <n v="19511.997051491748"/>
  </r>
  <r>
    <x v="7"/>
    <x v="2"/>
    <x v="1"/>
    <x v="2"/>
    <x v="1"/>
    <x v="327"/>
    <x v="659"/>
    <n v="3621"/>
    <n v="1976.9935504287464"/>
  </r>
  <r>
    <x v="7"/>
    <x v="2"/>
    <x v="1"/>
    <x v="3"/>
    <x v="0"/>
    <x v="686"/>
    <x v="660"/>
    <n v="446088"/>
    <n v="282540.34456889704"/>
  </r>
  <r>
    <x v="7"/>
    <x v="2"/>
    <x v="1"/>
    <x v="3"/>
    <x v="1"/>
    <x v="687"/>
    <x v="661"/>
    <n v="46034"/>
    <n v="34117.22437825313"/>
  </r>
  <r>
    <x v="7"/>
    <x v="2"/>
    <x v="1"/>
    <x v="4"/>
    <x v="0"/>
    <x v="688"/>
    <x v="662"/>
    <n v="150181"/>
    <n v="107121.08957434043"/>
  </r>
  <r>
    <x v="7"/>
    <x v="2"/>
    <x v="1"/>
    <x v="4"/>
    <x v="1"/>
    <x v="689"/>
    <x v="663"/>
    <n v="23824"/>
    <n v="19138.047729612485"/>
  </r>
  <r>
    <x v="7"/>
    <x v="2"/>
    <x v="2"/>
    <x v="0"/>
    <x v="0"/>
    <x v="690"/>
    <x v="664"/>
    <n v="8021"/>
    <n v="85013.097770034845"/>
  </r>
  <r>
    <x v="7"/>
    <x v="2"/>
    <x v="2"/>
    <x v="0"/>
    <x v="1"/>
    <x v="691"/>
    <x v="665"/>
    <n v="36664"/>
    <n v="20916.868425180248"/>
  </r>
  <r>
    <x v="7"/>
    <x v="2"/>
    <x v="2"/>
    <x v="1"/>
    <x v="0"/>
    <x v="692"/>
    <x v="666"/>
    <n v="16646"/>
    <n v="154778.8257867973"/>
  </r>
  <r>
    <x v="7"/>
    <x v="2"/>
    <x v="2"/>
    <x v="1"/>
    <x v="1"/>
    <x v="693"/>
    <x v="667"/>
    <n v="112213"/>
    <n v="35160.001060912415"/>
  </r>
  <r>
    <x v="7"/>
    <x v="2"/>
    <x v="2"/>
    <x v="2"/>
    <x v="0"/>
    <x v="694"/>
    <x v="668"/>
    <n v="4499"/>
    <n v="42544.669389655173"/>
  </r>
  <r>
    <x v="7"/>
    <x v="2"/>
    <x v="2"/>
    <x v="2"/>
    <x v="1"/>
    <x v="695"/>
    <x v="442"/>
    <n v="29786"/>
    <n v="9726.6327681893345"/>
  </r>
  <r>
    <x v="7"/>
    <x v="2"/>
    <x v="2"/>
    <x v="3"/>
    <x v="0"/>
    <x v="696"/>
    <x v="669"/>
    <n v="41794"/>
    <n v="466130.01444925566"/>
  </r>
  <r>
    <x v="7"/>
    <x v="2"/>
    <x v="2"/>
    <x v="3"/>
    <x v="1"/>
    <x v="697"/>
    <x v="670"/>
    <n v="410627"/>
    <n v="94799.004342358152"/>
  </r>
  <r>
    <x v="7"/>
    <x v="2"/>
    <x v="2"/>
    <x v="4"/>
    <x v="0"/>
    <x v="698"/>
    <x v="671"/>
    <n v="16993"/>
    <n v="159121.15058033267"/>
  </r>
  <r>
    <x v="7"/>
    <x v="2"/>
    <x v="2"/>
    <x v="4"/>
    <x v="1"/>
    <x v="699"/>
    <x v="672"/>
    <n v="93498"/>
    <n v="38483.213684053604"/>
  </r>
  <r>
    <x v="8"/>
    <x v="0"/>
    <x v="0"/>
    <x v="0"/>
    <x v="0"/>
    <x v="700"/>
    <x v="673"/>
    <n v="63417"/>
    <n v="47621.610445646606"/>
  </r>
  <r>
    <x v="8"/>
    <x v="0"/>
    <x v="0"/>
    <x v="0"/>
    <x v="1"/>
    <x v="701"/>
    <x v="674"/>
    <n v="6958"/>
    <n v="241574.94554522785"/>
  </r>
  <r>
    <x v="8"/>
    <x v="0"/>
    <x v="0"/>
    <x v="1"/>
    <x v="0"/>
    <x v="702"/>
    <x v="675"/>
    <n v="110413"/>
    <n v="80243.062931784254"/>
  </r>
  <r>
    <x v="8"/>
    <x v="0"/>
    <x v="0"/>
    <x v="1"/>
    <x v="1"/>
    <x v="703"/>
    <x v="676"/>
    <n v="17347"/>
    <n v="372828.2081802442"/>
  </r>
  <r>
    <x v="8"/>
    <x v="0"/>
    <x v="0"/>
    <x v="2"/>
    <x v="0"/>
    <x v="704"/>
    <x v="677"/>
    <n v="49664"/>
    <n v="37258.521127506501"/>
  </r>
  <r>
    <x v="8"/>
    <x v="0"/>
    <x v="0"/>
    <x v="2"/>
    <x v="1"/>
    <x v="705"/>
    <x v="678"/>
    <n v="5703"/>
    <n v="93045.135132013194"/>
  </r>
  <r>
    <x v="8"/>
    <x v="0"/>
    <x v="0"/>
    <x v="3"/>
    <x v="0"/>
    <x v="706"/>
    <x v="679"/>
    <n v="271846"/>
    <n v="206423.58190855116"/>
  </r>
  <r>
    <x v="8"/>
    <x v="0"/>
    <x v="0"/>
    <x v="3"/>
    <x v="1"/>
    <x v="707"/>
    <x v="680"/>
    <n v="33518"/>
    <n v="1125827.0577115603"/>
  </r>
  <r>
    <x v="8"/>
    <x v="0"/>
    <x v="0"/>
    <x v="4"/>
    <x v="0"/>
    <x v="708"/>
    <x v="681"/>
    <n v="91120"/>
    <n v="89185.145006652005"/>
  </r>
  <r>
    <x v="8"/>
    <x v="0"/>
    <x v="0"/>
    <x v="4"/>
    <x v="1"/>
    <x v="709"/>
    <x v="682"/>
    <n v="12656"/>
    <n v="426526.11289887637"/>
  </r>
  <r>
    <x v="8"/>
    <x v="0"/>
    <x v="1"/>
    <x v="0"/>
    <x v="0"/>
    <x v="710"/>
    <x v="683"/>
    <n v="581087"/>
    <n v="142443.11568272219"/>
  </r>
  <r>
    <x v="8"/>
    <x v="0"/>
    <x v="1"/>
    <x v="0"/>
    <x v="1"/>
    <x v="711"/>
    <x v="684"/>
    <n v="19513"/>
    <n v="14323.09024594453"/>
  </r>
  <r>
    <x v="8"/>
    <x v="0"/>
    <x v="1"/>
    <x v="1"/>
    <x v="0"/>
    <x v="712"/>
    <x v="685"/>
    <n v="1172961"/>
    <n v="189148.70222800187"/>
  </r>
  <r>
    <x v="8"/>
    <x v="0"/>
    <x v="1"/>
    <x v="1"/>
    <x v="1"/>
    <x v="713"/>
    <x v="686"/>
    <n v="14506"/>
    <n v="16685.887632965721"/>
  </r>
  <r>
    <x v="8"/>
    <x v="0"/>
    <x v="1"/>
    <x v="2"/>
    <x v="0"/>
    <x v="714"/>
    <x v="687"/>
    <n v="690122"/>
    <n v="76188.136027119646"/>
  </r>
  <r>
    <x v="8"/>
    <x v="0"/>
    <x v="1"/>
    <x v="2"/>
    <x v="1"/>
    <x v="715"/>
    <x v="688"/>
    <n v="5550"/>
    <n v="7203.9890875809624"/>
  </r>
  <r>
    <x v="8"/>
    <x v="0"/>
    <x v="1"/>
    <x v="3"/>
    <x v="0"/>
    <x v="716"/>
    <x v="689"/>
    <n v="2037529"/>
    <n v="491096.51085517183"/>
  </r>
  <r>
    <x v="8"/>
    <x v="0"/>
    <x v="1"/>
    <x v="3"/>
    <x v="1"/>
    <x v="717"/>
    <x v="690"/>
    <n v="50154"/>
    <n v="32243.8667194759"/>
  </r>
  <r>
    <x v="8"/>
    <x v="0"/>
    <x v="1"/>
    <x v="4"/>
    <x v="0"/>
    <x v="718"/>
    <x v="691"/>
    <n v="651948"/>
    <n v="166780.96656060321"/>
  </r>
  <r>
    <x v="8"/>
    <x v="0"/>
    <x v="1"/>
    <x v="4"/>
    <x v="1"/>
    <x v="719"/>
    <x v="692"/>
    <n v="18127"/>
    <n v="13002.531613392895"/>
  </r>
  <r>
    <x v="8"/>
    <x v="0"/>
    <x v="2"/>
    <x v="0"/>
    <x v="0"/>
    <x v="720"/>
    <x v="693"/>
    <n v="20108"/>
    <n v="101663.77461177862"/>
  </r>
  <r>
    <x v="8"/>
    <x v="0"/>
    <x v="2"/>
    <x v="0"/>
    <x v="1"/>
    <x v="721"/>
    <x v="694"/>
    <n v="7752"/>
    <n v="17379.115600121542"/>
  </r>
  <r>
    <x v="8"/>
    <x v="0"/>
    <x v="2"/>
    <x v="1"/>
    <x v="0"/>
    <x v="722"/>
    <x v="695"/>
    <n v="47313"/>
    <n v="181164.18349755512"/>
  </r>
  <r>
    <x v="8"/>
    <x v="0"/>
    <x v="2"/>
    <x v="1"/>
    <x v="1"/>
    <x v="723"/>
    <x v="696"/>
    <n v="42090"/>
    <n v="28813.718964062766"/>
  </r>
  <r>
    <x v="8"/>
    <x v="0"/>
    <x v="2"/>
    <x v="2"/>
    <x v="0"/>
    <x v="724"/>
    <x v="697"/>
    <n v="23938"/>
    <n v="66977.473538736478"/>
  </r>
  <r>
    <x v="8"/>
    <x v="0"/>
    <x v="2"/>
    <x v="2"/>
    <x v="1"/>
    <x v="725"/>
    <x v="698"/>
    <n v="22663"/>
    <n v="12569.763668364343"/>
  </r>
  <r>
    <x v="8"/>
    <x v="0"/>
    <x v="2"/>
    <x v="3"/>
    <x v="0"/>
    <x v="726"/>
    <x v="699"/>
    <n v="72620"/>
    <n v="417804.04525716277"/>
  </r>
  <r>
    <x v="8"/>
    <x v="0"/>
    <x v="2"/>
    <x v="3"/>
    <x v="1"/>
    <x v="727"/>
    <x v="700"/>
    <n v="36612"/>
    <n v="56708.348450813653"/>
  </r>
  <r>
    <x v="8"/>
    <x v="0"/>
    <x v="2"/>
    <x v="4"/>
    <x v="0"/>
    <x v="728"/>
    <x v="701"/>
    <n v="26391"/>
    <n v="154944.06907186168"/>
  </r>
  <r>
    <x v="8"/>
    <x v="0"/>
    <x v="2"/>
    <x v="4"/>
    <x v="1"/>
    <x v="729"/>
    <x v="702"/>
    <n v="7021"/>
    <n v="19162.262245971353"/>
  </r>
  <r>
    <x v="8"/>
    <x v="1"/>
    <x v="0"/>
    <x v="0"/>
    <x v="0"/>
    <x v="730"/>
    <x v="703"/>
    <n v="6083"/>
    <n v="1431.5468334244081"/>
  </r>
  <r>
    <x v="8"/>
    <x v="1"/>
    <x v="0"/>
    <x v="0"/>
    <x v="1"/>
    <x v="731"/>
    <x v="471"/>
    <n v="63"/>
    <n v="14008.597272727271"/>
  </r>
  <r>
    <x v="8"/>
    <x v="1"/>
    <x v="0"/>
    <x v="1"/>
    <x v="0"/>
    <x v="732"/>
    <x v="704"/>
    <n v="10373"/>
    <n v="1303.3055541498052"/>
  </r>
  <r>
    <x v="8"/>
    <x v="1"/>
    <x v="0"/>
    <x v="1"/>
    <x v="1"/>
    <x v="733"/>
    <x v="644"/>
    <n v="205"/>
    <n v="22962.913120689656"/>
  </r>
  <r>
    <x v="8"/>
    <x v="1"/>
    <x v="0"/>
    <x v="2"/>
    <x v="0"/>
    <x v="734"/>
    <x v="705"/>
    <n v="2616"/>
    <n v="417.29508612873985"/>
  </r>
  <r>
    <x v="8"/>
    <x v="1"/>
    <x v="0"/>
    <x v="2"/>
    <x v="1"/>
    <x v="735"/>
    <x v="214"/>
    <n v="30"/>
    <n v="3651.1563380281691"/>
  </r>
  <r>
    <x v="8"/>
    <x v="1"/>
    <x v="0"/>
    <x v="3"/>
    <x v="0"/>
    <x v="736"/>
    <x v="706"/>
    <n v="36529"/>
    <n v="6160.4379109568836"/>
  </r>
  <r>
    <x v="8"/>
    <x v="1"/>
    <x v="0"/>
    <x v="3"/>
    <x v="1"/>
    <x v="737"/>
    <x v="707"/>
    <n v="634"/>
    <n v="103765.81117359412"/>
  </r>
  <r>
    <x v="8"/>
    <x v="1"/>
    <x v="0"/>
    <x v="4"/>
    <x v="0"/>
    <x v="738"/>
    <x v="708"/>
    <n v="12280"/>
    <n v="1868.809208126411"/>
  </r>
  <r>
    <x v="8"/>
    <x v="1"/>
    <x v="0"/>
    <x v="4"/>
    <x v="1"/>
    <x v="739"/>
    <x v="47"/>
    <n v="230"/>
    <n v="34976.797419354836"/>
  </r>
  <r>
    <x v="8"/>
    <x v="1"/>
    <x v="1"/>
    <x v="0"/>
    <x v="0"/>
    <x v="740"/>
    <x v="709"/>
    <n v="29243"/>
    <n v="8995.6540239971837"/>
  </r>
  <r>
    <x v="8"/>
    <x v="1"/>
    <x v="1"/>
    <x v="0"/>
    <x v="1"/>
    <x v="741"/>
    <x v="391"/>
    <n v="27"/>
    <n v="140.90220000000002"/>
  </r>
  <r>
    <x v="8"/>
    <x v="1"/>
    <x v="1"/>
    <x v="1"/>
    <x v="0"/>
    <x v="742"/>
    <x v="710"/>
    <n v="55986"/>
    <n v="11426.412245365784"/>
  </r>
  <r>
    <x v="8"/>
    <x v="1"/>
    <x v="1"/>
    <x v="1"/>
    <x v="1"/>
    <x v="743"/>
    <x v="711"/>
    <n v="161"/>
    <n v="270.65964140495868"/>
  </r>
  <r>
    <x v="8"/>
    <x v="1"/>
    <x v="1"/>
    <x v="2"/>
    <x v="0"/>
    <x v="744"/>
    <x v="712"/>
    <n v="19457"/>
    <n v="3171.9843742114049"/>
  </r>
  <r>
    <x v="8"/>
    <x v="1"/>
    <x v="1"/>
    <x v="2"/>
    <x v="1"/>
    <x v="745"/>
    <x v="45"/>
    <n v="0"/>
    <n v="0"/>
  </r>
  <r>
    <x v="8"/>
    <x v="1"/>
    <x v="1"/>
    <x v="3"/>
    <x v="0"/>
    <x v="746"/>
    <x v="713"/>
    <n v="138079"/>
    <n v="45561.617142209543"/>
  </r>
  <r>
    <x v="8"/>
    <x v="1"/>
    <x v="1"/>
    <x v="3"/>
    <x v="1"/>
    <x v="747"/>
    <x v="714"/>
    <n v="981"/>
    <n v="1314.5173266563945"/>
  </r>
  <r>
    <x v="8"/>
    <x v="1"/>
    <x v="1"/>
    <x v="4"/>
    <x v="0"/>
    <x v="748"/>
    <x v="715"/>
    <n v="43965"/>
    <n v="14985.849247693528"/>
  </r>
  <r>
    <x v="8"/>
    <x v="1"/>
    <x v="1"/>
    <x v="4"/>
    <x v="1"/>
    <x v="749"/>
    <x v="43"/>
    <n v="111"/>
    <n v="69.344836956521746"/>
  </r>
  <r>
    <x v="8"/>
    <x v="1"/>
    <x v="2"/>
    <x v="0"/>
    <x v="0"/>
    <x v="750"/>
    <x v="716"/>
    <n v="2572"/>
    <n v="9006.5448678549474"/>
  </r>
  <r>
    <x v="8"/>
    <x v="1"/>
    <x v="2"/>
    <x v="0"/>
    <x v="1"/>
    <x v="751"/>
    <x v="59"/>
    <n v="235"/>
    <n v="1106.9409226190478"/>
  </r>
  <r>
    <x v="8"/>
    <x v="1"/>
    <x v="2"/>
    <x v="1"/>
    <x v="0"/>
    <x v="752"/>
    <x v="717"/>
    <n v="6211"/>
    <n v="19088.903388556137"/>
  </r>
  <r>
    <x v="8"/>
    <x v="1"/>
    <x v="2"/>
    <x v="1"/>
    <x v="1"/>
    <x v="753"/>
    <x v="718"/>
    <n v="464"/>
    <n v="2192.0568488745976"/>
  </r>
  <r>
    <x v="8"/>
    <x v="1"/>
    <x v="2"/>
    <x v="2"/>
    <x v="0"/>
    <x v="754"/>
    <x v="719"/>
    <n v="1691"/>
    <n v="6131.0501819029851"/>
  </r>
  <r>
    <x v="8"/>
    <x v="1"/>
    <x v="2"/>
    <x v="2"/>
    <x v="1"/>
    <x v="725"/>
    <x v="307"/>
    <n v="152"/>
    <n v="209.56800000000001"/>
  </r>
  <r>
    <x v="8"/>
    <x v="1"/>
    <x v="2"/>
    <x v="3"/>
    <x v="0"/>
    <x v="755"/>
    <x v="720"/>
    <n v="12346"/>
    <n v="57323.83464237603"/>
  </r>
  <r>
    <x v="8"/>
    <x v="1"/>
    <x v="2"/>
    <x v="3"/>
    <x v="1"/>
    <x v="756"/>
    <x v="721"/>
    <n v="902"/>
    <n v="5448.9596236099223"/>
  </r>
  <r>
    <x v="8"/>
    <x v="1"/>
    <x v="2"/>
    <x v="4"/>
    <x v="0"/>
    <x v="757"/>
    <x v="722"/>
    <n v="4311"/>
    <n v="17062.517105890991"/>
  </r>
  <r>
    <x v="8"/>
    <x v="1"/>
    <x v="2"/>
    <x v="4"/>
    <x v="1"/>
    <x v="729"/>
    <x v="723"/>
    <n v="590"/>
    <n v="1283.8371871275328"/>
  </r>
  <r>
    <x v="8"/>
    <x v="2"/>
    <x v="0"/>
    <x v="0"/>
    <x v="0"/>
    <x v="758"/>
    <x v="724"/>
    <n v="14181"/>
    <n v="21101.859411314643"/>
  </r>
  <r>
    <x v="8"/>
    <x v="2"/>
    <x v="0"/>
    <x v="0"/>
    <x v="1"/>
    <x v="759"/>
    <x v="725"/>
    <n v="16491"/>
    <n v="91178.009532817436"/>
  </r>
  <r>
    <x v="8"/>
    <x v="2"/>
    <x v="0"/>
    <x v="1"/>
    <x v="0"/>
    <x v="760"/>
    <x v="726"/>
    <n v="14979"/>
    <n v="31829.218626269037"/>
  </r>
  <r>
    <x v="8"/>
    <x v="2"/>
    <x v="0"/>
    <x v="1"/>
    <x v="1"/>
    <x v="761"/>
    <x v="727"/>
    <n v="17716"/>
    <n v="107950.50306171519"/>
  </r>
  <r>
    <x v="8"/>
    <x v="2"/>
    <x v="0"/>
    <x v="2"/>
    <x v="0"/>
    <x v="762"/>
    <x v="728"/>
    <n v="4258"/>
    <n v="7839.9574507617981"/>
  </r>
  <r>
    <x v="8"/>
    <x v="2"/>
    <x v="0"/>
    <x v="2"/>
    <x v="1"/>
    <x v="763"/>
    <x v="729"/>
    <n v="3548"/>
    <n v="26034.673247094939"/>
  </r>
  <r>
    <x v="8"/>
    <x v="2"/>
    <x v="0"/>
    <x v="3"/>
    <x v="0"/>
    <x v="764"/>
    <x v="730"/>
    <n v="66336"/>
    <n v="162907.99903113692"/>
  </r>
  <r>
    <x v="8"/>
    <x v="2"/>
    <x v="0"/>
    <x v="3"/>
    <x v="1"/>
    <x v="765"/>
    <x v="731"/>
    <n v="91095"/>
    <n v="512302.01979223691"/>
  </r>
  <r>
    <x v="8"/>
    <x v="2"/>
    <x v="0"/>
    <x v="4"/>
    <x v="0"/>
    <x v="766"/>
    <x v="732"/>
    <n v="27148"/>
    <n v="67166.912034783629"/>
  </r>
  <r>
    <x v="8"/>
    <x v="2"/>
    <x v="0"/>
    <x v="4"/>
    <x v="1"/>
    <x v="767"/>
    <x v="733"/>
    <n v="40417"/>
    <n v="221323.492"/>
  </r>
  <r>
    <x v="8"/>
    <x v="2"/>
    <x v="1"/>
    <x v="0"/>
    <x v="0"/>
    <x v="768"/>
    <x v="734"/>
    <n v="127263"/>
    <n v="67820.391529209635"/>
  </r>
  <r>
    <x v="8"/>
    <x v="2"/>
    <x v="1"/>
    <x v="0"/>
    <x v="1"/>
    <x v="769"/>
    <x v="735"/>
    <n v="14984"/>
    <n v="11845.264350085756"/>
  </r>
  <r>
    <x v="8"/>
    <x v="2"/>
    <x v="1"/>
    <x v="1"/>
    <x v="0"/>
    <x v="770"/>
    <x v="736"/>
    <n v="156149"/>
    <n v="74879.800940111541"/>
  </r>
  <r>
    <x v="8"/>
    <x v="2"/>
    <x v="1"/>
    <x v="1"/>
    <x v="1"/>
    <x v="771"/>
    <x v="737"/>
    <n v="9249"/>
    <n v="11659.843401015229"/>
  </r>
  <r>
    <x v="8"/>
    <x v="2"/>
    <x v="1"/>
    <x v="2"/>
    <x v="0"/>
    <x v="772"/>
    <x v="738"/>
    <n v="62462"/>
    <n v="19903.294898753596"/>
  </r>
  <r>
    <x v="8"/>
    <x v="2"/>
    <x v="1"/>
    <x v="2"/>
    <x v="1"/>
    <x v="415"/>
    <x v="739"/>
    <n v="3699"/>
    <n v="2019.5799897917518"/>
  </r>
  <r>
    <x v="8"/>
    <x v="2"/>
    <x v="1"/>
    <x v="3"/>
    <x v="0"/>
    <x v="773"/>
    <x v="740"/>
    <n v="455010"/>
    <n v="288191.30346992938"/>
  </r>
  <r>
    <x v="8"/>
    <x v="2"/>
    <x v="1"/>
    <x v="3"/>
    <x v="1"/>
    <x v="774"/>
    <x v="741"/>
    <n v="46980"/>
    <n v="34818.33430269653"/>
  </r>
  <r>
    <x v="8"/>
    <x v="2"/>
    <x v="1"/>
    <x v="4"/>
    <x v="0"/>
    <x v="775"/>
    <x v="742"/>
    <n v="153188"/>
    <n v="109265.92225190978"/>
  </r>
  <r>
    <x v="8"/>
    <x v="2"/>
    <x v="1"/>
    <x v="4"/>
    <x v="1"/>
    <x v="776"/>
    <x v="743"/>
    <n v="24312"/>
    <n v="19530.062810709314"/>
  </r>
  <r>
    <x v="8"/>
    <x v="2"/>
    <x v="2"/>
    <x v="0"/>
    <x v="0"/>
    <x v="777"/>
    <x v="744"/>
    <n v="8181"/>
    <n v="86708.908222996513"/>
  </r>
  <r>
    <x v="8"/>
    <x v="2"/>
    <x v="2"/>
    <x v="0"/>
    <x v="1"/>
    <x v="778"/>
    <x v="745"/>
    <n v="37399"/>
    <n v="21336.187056330898"/>
  </r>
  <r>
    <x v="8"/>
    <x v="2"/>
    <x v="2"/>
    <x v="1"/>
    <x v="0"/>
    <x v="779"/>
    <x v="746"/>
    <n v="16979"/>
    <n v="157875.14616328434"/>
  </r>
  <r>
    <x v="8"/>
    <x v="2"/>
    <x v="2"/>
    <x v="1"/>
    <x v="1"/>
    <x v="780"/>
    <x v="747"/>
    <n v="114471"/>
    <n v="35867.506273281215"/>
  </r>
  <r>
    <x v="8"/>
    <x v="2"/>
    <x v="2"/>
    <x v="2"/>
    <x v="0"/>
    <x v="781"/>
    <x v="748"/>
    <n v="4589"/>
    <n v="43395.751906896556"/>
  </r>
  <r>
    <x v="8"/>
    <x v="2"/>
    <x v="2"/>
    <x v="2"/>
    <x v="1"/>
    <x v="782"/>
    <x v="749"/>
    <n v="30419"/>
    <n v="9933.3392256614297"/>
  </r>
  <r>
    <x v="8"/>
    <x v="2"/>
    <x v="2"/>
    <x v="3"/>
    <x v="0"/>
    <x v="783"/>
    <x v="750"/>
    <n v="42630"/>
    <n v="475453.95310264081"/>
  </r>
  <r>
    <x v="8"/>
    <x v="2"/>
    <x v="2"/>
    <x v="3"/>
    <x v="1"/>
    <x v="784"/>
    <x v="751"/>
    <n v="418844"/>
    <n v="96696.01408278232"/>
  </r>
  <r>
    <x v="8"/>
    <x v="2"/>
    <x v="2"/>
    <x v="4"/>
    <x v="0"/>
    <x v="785"/>
    <x v="752"/>
    <n v="17334"/>
    <n v="162314.2484646317"/>
  </r>
  <r>
    <x v="8"/>
    <x v="2"/>
    <x v="2"/>
    <x v="4"/>
    <x v="1"/>
    <x v="786"/>
    <x v="753"/>
    <n v="95374"/>
    <n v="39255.363985357209"/>
  </r>
  <r>
    <x v="9"/>
    <x v="0"/>
    <x v="0"/>
    <x v="0"/>
    <x v="0"/>
    <x v="787"/>
    <x v="754"/>
    <n v="64685"/>
    <n v="48573.787338988768"/>
  </r>
  <r>
    <x v="9"/>
    <x v="0"/>
    <x v="0"/>
    <x v="0"/>
    <x v="1"/>
    <x v="788"/>
    <x v="755"/>
    <n v="7100"/>
    <n v="246505.04647472227"/>
  </r>
  <r>
    <x v="9"/>
    <x v="0"/>
    <x v="0"/>
    <x v="1"/>
    <x v="0"/>
    <x v="789"/>
    <x v="756"/>
    <n v="112622"/>
    <n v="81848.461988202529"/>
  </r>
  <r>
    <x v="9"/>
    <x v="0"/>
    <x v="0"/>
    <x v="1"/>
    <x v="1"/>
    <x v="790"/>
    <x v="757"/>
    <n v="17699"/>
    <n v="380393.52375523961"/>
  </r>
  <r>
    <x v="9"/>
    <x v="0"/>
    <x v="0"/>
    <x v="2"/>
    <x v="0"/>
    <x v="791"/>
    <x v="758"/>
    <n v="50658"/>
    <n v="38004.231702585865"/>
  </r>
  <r>
    <x v="9"/>
    <x v="0"/>
    <x v="0"/>
    <x v="2"/>
    <x v="1"/>
    <x v="792"/>
    <x v="759"/>
    <n v="5819"/>
    <n v="94937.689169416932"/>
  </r>
  <r>
    <x v="9"/>
    <x v="0"/>
    <x v="0"/>
    <x v="3"/>
    <x v="0"/>
    <x v="793"/>
    <x v="760"/>
    <n v="277284"/>
    <n v="210552.87363408218"/>
  </r>
  <r>
    <x v="9"/>
    <x v="0"/>
    <x v="0"/>
    <x v="3"/>
    <x v="1"/>
    <x v="794"/>
    <x v="761"/>
    <n v="34191"/>
    <n v="1148432.2731134302"/>
  </r>
  <r>
    <x v="9"/>
    <x v="0"/>
    <x v="0"/>
    <x v="4"/>
    <x v="0"/>
    <x v="795"/>
    <x v="762"/>
    <n v="92943"/>
    <n v="90969.435166300012"/>
  </r>
  <r>
    <x v="9"/>
    <x v="0"/>
    <x v="0"/>
    <x v="4"/>
    <x v="1"/>
    <x v="796"/>
    <x v="763"/>
    <n v="12914"/>
    <n v="435221.09844943817"/>
  </r>
  <r>
    <x v="9"/>
    <x v="0"/>
    <x v="1"/>
    <x v="0"/>
    <x v="0"/>
    <x v="797"/>
    <x v="764"/>
    <n v="592709"/>
    <n v="145292.04173074014"/>
  </r>
  <r>
    <x v="9"/>
    <x v="0"/>
    <x v="1"/>
    <x v="0"/>
    <x v="1"/>
    <x v="798"/>
    <x v="194"/>
    <n v="19929"/>
    <n v="14628.445934065932"/>
  </r>
  <r>
    <x v="9"/>
    <x v="0"/>
    <x v="1"/>
    <x v="1"/>
    <x v="0"/>
    <x v="799"/>
    <x v="765"/>
    <n v="1196421"/>
    <n v="192931.8020533745"/>
  </r>
  <r>
    <x v="9"/>
    <x v="0"/>
    <x v="1"/>
    <x v="1"/>
    <x v="1"/>
    <x v="800"/>
    <x v="766"/>
    <n v="14802"/>
    <n v="17026.369002010106"/>
  </r>
  <r>
    <x v="9"/>
    <x v="0"/>
    <x v="1"/>
    <x v="2"/>
    <x v="0"/>
    <x v="801"/>
    <x v="767"/>
    <n v="703924"/>
    <n v="77711.850172511782"/>
  </r>
  <r>
    <x v="9"/>
    <x v="0"/>
    <x v="1"/>
    <x v="2"/>
    <x v="1"/>
    <x v="802"/>
    <x v="768"/>
    <n v="5664"/>
    <n v="7351.9629174880311"/>
  </r>
  <r>
    <x v="9"/>
    <x v="0"/>
    <x v="1"/>
    <x v="3"/>
    <x v="0"/>
    <x v="803"/>
    <x v="769"/>
    <n v="2078280"/>
    <n v="500918.54230299866"/>
  </r>
  <r>
    <x v="9"/>
    <x v="0"/>
    <x v="1"/>
    <x v="3"/>
    <x v="1"/>
    <x v="804"/>
    <x v="770"/>
    <n v="51163"/>
    <n v="32892.550005354416"/>
  </r>
  <r>
    <x v="9"/>
    <x v="0"/>
    <x v="1"/>
    <x v="4"/>
    <x v="0"/>
    <x v="805"/>
    <x v="771"/>
    <n v="664988"/>
    <n v="170116.85194402377"/>
  </r>
  <r>
    <x v="9"/>
    <x v="0"/>
    <x v="1"/>
    <x v="4"/>
    <x v="1"/>
    <x v="806"/>
    <x v="61"/>
    <n v="18503"/>
    <n v="13272.237129288285"/>
  </r>
  <r>
    <x v="9"/>
    <x v="0"/>
    <x v="2"/>
    <x v="0"/>
    <x v="0"/>
    <x v="807"/>
    <x v="772"/>
    <n v="20511"/>
    <n v="103701.29704904472"/>
  </r>
  <r>
    <x v="9"/>
    <x v="0"/>
    <x v="2"/>
    <x v="0"/>
    <x v="1"/>
    <x v="808"/>
    <x v="773"/>
    <n v="7908"/>
    <n v="17728.850124582194"/>
  </r>
  <r>
    <x v="9"/>
    <x v="0"/>
    <x v="2"/>
    <x v="1"/>
    <x v="0"/>
    <x v="809"/>
    <x v="774"/>
    <n v="48260"/>
    <n v="184790.30066983725"/>
  </r>
  <r>
    <x v="9"/>
    <x v="0"/>
    <x v="2"/>
    <x v="1"/>
    <x v="1"/>
    <x v="810"/>
    <x v="775"/>
    <n v="42953"/>
    <n v="29404.506311793488"/>
  </r>
  <r>
    <x v="9"/>
    <x v="0"/>
    <x v="2"/>
    <x v="2"/>
    <x v="0"/>
    <x v="811"/>
    <x v="776"/>
    <n v="24418"/>
    <n v="68320.492475096806"/>
  </r>
  <r>
    <x v="9"/>
    <x v="0"/>
    <x v="2"/>
    <x v="2"/>
    <x v="1"/>
    <x v="812"/>
    <x v="452"/>
    <n v="23130"/>
    <n v="12828.77966947303"/>
  </r>
  <r>
    <x v="9"/>
    <x v="0"/>
    <x v="2"/>
    <x v="3"/>
    <x v="0"/>
    <x v="813"/>
    <x v="777"/>
    <n v="74073"/>
    <n v="426163.57813734259"/>
  </r>
  <r>
    <x v="9"/>
    <x v="0"/>
    <x v="2"/>
    <x v="3"/>
    <x v="1"/>
    <x v="814"/>
    <x v="778"/>
    <n v="37352"/>
    <n v="57854.534888418864"/>
  </r>
  <r>
    <x v="9"/>
    <x v="0"/>
    <x v="2"/>
    <x v="4"/>
    <x v="0"/>
    <x v="815"/>
    <x v="779"/>
    <n v="26919"/>
    <n v="158044.00725040524"/>
  </r>
  <r>
    <x v="9"/>
    <x v="0"/>
    <x v="2"/>
    <x v="4"/>
    <x v="1"/>
    <x v="816"/>
    <x v="780"/>
    <n v="7162"/>
    <n v="19547.090472247091"/>
  </r>
  <r>
    <x v="9"/>
    <x v="1"/>
    <x v="0"/>
    <x v="0"/>
    <x v="0"/>
    <x v="817"/>
    <x v="153"/>
    <n v="6205"/>
    <n v="1460.2577842180588"/>
  </r>
  <r>
    <x v="9"/>
    <x v="1"/>
    <x v="0"/>
    <x v="0"/>
    <x v="1"/>
    <x v="818"/>
    <x v="550"/>
    <n v="66"/>
    <n v="14675.673333333332"/>
  </r>
  <r>
    <x v="9"/>
    <x v="1"/>
    <x v="0"/>
    <x v="1"/>
    <x v="0"/>
    <x v="819"/>
    <x v="781"/>
    <n v="10581"/>
    <n v="1329.4395130106129"/>
  </r>
  <r>
    <x v="9"/>
    <x v="1"/>
    <x v="0"/>
    <x v="1"/>
    <x v="1"/>
    <x v="820"/>
    <x v="723"/>
    <n v="210"/>
    <n v="23522.984172413795"/>
  </r>
  <r>
    <x v="9"/>
    <x v="1"/>
    <x v="0"/>
    <x v="2"/>
    <x v="0"/>
    <x v="821"/>
    <x v="782"/>
    <n v="2669"/>
    <n v="425.74945905107285"/>
  </r>
  <r>
    <x v="9"/>
    <x v="1"/>
    <x v="0"/>
    <x v="2"/>
    <x v="1"/>
    <x v="822"/>
    <x v="300"/>
    <n v="33"/>
    <n v="4016.2719718309859"/>
  </r>
  <r>
    <x v="9"/>
    <x v="1"/>
    <x v="0"/>
    <x v="3"/>
    <x v="0"/>
    <x v="823"/>
    <x v="783"/>
    <n v="37260"/>
    <n v="6283.7175001301293"/>
  </r>
  <r>
    <x v="9"/>
    <x v="1"/>
    <x v="0"/>
    <x v="3"/>
    <x v="1"/>
    <x v="824"/>
    <x v="784"/>
    <n v="647"/>
    <n v="105893.50130806846"/>
  </r>
  <r>
    <x v="9"/>
    <x v="1"/>
    <x v="0"/>
    <x v="4"/>
    <x v="0"/>
    <x v="825"/>
    <x v="785"/>
    <n v="12526"/>
    <n v="1906.2462655530478"/>
  </r>
  <r>
    <x v="9"/>
    <x v="1"/>
    <x v="0"/>
    <x v="4"/>
    <x v="1"/>
    <x v="826"/>
    <x v="786"/>
    <n v="237"/>
    <n v="36041.308645161283"/>
  </r>
  <r>
    <x v="9"/>
    <x v="1"/>
    <x v="1"/>
    <x v="0"/>
    <x v="0"/>
    <x v="827"/>
    <x v="787"/>
    <n v="29829"/>
    <n v="9175.9177882505901"/>
  </r>
  <r>
    <x v="9"/>
    <x v="1"/>
    <x v="1"/>
    <x v="0"/>
    <x v="1"/>
    <x v="111"/>
    <x v="31"/>
    <n v="29"/>
    <n v="151.33940000000001"/>
  </r>
  <r>
    <x v="9"/>
    <x v="1"/>
    <x v="1"/>
    <x v="1"/>
    <x v="0"/>
    <x v="828"/>
    <x v="788"/>
    <n v="57106"/>
    <n v="11654.997636620914"/>
  </r>
  <r>
    <x v="9"/>
    <x v="1"/>
    <x v="1"/>
    <x v="1"/>
    <x v="1"/>
    <x v="829"/>
    <x v="789"/>
    <n v="167"/>
    <n v="280.74633611570249"/>
  </r>
  <r>
    <x v="9"/>
    <x v="1"/>
    <x v="1"/>
    <x v="2"/>
    <x v="0"/>
    <x v="830"/>
    <x v="790"/>
    <n v="19847"/>
    <n v="3235.564263502788"/>
  </r>
  <r>
    <x v="9"/>
    <x v="1"/>
    <x v="1"/>
    <x v="2"/>
    <x v="1"/>
    <x v="831"/>
    <x v="791"/>
    <n v="3"/>
    <n v="21.774285714285714"/>
  </r>
  <r>
    <x v="9"/>
    <x v="1"/>
    <x v="1"/>
    <x v="3"/>
    <x v="0"/>
    <x v="832"/>
    <x v="792"/>
    <n v="140841"/>
    <n v="46472.98807150931"/>
  </r>
  <r>
    <x v="9"/>
    <x v="1"/>
    <x v="1"/>
    <x v="3"/>
    <x v="1"/>
    <x v="833"/>
    <x v="793"/>
    <n v="1003"/>
    <n v="1343.9968181818181"/>
  </r>
  <r>
    <x v="9"/>
    <x v="1"/>
    <x v="1"/>
    <x v="4"/>
    <x v="0"/>
    <x v="834"/>
    <x v="794"/>
    <n v="44845"/>
    <n v="15285.804833681706"/>
  </r>
  <r>
    <x v="9"/>
    <x v="1"/>
    <x v="1"/>
    <x v="4"/>
    <x v="1"/>
    <x v="215"/>
    <x v="131"/>
    <n v="117"/>
    <n v="73.093206521739134"/>
  </r>
  <r>
    <x v="9"/>
    <x v="1"/>
    <x v="2"/>
    <x v="0"/>
    <x v="0"/>
    <x v="835"/>
    <x v="795"/>
    <n v="2623"/>
    <n v="9185.1349877074372"/>
  </r>
  <r>
    <x v="9"/>
    <x v="1"/>
    <x v="2"/>
    <x v="0"/>
    <x v="1"/>
    <x v="836"/>
    <x v="145"/>
    <n v="241"/>
    <n v="1135.2032440476191"/>
  </r>
  <r>
    <x v="9"/>
    <x v="1"/>
    <x v="2"/>
    <x v="1"/>
    <x v="0"/>
    <x v="837"/>
    <x v="796"/>
    <n v="6335"/>
    <n v="19470.00530776093"/>
  </r>
  <r>
    <x v="9"/>
    <x v="1"/>
    <x v="2"/>
    <x v="1"/>
    <x v="1"/>
    <x v="838"/>
    <x v="797"/>
    <n v="476"/>
    <n v="2248.7479742765272"/>
  </r>
  <r>
    <x v="9"/>
    <x v="1"/>
    <x v="2"/>
    <x v="2"/>
    <x v="0"/>
    <x v="839"/>
    <x v="798"/>
    <n v="1725"/>
    <n v="6254.3238106343279"/>
  </r>
  <r>
    <x v="9"/>
    <x v="1"/>
    <x v="2"/>
    <x v="2"/>
    <x v="1"/>
    <x v="812"/>
    <x v="391"/>
    <n v="162"/>
    <n v="223.35536842105265"/>
  </r>
  <r>
    <x v="9"/>
    <x v="1"/>
    <x v="2"/>
    <x v="3"/>
    <x v="0"/>
    <x v="840"/>
    <x v="799"/>
    <n v="12594"/>
    <n v="58475.325893899542"/>
  </r>
  <r>
    <x v="9"/>
    <x v="1"/>
    <x v="2"/>
    <x v="3"/>
    <x v="1"/>
    <x v="841"/>
    <x v="800"/>
    <n v="922"/>
    <n v="5569.7791274593665"/>
  </r>
  <r>
    <x v="9"/>
    <x v="1"/>
    <x v="2"/>
    <x v="4"/>
    <x v="0"/>
    <x v="842"/>
    <x v="801"/>
    <n v="4397"/>
    <n v="17402.896709487981"/>
  </r>
  <r>
    <x v="9"/>
    <x v="1"/>
    <x v="2"/>
    <x v="4"/>
    <x v="1"/>
    <x v="816"/>
    <x v="802"/>
    <n v="614"/>
    <n v="1336.0610727056019"/>
  </r>
  <r>
    <x v="9"/>
    <x v="2"/>
    <x v="0"/>
    <x v="0"/>
    <x v="0"/>
    <x v="843"/>
    <x v="803"/>
    <n v="14466"/>
    <n v="21525.950091254326"/>
  </r>
  <r>
    <x v="9"/>
    <x v="2"/>
    <x v="0"/>
    <x v="0"/>
    <x v="1"/>
    <x v="844"/>
    <x v="804"/>
    <n v="16827"/>
    <n v="93035.73867010606"/>
  </r>
  <r>
    <x v="9"/>
    <x v="2"/>
    <x v="0"/>
    <x v="1"/>
    <x v="0"/>
    <x v="845"/>
    <x v="805"/>
    <n v="15278"/>
    <n v="32464.570543570222"/>
  </r>
  <r>
    <x v="9"/>
    <x v="2"/>
    <x v="0"/>
    <x v="1"/>
    <x v="1"/>
    <x v="846"/>
    <x v="806"/>
    <n v="18073"/>
    <n v="110125.84340903019"/>
  </r>
  <r>
    <x v="9"/>
    <x v="2"/>
    <x v="0"/>
    <x v="2"/>
    <x v="0"/>
    <x v="847"/>
    <x v="807"/>
    <n v="4344"/>
    <n v="7998.3032329988846"/>
  </r>
  <r>
    <x v="9"/>
    <x v="2"/>
    <x v="0"/>
    <x v="2"/>
    <x v="1"/>
    <x v="389"/>
    <x v="808"/>
    <n v="3624"/>
    <n v="26592.349449682089"/>
  </r>
  <r>
    <x v="9"/>
    <x v="2"/>
    <x v="0"/>
    <x v="3"/>
    <x v="0"/>
    <x v="848"/>
    <x v="809"/>
    <n v="67663"/>
    <n v="166166.84663597165"/>
  </r>
  <r>
    <x v="9"/>
    <x v="2"/>
    <x v="0"/>
    <x v="3"/>
    <x v="1"/>
    <x v="849"/>
    <x v="810"/>
    <n v="92925"/>
    <n v="522593.61314225383"/>
  </r>
  <r>
    <x v="9"/>
    <x v="2"/>
    <x v="0"/>
    <x v="4"/>
    <x v="0"/>
    <x v="850"/>
    <x v="811"/>
    <n v="27692"/>
    <n v="68512.823341212177"/>
  </r>
  <r>
    <x v="9"/>
    <x v="2"/>
    <x v="0"/>
    <x v="4"/>
    <x v="1"/>
    <x v="851"/>
    <x v="812"/>
    <n v="41226"/>
    <n v="225753.576"/>
  </r>
  <r>
    <x v="9"/>
    <x v="2"/>
    <x v="1"/>
    <x v="0"/>
    <x v="0"/>
    <x v="852"/>
    <x v="813"/>
    <n v="129813"/>
    <n v="69179.325378006877"/>
  </r>
  <r>
    <x v="9"/>
    <x v="2"/>
    <x v="1"/>
    <x v="0"/>
    <x v="1"/>
    <x v="853"/>
    <x v="814"/>
    <n v="15295"/>
    <n v="12091.118408606622"/>
  </r>
  <r>
    <x v="9"/>
    <x v="2"/>
    <x v="1"/>
    <x v="1"/>
    <x v="0"/>
    <x v="854"/>
    <x v="815"/>
    <n v="159273"/>
    <n v="76377.886090428918"/>
  </r>
  <r>
    <x v="9"/>
    <x v="2"/>
    <x v="1"/>
    <x v="1"/>
    <x v="1"/>
    <x v="855"/>
    <x v="816"/>
    <n v="9441"/>
    <n v="11901.890101522842"/>
  </r>
  <r>
    <x v="9"/>
    <x v="2"/>
    <x v="1"/>
    <x v="2"/>
    <x v="0"/>
    <x v="856"/>
    <x v="817"/>
    <n v="63713"/>
    <n v="20301.921614490217"/>
  </r>
  <r>
    <x v="9"/>
    <x v="2"/>
    <x v="1"/>
    <x v="2"/>
    <x v="1"/>
    <x v="857"/>
    <x v="818"/>
    <n v="3777"/>
    <n v="2062.1664291547572"/>
  </r>
  <r>
    <x v="9"/>
    <x v="2"/>
    <x v="1"/>
    <x v="3"/>
    <x v="0"/>
    <x v="858"/>
    <x v="819"/>
    <n v="464110"/>
    <n v="293955.00286461599"/>
  </r>
  <r>
    <x v="9"/>
    <x v="2"/>
    <x v="1"/>
    <x v="3"/>
    <x v="1"/>
    <x v="859"/>
    <x v="820"/>
    <n v="47926"/>
    <n v="35519.444227139931"/>
  </r>
  <r>
    <x v="9"/>
    <x v="2"/>
    <x v="1"/>
    <x v="4"/>
    <x v="0"/>
    <x v="860"/>
    <x v="821"/>
    <n v="156254"/>
    <n v="111452.83844393758"/>
  </r>
  <r>
    <x v="9"/>
    <x v="2"/>
    <x v="1"/>
    <x v="4"/>
    <x v="1"/>
    <x v="861"/>
    <x v="822"/>
    <n v="24801"/>
    <n v="19922.881201398555"/>
  </r>
  <r>
    <x v="9"/>
    <x v="2"/>
    <x v="2"/>
    <x v="0"/>
    <x v="0"/>
    <x v="862"/>
    <x v="823"/>
    <n v="8345"/>
    <n v="88447.113937282236"/>
  </r>
  <r>
    <x v="9"/>
    <x v="2"/>
    <x v="2"/>
    <x v="0"/>
    <x v="1"/>
    <x v="863"/>
    <x v="824"/>
    <n v="38164"/>
    <n v="21772.620733650965"/>
  </r>
  <r>
    <x v="9"/>
    <x v="2"/>
    <x v="2"/>
    <x v="1"/>
    <x v="0"/>
    <x v="864"/>
    <x v="825"/>
    <n v="17319"/>
    <n v="161036.55435549334"/>
  </r>
  <r>
    <x v="9"/>
    <x v="2"/>
    <x v="2"/>
    <x v="1"/>
    <x v="1"/>
    <x v="865"/>
    <x v="826"/>
    <n v="116777"/>
    <n v="36590.051454734916"/>
  </r>
  <r>
    <x v="9"/>
    <x v="2"/>
    <x v="2"/>
    <x v="2"/>
    <x v="0"/>
    <x v="866"/>
    <x v="827"/>
    <n v="4682"/>
    <n v="44275.203841379313"/>
  </r>
  <r>
    <x v="9"/>
    <x v="2"/>
    <x v="2"/>
    <x v="2"/>
    <x v="1"/>
    <x v="867"/>
    <x v="828"/>
    <n v="31053"/>
    <n v="10140.372233619264"/>
  </r>
  <r>
    <x v="9"/>
    <x v="2"/>
    <x v="2"/>
    <x v="3"/>
    <x v="0"/>
    <x v="868"/>
    <x v="829"/>
    <n v="43484"/>
    <n v="484978.64641602704"/>
  </r>
  <r>
    <x v="9"/>
    <x v="2"/>
    <x v="2"/>
    <x v="3"/>
    <x v="1"/>
    <x v="869"/>
    <x v="830"/>
    <n v="427259"/>
    <n v="98638.734901289004"/>
  </r>
  <r>
    <x v="9"/>
    <x v="2"/>
    <x v="2"/>
    <x v="4"/>
    <x v="0"/>
    <x v="870"/>
    <x v="831"/>
    <n v="17681"/>
    <n v="165563.52988941694"/>
  </r>
  <r>
    <x v="9"/>
    <x v="2"/>
    <x v="2"/>
    <x v="4"/>
    <x v="1"/>
    <x v="871"/>
    <x v="832"/>
    <n v="97292"/>
    <n v="40044.801233704922"/>
  </r>
  <r>
    <x v="10"/>
    <x v="0"/>
    <x v="0"/>
    <x v="0"/>
    <x v="0"/>
    <x v="872"/>
    <x v="833"/>
    <n v="65656"/>
    <n v="49302.93857198186"/>
  </r>
  <r>
    <x v="10"/>
    <x v="0"/>
    <x v="0"/>
    <x v="0"/>
    <x v="1"/>
    <x v="873"/>
    <x v="834"/>
    <n v="7212"/>
    <n v="250393.57678530944"/>
  </r>
  <r>
    <x v="10"/>
    <x v="0"/>
    <x v="0"/>
    <x v="1"/>
    <x v="0"/>
    <x v="874"/>
    <x v="835"/>
    <n v="114313"/>
    <n v="83077.402596805201"/>
  </r>
  <r>
    <x v="10"/>
    <x v="0"/>
    <x v="0"/>
    <x v="1"/>
    <x v="1"/>
    <x v="875"/>
    <x v="836"/>
    <n v="17970"/>
    <n v="386217.95705303445"/>
  </r>
  <r>
    <x v="10"/>
    <x v="0"/>
    <x v="0"/>
    <x v="2"/>
    <x v="0"/>
    <x v="876"/>
    <x v="837"/>
    <n v="51418"/>
    <n v="38574.39270566465"/>
  </r>
  <r>
    <x v="10"/>
    <x v="0"/>
    <x v="0"/>
    <x v="2"/>
    <x v="1"/>
    <x v="877"/>
    <x v="838"/>
    <n v="5910"/>
    <n v="96422.365181518137"/>
  </r>
  <r>
    <x v="10"/>
    <x v="0"/>
    <x v="0"/>
    <x v="3"/>
    <x v="0"/>
    <x v="878"/>
    <x v="839"/>
    <n v="281443"/>
    <n v="213710.96931015488"/>
  </r>
  <r>
    <x v="10"/>
    <x v="0"/>
    <x v="0"/>
    <x v="3"/>
    <x v="1"/>
    <x v="879"/>
    <x v="840"/>
    <n v="34706"/>
    <n v="1165730.4691490366"/>
  </r>
  <r>
    <x v="10"/>
    <x v="0"/>
    <x v="0"/>
    <x v="4"/>
    <x v="0"/>
    <x v="880"/>
    <x v="841"/>
    <n v="94339"/>
    <n v="92335.792304461618"/>
  </r>
  <r>
    <x v="10"/>
    <x v="0"/>
    <x v="0"/>
    <x v="4"/>
    <x v="1"/>
    <x v="881"/>
    <x v="842"/>
    <n v="13114"/>
    <n v="441961.39732584264"/>
  </r>
  <r>
    <x v="10"/>
    <x v="0"/>
    <x v="1"/>
    <x v="0"/>
    <x v="0"/>
    <x v="882"/>
    <x v="843"/>
    <n v="601601"/>
    <n v="147471.75696210956"/>
  </r>
  <r>
    <x v="10"/>
    <x v="0"/>
    <x v="1"/>
    <x v="0"/>
    <x v="1"/>
    <x v="883"/>
    <x v="844"/>
    <n v="20235"/>
    <n v="14853.05853157831"/>
  </r>
  <r>
    <x v="10"/>
    <x v="0"/>
    <x v="1"/>
    <x v="1"/>
    <x v="0"/>
    <x v="884"/>
    <x v="845"/>
    <n v="1214368"/>
    <n v="195825.88954552979"/>
  </r>
  <r>
    <x v="10"/>
    <x v="0"/>
    <x v="1"/>
    <x v="1"/>
    <x v="1"/>
    <x v="885"/>
    <x v="846"/>
    <n v="15025"/>
    <n v="17282.880303688817"/>
  </r>
  <r>
    <x v="10"/>
    <x v="0"/>
    <x v="1"/>
    <x v="2"/>
    <x v="0"/>
    <x v="886"/>
    <x v="847"/>
    <n v="714484"/>
    <n v="78877.653778897875"/>
  </r>
  <r>
    <x v="10"/>
    <x v="0"/>
    <x v="1"/>
    <x v="2"/>
    <x v="1"/>
    <x v="887"/>
    <x v="848"/>
    <n v="5749"/>
    <n v="7462.2942818924239"/>
  </r>
  <r>
    <x v="10"/>
    <x v="0"/>
    <x v="1"/>
    <x v="3"/>
    <x v="0"/>
    <x v="888"/>
    <x v="849"/>
    <n v="2109457"/>
    <n v="508432.99530903273"/>
  </r>
  <r>
    <x v="10"/>
    <x v="0"/>
    <x v="1"/>
    <x v="3"/>
    <x v="1"/>
    <x v="889"/>
    <x v="850"/>
    <n v="51951"/>
    <n v="33399.153007606423"/>
  </r>
  <r>
    <x v="10"/>
    <x v="0"/>
    <x v="1"/>
    <x v="4"/>
    <x v="0"/>
    <x v="890"/>
    <x v="851"/>
    <n v="674963"/>
    <n v="172668.65077068176"/>
  </r>
  <r>
    <x v="10"/>
    <x v="0"/>
    <x v="1"/>
    <x v="4"/>
    <x v="1"/>
    <x v="891"/>
    <x v="852"/>
    <n v="18790"/>
    <n v="13478.102775729714"/>
  </r>
  <r>
    <x v="10"/>
    <x v="0"/>
    <x v="2"/>
    <x v="0"/>
    <x v="0"/>
    <x v="892"/>
    <x v="853"/>
    <n v="20819"/>
    <n v="105258.51022690567"/>
  </r>
  <r>
    <x v="10"/>
    <x v="0"/>
    <x v="2"/>
    <x v="0"/>
    <x v="1"/>
    <x v="893"/>
    <x v="854"/>
    <n v="8034"/>
    <n v="18011.328009723486"/>
  </r>
  <r>
    <x v="10"/>
    <x v="0"/>
    <x v="2"/>
    <x v="1"/>
    <x v="0"/>
    <x v="894"/>
    <x v="855"/>
    <n v="48984"/>
    <n v="187562.53808560522"/>
  </r>
  <r>
    <x v="10"/>
    <x v="0"/>
    <x v="2"/>
    <x v="1"/>
    <x v="1"/>
    <x v="895"/>
    <x v="856"/>
    <n v="43614"/>
    <n v="29857.009714864183"/>
  </r>
  <r>
    <x v="10"/>
    <x v="0"/>
    <x v="2"/>
    <x v="2"/>
    <x v="0"/>
    <x v="896"/>
    <x v="857"/>
    <n v="24784"/>
    <n v="69344.544414071555"/>
  </r>
  <r>
    <x v="10"/>
    <x v="0"/>
    <x v="2"/>
    <x v="2"/>
    <x v="1"/>
    <x v="897"/>
    <x v="533"/>
    <n v="23497"/>
    <n v="13032.331858781139"/>
  </r>
  <r>
    <x v="10"/>
    <x v="0"/>
    <x v="2"/>
    <x v="3"/>
    <x v="0"/>
    <x v="898"/>
    <x v="858"/>
    <n v="75184"/>
    <n v="432555.48524668859"/>
  </r>
  <r>
    <x v="10"/>
    <x v="0"/>
    <x v="2"/>
    <x v="3"/>
    <x v="1"/>
    <x v="899"/>
    <x v="859"/>
    <n v="37920"/>
    <n v="58734.310424310432"/>
  </r>
  <r>
    <x v="10"/>
    <x v="0"/>
    <x v="2"/>
    <x v="4"/>
    <x v="0"/>
    <x v="900"/>
    <x v="860"/>
    <n v="27324"/>
    <n v="160421.80073962899"/>
  </r>
  <r>
    <x v="10"/>
    <x v="0"/>
    <x v="2"/>
    <x v="4"/>
    <x v="1"/>
    <x v="901"/>
    <x v="861"/>
    <n v="7273"/>
    <n v="19850.040352506716"/>
  </r>
  <r>
    <x v="10"/>
    <x v="1"/>
    <x v="0"/>
    <x v="0"/>
    <x v="0"/>
    <x v="902"/>
    <x v="238"/>
    <n v="6299"/>
    <n v="1482.3793364689045"/>
  </r>
  <r>
    <x v="10"/>
    <x v="1"/>
    <x v="0"/>
    <x v="0"/>
    <x v="1"/>
    <x v="903"/>
    <x v="632"/>
    <n v="68"/>
    <n v="15120.390707070706"/>
  </r>
  <r>
    <x v="10"/>
    <x v="1"/>
    <x v="0"/>
    <x v="1"/>
    <x v="0"/>
    <x v="904"/>
    <x v="862"/>
    <n v="10740"/>
    <n v="1349.4169142551727"/>
  </r>
  <r>
    <x v="10"/>
    <x v="1"/>
    <x v="0"/>
    <x v="1"/>
    <x v="1"/>
    <x v="905"/>
    <x v="863"/>
    <n v="214"/>
    <n v="23971.041013793103"/>
  </r>
  <r>
    <x v="10"/>
    <x v="1"/>
    <x v="0"/>
    <x v="2"/>
    <x v="0"/>
    <x v="906"/>
    <x v="864"/>
    <n v="2710"/>
    <n v="432.28963433061352"/>
  </r>
  <r>
    <x v="10"/>
    <x v="1"/>
    <x v="0"/>
    <x v="2"/>
    <x v="1"/>
    <x v="907"/>
    <x v="49"/>
    <n v="37"/>
    <n v="4503.0928169014087"/>
  </r>
  <r>
    <x v="10"/>
    <x v="1"/>
    <x v="0"/>
    <x v="3"/>
    <x v="0"/>
    <x v="908"/>
    <x v="865"/>
    <n v="37820"/>
    <n v="6378.1587722737922"/>
  </r>
  <r>
    <x v="10"/>
    <x v="1"/>
    <x v="0"/>
    <x v="3"/>
    <x v="1"/>
    <x v="909"/>
    <x v="866"/>
    <n v="658"/>
    <n v="107693.85449877749"/>
  </r>
  <r>
    <x v="10"/>
    <x v="1"/>
    <x v="0"/>
    <x v="4"/>
    <x v="0"/>
    <x v="910"/>
    <x v="867"/>
    <n v="12715"/>
    <n v="1935.008882844244"/>
  </r>
  <r>
    <x v="10"/>
    <x v="1"/>
    <x v="0"/>
    <x v="4"/>
    <x v="1"/>
    <x v="911"/>
    <x v="868"/>
    <n v="243"/>
    <n v="36953.746838709674"/>
  </r>
  <r>
    <x v="10"/>
    <x v="1"/>
    <x v="1"/>
    <x v="0"/>
    <x v="0"/>
    <x v="912"/>
    <x v="869"/>
    <n v="30278"/>
    <n v="9314.0379762194971"/>
  </r>
  <r>
    <x v="10"/>
    <x v="1"/>
    <x v="1"/>
    <x v="0"/>
    <x v="1"/>
    <x v="49"/>
    <x v="120"/>
    <n v="31"/>
    <n v="161.7766"/>
  </r>
  <r>
    <x v="10"/>
    <x v="1"/>
    <x v="1"/>
    <x v="1"/>
    <x v="0"/>
    <x v="913"/>
    <x v="870"/>
    <n v="57964"/>
    <n v="11830.11037385029"/>
  </r>
  <r>
    <x v="10"/>
    <x v="1"/>
    <x v="1"/>
    <x v="1"/>
    <x v="1"/>
    <x v="914"/>
    <x v="871"/>
    <n v="172"/>
    <n v="289.1519150413223"/>
  </r>
  <r>
    <x v="10"/>
    <x v="1"/>
    <x v="1"/>
    <x v="2"/>
    <x v="0"/>
    <x v="915"/>
    <x v="872"/>
    <n v="20146"/>
    <n v="3284.3088452928487"/>
  </r>
  <r>
    <x v="10"/>
    <x v="1"/>
    <x v="1"/>
    <x v="2"/>
    <x v="1"/>
    <x v="916"/>
    <x v="35"/>
    <n v="6"/>
    <n v="43.548571428571428"/>
  </r>
  <r>
    <x v="10"/>
    <x v="1"/>
    <x v="1"/>
    <x v="3"/>
    <x v="0"/>
    <x v="917"/>
    <x v="873"/>
    <n v="142955"/>
    <n v="47170.539897917603"/>
  </r>
  <r>
    <x v="10"/>
    <x v="1"/>
    <x v="1"/>
    <x v="3"/>
    <x v="1"/>
    <x v="918"/>
    <x v="140"/>
    <n v="1025"/>
    <n v="1373.4763097072419"/>
  </r>
  <r>
    <x v="10"/>
    <x v="1"/>
    <x v="1"/>
    <x v="4"/>
    <x v="0"/>
    <x v="919"/>
    <x v="874"/>
    <n v="45517"/>
    <n v="15514.861826618135"/>
  </r>
  <r>
    <x v="10"/>
    <x v="1"/>
    <x v="1"/>
    <x v="4"/>
    <x v="1"/>
    <x v="920"/>
    <x v="216"/>
    <n v="122"/>
    <n v="76.216847826086962"/>
  </r>
  <r>
    <x v="10"/>
    <x v="1"/>
    <x v="2"/>
    <x v="0"/>
    <x v="0"/>
    <x v="921"/>
    <x v="875"/>
    <n v="2663"/>
    <n v="9325.2056699446839"/>
  </r>
  <r>
    <x v="10"/>
    <x v="1"/>
    <x v="2"/>
    <x v="0"/>
    <x v="1"/>
    <x v="922"/>
    <x v="230"/>
    <n v="247"/>
    <n v="1163.4655654761905"/>
  </r>
  <r>
    <x v="10"/>
    <x v="1"/>
    <x v="2"/>
    <x v="1"/>
    <x v="0"/>
    <x v="923"/>
    <x v="876"/>
    <n v="6431"/>
    <n v="19765.051954887218"/>
  </r>
  <r>
    <x v="10"/>
    <x v="1"/>
    <x v="2"/>
    <x v="1"/>
    <x v="1"/>
    <x v="924"/>
    <x v="877"/>
    <n v="485"/>
    <n v="2291.2663183279737"/>
  </r>
  <r>
    <x v="10"/>
    <x v="1"/>
    <x v="2"/>
    <x v="2"/>
    <x v="0"/>
    <x v="925"/>
    <x v="878"/>
    <n v="1751"/>
    <n v="6348.591879664179"/>
  </r>
  <r>
    <x v="10"/>
    <x v="1"/>
    <x v="2"/>
    <x v="2"/>
    <x v="1"/>
    <x v="897"/>
    <x v="31"/>
    <n v="173"/>
    <n v="238.52147368421055"/>
  </r>
  <r>
    <x v="10"/>
    <x v="1"/>
    <x v="2"/>
    <x v="3"/>
    <x v="0"/>
    <x v="926"/>
    <x v="879"/>
    <n v="12783"/>
    <n v="59352.8736621977"/>
  </r>
  <r>
    <x v="10"/>
    <x v="1"/>
    <x v="2"/>
    <x v="3"/>
    <x v="1"/>
    <x v="927"/>
    <x v="880"/>
    <n v="938"/>
    <n v="5666.434730538921"/>
  </r>
  <r>
    <x v="10"/>
    <x v="1"/>
    <x v="2"/>
    <x v="4"/>
    <x v="0"/>
    <x v="928"/>
    <x v="881"/>
    <n v="4464"/>
    <n v="17668.076168104239"/>
  </r>
  <r>
    <x v="10"/>
    <x v="1"/>
    <x v="2"/>
    <x v="4"/>
    <x v="1"/>
    <x v="901"/>
    <x v="882"/>
    <n v="626"/>
    <n v="1362.1730154946365"/>
  </r>
  <r>
    <x v="10"/>
    <x v="2"/>
    <x v="0"/>
    <x v="0"/>
    <x v="0"/>
    <x v="929"/>
    <x v="883"/>
    <n v="14683"/>
    <n v="21848.854222997878"/>
  </r>
  <r>
    <x v="10"/>
    <x v="2"/>
    <x v="0"/>
    <x v="0"/>
    <x v="1"/>
    <x v="930"/>
    <x v="884"/>
    <n v="17097"/>
    <n v="94528.556726855837"/>
  </r>
  <r>
    <x v="10"/>
    <x v="2"/>
    <x v="0"/>
    <x v="1"/>
    <x v="0"/>
    <x v="931"/>
    <x v="885"/>
    <n v="15509"/>
    <n v="32955.427710448392"/>
  </r>
  <r>
    <x v="10"/>
    <x v="2"/>
    <x v="0"/>
    <x v="1"/>
    <x v="1"/>
    <x v="932"/>
    <x v="886"/>
    <n v="18348"/>
    <n v="111801.52574939888"/>
  </r>
  <r>
    <x v="10"/>
    <x v="2"/>
    <x v="0"/>
    <x v="2"/>
    <x v="0"/>
    <x v="933"/>
    <x v="887"/>
    <n v="4410"/>
    <n v="8119.8244147157184"/>
  </r>
  <r>
    <x v="10"/>
    <x v="2"/>
    <x v="0"/>
    <x v="2"/>
    <x v="1"/>
    <x v="476"/>
    <x v="735"/>
    <n v="3679"/>
    <n v="26995.930912080687"/>
  </r>
  <r>
    <x v="10"/>
    <x v="2"/>
    <x v="0"/>
    <x v="3"/>
    <x v="0"/>
    <x v="934"/>
    <x v="888"/>
    <n v="68678"/>
    <n v="168659.48440455287"/>
  </r>
  <r>
    <x v="10"/>
    <x v="2"/>
    <x v="0"/>
    <x v="3"/>
    <x v="1"/>
    <x v="935"/>
    <x v="889"/>
    <n v="94322"/>
    <n v="530450.09178158373"/>
  </r>
  <r>
    <x v="10"/>
    <x v="2"/>
    <x v="0"/>
    <x v="4"/>
    <x v="0"/>
    <x v="936"/>
    <x v="890"/>
    <n v="28108"/>
    <n v="69542.04963436343"/>
  </r>
  <r>
    <x v="10"/>
    <x v="2"/>
    <x v="0"/>
    <x v="4"/>
    <x v="1"/>
    <x v="937"/>
    <x v="891"/>
    <n v="41848"/>
    <n v="229159.64799999999"/>
  </r>
  <r>
    <x v="10"/>
    <x v="2"/>
    <x v="1"/>
    <x v="0"/>
    <x v="0"/>
    <x v="938"/>
    <x v="892"/>
    <n v="131762"/>
    <n v="70217.977170675847"/>
  </r>
  <r>
    <x v="10"/>
    <x v="2"/>
    <x v="1"/>
    <x v="0"/>
    <x v="1"/>
    <x v="939"/>
    <x v="414"/>
    <n v="15561"/>
    <n v="12301.398728756301"/>
  </r>
  <r>
    <x v="10"/>
    <x v="2"/>
    <x v="1"/>
    <x v="1"/>
    <x v="0"/>
    <x v="940"/>
    <x v="893"/>
    <n v="161662"/>
    <n v="77523.508825418743"/>
  </r>
  <r>
    <x v="10"/>
    <x v="2"/>
    <x v="1"/>
    <x v="1"/>
    <x v="1"/>
    <x v="941"/>
    <x v="894"/>
    <n v="9585"/>
    <n v="12083.425126903552"/>
  </r>
  <r>
    <x v="10"/>
    <x v="2"/>
    <x v="1"/>
    <x v="2"/>
    <x v="0"/>
    <x v="942"/>
    <x v="895"/>
    <n v="64673"/>
    <n v="20607.822211698174"/>
  </r>
  <r>
    <x v="10"/>
    <x v="2"/>
    <x v="1"/>
    <x v="2"/>
    <x v="1"/>
    <x v="943"/>
    <x v="143"/>
    <n v="3855"/>
    <n v="2104.7528685177622"/>
  </r>
  <r>
    <x v="10"/>
    <x v="2"/>
    <x v="1"/>
    <x v="3"/>
    <x v="0"/>
    <x v="944"/>
    <x v="896"/>
    <n v="471074"/>
    <n v="298365.81633545092"/>
  </r>
  <r>
    <x v="10"/>
    <x v="2"/>
    <x v="1"/>
    <x v="3"/>
    <x v="1"/>
    <x v="945"/>
    <x v="897"/>
    <n v="48662"/>
    <n v="36064.916641928874"/>
  </r>
  <r>
    <x v="10"/>
    <x v="2"/>
    <x v="1"/>
    <x v="4"/>
    <x v="0"/>
    <x v="946"/>
    <x v="898"/>
    <n v="158597"/>
    <n v="113124.05326387273"/>
  </r>
  <r>
    <x v="10"/>
    <x v="2"/>
    <x v="1"/>
    <x v="4"/>
    <x v="1"/>
    <x v="947"/>
    <x v="899"/>
    <n v="25177"/>
    <n v="20224.925608145295"/>
  </r>
  <r>
    <x v="10"/>
    <x v="2"/>
    <x v="2"/>
    <x v="0"/>
    <x v="0"/>
    <x v="948"/>
    <x v="900"/>
    <n v="8470"/>
    <n v="89771.965853658534"/>
  </r>
  <r>
    <x v="10"/>
    <x v="2"/>
    <x v="2"/>
    <x v="0"/>
    <x v="1"/>
    <x v="949"/>
    <x v="901"/>
    <n v="38753"/>
    <n v="22108.646140110468"/>
  </r>
  <r>
    <x v="10"/>
    <x v="2"/>
    <x v="2"/>
    <x v="1"/>
    <x v="0"/>
    <x v="950"/>
    <x v="902"/>
    <n v="17580"/>
    <n v="163463.40005598319"/>
  </r>
  <r>
    <x v="10"/>
    <x v="2"/>
    <x v="2"/>
    <x v="1"/>
    <x v="1"/>
    <x v="951"/>
    <x v="903"/>
    <n v="118565"/>
    <n v="37150.290303147412"/>
  </r>
  <r>
    <x v="10"/>
    <x v="2"/>
    <x v="2"/>
    <x v="2"/>
    <x v="0"/>
    <x v="952"/>
    <x v="904"/>
    <n v="4753"/>
    <n v="44946.613382758624"/>
  </r>
  <r>
    <x v="10"/>
    <x v="2"/>
    <x v="2"/>
    <x v="2"/>
    <x v="1"/>
    <x v="953"/>
    <x v="702"/>
    <n v="31551"/>
    <n v="10302.994375516742"/>
  </r>
  <r>
    <x v="10"/>
    <x v="2"/>
    <x v="2"/>
    <x v="3"/>
    <x v="0"/>
    <x v="954"/>
    <x v="905"/>
    <n v="44137"/>
    <n v="492261.57935940084"/>
  </r>
  <r>
    <x v="10"/>
    <x v="2"/>
    <x v="2"/>
    <x v="3"/>
    <x v="1"/>
    <x v="955"/>
    <x v="906"/>
    <n v="433686"/>
    <n v="100122.49802672483"/>
  </r>
  <r>
    <x v="10"/>
    <x v="2"/>
    <x v="2"/>
    <x v="4"/>
    <x v="0"/>
    <x v="956"/>
    <x v="907"/>
    <n v="17947"/>
    <n v="168054.33351763847"/>
  </r>
  <r>
    <x v="10"/>
    <x v="2"/>
    <x v="2"/>
    <x v="4"/>
    <x v="1"/>
    <x v="957"/>
    <x v="908"/>
    <n v="98785"/>
    <n v="40659.311041725334"/>
  </r>
  <r>
    <x v="11"/>
    <x v="0"/>
    <x v="0"/>
    <x v="0"/>
    <x v="0"/>
    <x v="958"/>
    <x v="909"/>
    <n v="66313"/>
    <n v="49796.29836608738"/>
  </r>
  <r>
    <x v="11"/>
    <x v="0"/>
    <x v="0"/>
    <x v="0"/>
    <x v="1"/>
    <x v="959"/>
    <x v="910"/>
    <n v="7288"/>
    <n v="253032.22235320788"/>
  </r>
  <r>
    <x v="11"/>
    <x v="0"/>
    <x v="0"/>
    <x v="1"/>
    <x v="0"/>
    <x v="960"/>
    <x v="911"/>
    <n v="115457"/>
    <n v="83908.808898544681"/>
  </r>
  <r>
    <x v="11"/>
    <x v="0"/>
    <x v="0"/>
    <x v="1"/>
    <x v="1"/>
    <x v="961"/>
    <x v="912"/>
    <n v="18153"/>
    <n v="390151.06145708036"/>
  </r>
  <r>
    <x v="11"/>
    <x v="0"/>
    <x v="0"/>
    <x v="2"/>
    <x v="0"/>
    <x v="962"/>
    <x v="913"/>
    <n v="51934"/>
    <n v="38961.502018281302"/>
  </r>
  <r>
    <x v="11"/>
    <x v="0"/>
    <x v="0"/>
    <x v="2"/>
    <x v="1"/>
    <x v="963"/>
    <x v="914"/>
    <n v="5976"/>
    <n v="97499.163168316823"/>
  </r>
  <r>
    <x v="11"/>
    <x v="0"/>
    <x v="0"/>
    <x v="3"/>
    <x v="0"/>
    <x v="964"/>
    <x v="915"/>
    <n v="284258"/>
    <n v="215848.51182714087"/>
  </r>
  <r>
    <x v="11"/>
    <x v="0"/>
    <x v="0"/>
    <x v="3"/>
    <x v="1"/>
    <x v="965"/>
    <x v="916"/>
    <n v="35059"/>
    <n v="1177587.2908977144"/>
  </r>
  <r>
    <x v="11"/>
    <x v="0"/>
    <x v="0"/>
    <x v="4"/>
    <x v="0"/>
    <x v="966"/>
    <x v="917"/>
    <n v="95282"/>
    <n v="93258.768508821508"/>
  </r>
  <r>
    <x v="11"/>
    <x v="0"/>
    <x v="0"/>
    <x v="4"/>
    <x v="1"/>
    <x v="967"/>
    <x v="918"/>
    <n v="13249"/>
    <n v="446511.09906741569"/>
  </r>
  <r>
    <x v="11"/>
    <x v="0"/>
    <x v="1"/>
    <x v="0"/>
    <x v="0"/>
    <x v="968"/>
    <x v="919"/>
    <n v="607617"/>
    <n v="148946.47208040897"/>
  </r>
  <r>
    <x v="11"/>
    <x v="0"/>
    <x v="1"/>
    <x v="0"/>
    <x v="1"/>
    <x v="969"/>
    <x v="920"/>
    <n v="20457"/>
    <n v="15016.012768989251"/>
  </r>
  <r>
    <x v="11"/>
    <x v="0"/>
    <x v="1"/>
    <x v="1"/>
    <x v="0"/>
    <x v="970"/>
    <x v="921"/>
    <n v="1226512"/>
    <n v="197784.20004336975"/>
  </r>
  <r>
    <x v="11"/>
    <x v="0"/>
    <x v="1"/>
    <x v="1"/>
    <x v="1"/>
    <x v="971"/>
    <x v="922"/>
    <n v="15188"/>
    <n v="17470.375111642312"/>
  </r>
  <r>
    <x v="11"/>
    <x v="0"/>
    <x v="1"/>
    <x v="2"/>
    <x v="0"/>
    <x v="972"/>
    <x v="923"/>
    <n v="721631"/>
    <n v="79666.668776515435"/>
  </r>
  <r>
    <x v="11"/>
    <x v="0"/>
    <x v="1"/>
    <x v="2"/>
    <x v="1"/>
    <x v="973"/>
    <x v="924"/>
    <n v="5821"/>
    <n v="7555.7514376232048"/>
  </r>
  <r>
    <x v="11"/>
    <x v="0"/>
    <x v="1"/>
    <x v="3"/>
    <x v="0"/>
    <x v="974"/>
    <x v="925"/>
    <n v="2130552"/>
    <n v="513517.42890310177"/>
  </r>
  <r>
    <x v="11"/>
    <x v="0"/>
    <x v="1"/>
    <x v="3"/>
    <x v="1"/>
    <x v="975"/>
    <x v="926"/>
    <n v="52493"/>
    <n v="33747.603295957422"/>
  </r>
  <r>
    <x v="11"/>
    <x v="0"/>
    <x v="1"/>
    <x v="4"/>
    <x v="0"/>
    <x v="976"/>
    <x v="927"/>
    <n v="681714"/>
    <n v="174395.68775100939"/>
  </r>
  <r>
    <x v="11"/>
    <x v="0"/>
    <x v="1"/>
    <x v="4"/>
    <x v="1"/>
    <x v="977"/>
    <x v="232"/>
    <n v="18989"/>
    <n v="13620.845854621157"/>
  </r>
  <r>
    <x v="11"/>
    <x v="0"/>
    <x v="2"/>
    <x v="0"/>
    <x v="0"/>
    <x v="978"/>
    <x v="928"/>
    <n v="21028"/>
    <n v="106315.19059759701"/>
  </r>
  <r>
    <x v="11"/>
    <x v="0"/>
    <x v="2"/>
    <x v="0"/>
    <x v="1"/>
    <x v="979"/>
    <x v="929"/>
    <n v="8117"/>
    <n v="18197.404711840372"/>
  </r>
  <r>
    <x v="11"/>
    <x v="0"/>
    <x v="2"/>
    <x v="1"/>
    <x v="0"/>
    <x v="980"/>
    <x v="930"/>
    <n v="49475"/>
    <n v="189442.60517281803"/>
  </r>
  <r>
    <x v="11"/>
    <x v="0"/>
    <x v="2"/>
    <x v="1"/>
    <x v="1"/>
    <x v="981"/>
    <x v="931"/>
    <n v="44071"/>
    <n v="30169.860025307913"/>
  </r>
  <r>
    <x v="11"/>
    <x v="0"/>
    <x v="2"/>
    <x v="2"/>
    <x v="0"/>
    <x v="982"/>
    <x v="932"/>
    <n v="25033"/>
    <n v="70041.23548730847"/>
  </r>
  <r>
    <x v="11"/>
    <x v="0"/>
    <x v="2"/>
    <x v="2"/>
    <x v="1"/>
    <x v="983"/>
    <x v="933"/>
    <n v="23763"/>
    <n v="13179.865598170669"/>
  </r>
  <r>
    <x v="11"/>
    <x v="0"/>
    <x v="2"/>
    <x v="3"/>
    <x v="0"/>
    <x v="984"/>
    <x v="934"/>
    <n v="75937"/>
    <n v="436887.71391755948"/>
  </r>
  <r>
    <x v="11"/>
    <x v="0"/>
    <x v="2"/>
    <x v="3"/>
    <x v="1"/>
    <x v="985"/>
    <x v="935"/>
    <n v="38316"/>
    <n v="59347.675058488363"/>
  </r>
  <r>
    <x v="11"/>
    <x v="0"/>
    <x v="2"/>
    <x v="4"/>
    <x v="0"/>
    <x v="986"/>
    <x v="936"/>
    <n v="27598"/>
    <n v="162030.48077925199"/>
  </r>
  <r>
    <x v="11"/>
    <x v="0"/>
    <x v="2"/>
    <x v="4"/>
    <x v="1"/>
    <x v="303"/>
    <x v="937"/>
    <n v="7354"/>
    <n v="20071.111886750226"/>
  </r>
  <r>
    <x v="11"/>
    <x v="1"/>
    <x v="0"/>
    <x v="0"/>
    <x v="0"/>
    <x v="987"/>
    <x v="938"/>
    <n v="6363"/>
    <n v="1497.440818852459"/>
  </r>
  <r>
    <x v="11"/>
    <x v="1"/>
    <x v="0"/>
    <x v="0"/>
    <x v="1"/>
    <x v="490"/>
    <x v="711"/>
    <n v="71"/>
    <n v="15787.466767676766"/>
  </r>
  <r>
    <x v="11"/>
    <x v="1"/>
    <x v="0"/>
    <x v="1"/>
    <x v="0"/>
    <x v="988"/>
    <x v="939"/>
    <n v="10848"/>
    <n v="1362.9864698175154"/>
  </r>
  <r>
    <x v="11"/>
    <x v="1"/>
    <x v="0"/>
    <x v="1"/>
    <x v="1"/>
    <x v="989"/>
    <x v="802"/>
    <n v="218"/>
    <n v="24419.097855172415"/>
  </r>
  <r>
    <x v="11"/>
    <x v="1"/>
    <x v="0"/>
    <x v="2"/>
    <x v="0"/>
    <x v="990"/>
    <x v="940"/>
    <n v="2737"/>
    <n v="436.59657902689639"/>
  </r>
  <r>
    <x v="11"/>
    <x v="1"/>
    <x v="0"/>
    <x v="2"/>
    <x v="1"/>
    <x v="991"/>
    <x v="136"/>
    <n v="40"/>
    <n v="4868.2084507042255"/>
  </r>
  <r>
    <x v="11"/>
    <x v="1"/>
    <x v="0"/>
    <x v="3"/>
    <x v="0"/>
    <x v="992"/>
    <x v="941"/>
    <n v="38199"/>
    <n v="6442.075276099592"/>
  </r>
  <r>
    <x v="11"/>
    <x v="1"/>
    <x v="0"/>
    <x v="3"/>
    <x v="1"/>
    <x v="993"/>
    <x v="942"/>
    <n v="666"/>
    <n v="109003.20227383863"/>
  </r>
  <r>
    <x v="11"/>
    <x v="1"/>
    <x v="0"/>
    <x v="4"/>
    <x v="0"/>
    <x v="994"/>
    <x v="943"/>
    <n v="12842"/>
    <n v="1954.3361441986458"/>
  </r>
  <r>
    <x v="11"/>
    <x v="1"/>
    <x v="0"/>
    <x v="4"/>
    <x v="1"/>
    <x v="995"/>
    <x v="305"/>
    <n v="246"/>
    <n v="37409.965935483866"/>
  </r>
  <r>
    <x v="11"/>
    <x v="1"/>
    <x v="1"/>
    <x v="0"/>
    <x v="0"/>
    <x v="996"/>
    <x v="944"/>
    <n v="30582"/>
    <n v="9407.5536491427665"/>
  </r>
  <r>
    <x v="11"/>
    <x v="1"/>
    <x v="1"/>
    <x v="0"/>
    <x v="1"/>
    <x v="997"/>
    <x v="205"/>
    <n v="32"/>
    <n v="166.99520000000001"/>
  </r>
  <r>
    <x v="11"/>
    <x v="1"/>
    <x v="1"/>
    <x v="1"/>
    <x v="0"/>
    <x v="998"/>
    <x v="945"/>
    <n v="58546"/>
    <n v="11948.893139663223"/>
  </r>
  <r>
    <x v="11"/>
    <x v="1"/>
    <x v="1"/>
    <x v="1"/>
    <x v="1"/>
    <x v="999"/>
    <x v="51"/>
    <n v="178"/>
    <n v="299.23860975206611"/>
  </r>
  <r>
    <x v="11"/>
    <x v="1"/>
    <x v="1"/>
    <x v="2"/>
    <x v="0"/>
    <x v="1000"/>
    <x v="946"/>
    <n v="20349"/>
    <n v="3317.4029927957995"/>
  </r>
  <r>
    <x v="11"/>
    <x v="1"/>
    <x v="1"/>
    <x v="2"/>
    <x v="1"/>
    <x v="1001"/>
    <x v="123"/>
    <n v="9"/>
    <n v="65.322857142857146"/>
  </r>
  <r>
    <x v="11"/>
    <x v="1"/>
    <x v="1"/>
    <x v="3"/>
    <x v="0"/>
    <x v="1002"/>
    <x v="947"/>
    <n v="144385"/>
    <n v="47642.393782384905"/>
  </r>
  <r>
    <x v="11"/>
    <x v="1"/>
    <x v="1"/>
    <x v="3"/>
    <x v="1"/>
    <x v="1003"/>
    <x v="948"/>
    <n v="1036"/>
    <n v="1388.2160554699537"/>
  </r>
  <r>
    <x v="11"/>
    <x v="1"/>
    <x v="1"/>
    <x v="4"/>
    <x v="0"/>
    <x v="1004"/>
    <x v="949"/>
    <n v="45974"/>
    <n v="15670.634216159722"/>
  </r>
  <r>
    <x v="11"/>
    <x v="1"/>
    <x v="1"/>
    <x v="4"/>
    <x v="1"/>
    <x v="1005"/>
    <x v="302"/>
    <n v="128"/>
    <n v="79.96521739130435"/>
  </r>
  <r>
    <x v="11"/>
    <x v="1"/>
    <x v="2"/>
    <x v="0"/>
    <x v="0"/>
    <x v="1006"/>
    <x v="950"/>
    <n v="2690"/>
    <n v="9419.7533804548239"/>
  </r>
  <r>
    <x v="11"/>
    <x v="1"/>
    <x v="2"/>
    <x v="0"/>
    <x v="1"/>
    <x v="1007"/>
    <x v="316"/>
    <n v="253"/>
    <n v="1191.727886904762"/>
  </r>
  <r>
    <x v="11"/>
    <x v="1"/>
    <x v="2"/>
    <x v="1"/>
    <x v="0"/>
    <x v="1008"/>
    <x v="951"/>
    <n v="6496"/>
    <n v="19964.82312221231"/>
  </r>
  <r>
    <x v="11"/>
    <x v="1"/>
    <x v="2"/>
    <x v="1"/>
    <x v="1"/>
    <x v="1009"/>
    <x v="952"/>
    <n v="493"/>
    <n v="2329.06040192926"/>
  </r>
  <r>
    <x v="11"/>
    <x v="1"/>
    <x v="2"/>
    <x v="2"/>
    <x v="0"/>
    <x v="1010"/>
    <x v="953"/>
    <n v="1770"/>
    <n v="6417.4800839552236"/>
  </r>
  <r>
    <x v="11"/>
    <x v="1"/>
    <x v="2"/>
    <x v="2"/>
    <x v="1"/>
    <x v="983"/>
    <x v="120"/>
    <n v="183"/>
    <n v="252.30884210526318"/>
  </r>
  <r>
    <x v="11"/>
    <x v="1"/>
    <x v="2"/>
    <x v="3"/>
    <x v="0"/>
    <x v="1011"/>
    <x v="954"/>
    <n v="12911"/>
    <n v="59947.191727500154"/>
  </r>
  <r>
    <x v="11"/>
    <x v="1"/>
    <x v="2"/>
    <x v="3"/>
    <x v="1"/>
    <x v="1012"/>
    <x v="955"/>
    <n v="948"/>
    <n v="5726.8444824636435"/>
  </r>
  <r>
    <x v="11"/>
    <x v="1"/>
    <x v="2"/>
    <x v="4"/>
    <x v="0"/>
    <x v="1013"/>
    <x v="956"/>
    <n v="4510"/>
    <n v="17850.139677004958"/>
  </r>
  <r>
    <x v="11"/>
    <x v="1"/>
    <x v="2"/>
    <x v="4"/>
    <x v="1"/>
    <x v="303"/>
    <x v="957"/>
    <n v="638"/>
    <n v="1388.2849582836711"/>
  </r>
  <r>
    <x v="11"/>
    <x v="2"/>
    <x v="0"/>
    <x v="0"/>
    <x v="0"/>
    <x v="1014"/>
    <x v="958"/>
    <n v="14831"/>
    <n v="22069.083769071818"/>
  </r>
  <r>
    <x v="11"/>
    <x v="2"/>
    <x v="0"/>
    <x v="0"/>
    <x v="1"/>
    <x v="1015"/>
    <x v="959"/>
    <n v="17282"/>
    <n v="95551.41354351773"/>
  </r>
  <r>
    <x v="11"/>
    <x v="2"/>
    <x v="0"/>
    <x v="1"/>
    <x v="0"/>
    <x v="1016"/>
    <x v="960"/>
    <n v="15665"/>
    <n v="33286.915667301182"/>
  </r>
  <r>
    <x v="11"/>
    <x v="2"/>
    <x v="0"/>
    <x v="1"/>
    <x v="1"/>
    <x v="1017"/>
    <x v="961"/>
    <n v="18540"/>
    <n v="112971.45669249265"/>
  </r>
  <r>
    <x v="11"/>
    <x v="2"/>
    <x v="0"/>
    <x v="2"/>
    <x v="0"/>
    <x v="1018"/>
    <x v="962"/>
    <n v="4454"/>
    <n v="8200.8385358602754"/>
  </r>
  <r>
    <x v="11"/>
    <x v="2"/>
    <x v="0"/>
    <x v="2"/>
    <x v="1"/>
    <x v="1019"/>
    <x v="963"/>
    <n v="3722"/>
    <n v="27311.458237228679"/>
  </r>
  <r>
    <x v="11"/>
    <x v="2"/>
    <x v="0"/>
    <x v="3"/>
    <x v="0"/>
    <x v="1020"/>
    <x v="964"/>
    <n v="69366"/>
    <n v="170349.07532552222"/>
  </r>
  <r>
    <x v="11"/>
    <x v="2"/>
    <x v="0"/>
    <x v="3"/>
    <x v="1"/>
    <x v="1021"/>
    <x v="965"/>
    <n v="95273"/>
    <n v="535798.34603069094"/>
  </r>
  <r>
    <x v="11"/>
    <x v="2"/>
    <x v="0"/>
    <x v="4"/>
    <x v="0"/>
    <x v="1022"/>
    <x v="966"/>
    <n v="28389"/>
    <n v="70237.27220257376"/>
  </r>
  <r>
    <x v="11"/>
    <x v="2"/>
    <x v="0"/>
    <x v="4"/>
    <x v="1"/>
    <x v="1023"/>
    <x v="967"/>
    <n v="42267"/>
    <n v="231454.092"/>
  </r>
  <r>
    <x v="11"/>
    <x v="2"/>
    <x v="1"/>
    <x v="0"/>
    <x v="0"/>
    <x v="1024"/>
    <x v="968"/>
    <n v="133080"/>
    <n v="70920.359450171833"/>
  </r>
  <r>
    <x v="11"/>
    <x v="2"/>
    <x v="1"/>
    <x v="0"/>
    <x v="1"/>
    <x v="1025"/>
    <x v="361"/>
    <n v="15738"/>
    <n v="12441.32209968297"/>
  </r>
  <r>
    <x v="11"/>
    <x v="2"/>
    <x v="1"/>
    <x v="1"/>
    <x v="0"/>
    <x v="1026"/>
    <x v="969"/>
    <n v="163280"/>
    <n v="78299.405679840478"/>
  </r>
  <r>
    <x v="11"/>
    <x v="2"/>
    <x v="1"/>
    <x v="1"/>
    <x v="1"/>
    <x v="1027"/>
    <x v="970"/>
    <n v="9681"/>
    <n v="12204.448477157361"/>
  </r>
  <r>
    <x v="11"/>
    <x v="2"/>
    <x v="1"/>
    <x v="2"/>
    <x v="0"/>
    <x v="1028"/>
    <x v="971"/>
    <n v="65323"/>
    <n v="20814.942407724393"/>
  </r>
  <r>
    <x v="11"/>
    <x v="2"/>
    <x v="1"/>
    <x v="2"/>
    <x v="1"/>
    <x v="1029"/>
    <x v="972"/>
    <n v="3907"/>
    <n v="2133.1438280930993"/>
  </r>
  <r>
    <x v="11"/>
    <x v="2"/>
    <x v="1"/>
    <x v="3"/>
    <x v="0"/>
    <x v="1030"/>
    <x v="973"/>
    <n v="475785"/>
    <n v="301349.63917593093"/>
  </r>
  <r>
    <x v="11"/>
    <x v="2"/>
    <x v="1"/>
    <x v="3"/>
    <x v="1"/>
    <x v="1031"/>
    <x v="974"/>
    <n v="49152"/>
    <n v="36428.070831122604"/>
  </r>
  <r>
    <x v="11"/>
    <x v="2"/>
    <x v="1"/>
    <x v="4"/>
    <x v="0"/>
    <x v="1032"/>
    <x v="975"/>
    <n v="160186"/>
    <n v="114257.45503462687"/>
  </r>
  <r>
    <x v="11"/>
    <x v="2"/>
    <x v="1"/>
    <x v="4"/>
    <x v="1"/>
    <x v="1033"/>
    <x v="367"/>
    <n v="25440"/>
    <n v="20436.19603094953"/>
  </r>
  <r>
    <x v="11"/>
    <x v="2"/>
    <x v="2"/>
    <x v="0"/>
    <x v="0"/>
    <x v="1034"/>
    <x v="976"/>
    <n v="8555"/>
    <n v="90672.865156794418"/>
  </r>
  <r>
    <x v="11"/>
    <x v="2"/>
    <x v="2"/>
    <x v="0"/>
    <x v="1"/>
    <x v="1035"/>
    <x v="977"/>
    <n v="39165"/>
    <n v="22343.692774170424"/>
  </r>
  <r>
    <x v="11"/>
    <x v="2"/>
    <x v="2"/>
    <x v="1"/>
    <x v="0"/>
    <x v="1036"/>
    <x v="978"/>
    <n v="17757"/>
    <n v="165109.19196780966"/>
  </r>
  <r>
    <x v="11"/>
    <x v="2"/>
    <x v="2"/>
    <x v="1"/>
    <x v="1"/>
    <x v="1037"/>
    <x v="979"/>
    <n v="119788"/>
    <n v="37533.496182123075"/>
  </r>
  <r>
    <x v="11"/>
    <x v="2"/>
    <x v="2"/>
    <x v="2"/>
    <x v="0"/>
    <x v="1038"/>
    <x v="980"/>
    <n v="4801"/>
    <n v="45400.524058620693"/>
  </r>
  <r>
    <x v="11"/>
    <x v="2"/>
    <x v="2"/>
    <x v="2"/>
    <x v="1"/>
    <x v="1039"/>
    <x v="981"/>
    <n v="31868"/>
    <n v="10406.51087949566"/>
  </r>
  <r>
    <x v="11"/>
    <x v="2"/>
    <x v="2"/>
    <x v="3"/>
    <x v="0"/>
    <x v="1040"/>
    <x v="982"/>
    <n v="44578"/>
    <n v="497180.06852942816"/>
  </r>
  <r>
    <x v="11"/>
    <x v="2"/>
    <x v="2"/>
    <x v="3"/>
    <x v="1"/>
    <x v="1041"/>
    <x v="983"/>
    <n v="438060"/>
    <n v="101132.29729709301"/>
  </r>
  <r>
    <x v="11"/>
    <x v="2"/>
    <x v="2"/>
    <x v="4"/>
    <x v="0"/>
    <x v="1042"/>
    <x v="984"/>
    <n v="18127"/>
    <n v="169739.83973222447"/>
  </r>
  <r>
    <x v="11"/>
    <x v="2"/>
    <x v="2"/>
    <x v="4"/>
    <x v="1"/>
    <x v="1043"/>
    <x v="985"/>
    <n v="99808"/>
    <n v="41080.371680442593"/>
  </r>
  <r>
    <x v="12"/>
    <x v="0"/>
    <x v="0"/>
    <x v="0"/>
    <x v="0"/>
    <x v="1044"/>
    <x v="986"/>
    <n v="66976"/>
    <n v="50294.163729088847"/>
  </r>
  <r>
    <x v="12"/>
    <x v="0"/>
    <x v="0"/>
    <x v="0"/>
    <x v="1"/>
    <x v="1045"/>
    <x v="987"/>
    <n v="7365"/>
    <n v="255705.58694173658"/>
  </r>
  <r>
    <x v="12"/>
    <x v="0"/>
    <x v="0"/>
    <x v="1"/>
    <x v="0"/>
    <x v="1046"/>
    <x v="988"/>
    <n v="116612"/>
    <n v="84748.209491647052"/>
  </r>
  <r>
    <x v="12"/>
    <x v="0"/>
    <x v="0"/>
    <x v="1"/>
    <x v="1"/>
    <x v="1047"/>
    <x v="989"/>
    <n v="18336"/>
    <n v="394084.16586112627"/>
  </r>
  <r>
    <x v="12"/>
    <x v="0"/>
    <x v="0"/>
    <x v="2"/>
    <x v="0"/>
    <x v="1048"/>
    <x v="990"/>
    <n v="52454"/>
    <n v="39351.612178282579"/>
  </r>
  <r>
    <x v="12"/>
    <x v="0"/>
    <x v="0"/>
    <x v="2"/>
    <x v="1"/>
    <x v="1049"/>
    <x v="991"/>
    <n v="6043"/>
    <n v="98592.27627612761"/>
  </r>
  <r>
    <x v="12"/>
    <x v="0"/>
    <x v="0"/>
    <x v="3"/>
    <x v="0"/>
    <x v="1050"/>
    <x v="992"/>
    <n v="287102"/>
    <n v="218008.07520842261"/>
  </r>
  <r>
    <x v="12"/>
    <x v="0"/>
    <x v="0"/>
    <x v="3"/>
    <x v="1"/>
    <x v="1051"/>
    <x v="993"/>
    <n v="35411"/>
    <n v="1189410.5239162259"/>
  </r>
  <r>
    <x v="12"/>
    <x v="0"/>
    <x v="0"/>
    <x v="4"/>
    <x v="0"/>
    <x v="1052"/>
    <x v="994"/>
    <n v="96236"/>
    <n v="94192.511137622496"/>
  </r>
  <r>
    <x v="12"/>
    <x v="0"/>
    <x v="0"/>
    <x v="4"/>
    <x v="1"/>
    <x v="1053"/>
    <x v="507"/>
    <n v="13384"/>
    <n v="451060.80080898869"/>
  </r>
  <r>
    <x v="12"/>
    <x v="0"/>
    <x v="1"/>
    <x v="0"/>
    <x v="0"/>
    <x v="1054"/>
    <x v="995"/>
    <n v="613695"/>
    <n v="150436.38539307917"/>
  </r>
  <r>
    <x v="12"/>
    <x v="0"/>
    <x v="1"/>
    <x v="0"/>
    <x v="1"/>
    <x v="1055"/>
    <x v="996"/>
    <n v="20679"/>
    <n v="15178.967006400191"/>
  </r>
  <r>
    <x v="12"/>
    <x v="0"/>
    <x v="1"/>
    <x v="1"/>
    <x v="0"/>
    <x v="1056"/>
    <x v="997"/>
    <n v="1238780"/>
    <n v="199762.50646526538"/>
  </r>
  <r>
    <x v="12"/>
    <x v="0"/>
    <x v="1"/>
    <x v="1"/>
    <x v="1"/>
    <x v="1057"/>
    <x v="177"/>
    <n v="15351"/>
    <n v="17657.869919595807"/>
  </r>
  <r>
    <x v="12"/>
    <x v="0"/>
    <x v="1"/>
    <x v="2"/>
    <x v="0"/>
    <x v="1058"/>
    <x v="998"/>
    <n v="728850"/>
    <n v="80463.632435085616"/>
  </r>
  <r>
    <x v="12"/>
    <x v="0"/>
    <x v="1"/>
    <x v="2"/>
    <x v="1"/>
    <x v="1059"/>
    <x v="999"/>
    <n v="5892"/>
    <n v="7647.9105773021683"/>
  </r>
  <r>
    <x v="12"/>
    <x v="0"/>
    <x v="1"/>
    <x v="3"/>
    <x v="0"/>
    <x v="1060"/>
    <x v="1000"/>
    <n v="2151858"/>
    <n v="518652.7188843881"/>
  </r>
  <r>
    <x v="12"/>
    <x v="0"/>
    <x v="1"/>
    <x v="3"/>
    <x v="1"/>
    <x v="1061"/>
    <x v="1001"/>
    <n v="53034"/>
    <n v="34095.410687097436"/>
  </r>
  <r>
    <x v="12"/>
    <x v="0"/>
    <x v="1"/>
    <x v="4"/>
    <x v="0"/>
    <x v="1062"/>
    <x v="1002"/>
    <n v="688533"/>
    <n v="176140.12045266159"/>
  </r>
  <r>
    <x v="12"/>
    <x v="0"/>
    <x v="1"/>
    <x v="4"/>
    <x v="1"/>
    <x v="1063"/>
    <x v="1003"/>
    <n v="19188"/>
    <n v="13763.588933512599"/>
  </r>
  <r>
    <x v="12"/>
    <x v="0"/>
    <x v="2"/>
    <x v="0"/>
    <x v="0"/>
    <x v="1064"/>
    <x v="1004"/>
    <n v="21239"/>
    <n v="107381.98274217058"/>
  </r>
  <r>
    <x v="12"/>
    <x v="0"/>
    <x v="2"/>
    <x v="0"/>
    <x v="1"/>
    <x v="1065"/>
    <x v="1005"/>
    <n v="8201"/>
    <n v="18385.723301934569"/>
  </r>
  <r>
    <x v="12"/>
    <x v="0"/>
    <x v="2"/>
    <x v="1"/>
    <x v="0"/>
    <x v="1066"/>
    <x v="1006"/>
    <n v="49970"/>
    <n v="191337.98848884722"/>
  </r>
  <r>
    <x v="12"/>
    <x v="0"/>
    <x v="2"/>
    <x v="1"/>
    <x v="1"/>
    <x v="1067"/>
    <x v="1007"/>
    <n v="44528"/>
    <n v="30482.710335751646"/>
  </r>
  <r>
    <x v="12"/>
    <x v="0"/>
    <x v="2"/>
    <x v="2"/>
    <x v="0"/>
    <x v="1068"/>
    <x v="1008"/>
    <n v="25284"/>
    <n v="70743.522472780227"/>
  </r>
  <r>
    <x v="12"/>
    <x v="0"/>
    <x v="2"/>
    <x v="2"/>
    <x v="1"/>
    <x v="1069"/>
    <x v="1009"/>
    <n v="24030"/>
    <n v="13327.953975678205"/>
  </r>
  <r>
    <x v="12"/>
    <x v="0"/>
    <x v="2"/>
    <x v="3"/>
    <x v="0"/>
    <x v="1070"/>
    <x v="1010"/>
    <n v="76697"/>
    <n v="441260.21563052345"/>
  </r>
  <r>
    <x v="12"/>
    <x v="0"/>
    <x v="2"/>
    <x v="3"/>
    <x v="1"/>
    <x v="1071"/>
    <x v="1011"/>
    <n v="38712"/>
    <n v="59961.039692666287"/>
  </r>
  <r>
    <x v="12"/>
    <x v="0"/>
    <x v="2"/>
    <x v="4"/>
    <x v="0"/>
    <x v="1072"/>
    <x v="1012"/>
    <n v="27874"/>
    <n v="163650.9030089452"/>
  </r>
  <r>
    <x v="12"/>
    <x v="0"/>
    <x v="2"/>
    <x v="4"/>
    <x v="1"/>
    <x v="391"/>
    <x v="1013"/>
    <n v="7434"/>
    <n v="20289.454142793198"/>
  </r>
  <r>
    <x v="12"/>
    <x v="1"/>
    <x v="0"/>
    <x v="0"/>
    <x v="0"/>
    <x v="1073"/>
    <x v="1014"/>
    <n v="6427"/>
    <n v="1512.5023012360134"/>
  </r>
  <r>
    <x v="12"/>
    <x v="1"/>
    <x v="0"/>
    <x v="0"/>
    <x v="1"/>
    <x v="1074"/>
    <x v="789"/>
    <n v="73"/>
    <n v="16232.18414141414"/>
  </r>
  <r>
    <x v="12"/>
    <x v="1"/>
    <x v="0"/>
    <x v="1"/>
    <x v="0"/>
    <x v="1075"/>
    <x v="1015"/>
    <n v="10957"/>
    <n v="1376.6816694128424"/>
  </r>
  <r>
    <x v="12"/>
    <x v="1"/>
    <x v="0"/>
    <x v="1"/>
    <x v="1"/>
    <x v="1076"/>
    <x v="882"/>
    <n v="222"/>
    <n v="24867.154696551726"/>
  </r>
  <r>
    <x v="12"/>
    <x v="1"/>
    <x v="0"/>
    <x v="2"/>
    <x v="0"/>
    <x v="1077"/>
    <x v="1016"/>
    <n v="2765"/>
    <n v="441.06304019341195"/>
  </r>
  <r>
    <x v="12"/>
    <x v="1"/>
    <x v="0"/>
    <x v="2"/>
    <x v="1"/>
    <x v="1078"/>
    <x v="221"/>
    <n v="43"/>
    <n v="5233.3240845070422"/>
  </r>
  <r>
    <x v="12"/>
    <x v="1"/>
    <x v="0"/>
    <x v="3"/>
    <x v="0"/>
    <x v="1079"/>
    <x v="1017"/>
    <n v="38581"/>
    <n v="6506.4977153118762"/>
  </r>
  <r>
    <x v="12"/>
    <x v="1"/>
    <x v="0"/>
    <x v="3"/>
    <x v="1"/>
    <x v="1080"/>
    <x v="1018"/>
    <n v="674"/>
    <n v="110312.55004889975"/>
  </r>
  <r>
    <x v="12"/>
    <x v="1"/>
    <x v="0"/>
    <x v="4"/>
    <x v="0"/>
    <x v="1081"/>
    <x v="1019"/>
    <n v="12972"/>
    <n v="1974.1199550338604"/>
  </r>
  <r>
    <x v="12"/>
    <x v="1"/>
    <x v="0"/>
    <x v="4"/>
    <x v="1"/>
    <x v="1082"/>
    <x v="1020"/>
    <n v="249"/>
    <n v="37866.185032258058"/>
  </r>
  <r>
    <x v="12"/>
    <x v="1"/>
    <x v="1"/>
    <x v="0"/>
    <x v="0"/>
    <x v="1083"/>
    <x v="1021"/>
    <n v="30889"/>
    <n v="9501.9921741014605"/>
  </r>
  <r>
    <x v="12"/>
    <x v="1"/>
    <x v="1"/>
    <x v="0"/>
    <x v="1"/>
    <x v="1084"/>
    <x v="43"/>
    <n v="34"/>
    <n v="177.4324"/>
  </r>
  <r>
    <x v="12"/>
    <x v="1"/>
    <x v="1"/>
    <x v="1"/>
    <x v="0"/>
    <x v="1085"/>
    <x v="1022"/>
    <n v="59133"/>
    <n v="12068.696375972831"/>
  </r>
  <r>
    <x v="12"/>
    <x v="1"/>
    <x v="1"/>
    <x v="1"/>
    <x v="1"/>
    <x v="1086"/>
    <x v="138"/>
    <n v="184"/>
    <n v="309.32530446280992"/>
  </r>
  <r>
    <x v="12"/>
    <x v="1"/>
    <x v="1"/>
    <x v="2"/>
    <x v="0"/>
    <x v="1087"/>
    <x v="1023"/>
    <n v="20553"/>
    <n v="3350.6601656559078"/>
  </r>
  <r>
    <x v="12"/>
    <x v="1"/>
    <x v="1"/>
    <x v="2"/>
    <x v="1"/>
    <x v="1088"/>
    <x v="208"/>
    <n v="12"/>
    <n v="87.097142857142856"/>
  </r>
  <r>
    <x v="12"/>
    <x v="1"/>
    <x v="1"/>
    <x v="3"/>
    <x v="0"/>
    <x v="1089"/>
    <x v="1024"/>
    <n v="145831"/>
    <n v="48119.527150874208"/>
  </r>
  <r>
    <x v="12"/>
    <x v="1"/>
    <x v="1"/>
    <x v="3"/>
    <x v="1"/>
    <x v="1090"/>
    <x v="225"/>
    <n v="1047"/>
    <n v="1402.9558012326656"/>
  </r>
  <r>
    <x v="12"/>
    <x v="1"/>
    <x v="1"/>
    <x v="4"/>
    <x v="0"/>
    <x v="1091"/>
    <x v="1025"/>
    <n v="46434"/>
    <n v="15827.429181562635"/>
  </r>
  <r>
    <x v="12"/>
    <x v="1"/>
    <x v="1"/>
    <x v="4"/>
    <x v="1"/>
    <x v="566"/>
    <x v="386"/>
    <n v="133"/>
    <n v="83.088858695652178"/>
  </r>
  <r>
    <x v="12"/>
    <x v="1"/>
    <x v="2"/>
    <x v="0"/>
    <x v="0"/>
    <x v="1092"/>
    <x v="1026"/>
    <n v="2718"/>
    <n v="9517.8028580208975"/>
  </r>
  <r>
    <x v="12"/>
    <x v="1"/>
    <x v="2"/>
    <x v="0"/>
    <x v="1"/>
    <x v="1093"/>
    <x v="400"/>
    <n v="259"/>
    <n v="1219.9902083333334"/>
  </r>
  <r>
    <x v="12"/>
    <x v="1"/>
    <x v="2"/>
    <x v="1"/>
    <x v="0"/>
    <x v="1094"/>
    <x v="1027"/>
    <n v="6561"/>
    <n v="20164.594289537403"/>
  </r>
  <r>
    <x v="12"/>
    <x v="1"/>
    <x v="2"/>
    <x v="1"/>
    <x v="1"/>
    <x v="1095"/>
    <x v="1028"/>
    <n v="501"/>
    <n v="2366.8544855305463"/>
  </r>
  <r>
    <x v="12"/>
    <x v="1"/>
    <x v="2"/>
    <x v="2"/>
    <x v="0"/>
    <x v="1096"/>
    <x v="1029"/>
    <n v="1788"/>
    <n v="6482.7425932835822"/>
  </r>
  <r>
    <x v="12"/>
    <x v="1"/>
    <x v="2"/>
    <x v="2"/>
    <x v="1"/>
    <x v="1069"/>
    <x v="205"/>
    <n v="193"/>
    <n v="266.09621052631582"/>
  </r>
  <r>
    <x v="12"/>
    <x v="1"/>
    <x v="2"/>
    <x v="3"/>
    <x v="0"/>
    <x v="1097"/>
    <x v="1030"/>
    <n v="13041"/>
    <n v="60550.796012572966"/>
  </r>
  <r>
    <x v="12"/>
    <x v="1"/>
    <x v="2"/>
    <x v="3"/>
    <x v="1"/>
    <x v="1098"/>
    <x v="1031"/>
    <n v="958"/>
    <n v="5787.2542343883651"/>
  </r>
  <r>
    <x v="12"/>
    <x v="1"/>
    <x v="2"/>
    <x v="4"/>
    <x v="0"/>
    <x v="1099"/>
    <x v="1032"/>
    <n v="4555"/>
    <n v="18028.245283538265"/>
  </r>
  <r>
    <x v="12"/>
    <x v="1"/>
    <x v="2"/>
    <x v="4"/>
    <x v="1"/>
    <x v="391"/>
    <x v="1033"/>
    <n v="649"/>
    <n v="1412.2209058402862"/>
  </r>
  <r>
    <x v="12"/>
    <x v="2"/>
    <x v="0"/>
    <x v="0"/>
    <x v="0"/>
    <x v="1100"/>
    <x v="1034"/>
    <n v="14980"/>
    <n v="22290.801352619234"/>
  </r>
  <r>
    <x v="12"/>
    <x v="2"/>
    <x v="0"/>
    <x v="0"/>
    <x v="1"/>
    <x v="1101"/>
    <x v="1035"/>
    <n v="17467"/>
    <n v="96574.270360179624"/>
  </r>
  <r>
    <x v="12"/>
    <x v="2"/>
    <x v="0"/>
    <x v="1"/>
    <x v="0"/>
    <x v="1102"/>
    <x v="1036"/>
    <n v="15822"/>
    <n v="33620.528546954316"/>
  </r>
  <r>
    <x v="12"/>
    <x v="2"/>
    <x v="0"/>
    <x v="1"/>
    <x v="1"/>
    <x v="1103"/>
    <x v="1037"/>
    <n v="18733"/>
    <n v="114147.48102591504"/>
  </r>
  <r>
    <x v="12"/>
    <x v="2"/>
    <x v="0"/>
    <x v="2"/>
    <x v="0"/>
    <x v="1104"/>
    <x v="1038"/>
    <n v="4499"/>
    <n v="8283.6938870308441"/>
  </r>
  <r>
    <x v="12"/>
    <x v="2"/>
    <x v="0"/>
    <x v="2"/>
    <x v="1"/>
    <x v="1105"/>
    <x v="1039"/>
    <n v="3766"/>
    <n v="27634.323407147556"/>
  </r>
  <r>
    <x v="12"/>
    <x v="2"/>
    <x v="0"/>
    <x v="3"/>
    <x v="0"/>
    <x v="1106"/>
    <x v="1040"/>
    <n v="70061"/>
    <n v="172055.85685179214"/>
  </r>
  <r>
    <x v="12"/>
    <x v="2"/>
    <x v="0"/>
    <x v="3"/>
    <x v="1"/>
    <x v="1107"/>
    <x v="1041"/>
    <n v="96238"/>
    <n v="541225.33378083643"/>
  </r>
  <r>
    <x v="12"/>
    <x v="2"/>
    <x v="0"/>
    <x v="4"/>
    <x v="0"/>
    <x v="1108"/>
    <x v="1042"/>
    <n v="28674"/>
    <n v="70942.391177449012"/>
  </r>
  <r>
    <x v="12"/>
    <x v="2"/>
    <x v="0"/>
    <x v="4"/>
    <x v="1"/>
    <x v="1109"/>
    <x v="1043"/>
    <n v="42701"/>
    <n v="233830.67600000001"/>
  </r>
  <r>
    <x v="12"/>
    <x v="2"/>
    <x v="1"/>
    <x v="0"/>
    <x v="0"/>
    <x v="1110"/>
    <x v="1044"/>
    <n v="134411"/>
    <n v="71629.669627720519"/>
  </r>
  <r>
    <x v="12"/>
    <x v="2"/>
    <x v="1"/>
    <x v="0"/>
    <x v="1"/>
    <x v="1111"/>
    <x v="1045"/>
    <n v="15915"/>
    <n v="12581.245470609636"/>
  </r>
  <r>
    <x v="12"/>
    <x v="2"/>
    <x v="1"/>
    <x v="1"/>
    <x v="0"/>
    <x v="1112"/>
    <x v="1046"/>
    <n v="164913"/>
    <n v="79082.495644779119"/>
  </r>
  <r>
    <x v="12"/>
    <x v="2"/>
    <x v="1"/>
    <x v="1"/>
    <x v="1"/>
    <x v="1113"/>
    <x v="1047"/>
    <n v="9801"/>
    <n v="12355.727664974618"/>
  </r>
  <r>
    <x v="12"/>
    <x v="2"/>
    <x v="1"/>
    <x v="2"/>
    <x v="0"/>
    <x v="1114"/>
    <x v="259"/>
    <n v="65978"/>
    <n v="21023.655836027741"/>
  </r>
  <r>
    <x v="12"/>
    <x v="2"/>
    <x v="1"/>
    <x v="2"/>
    <x v="1"/>
    <x v="1115"/>
    <x v="1048"/>
    <n v="3960"/>
    <n v="2162.0807676602694"/>
  </r>
  <r>
    <x v="12"/>
    <x v="2"/>
    <x v="1"/>
    <x v="3"/>
    <x v="0"/>
    <x v="1116"/>
    <x v="1049"/>
    <n v="480546"/>
    <n v="304365.13069440384"/>
  </r>
  <r>
    <x v="12"/>
    <x v="2"/>
    <x v="1"/>
    <x v="3"/>
    <x v="1"/>
    <x v="1117"/>
    <x v="1050"/>
    <n v="49678"/>
    <n v="36817.905736257089"/>
  </r>
  <r>
    <x v="12"/>
    <x v="2"/>
    <x v="1"/>
    <x v="4"/>
    <x v="0"/>
    <x v="1118"/>
    <x v="1051"/>
    <n v="161788"/>
    <n v="115400.12944415997"/>
  </r>
  <r>
    <x v="12"/>
    <x v="2"/>
    <x v="1"/>
    <x v="4"/>
    <x v="1"/>
    <x v="1119"/>
    <x v="1052"/>
    <n v="25703"/>
    <n v="20647.466453753765"/>
  </r>
  <r>
    <x v="12"/>
    <x v="2"/>
    <x v="2"/>
    <x v="0"/>
    <x v="0"/>
    <x v="1120"/>
    <x v="1053"/>
    <n v="8641"/>
    <n v="91584.363275261319"/>
  </r>
  <r>
    <x v="12"/>
    <x v="2"/>
    <x v="2"/>
    <x v="0"/>
    <x v="1"/>
    <x v="1121"/>
    <x v="1054"/>
    <n v="39577"/>
    <n v="22578.73940823038"/>
  </r>
  <r>
    <x v="12"/>
    <x v="2"/>
    <x v="2"/>
    <x v="1"/>
    <x v="0"/>
    <x v="1122"/>
    <x v="1055"/>
    <n v="17935"/>
    <n v="166764.28213902496"/>
  </r>
  <r>
    <x v="12"/>
    <x v="2"/>
    <x v="2"/>
    <x v="1"/>
    <x v="1"/>
    <x v="1123"/>
    <x v="1056"/>
    <n v="121011"/>
    <n v="37916.702061098731"/>
  </r>
  <r>
    <x v="12"/>
    <x v="2"/>
    <x v="2"/>
    <x v="2"/>
    <x v="0"/>
    <x v="1124"/>
    <x v="1057"/>
    <n v="4850"/>
    <n v="45863.891206896558"/>
  </r>
  <r>
    <x v="12"/>
    <x v="2"/>
    <x v="2"/>
    <x v="2"/>
    <x v="1"/>
    <x v="1125"/>
    <x v="838"/>
    <n v="32230"/>
    <n v="10524.722155332782"/>
  </r>
  <r>
    <x v="12"/>
    <x v="2"/>
    <x v="2"/>
    <x v="3"/>
    <x v="0"/>
    <x v="1126"/>
    <x v="1058"/>
    <n v="45025"/>
    <n v="502165.47591945581"/>
  </r>
  <r>
    <x v="12"/>
    <x v="2"/>
    <x v="2"/>
    <x v="3"/>
    <x v="1"/>
    <x v="1127"/>
    <x v="1059"/>
    <n v="442499"/>
    <n v="102157.10272945797"/>
  </r>
  <r>
    <x v="12"/>
    <x v="2"/>
    <x v="2"/>
    <x v="4"/>
    <x v="0"/>
    <x v="1128"/>
    <x v="1060"/>
    <n v="18309"/>
    <n v="171444.0737936392"/>
  </r>
  <r>
    <x v="12"/>
    <x v="2"/>
    <x v="2"/>
    <x v="4"/>
    <x v="1"/>
    <x v="1129"/>
    <x v="1061"/>
    <n v="100831"/>
    <n v="41501.43231915986"/>
  </r>
  <r>
    <x v="13"/>
    <x v="0"/>
    <x v="0"/>
    <x v="0"/>
    <x v="0"/>
    <x v="1130"/>
    <x v="1062"/>
    <n v="68316"/>
    <n v="51300.407449182298"/>
  </r>
  <r>
    <x v="13"/>
    <x v="0"/>
    <x v="0"/>
    <x v="0"/>
    <x v="1"/>
    <x v="1131"/>
    <x v="1063"/>
    <n v="7512"/>
    <n v="260809.28297438222"/>
  </r>
  <r>
    <x v="13"/>
    <x v="0"/>
    <x v="0"/>
    <x v="1"/>
    <x v="0"/>
    <x v="1132"/>
    <x v="1064"/>
    <n v="118945"/>
    <n v="86443.726014337793"/>
  </r>
  <r>
    <x v="13"/>
    <x v="0"/>
    <x v="0"/>
    <x v="1"/>
    <x v="1"/>
    <x v="1133"/>
    <x v="1065"/>
    <n v="18710"/>
    <n v="402122.31365955895"/>
  </r>
  <r>
    <x v="13"/>
    <x v="0"/>
    <x v="0"/>
    <x v="2"/>
    <x v="0"/>
    <x v="1134"/>
    <x v="1066"/>
    <n v="53504"/>
    <n v="40139.334616746695"/>
  </r>
  <r>
    <x v="13"/>
    <x v="0"/>
    <x v="0"/>
    <x v="2"/>
    <x v="1"/>
    <x v="1135"/>
    <x v="1067"/>
    <n v="6167"/>
    <n v="100615.35128162816"/>
  </r>
  <r>
    <x v="13"/>
    <x v="0"/>
    <x v="0"/>
    <x v="3"/>
    <x v="0"/>
    <x v="1136"/>
    <x v="1068"/>
    <n v="292844"/>
    <n v="222368.20633898515"/>
  </r>
  <r>
    <x v="13"/>
    <x v="0"/>
    <x v="0"/>
    <x v="3"/>
    <x v="1"/>
    <x v="1137"/>
    <x v="1069"/>
    <n v="36123"/>
    <n v="1213325.6997945788"/>
  </r>
  <r>
    <x v="13"/>
    <x v="0"/>
    <x v="0"/>
    <x v="4"/>
    <x v="0"/>
    <x v="1138"/>
    <x v="1070"/>
    <n v="98161"/>
    <n v="96076.63541481526"/>
  </r>
  <r>
    <x v="13"/>
    <x v="0"/>
    <x v="0"/>
    <x v="4"/>
    <x v="1"/>
    <x v="1139"/>
    <x v="1071"/>
    <n v="13654"/>
    <n v="460160.20429213479"/>
  </r>
  <r>
    <x v="13"/>
    <x v="0"/>
    <x v="1"/>
    <x v="0"/>
    <x v="0"/>
    <x v="1140"/>
    <x v="1072"/>
    <n v="625971"/>
    <n v="153445.62787849203"/>
  </r>
  <r>
    <x v="13"/>
    <x v="0"/>
    <x v="1"/>
    <x v="0"/>
    <x v="1"/>
    <x v="1141"/>
    <x v="1073"/>
    <n v="21095"/>
    <n v="15484.322694521594"/>
  </r>
  <r>
    <x v="13"/>
    <x v="0"/>
    <x v="1"/>
    <x v="1"/>
    <x v="0"/>
    <x v="1142"/>
    <x v="1074"/>
    <n v="1263557"/>
    <n v="203757.98235500359"/>
  </r>
  <r>
    <x v="13"/>
    <x v="0"/>
    <x v="1"/>
    <x v="1"/>
    <x v="1"/>
    <x v="1143"/>
    <x v="262"/>
    <n v="15663"/>
    <n v="18016.755686966917"/>
  </r>
  <r>
    <x v="13"/>
    <x v="0"/>
    <x v="1"/>
    <x v="2"/>
    <x v="0"/>
    <x v="1144"/>
    <x v="1075"/>
    <n v="743430"/>
    <n v="82073.236277993696"/>
  </r>
  <r>
    <x v="13"/>
    <x v="0"/>
    <x v="1"/>
    <x v="2"/>
    <x v="1"/>
    <x v="1145"/>
    <x v="1076"/>
    <n v="6020"/>
    <n v="7814.0566319346663"/>
  </r>
  <r>
    <x v="13"/>
    <x v="0"/>
    <x v="1"/>
    <x v="3"/>
    <x v="0"/>
    <x v="1146"/>
    <x v="1077"/>
    <n v="2194898"/>
    <n v="529026.45777458628"/>
  </r>
  <r>
    <x v="13"/>
    <x v="0"/>
    <x v="1"/>
    <x v="3"/>
    <x v="1"/>
    <x v="1147"/>
    <x v="1078"/>
    <n v="54118"/>
    <n v="34792.311263799435"/>
  </r>
  <r>
    <x v="13"/>
    <x v="0"/>
    <x v="1"/>
    <x v="4"/>
    <x v="0"/>
    <x v="1148"/>
    <x v="1079"/>
    <n v="702306"/>
    <n v="179663.52147918392"/>
  </r>
  <r>
    <x v="13"/>
    <x v="0"/>
    <x v="1"/>
    <x v="4"/>
    <x v="1"/>
    <x v="1149"/>
    <x v="1080"/>
    <n v="19586"/>
    <n v="14049.075091295486"/>
  </r>
  <r>
    <x v="13"/>
    <x v="0"/>
    <x v="2"/>
    <x v="0"/>
    <x v="0"/>
    <x v="1150"/>
    <x v="1081"/>
    <n v="21664"/>
    <n v="109530.73469214104"/>
  </r>
  <r>
    <x v="13"/>
    <x v="0"/>
    <x v="2"/>
    <x v="0"/>
    <x v="1"/>
    <x v="1151"/>
    <x v="1082"/>
    <n v="8368"/>
    <n v="18760.11859414565"/>
  </r>
  <r>
    <x v="13"/>
    <x v="0"/>
    <x v="2"/>
    <x v="1"/>
    <x v="0"/>
    <x v="1152"/>
    <x v="1083"/>
    <n v="50969"/>
    <n v="195163.21663574254"/>
  </r>
  <r>
    <x v="13"/>
    <x v="0"/>
    <x v="2"/>
    <x v="1"/>
    <x v="1"/>
    <x v="1153"/>
    <x v="192"/>
    <n v="45443"/>
    <n v="31109.095530622577"/>
  </r>
  <r>
    <x v="13"/>
    <x v="0"/>
    <x v="2"/>
    <x v="2"/>
    <x v="0"/>
    <x v="1154"/>
    <x v="1084"/>
    <n v="25790"/>
    <n v="72159.288268193399"/>
  </r>
  <r>
    <x v="13"/>
    <x v="0"/>
    <x v="2"/>
    <x v="2"/>
    <x v="1"/>
    <x v="1155"/>
    <x v="1085"/>
    <n v="24530"/>
    <n v="13605.27303468108"/>
  </r>
  <r>
    <x v="13"/>
    <x v="0"/>
    <x v="2"/>
    <x v="3"/>
    <x v="0"/>
    <x v="1156"/>
    <x v="1086"/>
    <n v="78231"/>
    <n v="450085.76514063758"/>
  </r>
  <r>
    <x v="13"/>
    <x v="0"/>
    <x v="2"/>
    <x v="3"/>
    <x v="1"/>
    <x v="1157"/>
    <x v="543"/>
    <n v="39486"/>
    <n v="61159.888750377686"/>
  </r>
  <r>
    <x v="13"/>
    <x v="0"/>
    <x v="2"/>
    <x v="4"/>
    <x v="0"/>
    <x v="1158"/>
    <x v="1087"/>
    <n v="28432"/>
    <n v="166926.97403854236"/>
  </r>
  <r>
    <x v="13"/>
    <x v="0"/>
    <x v="2"/>
    <x v="4"/>
    <x v="1"/>
    <x v="478"/>
    <x v="1088"/>
    <n v="7586"/>
    <n v="20704.304429274845"/>
  </r>
  <r>
    <x v="13"/>
    <x v="1"/>
    <x v="0"/>
    <x v="0"/>
    <x v="0"/>
    <x v="1159"/>
    <x v="1089"/>
    <n v="6557"/>
    <n v="1543.0959373276087"/>
  </r>
  <r>
    <x v="13"/>
    <x v="1"/>
    <x v="0"/>
    <x v="0"/>
    <x v="1"/>
    <x v="1160"/>
    <x v="871"/>
    <n v="76"/>
    <n v="16899.260202020199"/>
  </r>
  <r>
    <x v="13"/>
    <x v="1"/>
    <x v="0"/>
    <x v="1"/>
    <x v="0"/>
    <x v="1161"/>
    <x v="1090"/>
    <n v="11176"/>
    <n v="1404.1977126364816"/>
  </r>
  <r>
    <x v="13"/>
    <x v="1"/>
    <x v="0"/>
    <x v="1"/>
    <x v="1"/>
    <x v="1162"/>
    <x v="1033"/>
    <n v="231"/>
    <n v="25875.282589655173"/>
  </r>
  <r>
    <x v="13"/>
    <x v="1"/>
    <x v="0"/>
    <x v="2"/>
    <x v="0"/>
    <x v="1163"/>
    <x v="1091"/>
    <n v="2820"/>
    <n v="449.83644605621038"/>
  </r>
  <r>
    <x v="13"/>
    <x v="1"/>
    <x v="0"/>
    <x v="2"/>
    <x v="1"/>
    <x v="1164"/>
    <x v="307"/>
    <n v="46"/>
    <n v="5598.439718309859"/>
  </r>
  <r>
    <x v="13"/>
    <x v="1"/>
    <x v="0"/>
    <x v="3"/>
    <x v="0"/>
    <x v="1165"/>
    <x v="1092"/>
    <n v="39353"/>
    <n v="6636.6917547670682"/>
  </r>
  <r>
    <x v="13"/>
    <x v="1"/>
    <x v="0"/>
    <x v="3"/>
    <x v="1"/>
    <x v="1166"/>
    <x v="1093"/>
    <n v="688"/>
    <n v="112603.90865525672"/>
  </r>
  <r>
    <x v="13"/>
    <x v="1"/>
    <x v="0"/>
    <x v="4"/>
    <x v="0"/>
    <x v="1167"/>
    <x v="1094"/>
    <n v="13232"/>
    <n v="2013.6875767042893"/>
  </r>
  <r>
    <x v="13"/>
    <x v="1"/>
    <x v="0"/>
    <x v="4"/>
    <x v="1"/>
    <x v="1168"/>
    <x v="1095"/>
    <n v="256"/>
    <n v="38930.696258064512"/>
  </r>
  <r>
    <x v="13"/>
    <x v="1"/>
    <x v="1"/>
    <x v="0"/>
    <x v="0"/>
    <x v="1169"/>
    <x v="1096"/>
    <n v="31507"/>
    <n v="9692.0996933994211"/>
  </r>
  <r>
    <x v="13"/>
    <x v="1"/>
    <x v="1"/>
    <x v="0"/>
    <x v="1"/>
    <x v="1170"/>
    <x v="131"/>
    <n v="36"/>
    <n v="187.86960000000002"/>
  </r>
  <r>
    <x v="13"/>
    <x v="1"/>
    <x v="1"/>
    <x v="1"/>
    <x v="0"/>
    <x v="1171"/>
    <x v="1097"/>
    <n v="60316"/>
    <n v="12310.139695486061"/>
  </r>
  <r>
    <x v="13"/>
    <x v="1"/>
    <x v="1"/>
    <x v="1"/>
    <x v="1"/>
    <x v="1172"/>
    <x v="223"/>
    <n v="190"/>
    <n v="319.41199917355368"/>
  </r>
  <r>
    <x v="13"/>
    <x v="1"/>
    <x v="1"/>
    <x v="2"/>
    <x v="0"/>
    <x v="1173"/>
    <x v="1098"/>
    <n v="20964"/>
    <n v="3417.6635874475969"/>
  </r>
  <r>
    <x v="13"/>
    <x v="1"/>
    <x v="1"/>
    <x v="2"/>
    <x v="1"/>
    <x v="1174"/>
    <x v="294"/>
    <n v="16"/>
    <n v="116.1295238095238"/>
  </r>
  <r>
    <x v="13"/>
    <x v="1"/>
    <x v="1"/>
    <x v="3"/>
    <x v="0"/>
    <x v="1175"/>
    <x v="1099"/>
    <n v="148747"/>
    <n v="49081.713113885839"/>
  </r>
  <r>
    <x v="13"/>
    <x v="1"/>
    <x v="1"/>
    <x v="3"/>
    <x v="1"/>
    <x v="1176"/>
    <x v="311"/>
    <n v="1068"/>
    <n v="1431.0953158705702"/>
  </r>
  <r>
    <x v="13"/>
    <x v="1"/>
    <x v="1"/>
    <x v="4"/>
    <x v="0"/>
    <x v="1177"/>
    <x v="1100"/>
    <n v="47364"/>
    <n v="16144.42769857287"/>
  </r>
  <r>
    <x v="13"/>
    <x v="1"/>
    <x v="1"/>
    <x v="4"/>
    <x v="1"/>
    <x v="654"/>
    <x v="471"/>
    <n v="139"/>
    <n v="86.837228260869566"/>
  </r>
  <r>
    <x v="13"/>
    <x v="1"/>
    <x v="2"/>
    <x v="0"/>
    <x v="0"/>
    <x v="1178"/>
    <x v="1101"/>
    <n v="2773"/>
    <n v="9710.400046097111"/>
  </r>
  <r>
    <x v="13"/>
    <x v="1"/>
    <x v="2"/>
    <x v="0"/>
    <x v="1"/>
    <x v="1179"/>
    <x v="463"/>
    <n v="265"/>
    <n v="1248.252529761905"/>
  </r>
  <r>
    <x v="13"/>
    <x v="1"/>
    <x v="2"/>
    <x v="1"/>
    <x v="0"/>
    <x v="1180"/>
    <x v="1102"/>
    <n v="6693"/>
    <n v="20570.283429336054"/>
  </r>
  <r>
    <x v="13"/>
    <x v="1"/>
    <x v="2"/>
    <x v="1"/>
    <x v="1"/>
    <x v="1181"/>
    <x v="1103"/>
    <n v="514"/>
    <n v="2428.2698713826362"/>
  </r>
  <r>
    <x v="13"/>
    <x v="1"/>
    <x v="2"/>
    <x v="2"/>
    <x v="0"/>
    <x v="1182"/>
    <x v="1104"/>
    <n v="1824"/>
    <n v="6613.2676119402986"/>
  </r>
  <r>
    <x v="13"/>
    <x v="1"/>
    <x v="2"/>
    <x v="2"/>
    <x v="1"/>
    <x v="1155"/>
    <x v="43"/>
    <n v="203"/>
    <n v="279.88357894736845"/>
  </r>
  <r>
    <x v="13"/>
    <x v="1"/>
    <x v="2"/>
    <x v="3"/>
    <x v="0"/>
    <x v="1183"/>
    <x v="1105"/>
    <n v="13302"/>
    <n v="61762.647692603758"/>
  </r>
  <r>
    <x v="13"/>
    <x v="1"/>
    <x v="2"/>
    <x v="3"/>
    <x v="1"/>
    <x v="1184"/>
    <x v="1106"/>
    <n v="979"/>
    <n v="5914.1147134302819"/>
  </r>
  <r>
    <x v="13"/>
    <x v="1"/>
    <x v="2"/>
    <x v="4"/>
    <x v="0"/>
    <x v="1185"/>
    <x v="1107"/>
    <n v="4647"/>
    <n v="18392.372301339696"/>
  </r>
  <r>
    <x v="13"/>
    <x v="1"/>
    <x v="2"/>
    <x v="4"/>
    <x v="1"/>
    <x v="478"/>
    <x v="1108"/>
    <n v="673"/>
    <n v="1464.4447914183552"/>
  </r>
  <r>
    <x v="13"/>
    <x v="2"/>
    <x v="0"/>
    <x v="0"/>
    <x v="0"/>
    <x v="1186"/>
    <x v="1109"/>
    <n v="15280"/>
    <n v="22737.212594661007"/>
  </r>
  <r>
    <x v="13"/>
    <x v="2"/>
    <x v="0"/>
    <x v="0"/>
    <x v="1"/>
    <x v="1187"/>
    <x v="1110"/>
    <n v="17820"/>
    <n v="98525.991745485822"/>
  </r>
  <r>
    <x v="13"/>
    <x v="2"/>
    <x v="0"/>
    <x v="1"/>
    <x v="0"/>
    <x v="1188"/>
    <x v="1111"/>
    <n v="16139"/>
    <n v="34294.129074661592"/>
  </r>
  <r>
    <x v="13"/>
    <x v="2"/>
    <x v="0"/>
    <x v="1"/>
    <x v="1"/>
    <x v="1189"/>
    <x v="1112"/>
    <n v="19118"/>
    <n v="116493.4363024312"/>
  </r>
  <r>
    <x v="13"/>
    <x v="2"/>
    <x v="0"/>
    <x v="2"/>
    <x v="0"/>
    <x v="1190"/>
    <x v="1113"/>
    <n v="4589"/>
    <n v="8449.4045893719795"/>
  </r>
  <r>
    <x v="13"/>
    <x v="2"/>
    <x v="0"/>
    <x v="2"/>
    <x v="1"/>
    <x v="1191"/>
    <x v="1114"/>
    <n v="3842"/>
    <n v="28191.99960973471"/>
  </r>
  <r>
    <x v="13"/>
    <x v="2"/>
    <x v="0"/>
    <x v="3"/>
    <x v="0"/>
    <x v="1192"/>
    <x v="1115"/>
    <n v="71463"/>
    <n v="175498.8895134186"/>
  </r>
  <r>
    <x v="13"/>
    <x v="2"/>
    <x v="0"/>
    <x v="3"/>
    <x v="1"/>
    <x v="1193"/>
    <x v="1116"/>
    <n v="98169"/>
    <n v="552084.93310263031"/>
  </r>
  <r>
    <x v="13"/>
    <x v="2"/>
    <x v="0"/>
    <x v="4"/>
    <x v="0"/>
    <x v="1194"/>
    <x v="1117"/>
    <n v="29248"/>
    <n v="72362.525533864435"/>
  </r>
  <r>
    <x v="13"/>
    <x v="2"/>
    <x v="0"/>
    <x v="4"/>
    <x v="1"/>
    <x v="1195"/>
    <x v="1118"/>
    <n v="43568"/>
    <n v="238578.36799999999"/>
  </r>
  <r>
    <x v="13"/>
    <x v="2"/>
    <x v="1"/>
    <x v="0"/>
    <x v="0"/>
    <x v="1196"/>
    <x v="1119"/>
    <n v="137100"/>
    <n v="73062.678694158094"/>
  </r>
  <r>
    <x v="13"/>
    <x v="2"/>
    <x v="1"/>
    <x v="0"/>
    <x v="1"/>
    <x v="1197"/>
    <x v="1120"/>
    <n v="16270"/>
    <n v="12861.882739982329"/>
  </r>
  <r>
    <x v="13"/>
    <x v="2"/>
    <x v="1"/>
    <x v="1"/>
    <x v="0"/>
    <x v="1198"/>
    <x v="1121"/>
    <n v="168212"/>
    <n v="80664.500417793533"/>
  </r>
  <r>
    <x v="13"/>
    <x v="2"/>
    <x v="1"/>
    <x v="1"/>
    <x v="1"/>
    <x v="1199"/>
    <x v="1122"/>
    <n v="10018"/>
    <n v="12629.290862944163"/>
  </r>
  <r>
    <x v="13"/>
    <x v="2"/>
    <x v="1"/>
    <x v="2"/>
    <x v="0"/>
    <x v="1200"/>
    <x v="344"/>
    <n v="67301"/>
    <n v="21445.225096554957"/>
  </r>
  <r>
    <x v="13"/>
    <x v="2"/>
    <x v="1"/>
    <x v="2"/>
    <x v="1"/>
    <x v="1201"/>
    <x v="1123"/>
    <n v="4064"/>
    <n v="2218.8626868109432"/>
  </r>
  <r>
    <x v="13"/>
    <x v="2"/>
    <x v="1"/>
    <x v="3"/>
    <x v="0"/>
    <x v="1202"/>
    <x v="1124"/>
    <n v="490158"/>
    <n v="310453.11735173652"/>
  </r>
  <r>
    <x v="13"/>
    <x v="2"/>
    <x v="1"/>
    <x v="3"/>
    <x v="1"/>
    <x v="1203"/>
    <x v="1125"/>
    <n v="50694"/>
    <n v="37570.894830585312"/>
  </r>
  <r>
    <x v="13"/>
    <x v="2"/>
    <x v="1"/>
    <x v="4"/>
    <x v="0"/>
    <x v="1204"/>
    <x v="1126"/>
    <n v="165026"/>
    <n v="117709.72978003279"/>
  </r>
  <r>
    <x v="13"/>
    <x v="2"/>
    <x v="1"/>
    <x v="4"/>
    <x v="1"/>
    <x v="1205"/>
    <x v="1127"/>
    <n v="26229"/>
    <n v="21070.007299362234"/>
  </r>
  <r>
    <x v="13"/>
    <x v="2"/>
    <x v="2"/>
    <x v="0"/>
    <x v="0"/>
    <x v="1206"/>
    <x v="1128"/>
    <n v="8814"/>
    <n v="93417.958327526139"/>
  </r>
  <r>
    <x v="13"/>
    <x v="2"/>
    <x v="2"/>
    <x v="0"/>
    <x v="1"/>
    <x v="1207"/>
    <x v="1129"/>
    <n v="40371"/>
    <n v="23031.717630180879"/>
  </r>
  <r>
    <x v="13"/>
    <x v="2"/>
    <x v="2"/>
    <x v="1"/>
    <x v="0"/>
    <x v="1208"/>
    <x v="1130"/>
    <n v="18293"/>
    <n v="170093.05900023328"/>
  </r>
  <r>
    <x v="13"/>
    <x v="2"/>
    <x v="2"/>
    <x v="1"/>
    <x v="1"/>
    <x v="1209"/>
    <x v="1131"/>
    <n v="123458"/>
    <n v="38683.427151739328"/>
  </r>
  <r>
    <x v="13"/>
    <x v="2"/>
    <x v="2"/>
    <x v="2"/>
    <x v="0"/>
    <x v="1210"/>
    <x v="1132"/>
    <n v="4948"/>
    <n v="46790.625503448282"/>
  </r>
  <r>
    <x v="13"/>
    <x v="2"/>
    <x v="2"/>
    <x v="2"/>
    <x v="1"/>
    <x v="1211"/>
    <x v="614"/>
    <n v="32909"/>
    <n v="10746.449935148823"/>
  </r>
  <r>
    <x v="13"/>
    <x v="2"/>
    <x v="2"/>
    <x v="3"/>
    <x v="0"/>
    <x v="1212"/>
    <x v="1133"/>
    <n v="45926"/>
    <n v="512214.36195617833"/>
  </r>
  <r>
    <x v="13"/>
    <x v="2"/>
    <x v="2"/>
    <x v="3"/>
    <x v="1"/>
    <x v="1213"/>
    <x v="1134"/>
    <n v="451379"/>
    <n v="104207.17532224934"/>
  </r>
  <r>
    <x v="13"/>
    <x v="2"/>
    <x v="2"/>
    <x v="4"/>
    <x v="0"/>
    <x v="1214"/>
    <x v="1135"/>
    <n v="18676"/>
    <n v="174880.63368671178"/>
  </r>
  <r>
    <x v="13"/>
    <x v="2"/>
    <x v="2"/>
    <x v="4"/>
    <x v="1"/>
    <x v="1215"/>
    <x v="1136"/>
    <n v="102877"/>
    <n v="42343.553596594393"/>
  </r>
  <r>
    <x v="14"/>
    <x v="0"/>
    <x v="0"/>
    <x v="0"/>
    <x v="0"/>
    <x v="1216"/>
    <x v="1137"/>
    <n v="69000"/>
    <n v="51814.042303319547"/>
  </r>
  <r>
    <x v="14"/>
    <x v="0"/>
    <x v="0"/>
    <x v="0"/>
    <x v="1"/>
    <x v="1217"/>
    <x v="1138"/>
    <n v="7589"/>
    <n v="263482.64756291092"/>
  </r>
  <r>
    <x v="14"/>
    <x v="0"/>
    <x v="0"/>
    <x v="1"/>
    <x v="0"/>
    <x v="1218"/>
    <x v="1139"/>
    <n v="120135"/>
    <n v="87308.562989049315"/>
  </r>
  <r>
    <x v="14"/>
    <x v="0"/>
    <x v="0"/>
    <x v="1"/>
    <x v="1"/>
    <x v="1219"/>
    <x v="1140"/>
    <n v="18900"/>
    <n v="406205.86468015308"/>
  </r>
  <r>
    <x v="14"/>
    <x v="0"/>
    <x v="0"/>
    <x v="2"/>
    <x v="0"/>
    <x v="1220"/>
    <x v="1141"/>
    <n v="54040"/>
    <n v="40541.448166286471"/>
  </r>
  <r>
    <x v="14"/>
    <x v="0"/>
    <x v="0"/>
    <x v="2"/>
    <x v="1"/>
    <x v="1221"/>
    <x v="1142"/>
    <n v="6234"/>
    <n v="101708.46438943893"/>
  </r>
  <r>
    <x v="14"/>
    <x v="0"/>
    <x v="0"/>
    <x v="3"/>
    <x v="0"/>
    <x v="1222"/>
    <x v="1143"/>
    <n v="295773"/>
    <n v="224592.31363285796"/>
  </r>
  <r>
    <x v="14"/>
    <x v="0"/>
    <x v="0"/>
    <x v="3"/>
    <x v="1"/>
    <x v="1223"/>
    <x v="1144"/>
    <n v="36489"/>
    <n v="1225619.1750354173"/>
  </r>
  <r>
    <x v="14"/>
    <x v="0"/>
    <x v="0"/>
    <x v="4"/>
    <x v="0"/>
    <x v="1224"/>
    <x v="1145"/>
    <n v="99144"/>
    <n v="97038.762253506429"/>
  </r>
  <r>
    <x v="14"/>
    <x v="0"/>
    <x v="0"/>
    <x v="4"/>
    <x v="1"/>
    <x v="1225"/>
    <x v="1146"/>
    <n v="13795"/>
    <n v="464912.11499999993"/>
  </r>
  <r>
    <x v="14"/>
    <x v="0"/>
    <x v="1"/>
    <x v="0"/>
    <x v="0"/>
    <x v="1226"/>
    <x v="1147"/>
    <n v="632231"/>
    <n v="154980.15524560545"/>
  </r>
  <r>
    <x v="14"/>
    <x v="0"/>
    <x v="1"/>
    <x v="0"/>
    <x v="1"/>
    <x v="1227"/>
    <x v="1148"/>
    <n v="21317"/>
    <n v="15647.276931932534"/>
  </r>
  <r>
    <x v="14"/>
    <x v="0"/>
    <x v="1"/>
    <x v="1"/>
    <x v="0"/>
    <x v="1228"/>
    <x v="1149"/>
    <n v="1276193"/>
    <n v="205795.63151925799"/>
  </r>
  <r>
    <x v="14"/>
    <x v="0"/>
    <x v="1"/>
    <x v="1"/>
    <x v="1"/>
    <x v="1229"/>
    <x v="1150"/>
    <n v="15826"/>
    <n v="18204.250494920412"/>
  </r>
  <r>
    <x v="14"/>
    <x v="0"/>
    <x v="1"/>
    <x v="2"/>
    <x v="0"/>
    <x v="1230"/>
    <x v="1151"/>
    <n v="750867"/>
    <n v="82894.266715559352"/>
  </r>
  <r>
    <x v="14"/>
    <x v="0"/>
    <x v="1"/>
    <x v="2"/>
    <x v="1"/>
    <x v="1231"/>
    <x v="1152"/>
    <n v="6091"/>
    <n v="7906.2157716136298"/>
  </r>
  <r>
    <x v="14"/>
    <x v="0"/>
    <x v="1"/>
    <x v="3"/>
    <x v="0"/>
    <x v="1232"/>
    <x v="1153"/>
    <n v="2216849"/>
    <n v="534317.20922390639"/>
  </r>
  <r>
    <x v="14"/>
    <x v="0"/>
    <x v="1"/>
    <x v="3"/>
    <x v="1"/>
    <x v="1233"/>
    <x v="1154"/>
    <n v="54659"/>
    <n v="35140.118654939455"/>
  </r>
  <r>
    <x v="14"/>
    <x v="0"/>
    <x v="1"/>
    <x v="4"/>
    <x v="0"/>
    <x v="1234"/>
    <x v="1155"/>
    <n v="709331"/>
    <n v="181460.65298367239"/>
  </r>
  <r>
    <x v="14"/>
    <x v="0"/>
    <x v="1"/>
    <x v="4"/>
    <x v="1"/>
    <x v="1235"/>
    <x v="402"/>
    <n v="19785"/>
    <n v="14191.818170186929"/>
  </r>
  <r>
    <x v="14"/>
    <x v="0"/>
    <x v="2"/>
    <x v="0"/>
    <x v="0"/>
    <x v="1236"/>
    <x v="1156"/>
    <n v="21881"/>
    <n v="110627.86215836124"/>
  </r>
  <r>
    <x v="14"/>
    <x v="0"/>
    <x v="2"/>
    <x v="0"/>
    <x v="1"/>
    <x v="1237"/>
    <x v="1157"/>
    <n v="8462"/>
    <n v="18970.856064012965"/>
  </r>
  <r>
    <x v="14"/>
    <x v="0"/>
    <x v="2"/>
    <x v="1"/>
    <x v="0"/>
    <x v="1238"/>
    <x v="1158"/>
    <n v="51479"/>
    <n v="197116.03580983324"/>
  </r>
  <r>
    <x v="14"/>
    <x v="0"/>
    <x v="2"/>
    <x v="1"/>
    <x v="1"/>
    <x v="1239"/>
    <x v="1159"/>
    <n v="45900"/>
    <n v="31421.94584106631"/>
  </r>
  <r>
    <x v="14"/>
    <x v="0"/>
    <x v="2"/>
    <x v="2"/>
    <x v="0"/>
    <x v="1240"/>
    <x v="1160"/>
    <n v="26048"/>
    <n v="72881.160946487085"/>
  </r>
  <r>
    <x v="14"/>
    <x v="0"/>
    <x v="2"/>
    <x v="2"/>
    <x v="1"/>
    <x v="1241"/>
    <x v="1161"/>
    <n v="24796"/>
    <n v="13752.80677407061"/>
  </r>
  <r>
    <x v="14"/>
    <x v="0"/>
    <x v="2"/>
    <x v="3"/>
    <x v="0"/>
    <x v="1242"/>
    <x v="1162"/>
    <n v="79015"/>
    <n v="454596.34585506358"/>
  </r>
  <r>
    <x v="14"/>
    <x v="0"/>
    <x v="2"/>
    <x v="3"/>
    <x v="1"/>
    <x v="1243"/>
    <x v="1163"/>
    <n v="39881"/>
    <n v="61771.704483964255"/>
  </r>
  <r>
    <x v="14"/>
    <x v="0"/>
    <x v="2"/>
    <x v="4"/>
    <x v="0"/>
    <x v="1244"/>
    <x v="1164"/>
    <n v="28717"/>
    <n v="168600.23612355167"/>
  </r>
  <r>
    <x v="14"/>
    <x v="0"/>
    <x v="2"/>
    <x v="4"/>
    <x v="1"/>
    <x v="1245"/>
    <x v="1165"/>
    <n v="7666"/>
    <n v="20922.646685317817"/>
  </r>
  <r>
    <x v="14"/>
    <x v="1"/>
    <x v="0"/>
    <x v="0"/>
    <x v="0"/>
    <x v="1246"/>
    <x v="1166"/>
    <n v="6622"/>
    <n v="1558.3927553734061"/>
  </r>
  <r>
    <x v="14"/>
    <x v="1"/>
    <x v="0"/>
    <x v="0"/>
    <x v="1"/>
    <x v="1247"/>
    <x v="51"/>
    <n v="78"/>
    <n v="17343.977575757574"/>
  </r>
  <r>
    <x v="14"/>
    <x v="1"/>
    <x v="0"/>
    <x v="1"/>
    <x v="0"/>
    <x v="1248"/>
    <x v="1167"/>
    <n v="11288"/>
    <n v="1418.2698443307627"/>
  </r>
  <r>
    <x v="14"/>
    <x v="1"/>
    <x v="0"/>
    <x v="1"/>
    <x v="1"/>
    <x v="1249"/>
    <x v="1168"/>
    <n v="235"/>
    <n v="26323.339431034485"/>
  </r>
  <r>
    <x v="14"/>
    <x v="1"/>
    <x v="0"/>
    <x v="2"/>
    <x v="0"/>
    <x v="1250"/>
    <x v="1169"/>
    <n v="2848"/>
    <n v="454.30290722272593"/>
  </r>
  <r>
    <x v="14"/>
    <x v="1"/>
    <x v="0"/>
    <x v="2"/>
    <x v="1"/>
    <x v="1251"/>
    <x v="391"/>
    <n v="49"/>
    <n v="5963.5553521126758"/>
  </r>
  <r>
    <x v="14"/>
    <x v="1"/>
    <x v="0"/>
    <x v="3"/>
    <x v="0"/>
    <x v="1252"/>
    <x v="1170"/>
    <n v="39747"/>
    <n v="6703.1379355252884"/>
  </r>
  <r>
    <x v="14"/>
    <x v="1"/>
    <x v="0"/>
    <x v="3"/>
    <x v="1"/>
    <x v="1253"/>
    <x v="1171"/>
    <n v="696"/>
    <n v="113913.25643031784"/>
  </r>
  <r>
    <x v="14"/>
    <x v="1"/>
    <x v="0"/>
    <x v="4"/>
    <x v="0"/>
    <x v="1254"/>
    <x v="1172"/>
    <n v="13364"/>
    <n v="2033.7757538600454"/>
  </r>
  <r>
    <x v="14"/>
    <x v="1"/>
    <x v="0"/>
    <x v="4"/>
    <x v="1"/>
    <x v="1255"/>
    <x v="1173"/>
    <n v="259"/>
    <n v="39386.915354838704"/>
  </r>
  <r>
    <x v="14"/>
    <x v="1"/>
    <x v="1"/>
    <x v="0"/>
    <x v="0"/>
    <x v="1256"/>
    <x v="1174"/>
    <n v="31823"/>
    <n v="9789.3067744643977"/>
  </r>
  <r>
    <x v="14"/>
    <x v="1"/>
    <x v="1"/>
    <x v="0"/>
    <x v="1"/>
    <x v="1257"/>
    <x v="216"/>
    <n v="37"/>
    <n v="193.0882"/>
  </r>
  <r>
    <x v="14"/>
    <x v="1"/>
    <x v="1"/>
    <x v="1"/>
    <x v="0"/>
    <x v="1258"/>
    <x v="1175"/>
    <n v="60920"/>
    <n v="12433.412531484364"/>
  </r>
  <r>
    <x v="14"/>
    <x v="1"/>
    <x v="1"/>
    <x v="1"/>
    <x v="1"/>
    <x v="1259"/>
    <x v="309"/>
    <n v="195"/>
    <n v="327.81757809917355"/>
  </r>
  <r>
    <x v="14"/>
    <x v="1"/>
    <x v="1"/>
    <x v="2"/>
    <x v="0"/>
    <x v="1260"/>
    <x v="1176"/>
    <n v="21174"/>
    <n v="3451.8989124506493"/>
  </r>
  <r>
    <x v="14"/>
    <x v="1"/>
    <x v="1"/>
    <x v="2"/>
    <x v="1"/>
    <x v="1261"/>
    <x v="379"/>
    <n v="19"/>
    <n v="137.90380952380951"/>
  </r>
  <r>
    <x v="14"/>
    <x v="1"/>
    <x v="1"/>
    <x v="3"/>
    <x v="0"/>
    <x v="1262"/>
    <x v="1177"/>
    <n v="150236"/>
    <n v="49573.035095684303"/>
  </r>
  <r>
    <x v="14"/>
    <x v="1"/>
    <x v="1"/>
    <x v="3"/>
    <x v="1"/>
    <x v="1263"/>
    <x v="1178"/>
    <n v="1079"/>
    <n v="1445.8350616332818"/>
  </r>
  <r>
    <x v="14"/>
    <x v="1"/>
    <x v="1"/>
    <x v="4"/>
    <x v="0"/>
    <x v="1264"/>
    <x v="1179"/>
    <n v="47838"/>
    <n v="16305.994684661957"/>
  </r>
  <r>
    <x v="14"/>
    <x v="1"/>
    <x v="1"/>
    <x v="4"/>
    <x v="1"/>
    <x v="1265"/>
    <x v="550"/>
    <n v="144"/>
    <n v="89.960869565217394"/>
  </r>
  <r>
    <x v="14"/>
    <x v="1"/>
    <x v="2"/>
    <x v="0"/>
    <x v="0"/>
    <x v="1266"/>
    <x v="1180"/>
    <n v="2801"/>
    <n v="9808.4495236631828"/>
  </r>
  <r>
    <x v="14"/>
    <x v="1"/>
    <x v="2"/>
    <x v="0"/>
    <x v="1"/>
    <x v="1267"/>
    <x v="484"/>
    <n v="271"/>
    <n v="1276.5148511904763"/>
  </r>
  <r>
    <x v="14"/>
    <x v="1"/>
    <x v="2"/>
    <x v="1"/>
    <x v="0"/>
    <x v="1268"/>
    <x v="1181"/>
    <n v="6760"/>
    <n v="20776.201401809609"/>
  </r>
  <r>
    <x v="14"/>
    <x v="1"/>
    <x v="2"/>
    <x v="1"/>
    <x v="1"/>
    <x v="1269"/>
    <x v="1182"/>
    <n v="522"/>
    <n v="2466.0639549839225"/>
  </r>
  <r>
    <x v="14"/>
    <x v="1"/>
    <x v="2"/>
    <x v="2"/>
    <x v="0"/>
    <x v="1270"/>
    <x v="1183"/>
    <n v="1844"/>
    <n v="6685.7815111940299"/>
  </r>
  <r>
    <x v="14"/>
    <x v="1"/>
    <x v="2"/>
    <x v="2"/>
    <x v="1"/>
    <x v="1241"/>
    <x v="131"/>
    <n v="213"/>
    <n v="293.67094736842108"/>
  </r>
  <r>
    <x v="14"/>
    <x v="1"/>
    <x v="2"/>
    <x v="3"/>
    <x v="0"/>
    <x v="1271"/>
    <x v="1184"/>
    <n v="13435"/>
    <n v="62380.181307332088"/>
  </r>
  <r>
    <x v="14"/>
    <x v="1"/>
    <x v="2"/>
    <x v="3"/>
    <x v="1"/>
    <x v="1272"/>
    <x v="1185"/>
    <n v="989"/>
    <n v="5974.5244653550035"/>
  </r>
  <r>
    <x v="14"/>
    <x v="1"/>
    <x v="2"/>
    <x v="4"/>
    <x v="0"/>
    <x v="1273"/>
    <x v="1186"/>
    <n v="4694"/>
    <n v="18578.39371260782"/>
  </r>
  <r>
    <x v="14"/>
    <x v="1"/>
    <x v="2"/>
    <x v="4"/>
    <x v="1"/>
    <x v="1245"/>
    <x v="39"/>
    <n v="685"/>
    <n v="1490.5567342073898"/>
  </r>
  <r>
    <x v="14"/>
    <x v="2"/>
    <x v="0"/>
    <x v="0"/>
    <x v="0"/>
    <x v="1274"/>
    <x v="1187"/>
    <n v="15433"/>
    <n v="22964.882328102311"/>
  </r>
  <r>
    <x v="14"/>
    <x v="2"/>
    <x v="0"/>
    <x v="0"/>
    <x v="1"/>
    <x v="1275"/>
    <x v="1188"/>
    <n v="18005"/>
    <n v="99548.848562147716"/>
  </r>
  <r>
    <x v="14"/>
    <x v="2"/>
    <x v="0"/>
    <x v="1"/>
    <x v="0"/>
    <x v="1276"/>
    <x v="1189"/>
    <n v="16301"/>
    <n v="34638.366568316414"/>
  </r>
  <r>
    <x v="14"/>
    <x v="2"/>
    <x v="0"/>
    <x v="1"/>
    <x v="1"/>
    <x v="1277"/>
    <x v="1190"/>
    <n v="19310"/>
    <n v="117663.36724552498"/>
  </r>
  <r>
    <x v="14"/>
    <x v="2"/>
    <x v="0"/>
    <x v="2"/>
    <x v="0"/>
    <x v="1278"/>
    <x v="1191"/>
    <n v="4636"/>
    <n v="8535.9424005945748"/>
  </r>
  <r>
    <x v="14"/>
    <x v="2"/>
    <x v="0"/>
    <x v="2"/>
    <x v="1"/>
    <x v="1279"/>
    <x v="1192"/>
    <n v="3886"/>
    <n v="28514.864779653588"/>
  </r>
  <r>
    <x v="14"/>
    <x v="2"/>
    <x v="0"/>
    <x v="3"/>
    <x v="0"/>
    <x v="1280"/>
    <x v="1193"/>
    <n v="72178"/>
    <n v="177254.78705483297"/>
  </r>
  <r>
    <x v="14"/>
    <x v="2"/>
    <x v="0"/>
    <x v="3"/>
    <x v="1"/>
    <x v="1281"/>
    <x v="1194"/>
    <n v="99163"/>
    <n v="557675.01167635527"/>
  </r>
  <r>
    <x v="14"/>
    <x v="2"/>
    <x v="0"/>
    <x v="4"/>
    <x v="0"/>
    <x v="1282"/>
    <x v="1195"/>
    <n v="29541"/>
    <n v="73087.437322069512"/>
  </r>
  <r>
    <x v="14"/>
    <x v="2"/>
    <x v="0"/>
    <x v="4"/>
    <x v="1"/>
    <x v="1283"/>
    <x v="1196"/>
    <n v="44016"/>
    <n v="241031.61600000001"/>
  </r>
  <r>
    <x v="14"/>
    <x v="2"/>
    <x v="1"/>
    <x v="0"/>
    <x v="0"/>
    <x v="1284"/>
    <x v="1197"/>
    <n v="138475"/>
    <n v="73795.437142038951"/>
  </r>
  <r>
    <x v="14"/>
    <x v="2"/>
    <x v="1"/>
    <x v="0"/>
    <x v="1"/>
    <x v="1285"/>
    <x v="1198"/>
    <n v="16447"/>
    <n v="13001.806110908998"/>
  </r>
  <r>
    <x v="14"/>
    <x v="2"/>
    <x v="1"/>
    <x v="1"/>
    <x v="0"/>
    <x v="1286"/>
    <x v="1199"/>
    <n v="169897"/>
    <n v="81472.526499190702"/>
  </r>
  <r>
    <x v="14"/>
    <x v="2"/>
    <x v="1"/>
    <x v="1"/>
    <x v="1"/>
    <x v="1287"/>
    <x v="1200"/>
    <n v="10138"/>
    <n v="12780.57005076142"/>
  </r>
  <r>
    <x v="14"/>
    <x v="2"/>
    <x v="1"/>
    <x v="2"/>
    <x v="0"/>
    <x v="1288"/>
    <x v="469"/>
    <n v="67974"/>
    <n v="21659.674161055951"/>
  </r>
  <r>
    <x v="14"/>
    <x v="2"/>
    <x v="1"/>
    <x v="2"/>
    <x v="1"/>
    <x v="1289"/>
    <x v="1201"/>
    <n v="4116"/>
    <n v="2247.2536463862803"/>
  </r>
  <r>
    <x v="14"/>
    <x v="2"/>
    <x v="1"/>
    <x v="3"/>
    <x v="0"/>
    <x v="1290"/>
    <x v="1202"/>
    <n v="495062"/>
    <n v="313559.18128926877"/>
  </r>
  <r>
    <x v="14"/>
    <x v="2"/>
    <x v="1"/>
    <x v="3"/>
    <x v="1"/>
    <x v="1291"/>
    <x v="1203"/>
    <n v="51219"/>
    <n v="37959.988604721446"/>
  </r>
  <r>
    <x v="14"/>
    <x v="2"/>
    <x v="1"/>
    <x v="4"/>
    <x v="0"/>
    <x v="1292"/>
    <x v="1204"/>
    <n v="166677"/>
    <n v="118887.35490496361"/>
  </r>
  <r>
    <x v="14"/>
    <x v="2"/>
    <x v="1"/>
    <x v="4"/>
    <x v="1"/>
    <x v="1293"/>
    <x v="533"/>
    <n v="26492"/>
    <n v="21281.277722166466"/>
  </r>
  <r>
    <x v="14"/>
    <x v="2"/>
    <x v="2"/>
    <x v="0"/>
    <x v="0"/>
    <x v="1294"/>
    <x v="1205"/>
    <n v="8904"/>
    <n v="94371.851707317066"/>
  </r>
  <r>
    <x v="14"/>
    <x v="2"/>
    <x v="2"/>
    <x v="0"/>
    <x v="1"/>
    <x v="1295"/>
    <x v="1206"/>
    <n v="40783"/>
    <n v="23266.764264240835"/>
  </r>
  <r>
    <x v="14"/>
    <x v="2"/>
    <x v="2"/>
    <x v="1"/>
    <x v="0"/>
    <x v="1296"/>
    <x v="1207"/>
    <n v="18477"/>
    <n v="171803.93872778167"/>
  </r>
  <r>
    <x v="14"/>
    <x v="2"/>
    <x v="2"/>
    <x v="1"/>
    <x v="1"/>
    <x v="1297"/>
    <x v="1208"/>
    <n v="124728"/>
    <n v="39081.359667110613"/>
  </r>
  <r>
    <x v="14"/>
    <x v="2"/>
    <x v="2"/>
    <x v="2"/>
    <x v="0"/>
    <x v="1298"/>
    <x v="1209"/>
    <n v="4997"/>
    <n v="47253.99265172414"/>
  </r>
  <r>
    <x v="14"/>
    <x v="2"/>
    <x v="2"/>
    <x v="2"/>
    <x v="1"/>
    <x v="1299"/>
    <x v="1210"/>
    <n v="33271"/>
    <n v="10864.661210985945"/>
  </r>
  <r>
    <x v="14"/>
    <x v="2"/>
    <x v="2"/>
    <x v="3"/>
    <x v="0"/>
    <x v="1300"/>
    <x v="1211"/>
    <n v="46386"/>
    <n v="517344.75882287347"/>
  </r>
  <r>
    <x v="14"/>
    <x v="2"/>
    <x v="2"/>
    <x v="3"/>
    <x v="1"/>
    <x v="1301"/>
    <x v="1212"/>
    <n v="455951"/>
    <n v="105262.68567070003"/>
  </r>
  <r>
    <x v="14"/>
    <x v="2"/>
    <x v="2"/>
    <x v="4"/>
    <x v="0"/>
    <x v="1302"/>
    <x v="1213"/>
    <n v="18863"/>
    <n v="176631.68736519833"/>
  </r>
  <r>
    <x v="14"/>
    <x v="2"/>
    <x v="2"/>
    <x v="4"/>
    <x v="1"/>
    <x v="1303"/>
    <x v="1214"/>
    <n v="103943"/>
    <n v="42782.312776333005"/>
  </r>
  <r>
    <x v="15"/>
    <x v="0"/>
    <x v="0"/>
    <x v="0"/>
    <x v="0"/>
    <x v="1304"/>
    <x v="1215"/>
    <n v="70381"/>
    <n v="52851.074077535268"/>
  </r>
  <r>
    <x v="15"/>
    <x v="0"/>
    <x v="0"/>
    <x v="0"/>
    <x v="1"/>
    <x v="1305"/>
    <x v="1216"/>
    <n v="7742"/>
    <n v="268794.65771933802"/>
  </r>
  <r>
    <x v="15"/>
    <x v="0"/>
    <x v="0"/>
    <x v="1"/>
    <x v="0"/>
    <x v="1306"/>
    <x v="1217"/>
    <n v="122538"/>
    <n v="89054.95227495837"/>
  </r>
  <r>
    <x v="15"/>
    <x v="0"/>
    <x v="0"/>
    <x v="1"/>
    <x v="1"/>
    <x v="1307"/>
    <x v="1218"/>
    <n v="19281"/>
    <n v="414394.45909513393"/>
  </r>
  <r>
    <x v="15"/>
    <x v="0"/>
    <x v="0"/>
    <x v="2"/>
    <x v="0"/>
    <x v="1308"/>
    <x v="1219"/>
    <n v="55121"/>
    <n v="41352.427171981428"/>
  </r>
  <r>
    <x v="15"/>
    <x v="0"/>
    <x v="0"/>
    <x v="2"/>
    <x v="1"/>
    <x v="1309"/>
    <x v="450"/>
    <n v="6367"/>
    <n v="103878.37548404839"/>
  </r>
  <r>
    <x v="15"/>
    <x v="0"/>
    <x v="0"/>
    <x v="3"/>
    <x v="0"/>
    <x v="1310"/>
    <x v="1220"/>
    <n v="301689"/>
    <n v="229084.56994919511"/>
  </r>
  <r>
    <x v="15"/>
    <x v="0"/>
    <x v="0"/>
    <x v="3"/>
    <x v="1"/>
    <x v="1311"/>
    <x v="1221"/>
    <n v="37220"/>
    <n v="1250172.5367869285"/>
  </r>
  <r>
    <x v="15"/>
    <x v="0"/>
    <x v="0"/>
    <x v="4"/>
    <x v="0"/>
    <x v="1312"/>
    <x v="1222"/>
    <n v="101127"/>
    <n v="98979.654950479555"/>
  </r>
  <r>
    <x v="15"/>
    <x v="0"/>
    <x v="0"/>
    <x v="4"/>
    <x v="1"/>
    <x v="1313"/>
    <x v="1223"/>
    <n v="14071"/>
    <n v="474213.72744943813"/>
  </r>
  <r>
    <x v="15"/>
    <x v="0"/>
    <x v="1"/>
    <x v="0"/>
    <x v="0"/>
    <x v="1314"/>
    <x v="1224"/>
    <n v="644877"/>
    <n v="158080.09663290839"/>
  </r>
  <r>
    <x v="15"/>
    <x v="0"/>
    <x v="1"/>
    <x v="0"/>
    <x v="1"/>
    <x v="1315"/>
    <x v="1225"/>
    <n v="21761"/>
    <n v="15973.185406754415"/>
  </r>
  <r>
    <x v="15"/>
    <x v="0"/>
    <x v="1"/>
    <x v="1"/>
    <x v="0"/>
    <x v="1316"/>
    <x v="1226"/>
    <n v="1301718"/>
    <n v="209911.72798313852"/>
  </r>
  <r>
    <x v="15"/>
    <x v="0"/>
    <x v="1"/>
    <x v="1"/>
    <x v="1"/>
    <x v="1317"/>
    <x v="1227"/>
    <n v="16152"/>
    <n v="18579.240110827403"/>
  </r>
  <r>
    <x v="15"/>
    <x v="0"/>
    <x v="1"/>
    <x v="2"/>
    <x v="0"/>
    <x v="1318"/>
    <x v="1228"/>
    <n v="765885"/>
    <n v="84552.224912595935"/>
  </r>
  <r>
    <x v="15"/>
    <x v="0"/>
    <x v="1"/>
    <x v="2"/>
    <x v="1"/>
    <x v="1319"/>
    <x v="1229"/>
    <n v="6219"/>
    <n v="8072.3618262461277"/>
  </r>
  <r>
    <x v="15"/>
    <x v="0"/>
    <x v="1"/>
    <x v="3"/>
    <x v="0"/>
    <x v="1320"/>
    <x v="1230"/>
    <n v="2261187"/>
    <n v="545003.79925442697"/>
  </r>
  <r>
    <x v="15"/>
    <x v="0"/>
    <x v="1"/>
    <x v="3"/>
    <x v="1"/>
    <x v="1321"/>
    <x v="1231"/>
    <n v="55767"/>
    <n v="35852.448764704961"/>
  </r>
  <r>
    <x v="15"/>
    <x v="0"/>
    <x v="1"/>
    <x v="4"/>
    <x v="0"/>
    <x v="1322"/>
    <x v="1232"/>
    <n v="723520"/>
    <n v="185090.47489359218"/>
  </r>
  <r>
    <x v="15"/>
    <x v="0"/>
    <x v="1"/>
    <x v="4"/>
    <x v="1"/>
    <x v="1323"/>
    <x v="1233"/>
    <n v="20183"/>
    <n v="14477.304327969814"/>
  </r>
  <r>
    <x v="15"/>
    <x v="0"/>
    <x v="2"/>
    <x v="0"/>
    <x v="0"/>
    <x v="1324"/>
    <x v="1234"/>
    <n v="22319"/>
    <n v="112842.34063856609"/>
  </r>
  <r>
    <x v="15"/>
    <x v="0"/>
    <x v="2"/>
    <x v="0"/>
    <x v="1"/>
    <x v="1325"/>
    <x v="1235"/>
    <n v="8640"/>
    <n v="19369.912123974475"/>
  </r>
  <r>
    <x v="15"/>
    <x v="0"/>
    <x v="2"/>
    <x v="1"/>
    <x v="0"/>
    <x v="1326"/>
    <x v="1236"/>
    <n v="52509"/>
    <n v="201059.96473005562"/>
  </r>
  <r>
    <x v="15"/>
    <x v="0"/>
    <x v="2"/>
    <x v="1"/>
    <x v="1"/>
    <x v="1327"/>
    <x v="1237"/>
    <n v="46840"/>
    <n v="32065.445385523875"/>
  </r>
  <r>
    <x v="15"/>
    <x v="0"/>
    <x v="2"/>
    <x v="2"/>
    <x v="0"/>
    <x v="1328"/>
    <x v="1238"/>
    <n v="26569"/>
    <n v="74338.896083661515"/>
  </r>
  <r>
    <x v="15"/>
    <x v="0"/>
    <x v="2"/>
    <x v="2"/>
    <x v="1"/>
    <x v="1329"/>
    <x v="1239"/>
    <n v="25296"/>
    <n v="14030.125833073487"/>
  </r>
  <r>
    <x v="15"/>
    <x v="0"/>
    <x v="2"/>
    <x v="3"/>
    <x v="0"/>
    <x v="1330"/>
    <x v="1240"/>
    <n v="80596"/>
    <n v="463692.3000763742"/>
  </r>
  <r>
    <x v="15"/>
    <x v="0"/>
    <x v="2"/>
    <x v="3"/>
    <x v="1"/>
    <x v="1331"/>
    <x v="1061"/>
    <n v="40690"/>
    <n v="63024.765062373197"/>
  </r>
  <r>
    <x v="15"/>
    <x v="0"/>
    <x v="2"/>
    <x v="4"/>
    <x v="0"/>
    <x v="1332"/>
    <x v="1241"/>
    <n v="29292"/>
    <n v="171976.11576874589"/>
  </r>
  <r>
    <x v="15"/>
    <x v="0"/>
    <x v="2"/>
    <x v="4"/>
    <x v="1"/>
    <x v="1239"/>
    <x v="929"/>
    <n v="7827"/>
    <n v="21362.060475604299"/>
  </r>
  <r>
    <x v="15"/>
    <x v="1"/>
    <x v="0"/>
    <x v="0"/>
    <x v="0"/>
    <x v="1333"/>
    <x v="1242"/>
    <n v="6755"/>
    <n v="1589.6923984517305"/>
  </r>
  <r>
    <x v="15"/>
    <x v="1"/>
    <x v="0"/>
    <x v="0"/>
    <x v="1"/>
    <x v="1334"/>
    <x v="138"/>
    <n v="81"/>
    <n v="18011.053636363635"/>
  </r>
  <r>
    <x v="15"/>
    <x v="1"/>
    <x v="0"/>
    <x v="1"/>
    <x v="0"/>
    <x v="1335"/>
    <x v="485"/>
    <n v="11514"/>
    <n v="1446.6653957852941"/>
  </r>
  <r>
    <x v="15"/>
    <x v="1"/>
    <x v="0"/>
    <x v="1"/>
    <x v="1"/>
    <x v="1336"/>
    <x v="39"/>
    <n v="243"/>
    <n v="27219.453113793104"/>
  </r>
  <r>
    <x v="15"/>
    <x v="1"/>
    <x v="0"/>
    <x v="2"/>
    <x v="0"/>
    <x v="1337"/>
    <x v="1243"/>
    <n v="2906"/>
    <n v="463.55486249622248"/>
  </r>
  <r>
    <x v="15"/>
    <x v="1"/>
    <x v="0"/>
    <x v="2"/>
    <x v="1"/>
    <x v="1338"/>
    <x v="31"/>
    <n v="52"/>
    <n v="6328.6709859154926"/>
  </r>
  <r>
    <x v="15"/>
    <x v="1"/>
    <x v="0"/>
    <x v="3"/>
    <x v="0"/>
    <x v="1339"/>
    <x v="1244"/>
    <n v="40542"/>
    <n v="6837.2108129435237"/>
  </r>
  <r>
    <x v="15"/>
    <x v="1"/>
    <x v="0"/>
    <x v="3"/>
    <x v="1"/>
    <x v="1340"/>
    <x v="1245"/>
    <n v="712"/>
    <n v="116531.95198044009"/>
  </r>
  <r>
    <x v="15"/>
    <x v="1"/>
    <x v="0"/>
    <x v="4"/>
    <x v="0"/>
    <x v="1341"/>
    <x v="1246"/>
    <n v="13632"/>
    <n v="2074.5608408126413"/>
  </r>
  <r>
    <x v="15"/>
    <x v="1"/>
    <x v="0"/>
    <x v="4"/>
    <x v="1"/>
    <x v="1342"/>
    <x v="1247"/>
    <n v="265"/>
    <n v="40299.353548387095"/>
  </r>
  <r>
    <x v="15"/>
    <x v="1"/>
    <x v="1"/>
    <x v="0"/>
    <x v="0"/>
    <x v="1343"/>
    <x v="1248"/>
    <n v="32461"/>
    <n v="9985.5666406652053"/>
  </r>
  <r>
    <x v="15"/>
    <x v="1"/>
    <x v="1"/>
    <x v="0"/>
    <x v="1"/>
    <x v="1344"/>
    <x v="302"/>
    <n v="39"/>
    <n v="203.52540000000002"/>
  </r>
  <r>
    <x v="15"/>
    <x v="1"/>
    <x v="1"/>
    <x v="1"/>
    <x v="0"/>
    <x v="1345"/>
    <x v="1249"/>
    <n v="62139"/>
    <n v="12682.203238573651"/>
  </r>
  <r>
    <x v="15"/>
    <x v="1"/>
    <x v="1"/>
    <x v="1"/>
    <x v="1"/>
    <x v="1346"/>
    <x v="393"/>
    <n v="201"/>
    <n v="337.90427280991736"/>
  </r>
  <r>
    <x v="15"/>
    <x v="1"/>
    <x v="1"/>
    <x v="2"/>
    <x v="0"/>
    <x v="1347"/>
    <x v="1250"/>
    <n v="21599"/>
    <n v="3521.1846892425415"/>
  </r>
  <r>
    <x v="15"/>
    <x v="1"/>
    <x v="1"/>
    <x v="2"/>
    <x v="1"/>
    <x v="1348"/>
    <x v="55"/>
    <n v="22"/>
    <n v="159.67809523809524"/>
  </r>
  <r>
    <x v="15"/>
    <x v="1"/>
    <x v="1"/>
    <x v="3"/>
    <x v="0"/>
    <x v="1349"/>
    <x v="1251"/>
    <n v="153242"/>
    <n v="50564.918156319749"/>
  </r>
  <r>
    <x v="15"/>
    <x v="1"/>
    <x v="1"/>
    <x v="3"/>
    <x v="1"/>
    <x v="1350"/>
    <x v="1252"/>
    <n v="1101"/>
    <n v="1475.3145531587056"/>
  </r>
  <r>
    <x v="15"/>
    <x v="1"/>
    <x v="1"/>
    <x v="4"/>
    <x v="0"/>
    <x v="1351"/>
    <x v="1253"/>
    <n v="48795"/>
    <n v="16632.196384424104"/>
  </r>
  <r>
    <x v="15"/>
    <x v="1"/>
    <x v="1"/>
    <x v="4"/>
    <x v="1"/>
    <x v="1352"/>
    <x v="632"/>
    <n v="150"/>
    <n v="93.709239130434781"/>
  </r>
  <r>
    <x v="15"/>
    <x v="1"/>
    <x v="2"/>
    <x v="0"/>
    <x v="0"/>
    <x v="1353"/>
    <x v="1254"/>
    <n v="2858"/>
    <n v="10008.05024585126"/>
  </r>
  <r>
    <x v="15"/>
    <x v="1"/>
    <x v="2"/>
    <x v="0"/>
    <x v="1"/>
    <x v="1354"/>
    <x v="563"/>
    <n v="277"/>
    <n v="1304.7771726190476"/>
  </r>
  <r>
    <x v="15"/>
    <x v="1"/>
    <x v="2"/>
    <x v="1"/>
    <x v="0"/>
    <x v="1355"/>
    <x v="1255"/>
    <n v="6896"/>
    <n v="21194.184151905189"/>
  </r>
  <r>
    <x v="15"/>
    <x v="1"/>
    <x v="2"/>
    <x v="1"/>
    <x v="1"/>
    <x v="1356"/>
    <x v="1256"/>
    <n v="534"/>
    <n v="2522.7550803858517"/>
  </r>
  <r>
    <x v="15"/>
    <x v="1"/>
    <x v="2"/>
    <x v="2"/>
    <x v="0"/>
    <x v="1357"/>
    <x v="1257"/>
    <n v="1881"/>
    <n v="6819.9322248134331"/>
  </r>
  <r>
    <x v="15"/>
    <x v="1"/>
    <x v="2"/>
    <x v="2"/>
    <x v="1"/>
    <x v="1329"/>
    <x v="216"/>
    <n v="223"/>
    <n v="307.45831578947372"/>
  </r>
  <r>
    <x v="15"/>
    <x v="1"/>
    <x v="2"/>
    <x v="3"/>
    <x v="0"/>
    <x v="1358"/>
    <x v="1258"/>
    <n v="13705"/>
    <n v="63633.820976329458"/>
  </r>
  <r>
    <x v="15"/>
    <x v="1"/>
    <x v="2"/>
    <x v="3"/>
    <x v="1"/>
    <x v="1359"/>
    <x v="1259"/>
    <n v="1010"/>
    <n v="6101.3849443969193"/>
  </r>
  <r>
    <x v="15"/>
    <x v="1"/>
    <x v="2"/>
    <x v="4"/>
    <x v="0"/>
    <x v="1360"/>
    <x v="1260"/>
    <n v="4789"/>
    <n v="18954.39443751147"/>
  </r>
  <r>
    <x v="15"/>
    <x v="1"/>
    <x v="2"/>
    <x v="4"/>
    <x v="1"/>
    <x v="1239"/>
    <x v="212"/>
    <n v="709"/>
    <n v="1542.7806197854588"/>
  </r>
  <r>
    <x v="15"/>
    <x v="2"/>
    <x v="0"/>
    <x v="0"/>
    <x v="0"/>
    <x v="1361"/>
    <x v="1261"/>
    <n v="15743"/>
    <n v="23426.17394487881"/>
  </r>
  <r>
    <x v="15"/>
    <x v="2"/>
    <x v="0"/>
    <x v="0"/>
    <x v="1"/>
    <x v="1362"/>
    <x v="1262"/>
    <n v="18376"/>
    <n v="101600.09115123723"/>
  </r>
  <r>
    <x v="15"/>
    <x v="2"/>
    <x v="0"/>
    <x v="1"/>
    <x v="0"/>
    <x v="1363"/>
    <x v="1263"/>
    <n v="16628"/>
    <n v="35333.216324027075"/>
  </r>
  <r>
    <x v="15"/>
    <x v="2"/>
    <x v="0"/>
    <x v="1"/>
    <x v="1"/>
    <x v="1364"/>
    <x v="1264"/>
    <n v="19709"/>
    <n v="120094.62998664172"/>
  </r>
  <r>
    <x v="15"/>
    <x v="2"/>
    <x v="0"/>
    <x v="2"/>
    <x v="0"/>
    <x v="1365"/>
    <x v="1265"/>
    <n v="4729"/>
    <n v="8707.1767930137485"/>
  </r>
  <r>
    <x v="15"/>
    <x v="2"/>
    <x v="0"/>
    <x v="2"/>
    <x v="1"/>
    <x v="1366"/>
    <x v="1266"/>
    <n v="3973"/>
    <n v="29153.257274720458"/>
  </r>
  <r>
    <x v="15"/>
    <x v="2"/>
    <x v="0"/>
    <x v="3"/>
    <x v="0"/>
    <x v="1367"/>
    <x v="1267"/>
    <n v="73622"/>
    <n v="180800.9633482628"/>
  </r>
  <r>
    <x v="15"/>
    <x v="2"/>
    <x v="0"/>
    <x v="3"/>
    <x v="1"/>
    <x v="1368"/>
    <x v="1268"/>
    <n v="101151"/>
    <n v="568855.1688238054"/>
  </r>
  <r>
    <x v="15"/>
    <x v="2"/>
    <x v="0"/>
    <x v="4"/>
    <x v="0"/>
    <x v="1369"/>
    <x v="1269"/>
    <n v="30133"/>
    <n v="74552.105508477049"/>
  </r>
  <r>
    <x v="15"/>
    <x v="2"/>
    <x v="0"/>
    <x v="4"/>
    <x v="1"/>
    <x v="1370"/>
    <x v="1270"/>
    <n v="44898"/>
    <n v="245861.448"/>
  </r>
  <r>
    <x v="15"/>
    <x v="2"/>
    <x v="1"/>
    <x v="0"/>
    <x v="0"/>
    <x v="1371"/>
    <x v="1271"/>
    <n v="141246"/>
    <n v="75272.145257731972"/>
  </r>
  <r>
    <x v="15"/>
    <x v="2"/>
    <x v="1"/>
    <x v="0"/>
    <x v="1"/>
    <x v="1372"/>
    <x v="1272"/>
    <n v="16802"/>
    <n v="13282.443380281691"/>
  </r>
  <r>
    <x v="15"/>
    <x v="2"/>
    <x v="1"/>
    <x v="1"/>
    <x v="0"/>
    <x v="1373"/>
    <x v="1273"/>
    <n v="173298"/>
    <n v="83103.444423719964"/>
  </r>
  <r>
    <x v="15"/>
    <x v="2"/>
    <x v="1"/>
    <x v="1"/>
    <x v="1"/>
    <x v="1374"/>
    <x v="1274"/>
    <n v="10354"/>
    <n v="13052.872588832486"/>
  </r>
  <r>
    <x v="15"/>
    <x v="2"/>
    <x v="1"/>
    <x v="2"/>
    <x v="0"/>
    <x v="1375"/>
    <x v="1275"/>
    <n v="69336"/>
    <n v="22093.670633344744"/>
  </r>
  <r>
    <x v="15"/>
    <x v="2"/>
    <x v="1"/>
    <x v="2"/>
    <x v="1"/>
    <x v="1376"/>
    <x v="1276"/>
    <n v="4220"/>
    <n v="2304.035565536954"/>
  </r>
  <r>
    <x v="15"/>
    <x v="2"/>
    <x v="1"/>
    <x v="3"/>
    <x v="0"/>
    <x v="1377"/>
    <x v="1277"/>
    <n v="504963"/>
    <n v="319830.21290539973"/>
  </r>
  <r>
    <x v="15"/>
    <x v="2"/>
    <x v="1"/>
    <x v="3"/>
    <x v="1"/>
    <x v="1378"/>
    <x v="1278"/>
    <n v="52270"/>
    <n v="38738.917283992072"/>
  </r>
  <r>
    <x v="15"/>
    <x v="2"/>
    <x v="1"/>
    <x v="4"/>
    <x v="0"/>
    <x v="1379"/>
    <x v="1279"/>
    <n v="170013"/>
    <n v="121266.85667163183"/>
  </r>
  <r>
    <x v="15"/>
    <x v="2"/>
    <x v="1"/>
    <x v="4"/>
    <x v="1"/>
    <x v="1380"/>
    <x v="914"/>
    <n v="27056"/>
    <n v="21734.344332286575"/>
  </r>
  <r>
    <x v="15"/>
    <x v="2"/>
    <x v="2"/>
    <x v="0"/>
    <x v="0"/>
    <x v="1381"/>
    <x v="1280"/>
    <n v="9082"/>
    <n v="96258.440836236929"/>
  </r>
  <r>
    <x v="15"/>
    <x v="2"/>
    <x v="2"/>
    <x v="0"/>
    <x v="1"/>
    <x v="1382"/>
    <x v="1281"/>
    <n v="41607"/>
    <n v="23736.857532360751"/>
  </r>
  <r>
    <x v="15"/>
    <x v="2"/>
    <x v="2"/>
    <x v="1"/>
    <x v="0"/>
    <x v="1383"/>
    <x v="1282"/>
    <n v="18846"/>
    <n v="175234.99644226732"/>
  </r>
  <r>
    <x v="15"/>
    <x v="2"/>
    <x v="2"/>
    <x v="1"/>
    <x v="1"/>
    <x v="1384"/>
    <x v="1283"/>
    <n v="127269"/>
    <n v="39877.53803054247"/>
  </r>
  <r>
    <x v="15"/>
    <x v="2"/>
    <x v="2"/>
    <x v="2"/>
    <x v="0"/>
    <x v="1385"/>
    <x v="1284"/>
    <n v="5098"/>
    <n v="48209.096365517245"/>
  </r>
  <r>
    <x v="15"/>
    <x v="2"/>
    <x v="2"/>
    <x v="2"/>
    <x v="1"/>
    <x v="1386"/>
    <x v="1285"/>
    <n v="33950"/>
    <n v="11086.388990801985"/>
  </r>
  <r>
    <x v="15"/>
    <x v="2"/>
    <x v="2"/>
    <x v="3"/>
    <x v="0"/>
    <x v="1387"/>
    <x v="1286"/>
    <n v="47314"/>
    <n v="527694.77684959769"/>
  </r>
  <r>
    <x v="15"/>
    <x v="2"/>
    <x v="2"/>
    <x v="3"/>
    <x v="1"/>
    <x v="1388"/>
    <x v="1287"/>
    <n v="465095"/>
    <n v="107373.70636760141"/>
  </r>
  <r>
    <x v="15"/>
    <x v="2"/>
    <x v="2"/>
    <x v="4"/>
    <x v="0"/>
    <x v="1389"/>
    <x v="1288"/>
    <n v="19241"/>
    <n v="180171.25041582892"/>
  </r>
  <r>
    <x v="15"/>
    <x v="2"/>
    <x v="2"/>
    <x v="4"/>
    <x v="1"/>
    <x v="1390"/>
    <x v="1289"/>
    <n v="106032"/>
    <n v="43642.132594788891"/>
  </r>
  <r>
    <x v="16"/>
    <x v="0"/>
    <x v="0"/>
    <x v="0"/>
    <x v="0"/>
    <x v="1391"/>
    <x v="1290"/>
    <n v="71789"/>
    <n v="53908.380911782711"/>
  </r>
  <r>
    <x v="16"/>
    <x v="0"/>
    <x v="0"/>
    <x v="0"/>
    <x v="1"/>
    <x v="1392"/>
    <x v="1291"/>
    <n v="7902"/>
    <n v="274349.70102017681"/>
  </r>
  <r>
    <x v="16"/>
    <x v="0"/>
    <x v="0"/>
    <x v="1"/>
    <x v="0"/>
    <x v="1393"/>
    <x v="1292"/>
    <n v="124990"/>
    <n v="90836.952495120262"/>
  </r>
  <r>
    <x v="16"/>
    <x v="0"/>
    <x v="0"/>
    <x v="1"/>
    <x v="1"/>
    <x v="1394"/>
    <x v="1293"/>
    <n v="19669"/>
    <n v="422733.50012666301"/>
  </r>
  <r>
    <x v="16"/>
    <x v="0"/>
    <x v="0"/>
    <x v="2"/>
    <x v="0"/>
    <x v="1395"/>
    <x v="1294"/>
    <n v="56224"/>
    <n v="42179.910838291828"/>
  </r>
  <r>
    <x v="16"/>
    <x v="0"/>
    <x v="0"/>
    <x v="2"/>
    <x v="1"/>
    <x v="1396"/>
    <x v="1295"/>
    <n v="6499"/>
    <n v="106031.97145764575"/>
  </r>
  <r>
    <x v="16"/>
    <x v="0"/>
    <x v="0"/>
    <x v="3"/>
    <x v="0"/>
    <x v="1397"/>
    <x v="1296"/>
    <n v="307723"/>
    <n v="233666.42840301158"/>
  </r>
  <r>
    <x v="16"/>
    <x v="0"/>
    <x v="0"/>
    <x v="3"/>
    <x v="1"/>
    <x v="1398"/>
    <x v="1297"/>
    <n v="37971"/>
    <n v="1275397.6731417642"/>
  </r>
  <r>
    <x v="16"/>
    <x v="0"/>
    <x v="0"/>
    <x v="4"/>
    <x v="0"/>
    <x v="1399"/>
    <x v="1298"/>
    <n v="103151"/>
    <n v="100960.67704764224"/>
  </r>
  <r>
    <x v="16"/>
    <x v="0"/>
    <x v="0"/>
    <x v="4"/>
    <x v="1"/>
    <x v="1400"/>
    <x v="1299"/>
    <n v="14352"/>
    <n v="483683.84737078648"/>
  </r>
  <r>
    <x v="16"/>
    <x v="0"/>
    <x v="1"/>
    <x v="0"/>
    <x v="0"/>
    <x v="1401"/>
    <x v="1300"/>
    <n v="657776"/>
    <n v="161242.05645853077"/>
  </r>
  <r>
    <x v="16"/>
    <x v="0"/>
    <x v="1"/>
    <x v="0"/>
    <x v="1"/>
    <x v="1402"/>
    <x v="1301"/>
    <n v="22206"/>
    <n v="16299.827909672744"/>
  </r>
  <r>
    <x v="16"/>
    <x v="0"/>
    <x v="1"/>
    <x v="1"/>
    <x v="0"/>
    <x v="1403"/>
    <x v="1302"/>
    <n v="1327755"/>
    <n v="214110.38826247473"/>
  </r>
  <r>
    <x v="16"/>
    <x v="0"/>
    <x v="1"/>
    <x v="1"/>
    <x v="1"/>
    <x v="1404"/>
    <x v="1303"/>
    <n v="16478"/>
    <n v="18954.229726734397"/>
  </r>
  <r>
    <x v="16"/>
    <x v="0"/>
    <x v="1"/>
    <x v="2"/>
    <x v="0"/>
    <x v="1405"/>
    <x v="1304"/>
    <n v="781204"/>
    <n v="86243.412928337275"/>
  </r>
  <r>
    <x v="16"/>
    <x v="0"/>
    <x v="1"/>
    <x v="2"/>
    <x v="1"/>
    <x v="1406"/>
    <x v="1305"/>
    <n v="6347"/>
    <n v="8238.5078808786257"/>
  </r>
  <r>
    <x v="16"/>
    <x v="0"/>
    <x v="1"/>
    <x v="3"/>
    <x v="0"/>
    <x v="1407"/>
    <x v="1306"/>
    <n v="2306412"/>
    <n v="555904.17893168563"/>
  </r>
  <r>
    <x v="16"/>
    <x v="0"/>
    <x v="1"/>
    <x v="3"/>
    <x v="1"/>
    <x v="1408"/>
    <x v="1307"/>
    <n v="56900"/>
    <n v="36580.85130474496"/>
  </r>
  <r>
    <x v="16"/>
    <x v="0"/>
    <x v="1"/>
    <x v="4"/>
    <x v="0"/>
    <x v="1409"/>
    <x v="1308"/>
    <n v="737991"/>
    <n v="188792.43788312277"/>
  </r>
  <r>
    <x v="16"/>
    <x v="0"/>
    <x v="1"/>
    <x v="4"/>
    <x v="1"/>
    <x v="1410"/>
    <x v="565"/>
    <n v="20603"/>
    <n v="14778.571127640196"/>
  </r>
  <r>
    <x v="16"/>
    <x v="0"/>
    <x v="2"/>
    <x v="0"/>
    <x v="0"/>
    <x v="1411"/>
    <x v="1309"/>
    <n v="22766"/>
    <n v="115102.3221012409"/>
  </r>
  <r>
    <x v="16"/>
    <x v="0"/>
    <x v="2"/>
    <x v="0"/>
    <x v="1"/>
    <x v="1412"/>
    <x v="103"/>
    <n v="8817"/>
    <n v="19766.726295958673"/>
  </r>
  <r>
    <x v="16"/>
    <x v="0"/>
    <x v="2"/>
    <x v="1"/>
    <x v="0"/>
    <x v="1413"/>
    <x v="1310"/>
    <n v="53560"/>
    <n v="205084.30385156409"/>
  </r>
  <r>
    <x v="16"/>
    <x v="0"/>
    <x v="2"/>
    <x v="1"/>
    <x v="1"/>
    <x v="1414"/>
    <x v="1311"/>
    <n v="47780"/>
    <n v="32708.944929981444"/>
  </r>
  <r>
    <x v="16"/>
    <x v="0"/>
    <x v="2"/>
    <x v="2"/>
    <x v="0"/>
    <x v="1415"/>
    <x v="1312"/>
    <n v="27101"/>
    <n v="75827.408738127546"/>
  </r>
  <r>
    <x v="16"/>
    <x v="0"/>
    <x v="2"/>
    <x v="2"/>
    <x v="1"/>
    <x v="1416"/>
    <x v="1313"/>
    <n v="25830"/>
    <n v="14326.302588088558"/>
  </r>
  <r>
    <x v="16"/>
    <x v="0"/>
    <x v="2"/>
    <x v="3"/>
    <x v="0"/>
    <x v="1417"/>
    <x v="1314"/>
    <n v="82208"/>
    <n v="472966.60634123988"/>
  </r>
  <r>
    <x v="16"/>
    <x v="0"/>
    <x v="2"/>
    <x v="3"/>
    <x v="1"/>
    <x v="1418"/>
    <x v="1136"/>
    <n v="41516"/>
    <n v="64304.156950835233"/>
  </r>
  <r>
    <x v="16"/>
    <x v="0"/>
    <x v="2"/>
    <x v="4"/>
    <x v="0"/>
    <x v="1419"/>
    <x v="1315"/>
    <n v="29878"/>
    <n v="175416.57745932642"/>
  </r>
  <r>
    <x v="16"/>
    <x v="0"/>
    <x v="2"/>
    <x v="4"/>
    <x v="1"/>
    <x v="1420"/>
    <x v="1316"/>
    <n v="7989"/>
    <n v="21804.203544091317"/>
  </r>
  <r>
    <x v="16"/>
    <x v="1"/>
    <x v="0"/>
    <x v="0"/>
    <x v="0"/>
    <x v="1421"/>
    <x v="1317"/>
    <n v="6891"/>
    <n v="1621.6980485167837"/>
  </r>
  <r>
    <x v="16"/>
    <x v="1"/>
    <x v="0"/>
    <x v="0"/>
    <x v="1"/>
    <x v="1422"/>
    <x v="223"/>
    <n v="83"/>
    <n v="18455.771010101009"/>
  </r>
  <r>
    <x v="16"/>
    <x v="1"/>
    <x v="0"/>
    <x v="1"/>
    <x v="0"/>
    <x v="1423"/>
    <x v="1318"/>
    <n v="11744"/>
    <n v="1475.5635233717644"/>
  </r>
  <r>
    <x v="16"/>
    <x v="1"/>
    <x v="0"/>
    <x v="1"/>
    <x v="1"/>
    <x v="1424"/>
    <x v="212"/>
    <n v="252"/>
    <n v="28227.581006896551"/>
  </r>
  <r>
    <x v="16"/>
    <x v="1"/>
    <x v="0"/>
    <x v="2"/>
    <x v="0"/>
    <x v="1425"/>
    <x v="1319"/>
    <n v="2965"/>
    <n v="472.96633423995166"/>
  </r>
  <r>
    <x v="16"/>
    <x v="1"/>
    <x v="0"/>
    <x v="2"/>
    <x v="1"/>
    <x v="1426"/>
    <x v="120"/>
    <n v="55"/>
    <n v="6693.7866197183102"/>
  </r>
  <r>
    <x v="16"/>
    <x v="1"/>
    <x v="0"/>
    <x v="3"/>
    <x v="0"/>
    <x v="1427"/>
    <x v="1320"/>
    <n v="41354"/>
    <n v="6974.1506575518351"/>
  </r>
  <r>
    <x v="16"/>
    <x v="1"/>
    <x v="0"/>
    <x v="3"/>
    <x v="1"/>
    <x v="1428"/>
    <x v="1321"/>
    <n v="728"/>
    <n v="119150.64753056233"/>
  </r>
  <r>
    <x v="16"/>
    <x v="1"/>
    <x v="0"/>
    <x v="4"/>
    <x v="0"/>
    <x v="1429"/>
    <x v="1322"/>
    <n v="13904"/>
    <n v="2115.9546604063207"/>
  </r>
  <r>
    <x v="16"/>
    <x v="1"/>
    <x v="0"/>
    <x v="4"/>
    <x v="1"/>
    <x v="989"/>
    <x v="1323"/>
    <n v="272"/>
    <n v="41363.864774193542"/>
  </r>
  <r>
    <x v="16"/>
    <x v="1"/>
    <x v="1"/>
    <x v="0"/>
    <x v="0"/>
    <x v="1430"/>
    <x v="1324"/>
    <n v="33111"/>
    <n v="10185.51791500772"/>
  </r>
  <r>
    <x v="16"/>
    <x v="1"/>
    <x v="1"/>
    <x v="0"/>
    <x v="1"/>
    <x v="1431"/>
    <x v="386"/>
    <n v="41"/>
    <n v="213.96260000000001"/>
  </r>
  <r>
    <x v="16"/>
    <x v="1"/>
    <x v="1"/>
    <x v="1"/>
    <x v="0"/>
    <x v="1432"/>
    <x v="1325"/>
    <n v="63382"/>
    <n v="12935.892204046979"/>
  </r>
  <r>
    <x v="16"/>
    <x v="1"/>
    <x v="1"/>
    <x v="1"/>
    <x v="1"/>
    <x v="1433"/>
    <x v="477"/>
    <n v="207"/>
    <n v="347.99096752066112"/>
  </r>
  <r>
    <x v="16"/>
    <x v="1"/>
    <x v="1"/>
    <x v="2"/>
    <x v="0"/>
    <x v="1434"/>
    <x v="1326"/>
    <n v="22032"/>
    <n v="3591.7746688916927"/>
  </r>
  <r>
    <x v="16"/>
    <x v="1"/>
    <x v="1"/>
    <x v="2"/>
    <x v="1"/>
    <x v="1435"/>
    <x v="41"/>
    <n v="25"/>
    <n v="181.45238095238093"/>
  </r>
  <r>
    <x v="16"/>
    <x v="1"/>
    <x v="1"/>
    <x v="3"/>
    <x v="0"/>
    <x v="1436"/>
    <x v="1327"/>
    <n v="156308"/>
    <n v="51576.599282037743"/>
  </r>
  <r>
    <x v="16"/>
    <x v="1"/>
    <x v="1"/>
    <x v="3"/>
    <x v="1"/>
    <x v="1437"/>
    <x v="1328"/>
    <n v="1134"/>
    <n v="1519.5337904468413"/>
  </r>
  <r>
    <x v="16"/>
    <x v="1"/>
    <x v="1"/>
    <x v="4"/>
    <x v="0"/>
    <x v="1438"/>
    <x v="1329"/>
    <n v="49772"/>
    <n v="16965.215256595071"/>
  </r>
  <r>
    <x v="16"/>
    <x v="1"/>
    <x v="1"/>
    <x v="4"/>
    <x v="1"/>
    <x v="1439"/>
    <x v="711"/>
    <n v="156"/>
    <n v="97.457608695652169"/>
  </r>
  <r>
    <x v="16"/>
    <x v="1"/>
    <x v="2"/>
    <x v="0"/>
    <x v="0"/>
    <x v="1440"/>
    <x v="1330"/>
    <n v="2916"/>
    <n v="10211.152735095267"/>
  </r>
  <r>
    <x v="16"/>
    <x v="1"/>
    <x v="2"/>
    <x v="0"/>
    <x v="1"/>
    <x v="1441"/>
    <x v="624"/>
    <n v="282"/>
    <n v="1328.3291071428573"/>
  </r>
  <r>
    <x v="16"/>
    <x v="1"/>
    <x v="2"/>
    <x v="1"/>
    <x v="0"/>
    <x v="1442"/>
    <x v="1331"/>
    <n v="7034"/>
    <n v="21618.313707149231"/>
  </r>
  <r>
    <x v="16"/>
    <x v="1"/>
    <x v="2"/>
    <x v="1"/>
    <x v="1"/>
    <x v="1443"/>
    <x v="500"/>
    <n v="547"/>
    <n v="2584.1704662379416"/>
  </r>
  <r>
    <x v="16"/>
    <x v="1"/>
    <x v="2"/>
    <x v="2"/>
    <x v="0"/>
    <x v="1444"/>
    <x v="1332"/>
    <n v="1920"/>
    <n v="6961.3343283582089"/>
  </r>
  <r>
    <x v="16"/>
    <x v="1"/>
    <x v="2"/>
    <x v="2"/>
    <x v="1"/>
    <x v="1416"/>
    <x v="302"/>
    <n v="234"/>
    <n v="322.62442105263159"/>
  </r>
  <r>
    <x v="16"/>
    <x v="1"/>
    <x v="2"/>
    <x v="3"/>
    <x v="0"/>
    <x v="1445"/>
    <x v="1333"/>
    <n v="13980"/>
    <n v="64910.676194752705"/>
  </r>
  <r>
    <x v="16"/>
    <x v="1"/>
    <x v="2"/>
    <x v="3"/>
    <x v="1"/>
    <x v="1446"/>
    <x v="1334"/>
    <n v="1030"/>
    <n v="6222.2044482463634"/>
  </r>
  <r>
    <x v="16"/>
    <x v="1"/>
    <x v="2"/>
    <x v="4"/>
    <x v="0"/>
    <x v="1447"/>
    <x v="1335"/>
    <n v="4885"/>
    <n v="19334.353064782528"/>
  </r>
  <r>
    <x v="16"/>
    <x v="1"/>
    <x v="2"/>
    <x v="4"/>
    <x v="1"/>
    <x v="1420"/>
    <x v="298"/>
    <n v="732"/>
    <n v="1592.8285101311085"/>
  </r>
  <r>
    <x v="16"/>
    <x v="2"/>
    <x v="0"/>
    <x v="0"/>
    <x v="0"/>
    <x v="1448"/>
    <x v="1336"/>
    <n v="16058"/>
    <n v="23894.905749022673"/>
  </r>
  <r>
    <x v="16"/>
    <x v="2"/>
    <x v="0"/>
    <x v="0"/>
    <x v="1"/>
    <x v="1449"/>
    <x v="1337"/>
    <n v="18746"/>
    <n v="103645.80478456101"/>
  </r>
  <r>
    <x v="16"/>
    <x v="2"/>
    <x v="0"/>
    <x v="1"/>
    <x v="0"/>
    <x v="1450"/>
    <x v="1338"/>
    <n v="16960"/>
    <n v="36038.690693739423"/>
  </r>
  <r>
    <x v="16"/>
    <x v="2"/>
    <x v="0"/>
    <x v="1"/>
    <x v="1"/>
    <x v="1451"/>
    <x v="1339"/>
    <n v="20107"/>
    <n v="122519.79933742987"/>
  </r>
  <r>
    <x v="16"/>
    <x v="2"/>
    <x v="0"/>
    <x v="2"/>
    <x v="0"/>
    <x v="1452"/>
    <x v="1340"/>
    <n v="4824"/>
    <n v="8882.0936454849489"/>
  </r>
  <r>
    <x v="16"/>
    <x v="2"/>
    <x v="0"/>
    <x v="2"/>
    <x v="1"/>
    <x v="1453"/>
    <x v="1341"/>
    <n v="4060"/>
    <n v="29791.649769787331"/>
  </r>
  <r>
    <x v="16"/>
    <x v="2"/>
    <x v="0"/>
    <x v="3"/>
    <x v="0"/>
    <x v="1454"/>
    <x v="1342"/>
    <n v="75095"/>
    <n v="184418.35786365211"/>
  </r>
  <r>
    <x v="16"/>
    <x v="2"/>
    <x v="0"/>
    <x v="3"/>
    <x v="1"/>
    <x v="1455"/>
    <x v="1343"/>
    <n v="103182"/>
    <n v="580277.15029587341"/>
  </r>
  <r>
    <x v="16"/>
    <x v="2"/>
    <x v="0"/>
    <x v="4"/>
    <x v="0"/>
    <x v="1456"/>
    <x v="1344"/>
    <n v="30735"/>
    <n v="76041.514711546886"/>
  </r>
  <r>
    <x v="16"/>
    <x v="2"/>
    <x v="0"/>
    <x v="4"/>
    <x v="1"/>
    <x v="1457"/>
    <x v="1345"/>
    <n v="45809"/>
    <n v="250850.084"/>
  </r>
  <r>
    <x v="16"/>
    <x v="2"/>
    <x v="1"/>
    <x v="0"/>
    <x v="0"/>
    <x v="1458"/>
    <x v="1346"/>
    <n v="144074"/>
    <n v="76779.229541809866"/>
  </r>
  <r>
    <x v="16"/>
    <x v="2"/>
    <x v="1"/>
    <x v="0"/>
    <x v="1"/>
    <x v="1459"/>
    <x v="1347"/>
    <n v="17157"/>
    <n v="13563.080649654385"/>
  </r>
  <r>
    <x v="16"/>
    <x v="2"/>
    <x v="1"/>
    <x v="1"/>
    <x v="0"/>
    <x v="1460"/>
    <x v="1348"/>
    <n v="176766"/>
    <n v="84766.49157522466"/>
  </r>
  <r>
    <x v="16"/>
    <x v="2"/>
    <x v="1"/>
    <x v="1"/>
    <x v="1"/>
    <x v="1461"/>
    <x v="1349"/>
    <n v="10570"/>
    <n v="13325.175126903552"/>
  </r>
  <r>
    <x v="16"/>
    <x v="2"/>
    <x v="1"/>
    <x v="2"/>
    <x v="0"/>
    <x v="1462"/>
    <x v="1350"/>
    <n v="70726"/>
    <n v="22536.58920638543"/>
  </r>
  <r>
    <x v="16"/>
    <x v="2"/>
    <x v="1"/>
    <x v="2"/>
    <x v="1"/>
    <x v="1463"/>
    <x v="561"/>
    <n v="4324"/>
    <n v="2360.8174846876277"/>
  </r>
  <r>
    <x v="16"/>
    <x v="2"/>
    <x v="1"/>
    <x v="3"/>
    <x v="0"/>
    <x v="1464"/>
    <x v="1351"/>
    <n v="515065"/>
    <n v="326228.55260706175"/>
  </r>
  <r>
    <x v="16"/>
    <x v="2"/>
    <x v="1"/>
    <x v="3"/>
    <x v="1"/>
    <x v="1465"/>
    <x v="1352"/>
    <n v="53321"/>
    <n v="39517.845963262698"/>
  </r>
  <r>
    <x v="16"/>
    <x v="2"/>
    <x v="1"/>
    <x v="4"/>
    <x v="0"/>
    <x v="1466"/>
    <x v="1353"/>
    <n v="173415"/>
    <n v="123693.43491210105"/>
  </r>
  <r>
    <x v="16"/>
    <x v="2"/>
    <x v="1"/>
    <x v="4"/>
    <x v="1"/>
    <x v="1467"/>
    <x v="1210"/>
    <n v="27619"/>
    <n v="22186.60763281427"/>
  </r>
  <r>
    <x v="16"/>
    <x v="2"/>
    <x v="2"/>
    <x v="0"/>
    <x v="0"/>
    <x v="1468"/>
    <x v="1354"/>
    <n v="9264"/>
    <n v="98187.425226480831"/>
  </r>
  <r>
    <x v="16"/>
    <x v="2"/>
    <x v="2"/>
    <x v="0"/>
    <x v="1"/>
    <x v="1469"/>
    <x v="141"/>
    <n v="42461"/>
    <n v="24224.065846650079"/>
  </r>
  <r>
    <x v="16"/>
    <x v="2"/>
    <x v="2"/>
    <x v="1"/>
    <x v="0"/>
    <x v="1470"/>
    <x v="1355"/>
    <n v="19223"/>
    <n v="178740.44023186376"/>
  </r>
  <r>
    <x v="16"/>
    <x v="2"/>
    <x v="2"/>
    <x v="1"/>
    <x v="1"/>
    <x v="1471"/>
    <x v="1356"/>
    <n v="129857"/>
    <n v="40688.443030369956"/>
  </r>
  <r>
    <x v="16"/>
    <x v="2"/>
    <x v="2"/>
    <x v="2"/>
    <x v="0"/>
    <x v="1472"/>
    <x v="1357"/>
    <n v="5200"/>
    <n v="49173.65655172414"/>
  </r>
  <r>
    <x v="16"/>
    <x v="2"/>
    <x v="2"/>
    <x v="2"/>
    <x v="1"/>
    <x v="1473"/>
    <x v="1358"/>
    <n v="34629"/>
    <n v="11308.116770618024"/>
  </r>
  <r>
    <x v="16"/>
    <x v="2"/>
    <x v="2"/>
    <x v="3"/>
    <x v="0"/>
    <x v="1474"/>
    <x v="1359"/>
    <n v="48261"/>
    <n v="538256.70257298963"/>
  </r>
  <r>
    <x v="16"/>
    <x v="2"/>
    <x v="2"/>
    <x v="3"/>
    <x v="1"/>
    <x v="1475"/>
    <x v="1360"/>
    <n v="474438"/>
    <n v="109530.66900661602"/>
  </r>
  <r>
    <x v="16"/>
    <x v="2"/>
    <x v="2"/>
    <x v="4"/>
    <x v="0"/>
    <x v="1476"/>
    <x v="1361"/>
    <n v="19626"/>
    <n v="183776.3609303601"/>
  </r>
  <r>
    <x v="16"/>
    <x v="2"/>
    <x v="2"/>
    <x v="4"/>
    <x v="1"/>
    <x v="1477"/>
    <x v="1362"/>
    <n v="108164"/>
    <n v="44519.650954266122"/>
  </r>
  <r>
    <x v="17"/>
    <x v="0"/>
    <x v="0"/>
    <x v="0"/>
    <x v="0"/>
    <x v="1478"/>
    <x v="1363"/>
    <n v="73585"/>
    <n v="55257.047867967667"/>
  </r>
  <r>
    <x v="17"/>
    <x v="0"/>
    <x v="0"/>
    <x v="0"/>
    <x v="1"/>
    <x v="1479"/>
    <x v="1364"/>
    <n v="8102"/>
    <n v="281293.50514622533"/>
  </r>
  <r>
    <x v="17"/>
    <x v="0"/>
    <x v="0"/>
    <x v="1"/>
    <x v="0"/>
    <x v="1480"/>
    <x v="1365"/>
    <n v="128115"/>
    <n v="93108.057995938332"/>
  </r>
  <r>
    <x v="17"/>
    <x v="0"/>
    <x v="0"/>
    <x v="1"/>
    <x v="1"/>
    <x v="1481"/>
    <x v="1366"/>
    <n v="20167"/>
    <n v="433436.70227537816"/>
  </r>
  <r>
    <x v="17"/>
    <x v="0"/>
    <x v="0"/>
    <x v="2"/>
    <x v="0"/>
    <x v="1482"/>
    <x v="1367"/>
    <n v="57630"/>
    <n v="43234.708693987588"/>
  </r>
  <r>
    <x v="17"/>
    <x v="0"/>
    <x v="0"/>
    <x v="2"/>
    <x v="1"/>
    <x v="1483"/>
    <x v="612"/>
    <n v="6666"/>
    <n v="108756.59666666665"/>
  </r>
  <r>
    <x v="17"/>
    <x v="0"/>
    <x v="0"/>
    <x v="3"/>
    <x v="0"/>
    <x v="1484"/>
    <x v="1368"/>
    <n v="315416"/>
    <n v="239508.03216257578"/>
  </r>
  <r>
    <x v="17"/>
    <x v="0"/>
    <x v="0"/>
    <x v="3"/>
    <x v="1"/>
    <x v="1485"/>
    <x v="1369"/>
    <n v="38924"/>
    <n v="1307407.7329901776"/>
  </r>
  <r>
    <x v="17"/>
    <x v="0"/>
    <x v="0"/>
    <x v="4"/>
    <x v="0"/>
    <x v="1486"/>
    <x v="1370"/>
    <n v="105730"/>
    <n v="103484.9141961514"/>
  </r>
  <r>
    <x v="17"/>
    <x v="0"/>
    <x v="0"/>
    <x v="4"/>
    <x v="1"/>
    <x v="1487"/>
    <x v="1371"/>
    <n v="14716"/>
    <n v="495951.19132584264"/>
  </r>
  <r>
    <x v="17"/>
    <x v="0"/>
    <x v="1"/>
    <x v="0"/>
    <x v="0"/>
    <x v="1488"/>
    <x v="1372"/>
    <n v="674223"/>
    <n v="165273.74521362895"/>
  </r>
  <r>
    <x v="17"/>
    <x v="0"/>
    <x v="1"/>
    <x v="0"/>
    <x v="1"/>
    <x v="1489"/>
    <x v="692"/>
    <n v="22761"/>
    <n v="16707.213503200095"/>
  </r>
  <r>
    <x v="17"/>
    <x v="0"/>
    <x v="1"/>
    <x v="1"/>
    <x v="0"/>
    <x v="1490"/>
    <x v="1373"/>
    <n v="1360951"/>
    <n v="219463.49064112222"/>
  </r>
  <r>
    <x v="17"/>
    <x v="0"/>
    <x v="1"/>
    <x v="1"/>
    <x v="1"/>
    <x v="1491"/>
    <x v="1374"/>
    <n v="16894"/>
    <n v="19432.744083229209"/>
  </r>
  <r>
    <x v="17"/>
    <x v="0"/>
    <x v="1"/>
    <x v="2"/>
    <x v="0"/>
    <x v="1492"/>
    <x v="1375"/>
    <n v="800736"/>
    <n v="88399.708007876412"/>
  </r>
  <r>
    <x v="17"/>
    <x v="0"/>
    <x v="1"/>
    <x v="2"/>
    <x v="1"/>
    <x v="1493"/>
    <x v="1376"/>
    <n v="6518"/>
    <n v="8460.4686257392277"/>
  </r>
  <r>
    <x v="17"/>
    <x v="0"/>
    <x v="1"/>
    <x v="3"/>
    <x v="0"/>
    <x v="1494"/>
    <x v="1377"/>
    <n v="2364074"/>
    <n v="569802.19314838189"/>
  </r>
  <r>
    <x v="17"/>
    <x v="0"/>
    <x v="1"/>
    <x v="3"/>
    <x v="1"/>
    <x v="1495"/>
    <x v="1378"/>
    <n v="58328"/>
    <n v="37498.908522023972"/>
  </r>
  <r>
    <x v="17"/>
    <x v="0"/>
    <x v="1"/>
    <x v="4"/>
    <x v="0"/>
    <x v="1496"/>
    <x v="1379"/>
    <n v="756442"/>
    <n v="193512.56220900413"/>
  </r>
  <r>
    <x v="17"/>
    <x v="0"/>
    <x v="1"/>
    <x v="4"/>
    <x v="1"/>
    <x v="1497"/>
    <x v="1380"/>
    <n v="21133"/>
    <n v="15158.74113674806"/>
  </r>
  <r>
    <x v="17"/>
    <x v="0"/>
    <x v="2"/>
    <x v="0"/>
    <x v="0"/>
    <x v="1498"/>
    <x v="1381"/>
    <n v="23336"/>
    <n v="117984.17765767187"/>
  </r>
  <r>
    <x v="17"/>
    <x v="0"/>
    <x v="2"/>
    <x v="0"/>
    <x v="1"/>
    <x v="1499"/>
    <x v="1382"/>
    <n v="9047"/>
    <n v="20282.360530740403"/>
  </r>
  <r>
    <x v="17"/>
    <x v="0"/>
    <x v="2"/>
    <x v="1"/>
    <x v="0"/>
    <x v="1500"/>
    <x v="1383"/>
    <n v="54899"/>
    <n v="210211.4114478532"/>
  </r>
  <r>
    <x v="17"/>
    <x v="0"/>
    <x v="2"/>
    <x v="1"/>
    <x v="1"/>
    <x v="1501"/>
    <x v="1384"/>
    <n v="48999"/>
    <n v="33543.440615825886"/>
  </r>
  <r>
    <x v="17"/>
    <x v="0"/>
    <x v="2"/>
    <x v="2"/>
    <x v="0"/>
    <x v="1502"/>
    <x v="1385"/>
    <n v="27778"/>
    <n v="77721.625029619085"/>
  </r>
  <r>
    <x v="17"/>
    <x v="0"/>
    <x v="2"/>
    <x v="2"/>
    <x v="1"/>
    <x v="1503"/>
    <x v="1386"/>
    <n v="26496"/>
    <n v="14695.691574680388"/>
  </r>
  <r>
    <x v="17"/>
    <x v="0"/>
    <x v="2"/>
    <x v="3"/>
    <x v="0"/>
    <x v="1504"/>
    <x v="1387"/>
    <n v="84264"/>
    <n v="484795.37413315295"/>
  </r>
  <r>
    <x v="17"/>
    <x v="0"/>
    <x v="2"/>
    <x v="3"/>
    <x v="1"/>
    <x v="1505"/>
    <x v="1388"/>
    <n v="42566"/>
    <n v="65930.50257176155"/>
  </r>
  <r>
    <x v="17"/>
    <x v="0"/>
    <x v="2"/>
    <x v="4"/>
    <x v="0"/>
    <x v="1506"/>
    <x v="1389"/>
    <n v="30626"/>
    <n v="179808.15654559646"/>
  </r>
  <r>
    <x v="17"/>
    <x v="0"/>
    <x v="2"/>
    <x v="4"/>
    <x v="1"/>
    <x v="1507"/>
    <x v="1390"/>
    <n v="8190"/>
    <n v="22352.788462399287"/>
  </r>
  <r>
    <x v="17"/>
    <x v="1"/>
    <x v="0"/>
    <x v="0"/>
    <x v="0"/>
    <x v="1508"/>
    <x v="1391"/>
    <n v="7064"/>
    <n v="1662.4111180848295"/>
  </r>
  <r>
    <x v="17"/>
    <x v="1"/>
    <x v="0"/>
    <x v="0"/>
    <x v="1"/>
    <x v="1509"/>
    <x v="309"/>
    <n v="86"/>
    <n v="19122.84707070707"/>
  </r>
  <r>
    <x v="17"/>
    <x v="1"/>
    <x v="0"/>
    <x v="1"/>
    <x v="0"/>
    <x v="1510"/>
    <x v="1392"/>
    <n v="12038"/>
    <n v="1512.5028690692523"/>
  </r>
  <r>
    <x v="17"/>
    <x v="1"/>
    <x v="0"/>
    <x v="1"/>
    <x v="1"/>
    <x v="1511"/>
    <x v="298"/>
    <n v="260"/>
    <n v="29123.694689655174"/>
  </r>
  <r>
    <x v="17"/>
    <x v="1"/>
    <x v="0"/>
    <x v="2"/>
    <x v="0"/>
    <x v="1512"/>
    <x v="1393"/>
    <n v="3039"/>
    <n v="484.7705530371714"/>
  </r>
  <r>
    <x v="17"/>
    <x v="1"/>
    <x v="0"/>
    <x v="2"/>
    <x v="1"/>
    <x v="1513"/>
    <x v="205"/>
    <n v="58"/>
    <n v="7058.902253521127"/>
  </r>
  <r>
    <x v="17"/>
    <x v="1"/>
    <x v="0"/>
    <x v="3"/>
    <x v="0"/>
    <x v="1514"/>
    <x v="1394"/>
    <n v="42388"/>
    <n v="7148.5297207599551"/>
  </r>
  <r>
    <x v="17"/>
    <x v="1"/>
    <x v="0"/>
    <x v="3"/>
    <x v="1"/>
    <x v="1515"/>
    <x v="1395"/>
    <n v="747"/>
    <n v="122260.3484963325"/>
  </r>
  <r>
    <x v="17"/>
    <x v="1"/>
    <x v="0"/>
    <x v="4"/>
    <x v="0"/>
    <x v="1516"/>
    <x v="1396"/>
    <n v="14252"/>
    <n v="2168.9144001805871"/>
  </r>
  <r>
    <x v="17"/>
    <x v="1"/>
    <x v="0"/>
    <x v="4"/>
    <x v="1"/>
    <x v="1076"/>
    <x v="1397"/>
    <n v="281"/>
    <n v="42732.522064516124"/>
  </r>
  <r>
    <x v="17"/>
    <x v="1"/>
    <x v="1"/>
    <x v="0"/>
    <x v="0"/>
    <x v="1517"/>
    <x v="1398"/>
    <n v="33939"/>
    <n v="10440.225076785571"/>
  </r>
  <r>
    <x v="17"/>
    <x v="1"/>
    <x v="1"/>
    <x v="0"/>
    <x v="1"/>
    <x v="1518"/>
    <x v="471"/>
    <n v="43"/>
    <n v="224.39980000000003"/>
  </r>
  <r>
    <x v="17"/>
    <x v="1"/>
    <x v="1"/>
    <x v="1"/>
    <x v="0"/>
    <x v="1519"/>
    <x v="1399"/>
    <n v="64967"/>
    <n v="13259.381351492853"/>
  </r>
  <r>
    <x v="17"/>
    <x v="1"/>
    <x v="1"/>
    <x v="1"/>
    <x v="1"/>
    <x v="1520"/>
    <x v="556"/>
    <n v="213"/>
    <n v="358.07766223140493"/>
  </r>
  <r>
    <x v="17"/>
    <x v="1"/>
    <x v="1"/>
    <x v="2"/>
    <x v="0"/>
    <x v="1521"/>
    <x v="1400"/>
    <n v="22584"/>
    <n v="3681.7646660425739"/>
  </r>
  <r>
    <x v="17"/>
    <x v="1"/>
    <x v="1"/>
    <x v="2"/>
    <x v="1"/>
    <x v="1522"/>
    <x v="129"/>
    <n v="29"/>
    <n v="210.48476190476188"/>
  </r>
  <r>
    <x v="17"/>
    <x v="1"/>
    <x v="1"/>
    <x v="3"/>
    <x v="0"/>
    <x v="1523"/>
    <x v="1401"/>
    <n v="160217"/>
    <n v="52866.443222165472"/>
  </r>
  <r>
    <x v="17"/>
    <x v="1"/>
    <x v="1"/>
    <x v="3"/>
    <x v="1"/>
    <x v="1524"/>
    <x v="1402"/>
    <n v="1167"/>
    <n v="1563.7530277349767"/>
  </r>
  <r>
    <x v="17"/>
    <x v="1"/>
    <x v="1"/>
    <x v="4"/>
    <x v="0"/>
    <x v="1525"/>
    <x v="1403"/>
    <n v="51018"/>
    <n v="17389.925097664698"/>
  </r>
  <r>
    <x v="17"/>
    <x v="1"/>
    <x v="1"/>
    <x v="4"/>
    <x v="1"/>
    <x v="1526"/>
    <x v="789"/>
    <n v="161"/>
    <n v="100.58125"/>
  </r>
  <r>
    <x v="17"/>
    <x v="1"/>
    <x v="2"/>
    <x v="0"/>
    <x v="0"/>
    <x v="1527"/>
    <x v="1404"/>
    <n v="2989"/>
    <n v="10466.781730178242"/>
  </r>
  <r>
    <x v="17"/>
    <x v="1"/>
    <x v="2"/>
    <x v="0"/>
    <x v="1"/>
    <x v="1528"/>
    <x v="723"/>
    <n v="294"/>
    <n v="1384.8537500000002"/>
  </r>
  <r>
    <x v="17"/>
    <x v="1"/>
    <x v="2"/>
    <x v="1"/>
    <x v="0"/>
    <x v="1529"/>
    <x v="1405"/>
    <n v="7211"/>
    <n v="22162.305962788327"/>
  </r>
  <r>
    <x v="17"/>
    <x v="1"/>
    <x v="2"/>
    <x v="1"/>
    <x v="1"/>
    <x v="1530"/>
    <x v="1406"/>
    <n v="563"/>
    <n v="2659.7586334405141"/>
  </r>
  <r>
    <x v="17"/>
    <x v="1"/>
    <x v="2"/>
    <x v="2"/>
    <x v="0"/>
    <x v="1531"/>
    <x v="1407"/>
    <n v="1968"/>
    <n v="7135.3676865671641"/>
  </r>
  <r>
    <x v="17"/>
    <x v="1"/>
    <x v="2"/>
    <x v="2"/>
    <x v="1"/>
    <x v="1503"/>
    <x v="386"/>
    <n v="244"/>
    <n v="336.41178947368422"/>
  </r>
  <r>
    <x v="17"/>
    <x v="1"/>
    <x v="2"/>
    <x v="3"/>
    <x v="0"/>
    <x v="1532"/>
    <x v="1408"/>
    <n v="14329"/>
    <n v="66531.121544678943"/>
  </r>
  <r>
    <x v="17"/>
    <x v="1"/>
    <x v="2"/>
    <x v="3"/>
    <x v="1"/>
    <x v="1533"/>
    <x v="1409"/>
    <n v="1061"/>
    <n v="6409.4746792130018"/>
  </r>
  <r>
    <x v="17"/>
    <x v="1"/>
    <x v="2"/>
    <x v="4"/>
    <x v="0"/>
    <x v="1534"/>
    <x v="1410"/>
    <n v="5007"/>
    <n v="19817.217153606169"/>
  </r>
  <r>
    <x v="17"/>
    <x v="1"/>
    <x v="2"/>
    <x v="4"/>
    <x v="1"/>
    <x v="1507"/>
    <x v="383"/>
    <n v="756"/>
    <n v="1645.0523957091775"/>
  </r>
  <r>
    <x v="17"/>
    <x v="2"/>
    <x v="0"/>
    <x v="0"/>
    <x v="0"/>
    <x v="1535"/>
    <x v="1411"/>
    <n v="16460"/>
    <n v="24493.09681335865"/>
  </r>
  <r>
    <x v="17"/>
    <x v="2"/>
    <x v="0"/>
    <x v="0"/>
    <x v="1"/>
    <x v="1536"/>
    <x v="1412"/>
    <n v="19217"/>
    <n v="106249.94295022452"/>
  </r>
  <r>
    <x v="17"/>
    <x v="2"/>
    <x v="0"/>
    <x v="1"/>
    <x v="0"/>
    <x v="1537"/>
    <x v="1413"/>
    <n v="17386"/>
    <n v="36943.907806683586"/>
  </r>
  <r>
    <x v="17"/>
    <x v="2"/>
    <x v="0"/>
    <x v="1"/>
    <x v="1"/>
    <x v="1538"/>
    <x v="1414"/>
    <n v="20616"/>
    <n v="125621.33501469409"/>
  </r>
  <r>
    <x v="17"/>
    <x v="2"/>
    <x v="0"/>
    <x v="2"/>
    <x v="0"/>
    <x v="1539"/>
    <x v="1415"/>
    <n v="4945"/>
    <n v="9104.8824786324785"/>
  </r>
  <r>
    <x v="17"/>
    <x v="2"/>
    <x v="0"/>
    <x v="2"/>
    <x v="1"/>
    <x v="1540"/>
    <x v="1416"/>
    <n v="4169"/>
    <n v="30591.47484981364"/>
  </r>
  <r>
    <x v="17"/>
    <x v="2"/>
    <x v="0"/>
    <x v="3"/>
    <x v="0"/>
    <x v="1541"/>
    <x v="1417"/>
    <n v="76974"/>
    <n v="189032.8074864739"/>
  </r>
  <r>
    <x v="17"/>
    <x v="2"/>
    <x v="0"/>
    <x v="3"/>
    <x v="1"/>
    <x v="1542"/>
    <x v="1418"/>
    <n v="105776"/>
    <n v="594865.34327398485"/>
  </r>
  <r>
    <x v="17"/>
    <x v="2"/>
    <x v="0"/>
    <x v="4"/>
    <x v="0"/>
    <x v="1543"/>
    <x v="1419"/>
    <n v="31504"/>
    <n v="77944.098892876951"/>
  </r>
  <r>
    <x v="17"/>
    <x v="2"/>
    <x v="0"/>
    <x v="4"/>
    <x v="1"/>
    <x v="1544"/>
    <x v="1420"/>
    <n v="46965"/>
    <n v="257180.34"/>
  </r>
  <r>
    <x v="17"/>
    <x v="2"/>
    <x v="1"/>
    <x v="0"/>
    <x v="0"/>
    <x v="1545"/>
    <x v="1421"/>
    <n v="147676"/>
    <n v="78698.79021764033"/>
  </r>
  <r>
    <x v="17"/>
    <x v="2"/>
    <x v="1"/>
    <x v="0"/>
    <x v="1"/>
    <x v="1546"/>
    <x v="1422"/>
    <n v="17600"/>
    <n v="13913.284340730732"/>
  </r>
  <r>
    <x v="17"/>
    <x v="2"/>
    <x v="1"/>
    <x v="1"/>
    <x v="0"/>
    <x v="1547"/>
    <x v="1423"/>
    <n v="181189"/>
    <n v="86887.500096304619"/>
  </r>
  <r>
    <x v="17"/>
    <x v="2"/>
    <x v="1"/>
    <x v="1"/>
    <x v="1"/>
    <x v="1548"/>
    <x v="1424"/>
    <n v="10835"/>
    <n v="13659.25"/>
  </r>
  <r>
    <x v="17"/>
    <x v="2"/>
    <x v="1"/>
    <x v="2"/>
    <x v="0"/>
    <x v="1549"/>
    <x v="1425"/>
    <n v="72498"/>
    <n v="23101.230725398455"/>
  </r>
  <r>
    <x v="17"/>
    <x v="2"/>
    <x v="1"/>
    <x v="2"/>
    <x v="1"/>
    <x v="1550"/>
    <x v="1426"/>
    <n v="4455"/>
    <n v="2432.3408636178033"/>
  </r>
  <r>
    <x v="17"/>
    <x v="2"/>
    <x v="1"/>
    <x v="3"/>
    <x v="0"/>
    <x v="1551"/>
    <x v="1427"/>
    <n v="527944"/>
    <n v="334385.77068444295"/>
  </r>
  <r>
    <x v="17"/>
    <x v="2"/>
    <x v="1"/>
    <x v="3"/>
    <x v="1"/>
    <x v="1552"/>
    <x v="1428"/>
    <n v="54688"/>
    <n v="40530.972038013366"/>
  </r>
  <r>
    <x v="17"/>
    <x v="2"/>
    <x v="1"/>
    <x v="4"/>
    <x v="0"/>
    <x v="1553"/>
    <x v="1429"/>
    <n v="177754"/>
    <n v="126788.35642456308"/>
  </r>
  <r>
    <x v="17"/>
    <x v="2"/>
    <x v="1"/>
    <x v="4"/>
    <x v="1"/>
    <x v="1554"/>
    <x v="1430"/>
    <n v="28333"/>
    <n v="22760.170681796109"/>
  </r>
  <r>
    <x v="17"/>
    <x v="2"/>
    <x v="2"/>
    <x v="0"/>
    <x v="0"/>
    <x v="1555"/>
    <x v="1431"/>
    <n v="9496"/>
    <n v="100646.35038327526"/>
  </r>
  <r>
    <x v="17"/>
    <x v="2"/>
    <x v="2"/>
    <x v="0"/>
    <x v="1"/>
    <x v="1556"/>
    <x v="1432"/>
    <n v="43549"/>
    <n v="24844.77152106084"/>
  </r>
  <r>
    <x v="17"/>
    <x v="2"/>
    <x v="2"/>
    <x v="1"/>
    <x v="0"/>
    <x v="1557"/>
    <x v="1433"/>
    <n v="19704"/>
    <n v="183212.90299790062"/>
  </r>
  <r>
    <x v="17"/>
    <x v="2"/>
    <x v="2"/>
    <x v="1"/>
    <x v="1"/>
    <x v="1558"/>
    <x v="1434"/>
    <n v="133103"/>
    <n v="41705.520939736263"/>
  </r>
  <r>
    <x v="17"/>
    <x v="2"/>
    <x v="2"/>
    <x v="2"/>
    <x v="0"/>
    <x v="1559"/>
    <x v="1435"/>
    <n v="5330"/>
    <n v="50402.99796551725"/>
  </r>
  <r>
    <x v="17"/>
    <x v="2"/>
    <x v="2"/>
    <x v="2"/>
    <x v="1"/>
    <x v="1560"/>
    <x v="1005"/>
    <n v="35535"/>
    <n v="11603.971510696569"/>
  </r>
  <r>
    <x v="17"/>
    <x v="2"/>
    <x v="2"/>
    <x v="3"/>
    <x v="0"/>
    <x v="1561"/>
    <x v="1436"/>
    <n v="49469"/>
    <n v="551729.57086639781"/>
  </r>
  <r>
    <x v="17"/>
    <x v="2"/>
    <x v="2"/>
    <x v="3"/>
    <x v="1"/>
    <x v="1562"/>
    <x v="1437"/>
    <n v="486365"/>
    <n v="112284.18430101045"/>
  </r>
  <r>
    <x v="17"/>
    <x v="2"/>
    <x v="2"/>
    <x v="4"/>
    <x v="0"/>
    <x v="1563"/>
    <x v="1438"/>
    <n v="20117"/>
    <n v="188374.04732681412"/>
  </r>
  <r>
    <x v="17"/>
    <x v="2"/>
    <x v="2"/>
    <x v="4"/>
    <x v="1"/>
    <x v="1564"/>
    <x v="1439"/>
    <n v="110893"/>
    <n v="45642.890918156067"/>
  </r>
  <r>
    <x v="18"/>
    <x v="0"/>
    <x v="0"/>
    <x v="0"/>
    <x v="0"/>
    <x v="1565"/>
    <x v="1440"/>
    <n v="74690"/>
    <n v="56086.823472970107"/>
  </r>
  <r>
    <x v="18"/>
    <x v="0"/>
    <x v="0"/>
    <x v="0"/>
    <x v="1"/>
    <x v="1566"/>
    <x v="1441"/>
    <n v="8226"/>
    <n v="285598.66370437545"/>
  </r>
  <r>
    <x v="18"/>
    <x v="0"/>
    <x v="0"/>
    <x v="1"/>
    <x v="0"/>
    <x v="1567"/>
    <x v="1442"/>
    <n v="130037"/>
    <n v="94504.878723161484"/>
  </r>
  <r>
    <x v="18"/>
    <x v="0"/>
    <x v="0"/>
    <x v="1"/>
    <x v="1"/>
    <x v="1568"/>
    <x v="1443"/>
    <n v="20475"/>
    <n v="440056.35340349918"/>
  </r>
  <r>
    <x v="18"/>
    <x v="0"/>
    <x v="0"/>
    <x v="2"/>
    <x v="0"/>
    <x v="1569"/>
    <x v="1444"/>
    <n v="58495"/>
    <n v="43883.641940912785"/>
  </r>
  <r>
    <x v="18"/>
    <x v="0"/>
    <x v="0"/>
    <x v="2"/>
    <x v="1"/>
    <x v="1570"/>
    <x v="1445"/>
    <n v="6773"/>
    <n v="110502.31461496149"/>
  </r>
  <r>
    <x v="18"/>
    <x v="0"/>
    <x v="0"/>
    <x v="3"/>
    <x v="0"/>
    <x v="1571"/>
    <x v="1446"/>
    <n v="320147"/>
    <n v="243100.47040337886"/>
  </r>
  <r>
    <x v="18"/>
    <x v="0"/>
    <x v="0"/>
    <x v="3"/>
    <x v="1"/>
    <x v="1572"/>
    <x v="1447"/>
    <n v="39511"/>
    <n v="1327124.3175977522"/>
  </r>
  <r>
    <x v="18"/>
    <x v="0"/>
    <x v="0"/>
    <x v="4"/>
    <x v="0"/>
    <x v="1573"/>
    <x v="1448"/>
    <n v="107316"/>
    <n v="105037.23684738659"/>
  </r>
  <r>
    <x v="18"/>
    <x v="0"/>
    <x v="0"/>
    <x v="4"/>
    <x v="1"/>
    <x v="1574"/>
    <x v="1449"/>
    <n v="14939"/>
    <n v="503466.62457303365"/>
  </r>
  <r>
    <x v="18"/>
    <x v="0"/>
    <x v="1"/>
    <x v="0"/>
    <x v="0"/>
    <x v="1575"/>
    <x v="1450"/>
    <n v="684339"/>
    <n v="167753.50221773749"/>
  </r>
  <r>
    <x v="18"/>
    <x v="0"/>
    <x v="1"/>
    <x v="0"/>
    <x v="1"/>
    <x v="1576"/>
    <x v="1451"/>
    <n v="23122"/>
    <n v="16972.197646016986"/>
  </r>
  <r>
    <x v="18"/>
    <x v="0"/>
    <x v="1"/>
    <x v="1"/>
    <x v="0"/>
    <x v="1577"/>
    <x v="1452"/>
    <n v="1381367"/>
    <n v="222755.72278241839"/>
  </r>
  <r>
    <x v="18"/>
    <x v="0"/>
    <x v="1"/>
    <x v="1"/>
    <x v="1"/>
    <x v="1578"/>
    <x v="1453"/>
    <n v="17161"/>
    <n v="19739.867480306406"/>
  </r>
  <r>
    <x v="18"/>
    <x v="0"/>
    <x v="1"/>
    <x v="2"/>
    <x v="0"/>
    <x v="1579"/>
    <x v="1454"/>
    <n v="812749"/>
    <n v="89725.920008209374"/>
  </r>
  <r>
    <x v="18"/>
    <x v="0"/>
    <x v="1"/>
    <x v="2"/>
    <x v="1"/>
    <x v="1580"/>
    <x v="1455"/>
    <n v="6618"/>
    <n v="8590.2702309208671"/>
  </r>
  <r>
    <x v="18"/>
    <x v="0"/>
    <x v="1"/>
    <x v="3"/>
    <x v="0"/>
    <x v="1581"/>
    <x v="1456"/>
    <n v="2399535"/>
    <n v="578349.19953279919"/>
  </r>
  <r>
    <x v="18"/>
    <x v="0"/>
    <x v="1"/>
    <x v="3"/>
    <x v="1"/>
    <x v="1582"/>
    <x v="1457"/>
    <n v="59214"/>
    <n v="38068.515450951985"/>
  </r>
  <r>
    <x v="18"/>
    <x v="0"/>
    <x v="1"/>
    <x v="4"/>
    <x v="0"/>
    <x v="1583"/>
    <x v="1458"/>
    <n v="767792"/>
    <n v="196416.11275362247"/>
  </r>
  <r>
    <x v="18"/>
    <x v="0"/>
    <x v="1"/>
    <x v="4"/>
    <x v="1"/>
    <x v="1584"/>
    <x v="1459"/>
    <n v="21465"/>
    <n v="15396.885368868458"/>
  </r>
  <r>
    <x v="18"/>
    <x v="0"/>
    <x v="2"/>
    <x v="0"/>
    <x v="0"/>
    <x v="1585"/>
    <x v="1460"/>
    <n v="23687"/>
    <n v="119758.79397400041"/>
  </r>
  <r>
    <x v="18"/>
    <x v="0"/>
    <x v="2"/>
    <x v="0"/>
    <x v="1"/>
    <x v="1586"/>
    <x v="1461"/>
    <n v="9193"/>
    <n v="20609.676175427932"/>
  </r>
  <r>
    <x v="18"/>
    <x v="0"/>
    <x v="2"/>
    <x v="1"/>
    <x v="0"/>
    <x v="1587"/>
    <x v="1462"/>
    <n v="55724"/>
    <n v="213370.38364123521"/>
  </r>
  <r>
    <x v="18"/>
    <x v="0"/>
    <x v="2"/>
    <x v="1"/>
    <x v="1"/>
    <x v="1588"/>
    <x v="1463"/>
    <n v="49735"/>
    <n v="34047.287067656493"/>
  </r>
  <r>
    <x v="18"/>
    <x v="0"/>
    <x v="2"/>
    <x v="2"/>
    <x v="0"/>
    <x v="1589"/>
    <x v="1464"/>
    <n v="28196"/>
    <n v="78891.170686699537"/>
  </r>
  <r>
    <x v="18"/>
    <x v="0"/>
    <x v="2"/>
    <x v="2"/>
    <x v="1"/>
    <x v="1590"/>
    <x v="1465"/>
    <n v="26896"/>
    <n v="14917.546821882688"/>
  </r>
  <r>
    <x v="18"/>
    <x v="0"/>
    <x v="2"/>
    <x v="3"/>
    <x v="0"/>
    <x v="1591"/>
    <x v="1466"/>
    <n v="85528"/>
    <n v="492067.53487681935"/>
  </r>
  <r>
    <x v="18"/>
    <x v="0"/>
    <x v="2"/>
    <x v="3"/>
    <x v="1"/>
    <x v="1592"/>
    <x v="1467"/>
    <n v="43219"/>
    <n v="66941.93465791858"/>
  </r>
  <r>
    <x v="18"/>
    <x v="0"/>
    <x v="2"/>
    <x v="4"/>
    <x v="0"/>
    <x v="1593"/>
    <x v="1468"/>
    <n v="31085"/>
    <n v="182502.9891667167"/>
  </r>
  <r>
    <x v="18"/>
    <x v="0"/>
    <x v="2"/>
    <x v="4"/>
    <x v="1"/>
    <x v="1439"/>
    <x v="1469"/>
    <n v="8321"/>
    <n v="22710.323906669655"/>
  </r>
  <r>
    <x v="18"/>
    <x v="1"/>
    <x v="0"/>
    <x v="0"/>
    <x v="0"/>
    <x v="1594"/>
    <x v="1470"/>
    <n v="7171"/>
    <n v="1687.5920339448346"/>
  </r>
  <r>
    <x v="18"/>
    <x v="1"/>
    <x v="0"/>
    <x v="0"/>
    <x v="1"/>
    <x v="1595"/>
    <x v="393"/>
    <n v="88"/>
    <n v="19567.564444444441"/>
  </r>
  <r>
    <x v="18"/>
    <x v="1"/>
    <x v="0"/>
    <x v="1"/>
    <x v="0"/>
    <x v="1596"/>
    <x v="1471"/>
    <n v="12220"/>
    <n v="1535.3700830724592"/>
  </r>
  <r>
    <x v="18"/>
    <x v="1"/>
    <x v="0"/>
    <x v="1"/>
    <x v="1"/>
    <x v="1597"/>
    <x v="1472"/>
    <n v="264"/>
    <n v="29571.751531034482"/>
  </r>
  <r>
    <x v="18"/>
    <x v="1"/>
    <x v="0"/>
    <x v="2"/>
    <x v="0"/>
    <x v="1598"/>
    <x v="1473"/>
    <n v="3086"/>
    <n v="492.26782713810826"/>
  </r>
  <r>
    <x v="18"/>
    <x v="1"/>
    <x v="0"/>
    <x v="2"/>
    <x v="1"/>
    <x v="1599"/>
    <x v="43"/>
    <n v="61"/>
    <n v="7424.0178873239438"/>
  </r>
  <r>
    <x v="18"/>
    <x v="1"/>
    <x v="0"/>
    <x v="3"/>
    <x v="0"/>
    <x v="1600"/>
    <x v="1474"/>
    <n v="43025"/>
    <n v="7255.9566678233714"/>
  </r>
  <r>
    <x v="18"/>
    <x v="1"/>
    <x v="0"/>
    <x v="3"/>
    <x v="1"/>
    <x v="1601"/>
    <x v="1475"/>
    <n v="761"/>
    <n v="124551.70710268947"/>
  </r>
  <r>
    <x v="18"/>
    <x v="1"/>
    <x v="0"/>
    <x v="4"/>
    <x v="0"/>
    <x v="1602"/>
    <x v="1333"/>
    <n v="14467"/>
    <n v="2201.6337796388266"/>
  </r>
  <r>
    <x v="18"/>
    <x v="1"/>
    <x v="0"/>
    <x v="4"/>
    <x v="1"/>
    <x v="1603"/>
    <x v="1476"/>
    <n v="287"/>
    <n v="43644.960258064515"/>
  </r>
  <r>
    <x v="18"/>
    <x v="1"/>
    <x v="1"/>
    <x v="0"/>
    <x v="0"/>
    <x v="1604"/>
    <x v="1477"/>
    <n v="34450"/>
    <n v="10597.417540153301"/>
  </r>
  <r>
    <x v="18"/>
    <x v="1"/>
    <x v="1"/>
    <x v="0"/>
    <x v="1"/>
    <x v="1605"/>
    <x v="550"/>
    <n v="44"/>
    <n v="229.61840000000001"/>
  </r>
  <r>
    <x v="18"/>
    <x v="1"/>
    <x v="1"/>
    <x v="1"/>
    <x v="0"/>
    <x v="1606"/>
    <x v="1478"/>
    <n v="65943"/>
    <n v="13458.577192443752"/>
  </r>
  <r>
    <x v="18"/>
    <x v="1"/>
    <x v="1"/>
    <x v="1"/>
    <x v="1"/>
    <x v="1607"/>
    <x v="1479"/>
    <n v="218"/>
    <n v="366.48324115702479"/>
  </r>
  <r>
    <x v="18"/>
    <x v="1"/>
    <x v="1"/>
    <x v="2"/>
    <x v="0"/>
    <x v="1608"/>
    <x v="1480"/>
    <n v="22924"/>
    <n v="3737.1932874760878"/>
  </r>
  <r>
    <x v="18"/>
    <x v="1"/>
    <x v="1"/>
    <x v="2"/>
    <x v="1"/>
    <x v="1609"/>
    <x v="214"/>
    <n v="32"/>
    <n v="232.25904761904761"/>
  </r>
  <r>
    <x v="18"/>
    <x v="1"/>
    <x v="1"/>
    <x v="3"/>
    <x v="0"/>
    <x v="1610"/>
    <x v="1481"/>
    <n v="162622"/>
    <n v="53660.015664224105"/>
  </r>
  <r>
    <x v="18"/>
    <x v="1"/>
    <x v="1"/>
    <x v="3"/>
    <x v="1"/>
    <x v="1611"/>
    <x v="639"/>
    <n v="1188"/>
    <n v="1591.8925423728813"/>
  </r>
  <r>
    <x v="18"/>
    <x v="1"/>
    <x v="1"/>
    <x v="4"/>
    <x v="0"/>
    <x v="1612"/>
    <x v="1482"/>
    <n v="51784"/>
    <n v="17651.02280092259"/>
  </r>
  <r>
    <x v="18"/>
    <x v="1"/>
    <x v="1"/>
    <x v="4"/>
    <x v="1"/>
    <x v="1613"/>
    <x v="871"/>
    <n v="167"/>
    <n v="104.3296195652174"/>
  </r>
  <r>
    <x v="18"/>
    <x v="1"/>
    <x v="2"/>
    <x v="0"/>
    <x v="0"/>
    <x v="1614"/>
    <x v="1483"/>
    <n v="3034"/>
    <n v="10624.361247695144"/>
  </r>
  <r>
    <x v="18"/>
    <x v="1"/>
    <x v="2"/>
    <x v="0"/>
    <x v="1"/>
    <x v="29"/>
    <x v="863"/>
    <n v="300"/>
    <n v="1413.1160714285716"/>
  </r>
  <r>
    <x v="18"/>
    <x v="1"/>
    <x v="2"/>
    <x v="1"/>
    <x v="0"/>
    <x v="1615"/>
    <x v="1484"/>
    <n v="7320"/>
    <n v="22497.306843379636"/>
  </r>
  <r>
    <x v="18"/>
    <x v="1"/>
    <x v="2"/>
    <x v="1"/>
    <x v="1"/>
    <x v="1616"/>
    <x v="659"/>
    <n v="576"/>
    <n v="2721.174019292604"/>
  </r>
  <r>
    <x v="18"/>
    <x v="1"/>
    <x v="2"/>
    <x v="2"/>
    <x v="0"/>
    <x v="1617"/>
    <x v="1485"/>
    <n v="1999"/>
    <n v="7247.7642304104475"/>
  </r>
  <r>
    <x v="18"/>
    <x v="1"/>
    <x v="2"/>
    <x v="2"/>
    <x v="1"/>
    <x v="1590"/>
    <x v="471"/>
    <n v="254"/>
    <n v="350.19915789473686"/>
  </r>
  <r>
    <x v="18"/>
    <x v="1"/>
    <x v="2"/>
    <x v="3"/>
    <x v="0"/>
    <x v="1618"/>
    <x v="1486"/>
    <n v="14545"/>
    <n v="67534.033279876836"/>
  </r>
  <r>
    <x v="18"/>
    <x v="1"/>
    <x v="2"/>
    <x v="3"/>
    <x v="1"/>
    <x v="1619"/>
    <x v="1487"/>
    <n v="1081"/>
    <n v="6530.2941830624459"/>
  </r>
  <r>
    <x v="18"/>
    <x v="1"/>
    <x v="2"/>
    <x v="4"/>
    <x v="0"/>
    <x v="1620"/>
    <x v="1488"/>
    <n v="5083"/>
    <n v="20118.01773352909"/>
  </r>
  <r>
    <x v="18"/>
    <x v="1"/>
    <x v="2"/>
    <x v="4"/>
    <x v="1"/>
    <x v="1439"/>
    <x v="1489"/>
    <n v="768"/>
    <n v="1671.1643384982121"/>
  </r>
  <r>
    <x v="18"/>
    <x v="2"/>
    <x v="0"/>
    <x v="0"/>
    <x v="0"/>
    <x v="1621"/>
    <x v="1490"/>
    <n v="16707"/>
    <n v="24860.642069306377"/>
  </r>
  <r>
    <x v="18"/>
    <x v="2"/>
    <x v="0"/>
    <x v="0"/>
    <x v="1"/>
    <x v="1622"/>
    <x v="1491"/>
    <n v="19520"/>
    <n v="107925.21654724373"/>
  </r>
  <r>
    <x v="18"/>
    <x v="2"/>
    <x v="0"/>
    <x v="1"/>
    <x v="0"/>
    <x v="1623"/>
    <x v="1492"/>
    <n v="17647"/>
    <n v="37498.512657571911"/>
  </r>
  <r>
    <x v="18"/>
    <x v="2"/>
    <x v="0"/>
    <x v="1"/>
    <x v="1"/>
    <x v="1624"/>
    <x v="1493"/>
    <n v="20932"/>
    <n v="127546.84635853593"/>
  </r>
  <r>
    <x v="18"/>
    <x v="2"/>
    <x v="0"/>
    <x v="2"/>
    <x v="0"/>
    <x v="1625"/>
    <x v="1494"/>
    <n v="5020"/>
    <n v="9242.9747305834262"/>
  </r>
  <r>
    <x v="18"/>
    <x v="2"/>
    <x v="0"/>
    <x v="2"/>
    <x v="1"/>
    <x v="1626"/>
    <x v="1495"/>
    <n v="4234"/>
    <n v="31068.434759921074"/>
  </r>
  <r>
    <x v="18"/>
    <x v="2"/>
    <x v="0"/>
    <x v="3"/>
    <x v="0"/>
    <x v="1627"/>
    <x v="1496"/>
    <n v="78129"/>
    <n v="191869.25736106632"/>
  </r>
  <r>
    <x v="18"/>
    <x v="2"/>
    <x v="0"/>
    <x v="3"/>
    <x v="1"/>
    <x v="1628"/>
    <x v="1497"/>
    <n v="107375"/>
    <n v="603857.83385686856"/>
  </r>
  <r>
    <x v="18"/>
    <x v="2"/>
    <x v="0"/>
    <x v="4"/>
    <x v="0"/>
    <x v="1629"/>
    <x v="1498"/>
    <n v="31977"/>
    <n v="79114.348981003248"/>
  </r>
  <r>
    <x v="18"/>
    <x v="2"/>
    <x v="0"/>
    <x v="4"/>
    <x v="1"/>
    <x v="1630"/>
    <x v="1499"/>
    <n v="47674"/>
    <n v="261062.82399999999"/>
  </r>
  <r>
    <x v="18"/>
    <x v="2"/>
    <x v="1"/>
    <x v="0"/>
    <x v="0"/>
    <x v="1631"/>
    <x v="1500"/>
    <n v="149895"/>
    <n v="79881.329123711359"/>
  </r>
  <r>
    <x v="18"/>
    <x v="2"/>
    <x v="1"/>
    <x v="0"/>
    <x v="1"/>
    <x v="1632"/>
    <x v="970"/>
    <n v="17866"/>
    <n v="14123.564660880413"/>
  </r>
  <r>
    <x v="18"/>
    <x v="2"/>
    <x v="1"/>
    <x v="1"/>
    <x v="0"/>
    <x v="1633"/>
    <x v="1501"/>
    <n v="183907"/>
    <n v="88190.891721964872"/>
  </r>
  <r>
    <x v="18"/>
    <x v="2"/>
    <x v="1"/>
    <x v="1"/>
    <x v="1"/>
    <x v="1634"/>
    <x v="1376"/>
    <n v="11003"/>
    <n v="13871.040862944163"/>
  </r>
  <r>
    <x v="18"/>
    <x v="2"/>
    <x v="1"/>
    <x v="2"/>
    <x v="0"/>
    <x v="1635"/>
    <x v="1502"/>
    <n v="73588"/>
    <n v="23448.555361811654"/>
  </r>
  <r>
    <x v="18"/>
    <x v="2"/>
    <x v="1"/>
    <x v="2"/>
    <x v="1"/>
    <x v="1636"/>
    <x v="1503"/>
    <n v="4533"/>
    <n v="2474.9273029808087"/>
  </r>
  <r>
    <x v="18"/>
    <x v="2"/>
    <x v="1"/>
    <x v="3"/>
    <x v="0"/>
    <x v="1637"/>
    <x v="1504"/>
    <n v="535865"/>
    <n v="339402.72265205975"/>
  </r>
  <r>
    <x v="18"/>
    <x v="2"/>
    <x v="1"/>
    <x v="3"/>
    <x v="1"/>
    <x v="1638"/>
    <x v="1505"/>
    <n v="55529"/>
    <n v="41154.263207629534"/>
  </r>
  <r>
    <x v="18"/>
    <x v="2"/>
    <x v="1"/>
    <x v="4"/>
    <x v="0"/>
    <x v="1639"/>
    <x v="1506"/>
    <n v="180421"/>
    <n v="128690.67393406673"/>
  </r>
  <r>
    <x v="18"/>
    <x v="2"/>
    <x v="1"/>
    <x v="4"/>
    <x v="1"/>
    <x v="1640"/>
    <x v="1507"/>
    <n v="28784"/>
    <n v="23122.463307973714"/>
  </r>
  <r>
    <x v="18"/>
    <x v="2"/>
    <x v="2"/>
    <x v="0"/>
    <x v="0"/>
    <x v="1641"/>
    <x v="1508"/>
    <n v="9639"/>
    <n v="102161.98097560975"/>
  </r>
  <r>
    <x v="18"/>
    <x v="2"/>
    <x v="2"/>
    <x v="0"/>
    <x v="1"/>
    <x v="1642"/>
    <x v="1509"/>
    <n v="44226"/>
    <n v="25231.001062950621"/>
  </r>
  <r>
    <x v="18"/>
    <x v="2"/>
    <x v="2"/>
    <x v="1"/>
    <x v="0"/>
    <x v="1643"/>
    <x v="1510"/>
    <n v="20000"/>
    <n v="185965.18777700022"/>
  </r>
  <r>
    <x v="18"/>
    <x v="2"/>
    <x v="2"/>
    <x v="1"/>
    <x v="1"/>
    <x v="1644"/>
    <x v="1511"/>
    <n v="135126"/>
    <n v="42339.392970126908"/>
  </r>
  <r>
    <x v="18"/>
    <x v="2"/>
    <x v="2"/>
    <x v="2"/>
    <x v="0"/>
    <x v="1645"/>
    <x v="1512"/>
    <n v="5411"/>
    <n v="51168.972231034488"/>
  </r>
  <r>
    <x v="18"/>
    <x v="2"/>
    <x v="2"/>
    <x v="2"/>
    <x v="1"/>
    <x v="1646"/>
    <x v="1513"/>
    <n v="36078"/>
    <n v="11781.288424452254"/>
  </r>
  <r>
    <x v="18"/>
    <x v="2"/>
    <x v="2"/>
    <x v="3"/>
    <x v="0"/>
    <x v="1647"/>
    <x v="1514"/>
    <n v="50211"/>
    <n v="560005.1240731104"/>
  </r>
  <r>
    <x v="18"/>
    <x v="2"/>
    <x v="2"/>
    <x v="3"/>
    <x v="1"/>
    <x v="1648"/>
    <x v="1515"/>
    <n v="493720"/>
    <n v="113982.18924695421"/>
  </r>
  <r>
    <x v="18"/>
    <x v="2"/>
    <x v="2"/>
    <x v="4"/>
    <x v="0"/>
    <x v="1649"/>
    <x v="1516"/>
    <n v="20419"/>
    <n v="191201.95219795287"/>
  </r>
  <r>
    <x v="18"/>
    <x v="2"/>
    <x v="2"/>
    <x v="4"/>
    <x v="1"/>
    <x v="1650"/>
    <x v="1517"/>
    <n v="112598"/>
    <n v="46344.658649351506"/>
  </r>
  <r>
    <x v="19"/>
    <x v="0"/>
    <x v="0"/>
    <x v="0"/>
    <x v="0"/>
    <x v="1651"/>
    <x v="1518"/>
    <n v="76931"/>
    <n v="57769.653455604006"/>
  </r>
  <r>
    <x v="19"/>
    <x v="0"/>
    <x v="0"/>
    <x v="0"/>
    <x v="1"/>
    <x v="1652"/>
    <x v="1519"/>
    <n v="8474"/>
    <n v="294208.98082067556"/>
  </r>
  <r>
    <x v="19"/>
    <x v="0"/>
    <x v="0"/>
    <x v="1"/>
    <x v="0"/>
    <x v="1653"/>
    <x v="1520"/>
    <n v="133939"/>
    <n v="97340.671895702966"/>
  </r>
  <r>
    <x v="19"/>
    <x v="0"/>
    <x v="0"/>
    <x v="1"/>
    <x v="1"/>
    <x v="1654"/>
    <x v="1521"/>
    <n v="21090"/>
    <n v="453274.16328594857"/>
  </r>
  <r>
    <x v="19"/>
    <x v="0"/>
    <x v="0"/>
    <x v="2"/>
    <x v="0"/>
    <x v="1655"/>
    <x v="1522"/>
    <n v="60251"/>
    <n v="45201.013942763253"/>
  </r>
  <r>
    <x v="19"/>
    <x v="0"/>
    <x v="0"/>
    <x v="2"/>
    <x v="1"/>
    <x v="1656"/>
    <x v="1523"/>
    <n v="6981"/>
    <n v="113895.85978547853"/>
  </r>
  <r>
    <x v="19"/>
    <x v="0"/>
    <x v="0"/>
    <x v="3"/>
    <x v="0"/>
    <x v="1657"/>
    <x v="1524"/>
    <n v="329753"/>
    <n v="250394.69186631576"/>
  </r>
  <r>
    <x v="19"/>
    <x v="0"/>
    <x v="0"/>
    <x v="3"/>
    <x v="1"/>
    <x v="1658"/>
    <x v="1525"/>
    <n v="40700"/>
    <n v="1367061.3177653947"/>
  </r>
  <r>
    <x v="19"/>
    <x v="0"/>
    <x v="0"/>
    <x v="4"/>
    <x v="0"/>
    <x v="1659"/>
    <x v="1526"/>
    <n v="110536"/>
    <n v="108188.86291105449"/>
  </r>
  <r>
    <x v="19"/>
    <x v="0"/>
    <x v="0"/>
    <x v="4"/>
    <x v="1"/>
    <x v="1660"/>
    <x v="1527"/>
    <n v="15391"/>
    <n v="518699.70003370778"/>
  </r>
  <r>
    <x v="19"/>
    <x v="0"/>
    <x v="1"/>
    <x v="0"/>
    <x v="0"/>
    <x v="1661"/>
    <x v="1528"/>
    <n v="704871"/>
    <n v="172786.55587613571"/>
  </r>
  <r>
    <x v="19"/>
    <x v="0"/>
    <x v="1"/>
    <x v="0"/>
    <x v="1"/>
    <x v="1662"/>
    <x v="232"/>
    <n v="23843"/>
    <n v="17501.431903554319"/>
  </r>
  <r>
    <x v="19"/>
    <x v="0"/>
    <x v="1"/>
    <x v="1"/>
    <x v="0"/>
    <x v="1663"/>
    <x v="1529"/>
    <n v="1422810"/>
    <n v="229438.71536822055"/>
  </r>
  <r>
    <x v="19"/>
    <x v="0"/>
    <x v="1"/>
    <x v="1"/>
    <x v="1"/>
    <x v="1664"/>
    <x v="1530"/>
    <n v="17680"/>
    <n v="20336.860151029501"/>
  </r>
  <r>
    <x v="19"/>
    <x v="0"/>
    <x v="1"/>
    <x v="2"/>
    <x v="0"/>
    <x v="1665"/>
    <x v="1531"/>
    <n v="837132"/>
    <n v="92417.756119432117"/>
  </r>
  <r>
    <x v="19"/>
    <x v="0"/>
    <x v="1"/>
    <x v="2"/>
    <x v="1"/>
    <x v="1666"/>
    <x v="1532"/>
    <n v="6817"/>
    <n v="8848.5754252323277"/>
  </r>
  <r>
    <x v="19"/>
    <x v="0"/>
    <x v="1"/>
    <x v="3"/>
    <x v="0"/>
    <x v="1667"/>
    <x v="1533"/>
    <n v="2471524"/>
    <n v="595700.3865441021"/>
  </r>
  <r>
    <x v="19"/>
    <x v="0"/>
    <x v="1"/>
    <x v="3"/>
    <x v="1"/>
    <x v="1668"/>
    <x v="912"/>
    <n v="61012"/>
    <n v="39224.44463629349"/>
  </r>
  <r>
    <x v="19"/>
    <x v="0"/>
    <x v="1"/>
    <x v="4"/>
    <x v="0"/>
    <x v="1669"/>
    <x v="1534"/>
    <n v="790827"/>
    <n v="202308.91335232588"/>
  </r>
  <r>
    <x v="19"/>
    <x v="0"/>
    <x v="1"/>
    <x v="4"/>
    <x v="1"/>
    <x v="1670"/>
    <x v="1535"/>
    <n v="22128"/>
    <n v="15872.456531205275"/>
  </r>
  <r>
    <x v="19"/>
    <x v="0"/>
    <x v="2"/>
    <x v="0"/>
    <x v="0"/>
    <x v="1671"/>
    <x v="1536"/>
    <n v="24398"/>
    <n v="123353.52958912744"/>
  </r>
  <r>
    <x v="19"/>
    <x v="0"/>
    <x v="2"/>
    <x v="0"/>
    <x v="1"/>
    <x v="1672"/>
    <x v="1537"/>
    <n v="9475"/>
    <n v="21241.888585029879"/>
  </r>
  <r>
    <x v="19"/>
    <x v="0"/>
    <x v="2"/>
    <x v="1"/>
    <x v="0"/>
    <x v="1673"/>
    <x v="1538"/>
    <n v="57396"/>
    <n v="219772.56728648941"/>
  </r>
  <r>
    <x v="19"/>
    <x v="0"/>
    <x v="2"/>
    <x v="1"/>
    <x v="1"/>
    <x v="1674"/>
    <x v="1539"/>
    <n v="51234"/>
    <n v="35073.463468871269"/>
  </r>
  <r>
    <x v="19"/>
    <x v="0"/>
    <x v="2"/>
    <x v="2"/>
    <x v="0"/>
    <x v="1675"/>
    <x v="1540"/>
    <n v="29042"/>
    <n v="81258.241562034615"/>
  </r>
  <r>
    <x v="19"/>
    <x v="0"/>
    <x v="2"/>
    <x v="2"/>
    <x v="1"/>
    <x v="1676"/>
    <x v="1541"/>
    <n v="27729"/>
    <n v="15379.560374181479"/>
  </r>
  <r>
    <x v="19"/>
    <x v="0"/>
    <x v="2"/>
    <x v="3"/>
    <x v="0"/>
    <x v="1677"/>
    <x v="1542"/>
    <n v="88094"/>
    <n v="506830.48144980031"/>
  </r>
  <r>
    <x v="19"/>
    <x v="0"/>
    <x v="2"/>
    <x v="3"/>
    <x v="1"/>
    <x v="1678"/>
    <x v="1543"/>
    <n v="44527"/>
    <n v="68967.896631415366"/>
  </r>
  <r>
    <x v="19"/>
    <x v="0"/>
    <x v="2"/>
    <x v="4"/>
    <x v="0"/>
    <x v="1679"/>
    <x v="1544"/>
    <n v="32019"/>
    <n v="187986.59192951914"/>
  </r>
  <r>
    <x v="19"/>
    <x v="0"/>
    <x v="2"/>
    <x v="4"/>
    <x v="1"/>
    <x v="1526"/>
    <x v="1545"/>
    <n v="8573"/>
    <n v="23398.102013205018"/>
  </r>
  <r>
    <x v="19"/>
    <x v="1"/>
    <x v="0"/>
    <x v="0"/>
    <x v="0"/>
    <x v="1680"/>
    <x v="1546"/>
    <n v="7386"/>
    <n v="1738.1892013270881"/>
  </r>
  <r>
    <x v="19"/>
    <x v="1"/>
    <x v="0"/>
    <x v="0"/>
    <x v="1"/>
    <x v="1681"/>
    <x v="556"/>
    <n v="93"/>
    <n v="20679.357878787876"/>
  </r>
  <r>
    <x v="19"/>
    <x v="1"/>
    <x v="0"/>
    <x v="1"/>
    <x v="0"/>
    <x v="1682"/>
    <x v="1547"/>
    <n v="12587"/>
    <n v="1581.4814431778268"/>
  </r>
  <r>
    <x v="19"/>
    <x v="1"/>
    <x v="0"/>
    <x v="1"/>
    <x v="1"/>
    <x v="1683"/>
    <x v="1489"/>
    <n v="273"/>
    <n v="30579.879424137933"/>
  </r>
  <r>
    <x v="19"/>
    <x v="1"/>
    <x v="0"/>
    <x v="2"/>
    <x v="0"/>
    <x v="1684"/>
    <x v="1548"/>
    <n v="3179"/>
    <n v="507.10285886974924"/>
  </r>
  <r>
    <x v="19"/>
    <x v="1"/>
    <x v="0"/>
    <x v="2"/>
    <x v="1"/>
    <x v="1685"/>
    <x v="131"/>
    <n v="64"/>
    <n v="7789.1335211267606"/>
  </r>
  <r>
    <x v="19"/>
    <x v="1"/>
    <x v="0"/>
    <x v="3"/>
    <x v="0"/>
    <x v="1686"/>
    <x v="1549"/>
    <n v="44317"/>
    <n v="7473.846174269107"/>
  </r>
  <r>
    <x v="19"/>
    <x v="1"/>
    <x v="0"/>
    <x v="3"/>
    <x v="1"/>
    <x v="1687"/>
    <x v="1550"/>
    <n v="785"/>
    <n v="128479.75042787284"/>
  </r>
  <r>
    <x v="19"/>
    <x v="1"/>
    <x v="0"/>
    <x v="4"/>
    <x v="0"/>
    <x v="1688"/>
    <x v="1551"/>
    <n v="14902"/>
    <n v="2267.8334543566593"/>
  </r>
  <r>
    <x v="19"/>
    <x v="1"/>
    <x v="0"/>
    <x v="4"/>
    <x v="1"/>
    <x v="1689"/>
    <x v="140"/>
    <n v="297"/>
    <n v="45165.690580645154"/>
  </r>
  <r>
    <x v="19"/>
    <x v="1"/>
    <x v="1"/>
    <x v="0"/>
    <x v="0"/>
    <x v="1690"/>
    <x v="1552"/>
    <n v="35485"/>
    <n v="10915.801492375615"/>
  </r>
  <r>
    <x v="19"/>
    <x v="1"/>
    <x v="1"/>
    <x v="0"/>
    <x v="1"/>
    <x v="1691"/>
    <x v="632"/>
    <n v="46"/>
    <n v="240.05560000000003"/>
  </r>
  <r>
    <x v="19"/>
    <x v="1"/>
    <x v="1"/>
    <x v="1"/>
    <x v="0"/>
    <x v="1692"/>
    <x v="1553"/>
    <n v="67923"/>
    <n v="13862.683509126928"/>
  </r>
  <r>
    <x v="19"/>
    <x v="1"/>
    <x v="1"/>
    <x v="1"/>
    <x v="1"/>
    <x v="1693"/>
    <x v="59"/>
    <n v="230"/>
    <n v="386.65663057851236"/>
  </r>
  <r>
    <x v="19"/>
    <x v="1"/>
    <x v="1"/>
    <x v="2"/>
    <x v="0"/>
    <x v="1694"/>
    <x v="1554"/>
    <n v="23613"/>
    <n v="3849.517758557532"/>
  </r>
  <r>
    <x v="19"/>
    <x v="1"/>
    <x v="1"/>
    <x v="2"/>
    <x v="1"/>
    <x v="1695"/>
    <x v="300"/>
    <n v="35"/>
    <n v="254.03333333333333"/>
  </r>
  <r>
    <x v="19"/>
    <x v="1"/>
    <x v="1"/>
    <x v="3"/>
    <x v="0"/>
    <x v="1696"/>
    <x v="1555"/>
    <n v="167502"/>
    <n v="55270.258290937672"/>
  </r>
  <r>
    <x v="19"/>
    <x v="1"/>
    <x v="1"/>
    <x v="3"/>
    <x v="1"/>
    <x v="1697"/>
    <x v="1556"/>
    <n v="1232"/>
    <n v="1650.8515254237288"/>
  </r>
  <r>
    <x v="19"/>
    <x v="1"/>
    <x v="1"/>
    <x v="4"/>
    <x v="0"/>
    <x v="1698"/>
    <x v="1557"/>
    <n v="53338"/>
    <n v="18180.71709708808"/>
  </r>
  <r>
    <x v="19"/>
    <x v="1"/>
    <x v="1"/>
    <x v="4"/>
    <x v="1"/>
    <x v="1699"/>
    <x v="51"/>
    <n v="172"/>
    <n v="107.45326086956521"/>
  </r>
  <r>
    <x v="19"/>
    <x v="1"/>
    <x v="2"/>
    <x v="0"/>
    <x v="0"/>
    <x v="1700"/>
    <x v="1558"/>
    <n v="3125"/>
    <n v="10943.02204978488"/>
  </r>
  <r>
    <x v="19"/>
    <x v="1"/>
    <x v="2"/>
    <x v="0"/>
    <x v="1"/>
    <x v="1701"/>
    <x v="882"/>
    <n v="312"/>
    <n v="1469.6407142857145"/>
  </r>
  <r>
    <x v="19"/>
    <x v="1"/>
    <x v="2"/>
    <x v="1"/>
    <x v="0"/>
    <x v="1702"/>
    <x v="1559"/>
    <n v="7540"/>
    <n v="23173.455409710718"/>
  </r>
  <r>
    <x v="19"/>
    <x v="1"/>
    <x v="2"/>
    <x v="1"/>
    <x v="1"/>
    <x v="1703"/>
    <x v="1560"/>
    <n v="597"/>
    <n v="2820.3834887459802"/>
  </r>
  <r>
    <x v="19"/>
    <x v="1"/>
    <x v="2"/>
    <x v="2"/>
    <x v="0"/>
    <x v="1704"/>
    <x v="1561"/>
    <n v="2059"/>
    <n v="7465.3059281716414"/>
  </r>
  <r>
    <x v="19"/>
    <x v="1"/>
    <x v="2"/>
    <x v="2"/>
    <x v="1"/>
    <x v="1676"/>
    <x v="550"/>
    <n v="264"/>
    <n v="363.98652631578949"/>
  </r>
  <r>
    <x v="19"/>
    <x v="1"/>
    <x v="2"/>
    <x v="3"/>
    <x v="0"/>
    <x v="1705"/>
    <x v="1562"/>
    <n v="14982"/>
    <n v="69563.072299698499"/>
  </r>
  <r>
    <x v="19"/>
    <x v="1"/>
    <x v="2"/>
    <x v="3"/>
    <x v="1"/>
    <x v="1706"/>
    <x v="1563"/>
    <n v="1117"/>
    <n v="6747.7692899914446"/>
  </r>
  <r>
    <x v="19"/>
    <x v="1"/>
    <x v="2"/>
    <x v="4"/>
    <x v="0"/>
    <x v="1707"/>
    <x v="1564"/>
    <n v="5236"/>
    <n v="20723.576795742338"/>
  </r>
  <r>
    <x v="19"/>
    <x v="1"/>
    <x v="2"/>
    <x v="4"/>
    <x v="1"/>
    <x v="1526"/>
    <x v="1565"/>
    <n v="791"/>
    <n v="1721.2122288438618"/>
  </r>
  <r>
    <x v="19"/>
    <x v="2"/>
    <x v="0"/>
    <x v="0"/>
    <x v="0"/>
    <x v="1708"/>
    <x v="1566"/>
    <n v="17209"/>
    <n v="25607.636880989612"/>
  </r>
  <r>
    <x v="19"/>
    <x v="2"/>
    <x v="0"/>
    <x v="0"/>
    <x v="1"/>
    <x v="1709"/>
    <x v="1567"/>
    <n v="20109"/>
    <n v="111181.77149326456"/>
  </r>
  <r>
    <x v="19"/>
    <x v="2"/>
    <x v="0"/>
    <x v="1"/>
    <x v="0"/>
    <x v="1710"/>
    <x v="1568"/>
    <n v="18176"/>
    <n v="38622.596818950929"/>
  </r>
  <r>
    <x v="19"/>
    <x v="2"/>
    <x v="0"/>
    <x v="1"/>
    <x v="1"/>
    <x v="1711"/>
    <x v="1569"/>
    <n v="21564"/>
    <n v="131397.8690462196"/>
  </r>
  <r>
    <x v="19"/>
    <x v="2"/>
    <x v="0"/>
    <x v="2"/>
    <x v="0"/>
    <x v="1712"/>
    <x v="1570"/>
    <n v="5171"/>
    <n v="9521.0004645113331"/>
  </r>
  <r>
    <x v="19"/>
    <x v="2"/>
    <x v="0"/>
    <x v="2"/>
    <x v="1"/>
    <x v="1713"/>
    <x v="1571"/>
    <n v="4365"/>
    <n v="32029.692424906822"/>
  </r>
  <r>
    <x v="19"/>
    <x v="2"/>
    <x v="0"/>
    <x v="3"/>
    <x v="0"/>
    <x v="1714"/>
    <x v="1572"/>
    <n v="80474"/>
    <n v="197628.11013675397"/>
  </r>
  <r>
    <x v="19"/>
    <x v="2"/>
    <x v="0"/>
    <x v="3"/>
    <x v="1"/>
    <x v="1715"/>
    <x v="1573"/>
    <n v="110602"/>
    <n v="622005.90584621532"/>
  </r>
  <r>
    <x v="19"/>
    <x v="2"/>
    <x v="0"/>
    <x v="4"/>
    <x v="0"/>
    <x v="1716"/>
    <x v="1574"/>
    <n v="32937"/>
    <n v="81489.486580583034"/>
  </r>
  <r>
    <x v="19"/>
    <x v="2"/>
    <x v="0"/>
    <x v="4"/>
    <x v="1"/>
    <x v="1717"/>
    <x v="1575"/>
    <n v="49105"/>
    <n v="268898.98"/>
  </r>
  <r>
    <x v="19"/>
    <x v="2"/>
    <x v="1"/>
    <x v="0"/>
    <x v="0"/>
    <x v="1718"/>
    <x v="1576"/>
    <n v="154393"/>
    <n v="82278.381849942743"/>
  </r>
  <r>
    <x v="19"/>
    <x v="2"/>
    <x v="1"/>
    <x v="0"/>
    <x v="1"/>
    <x v="1719"/>
    <x v="1577"/>
    <n v="18442"/>
    <n v="14578.908512031599"/>
  </r>
  <r>
    <x v="19"/>
    <x v="2"/>
    <x v="1"/>
    <x v="1"/>
    <x v="0"/>
    <x v="1720"/>
    <x v="1578"/>
    <n v="189428"/>
    <n v="90838.435932881082"/>
  </r>
  <r>
    <x v="19"/>
    <x v="2"/>
    <x v="1"/>
    <x v="1"/>
    <x v="1"/>
    <x v="1721"/>
    <x v="1579"/>
    <n v="11339"/>
    <n v="14294.622588832486"/>
  </r>
  <r>
    <x v="19"/>
    <x v="2"/>
    <x v="1"/>
    <x v="2"/>
    <x v="0"/>
    <x v="1722"/>
    <x v="1580"/>
    <n v="75800"/>
    <n v="24153.401321211659"/>
  </r>
  <r>
    <x v="19"/>
    <x v="2"/>
    <x v="1"/>
    <x v="2"/>
    <x v="1"/>
    <x v="1723"/>
    <x v="800"/>
    <n v="4689"/>
    <n v="2560.1001817068191"/>
  </r>
  <r>
    <x v="19"/>
    <x v="2"/>
    <x v="1"/>
    <x v="3"/>
    <x v="0"/>
    <x v="1724"/>
    <x v="1581"/>
    <n v="551943"/>
    <n v="349586.10274741921"/>
  </r>
  <r>
    <x v="19"/>
    <x v="2"/>
    <x v="1"/>
    <x v="3"/>
    <x v="1"/>
    <x v="1725"/>
    <x v="1582"/>
    <n v="57210"/>
    <n v="42400.104415863527"/>
  </r>
  <r>
    <x v="19"/>
    <x v="2"/>
    <x v="1"/>
    <x v="4"/>
    <x v="0"/>
    <x v="1726"/>
    <x v="1583"/>
    <n v="185834"/>
    <n v="132551.65806565399"/>
  </r>
  <r>
    <x v="19"/>
    <x v="2"/>
    <x v="1"/>
    <x v="4"/>
    <x v="1"/>
    <x v="1727"/>
    <x v="1584"/>
    <n v="29648"/>
    <n v="23816.52279581728"/>
  </r>
  <r>
    <x v="19"/>
    <x v="2"/>
    <x v="2"/>
    <x v="0"/>
    <x v="0"/>
    <x v="1728"/>
    <x v="1585"/>
    <n v="9929"/>
    <n v="105235.63742160279"/>
  </r>
  <r>
    <x v="19"/>
    <x v="2"/>
    <x v="2"/>
    <x v="0"/>
    <x v="1"/>
    <x v="1729"/>
    <x v="1586"/>
    <n v="45580"/>
    <n v="26003.460146730191"/>
  </r>
  <r>
    <x v="19"/>
    <x v="2"/>
    <x v="2"/>
    <x v="1"/>
    <x v="0"/>
    <x v="1730"/>
    <x v="1587"/>
    <n v="20600"/>
    <n v="191544.14341031024"/>
  </r>
  <r>
    <x v="19"/>
    <x v="2"/>
    <x v="2"/>
    <x v="1"/>
    <x v="1"/>
    <x v="1731"/>
    <x v="1588"/>
    <n v="139219"/>
    <n v="43621.863667303835"/>
  </r>
  <r>
    <x v="19"/>
    <x v="2"/>
    <x v="2"/>
    <x v="2"/>
    <x v="0"/>
    <x v="1732"/>
    <x v="1589"/>
    <n v="5573"/>
    <n v="52700.92076206897"/>
  </r>
  <r>
    <x v="19"/>
    <x v="2"/>
    <x v="2"/>
    <x v="2"/>
    <x v="1"/>
    <x v="1733"/>
    <x v="1590"/>
    <n v="37164"/>
    <n v="12135.922251963622"/>
  </r>
  <r>
    <x v="19"/>
    <x v="2"/>
    <x v="2"/>
    <x v="3"/>
    <x v="0"/>
    <x v="1734"/>
    <x v="1591"/>
    <n v="51718"/>
    <n v="576812.7503298705"/>
  </r>
  <r>
    <x v="19"/>
    <x v="2"/>
    <x v="2"/>
    <x v="3"/>
    <x v="1"/>
    <x v="1735"/>
    <x v="1592"/>
    <n v="508563"/>
    <n v="117408.90405492744"/>
  </r>
  <r>
    <x v="19"/>
    <x v="2"/>
    <x v="2"/>
    <x v="4"/>
    <x v="0"/>
    <x v="1736"/>
    <x v="1593"/>
    <n v="21033"/>
    <n v="196951.40117437398"/>
  </r>
  <r>
    <x v="19"/>
    <x v="2"/>
    <x v="2"/>
    <x v="4"/>
    <x v="1"/>
    <x v="1737"/>
    <x v="1594"/>
    <n v="116009"/>
    <n v="47748.60570571963"/>
  </r>
  <r>
    <x v="20"/>
    <x v="0"/>
    <x v="0"/>
    <x v="0"/>
    <x v="0"/>
    <x v="1738"/>
    <x v="1595"/>
    <n v="78470"/>
    <n v="58925.331877412827"/>
  </r>
  <r>
    <x v="20"/>
    <x v="0"/>
    <x v="0"/>
    <x v="0"/>
    <x v="1"/>
    <x v="1739"/>
    <x v="1596"/>
    <n v="8645"/>
    <n v="300145.93334844708"/>
  </r>
  <r>
    <x v="20"/>
    <x v="0"/>
    <x v="0"/>
    <x v="1"/>
    <x v="0"/>
    <x v="1740"/>
    <x v="1597"/>
    <n v="136619"/>
    <n v="99288.371973204543"/>
  </r>
  <r>
    <x v="20"/>
    <x v="0"/>
    <x v="0"/>
    <x v="1"/>
    <x v="1"/>
    <x v="1741"/>
    <x v="1598"/>
    <n v="21515"/>
    <n v="462408.42214780388"/>
  </r>
  <r>
    <x v="20"/>
    <x v="0"/>
    <x v="0"/>
    <x v="2"/>
    <x v="0"/>
    <x v="1742"/>
    <x v="1599"/>
    <n v="61456"/>
    <n v="46105.019217381596"/>
  </r>
  <r>
    <x v="20"/>
    <x v="0"/>
    <x v="0"/>
    <x v="2"/>
    <x v="1"/>
    <x v="1743"/>
    <x v="1600"/>
    <n v="7122"/>
    <n v="116196.2918481848"/>
  </r>
  <r>
    <x v="20"/>
    <x v="0"/>
    <x v="0"/>
    <x v="3"/>
    <x v="0"/>
    <x v="1744"/>
    <x v="1601"/>
    <n v="336349"/>
    <n v="255403.2994833813"/>
  </r>
  <r>
    <x v="20"/>
    <x v="0"/>
    <x v="0"/>
    <x v="3"/>
    <x v="1"/>
    <x v="1745"/>
    <x v="1602"/>
    <n v="21002"/>
    <n v="705430.51095107663"/>
  </r>
  <r>
    <x v="20"/>
    <x v="0"/>
    <x v="0"/>
    <x v="4"/>
    <x v="0"/>
    <x v="1746"/>
    <x v="1603"/>
    <n v="112747"/>
    <n v="110352.9142237159"/>
  </r>
  <r>
    <x v="20"/>
    <x v="0"/>
    <x v="0"/>
    <x v="4"/>
    <x v="1"/>
    <x v="1747"/>
    <x v="1604"/>
    <n v="15703"/>
    <n v="529214.56628089875"/>
  </r>
  <r>
    <x v="20"/>
    <x v="0"/>
    <x v="1"/>
    <x v="0"/>
    <x v="0"/>
    <x v="1748"/>
    <x v="1605"/>
    <n v="718970"/>
    <n v="176242.67430248272"/>
  </r>
  <r>
    <x v="20"/>
    <x v="0"/>
    <x v="1"/>
    <x v="0"/>
    <x v="1"/>
    <x v="1749"/>
    <x v="318"/>
    <n v="24343"/>
    <n v="17868.445951777157"/>
  </r>
  <r>
    <x v="20"/>
    <x v="0"/>
    <x v="1"/>
    <x v="1"/>
    <x v="0"/>
    <x v="1750"/>
    <x v="1606"/>
    <n v="1451267"/>
    <n v="234027.61868154659"/>
  </r>
  <r>
    <x v="20"/>
    <x v="0"/>
    <x v="1"/>
    <x v="1"/>
    <x v="1"/>
    <x v="1751"/>
    <x v="1607"/>
    <n v="18036"/>
    <n v="20746.358013799101"/>
  </r>
  <r>
    <x v="20"/>
    <x v="0"/>
    <x v="1"/>
    <x v="2"/>
    <x v="0"/>
    <x v="1752"/>
    <x v="1608"/>
    <n v="853877"/>
    <n v="94266.371781263093"/>
  </r>
  <r>
    <x v="20"/>
    <x v="0"/>
    <x v="1"/>
    <x v="2"/>
    <x v="1"/>
    <x v="1753"/>
    <x v="1609"/>
    <n v="6959"/>
    <n v="9032.8937045902567"/>
  </r>
  <r>
    <x v="20"/>
    <x v="0"/>
    <x v="1"/>
    <x v="3"/>
    <x v="0"/>
    <x v="1754"/>
    <x v="1610"/>
    <n v="2520956"/>
    <n v="607614.7606337925"/>
  </r>
  <r>
    <x v="20"/>
    <x v="0"/>
    <x v="1"/>
    <x v="3"/>
    <x v="1"/>
    <x v="1755"/>
    <x v="1611"/>
    <n v="62243"/>
    <n v="40015.851103009503"/>
  </r>
  <r>
    <x v="20"/>
    <x v="0"/>
    <x v="1"/>
    <x v="4"/>
    <x v="0"/>
    <x v="1756"/>
    <x v="1612"/>
    <n v="806644"/>
    <n v="206355.20929631079"/>
  </r>
  <r>
    <x v="20"/>
    <x v="0"/>
    <x v="1"/>
    <x v="4"/>
    <x v="1"/>
    <x v="1757"/>
    <x v="1613"/>
    <n v="22592"/>
    <n v="16205.284614650649"/>
  </r>
  <r>
    <x v="20"/>
    <x v="0"/>
    <x v="2"/>
    <x v="0"/>
    <x v="0"/>
    <x v="1758"/>
    <x v="1614"/>
    <n v="24886"/>
    <n v="125820.80241638764"/>
  </r>
  <r>
    <x v="20"/>
    <x v="0"/>
    <x v="2"/>
    <x v="0"/>
    <x v="1"/>
    <x v="1759"/>
    <x v="1615"/>
    <n v="9674"/>
    <n v="21688.02429251494"/>
  </r>
  <r>
    <x v="20"/>
    <x v="0"/>
    <x v="2"/>
    <x v="1"/>
    <x v="0"/>
    <x v="1760"/>
    <x v="1616"/>
    <n v="58545"/>
    <n v="224172.15401399962"/>
  </r>
  <r>
    <x v="20"/>
    <x v="0"/>
    <x v="2"/>
    <x v="1"/>
    <x v="1"/>
    <x v="1761"/>
    <x v="1617"/>
    <n v="52276"/>
    <n v="35786.789559642319"/>
  </r>
  <r>
    <x v="20"/>
    <x v="0"/>
    <x v="2"/>
    <x v="2"/>
    <x v="0"/>
    <x v="1762"/>
    <x v="1618"/>
    <n v="29624"/>
    <n v="82886.65202237152"/>
  </r>
  <r>
    <x v="20"/>
    <x v="0"/>
    <x v="2"/>
    <x v="2"/>
    <x v="1"/>
    <x v="1763"/>
    <x v="1619"/>
    <n v="28296"/>
    <n v="15694.040187090741"/>
  </r>
  <r>
    <x v="20"/>
    <x v="0"/>
    <x v="2"/>
    <x v="3"/>
    <x v="0"/>
    <x v="1764"/>
    <x v="1620"/>
    <n v="89856"/>
    <n v="516967.78147380362"/>
  </r>
  <r>
    <x v="20"/>
    <x v="0"/>
    <x v="2"/>
    <x v="3"/>
    <x v="1"/>
    <x v="1765"/>
    <x v="1621"/>
    <n v="45422"/>
    <n v="70354.162660681133"/>
  </r>
  <r>
    <x v="20"/>
    <x v="0"/>
    <x v="2"/>
    <x v="4"/>
    <x v="0"/>
    <x v="1766"/>
    <x v="1622"/>
    <n v="32660"/>
    <n v="191749.96384703129"/>
  </r>
  <r>
    <x v="20"/>
    <x v="0"/>
    <x v="2"/>
    <x v="4"/>
    <x v="1"/>
    <x v="1767"/>
    <x v="1623"/>
    <n v="8754"/>
    <n v="23892.10136750224"/>
  </r>
  <r>
    <x v="20"/>
    <x v="1"/>
    <x v="0"/>
    <x v="0"/>
    <x v="0"/>
    <x v="1768"/>
    <x v="1624"/>
    <n v="7535"/>
    <n v="1773.254215001301"/>
  </r>
  <r>
    <x v="20"/>
    <x v="1"/>
    <x v="0"/>
    <x v="0"/>
    <x v="1"/>
    <x v="1769"/>
    <x v="1479"/>
    <n v="96"/>
    <n v="21346.433939393937"/>
  </r>
  <r>
    <x v="20"/>
    <x v="1"/>
    <x v="0"/>
    <x v="1"/>
    <x v="0"/>
    <x v="1770"/>
    <x v="1625"/>
    <n v="12839"/>
    <n v="1613.1437394899594"/>
  </r>
  <r>
    <x v="20"/>
    <x v="1"/>
    <x v="0"/>
    <x v="1"/>
    <x v="1"/>
    <x v="1771"/>
    <x v="1565"/>
    <n v="281"/>
    <n v="31475.993106896552"/>
  </r>
  <r>
    <x v="20"/>
    <x v="1"/>
    <x v="0"/>
    <x v="2"/>
    <x v="0"/>
    <x v="1772"/>
    <x v="1626"/>
    <n v="3243"/>
    <n v="517.31191296464192"/>
  </r>
  <r>
    <x v="20"/>
    <x v="1"/>
    <x v="0"/>
    <x v="2"/>
    <x v="1"/>
    <x v="1773"/>
    <x v="216"/>
    <n v="67"/>
    <n v="8154.2491549295773"/>
  </r>
  <r>
    <x v="20"/>
    <x v="1"/>
    <x v="0"/>
    <x v="3"/>
    <x v="0"/>
    <x v="1774"/>
    <x v="1627"/>
    <n v="45203"/>
    <n v="7623.2657584106882"/>
  </r>
  <r>
    <x v="20"/>
    <x v="1"/>
    <x v="0"/>
    <x v="3"/>
    <x v="1"/>
    <x v="1775"/>
    <x v="739"/>
    <n v="383"/>
    <n v="62685.024731051337"/>
  </r>
  <r>
    <x v="20"/>
    <x v="1"/>
    <x v="0"/>
    <x v="4"/>
    <x v="0"/>
    <x v="1776"/>
    <x v="1628"/>
    <n v="15200"/>
    <n v="2313.1840361173818"/>
  </r>
  <r>
    <x v="20"/>
    <x v="1"/>
    <x v="0"/>
    <x v="4"/>
    <x v="1"/>
    <x v="1777"/>
    <x v="225"/>
    <n v="303"/>
    <n v="46078.128774193545"/>
  </r>
  <r>
    <x v="20"/>
    <x v="1"/>
    <x v="1"/>
    <x v="0"/>
    <x v="0"/>
    <x v="1778"/>
    <x v="1629"/>
    <n v="36196"/>
    <n v="11134.517424771811"/>
  </r>
  <r>
    <x v="20"/>
    <x v="1"/>
    <x v="1"/>
    <x v="0"/>
    <x v="1"/>
    <x v="1779"/>
    <x v="711"/>
    <n v="48"/>
    <n v="250.49280000000002"/>
  </r>
  <r>
    <x v="20"/>
    <x v="1"/>
    <x v="1"/>
    <x v="1"/>
    <x v="0"/>
    <x v="1780"/>
    <x v="1630"/>
    <n v="69282"/>
    <n v="14140.047390123107"/>
  </r>
  <r>
    <x v="20"/>
    <x v="1"/>
    <x v="1"/>
    <x v="1"/>
    <x v="1"/>
    <x v="1781"/>
    <x v="145"/>
    <n v="236"/>
    <n v="396.74332528925618"/>
  </r>
  <r>
    <x v="20"/>
    <x v="1"/>
    <x v="1"/>
    <x v="2"/>
    <x v="0"/>
    <x v="1782"/>
    <x v="1631"/>
    <n v="24086"/>
    <n v="3926.6287524929789"/>
  </r>
  <r>
    <x v="20"/>
    <x v="1"/>
    <x v="1"/>
    <x v="2"/>
    <x v="1"/>
    <x v="1783"/>
    <x v="49"/>
    <n v="38"/>
    <n v="275.80761904761903"/>
  </r>
  <r>
    <x v="20"/>
    <x v="1"/>
    <x v="1"/>
    <x v="3"/>
    <x v="0"/>
    <x v="1784"/>
    <x v="1632"/>
    <n v="170853"/>
    <n v="56375.980225797743"/>
  </r>
  <r>
    <x v="20"/>
    <x v="1"/>
    <x v="1"/>
    <x v="3"/>
    <x v="1"/>
    <x v="1785"/>
    <x v="1633"/>
    <n v="1265"/>
    <n v="1695.0707627118643"/>
  </r>
  <r>
    <x v="20"/>
    <x v="1"/>
    <x v="1"/>
    <x v="4"/>
    <x v="0"/>
    <x v="1786"/>
    <x v="1634"/>
    <n v="54406"/>
    <n v="18544.754103719188"/>
  </r>
  <r>
    <x v="20"/>
    <x v="1"/>
    <x v="1"/>
    <x v="4"/>
    <x v="1"/>
    <x v="1787"/>
    <x v="138"/>
    <n v="178"/>
    <n v="111.20163043478261"/>
  </r>
  <r>
    <x v="20"/>
    <x v="1"/>
    <x v="2"/>
    <x v="0"/>
    <x v="0"/>
    <x v="1788"/>
    <x v="1635"/>
    <n v="3189"/>
    <n v="11167.135141364473"/>
  </r>
  <r>
    <x v="20"/>
    <x v="1"/>
    <x v="2"/>
    <x v="0"/>
    <x v="1"/>
    <x v="1789"/>
    <x v="1033"/>
    <n v="324"/>
    <n v="1526.1653571428574"/>
  </r>
  <r>
    <x v="20"/>
    <x v="1"/>
    <x v="2"/>
    <x v="1"/>
    <x v="0"/>
    <x v="1790"/>
    <x v="1636"/>
    <n v="7692"/>
    <n v="23640.612600994013"/>
  </r>
  <r>
    <x v="20"/>
    <x v="1"/>
    <x v="2"/>
    <x v="1"/>
    <x v="1"/>
    <x v="1791"/>
    <x v="1637"/>
    <n v="609"/>
    <n v="2877.0746141479094"/>
  </r>
  <r>
    <x v="20"/>
    <x v="1"/>
    <x v="2"/>
    <x v="2"/>
    <x v="0"/>
    <x v="1792"/>
    <x v="1638"/>
    <n v="2101"/>
    <n v="7617.5851166044777"/>
  </r>
  <r>
    <x v="20"/>
    <x v="1"/>
    <x v="2"/>
    <x v="2"/>
    <x v="1"/>
    <x v="1763"/>
    <x v="632"/>
    <n v="274"/>
    <n v="377.77389473684212"/>
  </r>
  <r>
    <x v="20"/>
    <x v="1"/>
    <x v="2"/>
    <x v="3"/>
    <x v="0"/>
    <x v="1793"/>
    <x v="1639"/>
    <n v="15282"/>
    <n v="70956.005265251137"/>
  </r>
  <r>
    <x v="20"/>
    <x v="1"/>
    <x v="2"/>
    <x v="3"/>
    <x v="1"/>
    <x v="1794"/>
    <x v="545"/>
    <n v="1143"/>
    <n v="6904.8346449957216"/>
  </r>
  <r>
    <x v="20"/>
    <x v="1"/>
    <x v="2"/>
    <x v="4"/>
    <x v="0"/>
    <x v="1795"/>
    <x v="1640"/>
    <n v="5341"/>
    <n v="21139.15654432006"/>
  </r>
  <r>
    <x v="20"/>
    <x v="1"/>
    <x v="2"/>
    <x v="4"/>
    <x v="1"/>
    <x v="1767"/>
    <x v="1641"/>
    <n v="815"/>
    <n v="1773.4361144219308"/>
  </r>
  <r>
    <x v="20"/>
    <x v="2"/>
    <x v="0"/>
    <x v="0"/>
    <x v="0"/>
    <x v="1796"/>
    <x v="1642"/>
    <n v="17554"/>
    <n v="26121.009809337651"/>
  </r>
  <r>
    <x v="20"/>
    <x v="2"/>
    <x v="0"/>
    <x v="0"/>
    <x v="1"/>
    <x v="1797"/>
    <x v="1643"/>
    <n v="20513"/>
    <n v="113415.4696226235"/>
  </r>
  <r>
    <x v="20"/>
    <x v="2"/>
    <x v="0"/>
    <x v="1"/>
    <x v="0"/>
    <x v="1798"/>
    <x v="1644"/>
    <n v="18540"/>
    <n v="39396.068718274109"/>
  </r>
  <r>
    <x v="20"/>
    <x v="2"/>
    <x v="0"/>
    <x v="1"/>
    <x v="1"/>
    <x v="1799"/>
    <x v="1645"/>
    <n v="22004"/>
    <n v="134078.96079080951"/>
  </r>
  <r>
    <x v="20"/>
    <x v="2"/>
    <x v="0"/>
    <x v="2"/>
    <x v="0"/>
    <x v="1800"/>
    <x v="1646"/>
    <n v="5276"/>
    <n v="9714.3296172426599"/>
  </r>
  <r>
    <x v="20"/>
    <x v="2"/>
    <x v="0"/>
    <x v="2"/>
    <x v="1"/>
    <x v="1801"/>
    <x v="1647"/>
    <n v="4463"/>
    <n v="32748.801212453411"/>
  </r>
  <r>
    <x v="20"/>
    <x v="2"/>
    <x v="0"/>
    <x v="3"/>
    <x v="0"/>
    <x v="1802"/>
    <x v="1648"/>
    <n v="82084"/>
    <n v="201581.9493558828"/>
  </r>
  <r>
    <x v="20"/>
    <x v="2"/>
    <x v="0"/>
    <x v="3"/>
    <x v="1"/>
    <x v="1803"/>
    <x v="1649"/>
    <n v="49271"/>
    <n v="277091.30926157645"/>
  </r>
  <r>
    <x v="20"/>
    <x v="2"/>
    <x v="0"/>
    <x v="4"/>
    <x v="0"/>
    <x v="1804"/>
    <x v="1650"/>
    <n v="33596"/>
    <n v="83119.919578627916"/>
  </r>
  <r>
    <x v="20"/>
    <x v="2"/>
    <x v="0"/>
    <x v="4"/>
    <x v="1"/>
    <x v="1805"/>
    <x v="1651"/>
    <n v="50088"/>
    <n v="274281.88799999998"/>
  </r>
  <r>
    <x v="20"/>
    <x v="2"/>
    <x v="1"/>
    <x v="0"/>
    <x v="0"/>
    <x v="1806"/>
    <x v="1652"/>
    <n v="157482"/>
    <n v="83924.55701030929"/>
  </r>
  <r>
    <x v="20"/>
    <x v="2"/>
    <x v="1"/>
    <x v="0"/>
    <x v="1"/>
    <x v="1807"/>
    <x v="1653"/>
    <n v="18841"/>
    <n v="14894.32899225612"/>
  </r>
  <r>
    <x v="20"/>
    <x v="2"/>
    <x v="1"/>
    <x v="1"/>
    <x v="0"/>
    <x v="1808"/>
    <x v="1654"/>
    <n v="193218"/>
    <n v="92655.895190148323"/>
  </r>
  <r>
    <x v="20"/>
    <x v="2"/>
    <x v="1"/>
    <x v="1"/>
    <x v="1"/>
    <x v="1809"/>
    <x v="1655"/>
    <n v="11579"/>
    <n v="14597.180964467005"/>
  </r>
  <r>
    <x v="20"/>
    <x v="2"/>
    <x v="1"/>
    <x v="2"/>
    <x v="0"/>
    <x v="1810"/>
    <x v="1656"/>
    <n v="77319"/>
    <n v="24637.425287002166"/>
  </r>
  <r>
    <x v="20"/>
    <x v="2"/>
    <x v="1"/>
    <x v="2"/>
    <x v="1"/>
    <x v="1811"/>
    <x v="1657"/>
    <n v="4793"/>
    <n v="2616.8821008574928"/>
  </r>
  <r>
    <x v="20"/>
    <x v="2"/>
    <x v="1"/>
    <x v="3"/>
    <x v="0"/>
    <x v="1812"/>
    <x v="1658"/>
    <n v="562984"/>
    <n v="356579.18022178573"/>
  </r>
  <r>
    <x v="20"/>
    <x v="2"/>
    <x v="1"/>
    <x v="3"/>
    <x v="1"/>
    <x v="1813"/>
    <x v="1659"/>
    <n v="58366"/>
    <n v="43256.851849961378"/>
  </r>
  <r>
    <x v="20"/>
    <x v="2"/>
    <x v="1"/>
    <x v="4"/>
    <x v="0"/>
    <x v="1814"/>
    <x v="1660"/>
    <n v="189552"/>
    <n v="135203.63275644308"/>
  </r>
  <r>
    <x v="20"/>
    <x v="2"/>
    <x v="1"/>
    <x v="4"/>
    <x v="1"/>
    <x v="1815"/>
    <x v="1661"/>
    <n v="30250"/>
    <n v="24300.115170449026"/>
  </r>
  <r>
    <x v="20"/>
    <x v="2"/>
    <x v="2"/>
    <x v="0"/>
    <x v="0"/>
    <x v="1816"/>
    <x v="1662"/>
    <n v="10128"/>
    <n v="107344.80167247387"/>
  </r>
  <r>
    <x v="20"/>
    <x v="2"/>
    <x v="2"/>
    <x v="0"/>
    <x v="1"/>
    <x v="1817"/>
    <x v="1663"/>
    <n v="46492"/>
    <n v="26523.757550280385"/>
  </r>
  <r>
    <x v="20"/>
    <x v="2"/>
    <x v="2"/>
    <x v="1"/>
    <x v="0"/>
    <x v="1818"/>
    <x v="1664"/>
    <n v="21013"/>
    <n v="195384.32453790528"/>
  </r>
  <r>
    <x v="20"/>
    <x v="2"/>
    <x v="2"/>
    <x v="1"/>
    <x v="1"/>
    <x v="1819"/>
    <x v="1665"/>
    <n v="142042"/>
    <n v="44506.401849109476"/>
  </r>
  <r>
    <x v="20"/>
    <x v="2"/>
    <x v="2"/>
    <x v="2"/>
    <x v="0"/>
    <x v="1820"/>
    <x v="1666"/>
    <n v="5685"/>
    <n v="53760.045672413798"/>
  </r>
  <r>
    <x v="20"/>
    <x v="2"/>
    <x v="2"/>
    <x v="2"/>
    <x v="1"/>
    <x v="1821"/>
    <x v="1667"/>
    <n v="37934"/>
    <n v="12387.366125981811"/>
  </r>
  <r>
    <x v="20"/>
    <x v="2"/>
    <x v="2"/>
    <x v="3"/>
    <x v="0"/>
    <x v="1822"/>
    <x v="1668"/>
    <n v="52753"/>
    <n v="588356.14327993453"/>
  </r>
  <r>
    <x v="20"/>
    <x v="2"/>
    <x v="2"/>
    <x v="3"/>
    <x v="1"/>
    <x v="1823"/>
    <x v="1669"/>
    <n v="518767"/>
    <n v="119764.64062439174"/>
  </r>
  <r>
    <x v="20"/>
    <x v="2"/>
    <x v="2"/>
    <x v="4"/>
    <x v="0"/>
    <x v="1824"/>
    <x v="1670"/>
    <n v="21454"/>
    <n v="200893.61293182237"/>
  </r>
  <r>
    <x v="20"/>
    <x v="2"/>
    <x v="2"/>
    <x v="4"/>
    <x v="1"/>
    <x v="1825"/>
    <x v="1671"/>
    <n v="118354"/>
    <n v="48713.79358234914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0" applyNumberFormats="0" applyBorderFormats="0" applyFontFormats="0" applyPatternFormats="0" applyAlignmentFormats="0" applyWidthHeightFormats="1" dataCaption="Valores" updatedVersion="6" minRefreshableVersion="5" useAutoFormatting="1" itemPrintTitles="1" createdVersion="6" indent="0" outline="1" outlineData="1" multipleFieldFilters="0" chartFormat="6">
  <location ref="H11:I15" firstHeaderRow="1" firstDataRow="1" firstDataCol="1"/>
  <pivotFields count="11">
    <pivotField numFmtId="164" showAll="0">
      <items count="15">
        <item x="0"/>
        <item x="1"/>
        <item x="2"/>
        <item x="3"/>
        <item x="4"/>
        <item x="5"/>
        <item x="6"/>
        <item x="7"/>
        <item x="8"/>
        <item x="9"/>
        <item x="10"/>
        <item x="11"/>
        <item x="12"/>
        <item x="13"/>
        <item t="default"/>
      </items>
    </pivotField>
    <pivotField axis="axisRow" showAll="0">
      <items count="4">
        <item x="0"/>
        <item x="1"/>
        <item x="2"/>
        <item t="default"/>
      </items>
    </pivotField>
    <pivotField showAll="0">
      <items count="4">
        <item x="0"/>
        <item h="1" x="1"/>
        <item h="1" x="2"/>
        <item t="default"/>
      </items>
    </pivotField>
    <pivotField showAll="0">
      <items count="6">
        <item h="1" x="0"/>
        <item h="1" x="1"/>
        <item h="1" x="2"/>
        <item x="3"/>
        <item h="1" x="4"/>
        <item t="default"/>
      </items>
    </pivotField>
    <pivotField showAll="0">
      <items count="3">
        <item h="1" x="0"/>
        <item x="1"/>
        <item t="default"/>
      </items>
    </pivotField>
    <pivotField dataField="1" showAll="0"/>
    <pivotField showAll="0">
      <items count="1673">
        <item x="45"/>
        <item x="791"/>
        <item x="35"/>
        <item x="123"/>
        <item x="208"/>
        <item x="294"/>
        <item x="379"/>
        <item x="55"/>
        <item x="41"/>
        <item x="129"/>
        <item x="214"/>
        <item x="300"/>
        <item x="49"/>
        <item x="136"/>
        <item x="221"/>
        <item x="307"/>
        <item x="391"/>
        <item x="31"/>
        <item x="120"/>
        <item x="205"/>
        <item x="43"/>
        <item x="131"/>
        <item x="216"/>
        <item x="302"/>
        <item x="386"/>
        <item x="471"/>
        <item x="550"/>
        <item x="632"/>
        <item x="711"/>
        <item x="789"/>
        <item x="871"/>
        <item x="51"/>
        <item x="138"/>
        <item x="223"/>
        <item x="309"/>
        <item x="393"/>
        <item x="477"/>
        <item x="556"/>
        <item x="1479"/>
        <item x="33"/>
        <item x="59"/>
        <item x="145"/>
        <item x="230"/>
        <item x="316"/>
        <item x="400"/>
        <item x="463"/>
        <item x="484"/>
        <item x="563"/>
        <item x="624"/>
        <item x="644"/>
        <item x="723"/>
        <item x="863"/>
        <item x="802"/>
        <item x="882"/>
        <item x="957"/>
        <item x="1033"/>
        <item x="1168"/>
        <item x="1108"/>
        <item x="39"/>
        <item x="127"/>
        <item x="212"/>
        <item x="298"/>
        <item x="1472"/>
        <item x="383"/>
        <item x="1489"/>
        <item x="468"/>
        <item x="1565"/>
        <item x="547"/>
        <item x="1641"/>
        <item x="629"/>
        <item x="47"/>
        <item x="134"/>
        <item x="786"/>
        <item x="219"/>
        <item x="868"/>
        <item x="305"/>
        <item x="1020"/>
        <item x="389"/>
        <item x="1095"/>
        <item x="1173"/>
        <item x="474"/>
        <item x="1247"/>
        <item x="553"/>
        <item x="1323"/>
        <item x="635"/>
        <item x="1397"/>
        <item x="714"/>
        <item x="1476"/>
        <item x="793"/>
        <item x="53"/>
        <item x="140"/>
        <item x="948"/>
        <item x="225"/>
        <item x="311"/>
        <item x="1178"/>
        <item x="395"/>
        <item x="1252"/>
        <item x="479"/>
        <item x="1328"/>
        <item x="558"/>
        <item x="1402"/>
        <item x="639"/>
        <item x="718"/>
        <item x="1556"/>
        <item x="797"/>
        <item x="1633"/>
        <item x="877"/>
        <item x="75"/>
        <item x="952"/>
        <item x="161"/>
        <item x="1028"/>
        <item x="246"/>
        <item x="1103"/>
        <item x="331"/>
        <item x="1182"/>
        <item x="416"/>
        <item x="1256"/>
        <item x="500"/>
        <item x="579"/>
        <item x="1406"/>
        <item x="659"/>
        <item x="739"/>
        <item x="1560"/>
        <item x="818"/>
        <item x="57"/>
        <item x="1637"/>
        <item x="143"/>
        <item x="972"/>
        <item x="228"/>
        <item x="1048"/>
        <item x="314"/>
        <item x="1123"/>
        <item x="1201"/>
        <item x="398"/>
        <item x="1276"/>
        <item x="482"/>
        <item x="561"/>
        <item x="1426"/>
        <item x="642"/>
        <item x="1503"/>
        <item x="721"/>
        <item x="800"/>
        <item x="880"/>
        <item x="1657"/>
        <item x="955"/>
        <item x="1031"/>
        <item x="1106"/>
        <item x="1185"/>
        <item x="1259"/>
        <item x="37"/>
        <item x="125"/>
        <item x="1334"/>
        <item x="210"/>
        <item x="1409"/>
        <item x="296"/>
        <item x="1487"/>
        <item x="381"/>
        <item x="1563"/>
        <item x="466"/>
        <item x="545"/>
        <item x="627"/>
        <item x="707"/>
        <item x="784"/>
        <item x="866"/>
        <item x="942"/>
        <item x="1018"/>
        <item x="1093"/>
        <item x="1171"/>
        <item x="1245"/>
        <item x="1321"/>
        <item x="65"/>
        <item x="1395"/>
        <item x="151"/>
        <item x="1475"/>
        <item x="236"/>
        <item x="71"/>
        <item x="157"/>
        <item x="1550"/>
        <item x="242"/>
        <item x="406"/>
        <item x="327"/>
        <item x="490"/>
        <item x="412"/>
        <item x="569"/>
        <item x="496"/>
        <item x="650"/>
        <item x="575"/>
        <item x="729"/>
        <item x="73"/>
        <item x="15"/>
        <item x="159"/>
        <item x="808"/>
        <item x="105"/>
        <item x="244"/>
        <item x="735"/>
        <item x="190"/>
        <item x="963"/>
        <item x="329"/>
        <item x="814"/>
        <item x="1039"/>
        <item x="276"/>
        <item x="414"/>
        <item x="1114"/>
        <item x="361"/>
        <item x="1192"/>
        <item x="1045"/>
        <item x="498"/>
        <item x="446"/>
        <item x="1266"/>
        <item x="577"/>
        <item x="1120"/>
        <item x="527"/>
        <item x="1198"/>
        <item x="1341"/>
        <item x="657"/>
        <item x="1272"/>
        <item x="608"/>
        <item x="1416"/>
        <item x="737"/>
        <item x="1347"/>
        <item x="1495"/>
        <item x="688"/>
        <item x="816"/>
        <item x="1422"/>
        <item x="768"/>
        <item x="894"/>
        <item x="1571"/>
        <item x="970"/>
        <item x="848"/>
        <item x="1047"/>
        <item x="924"/>
        <item x="1647"/>
        <item x="999"/>
        <item x="1577"/>
        <item x="1122"/>
        <item x="1200"/>
        <item x="1076"/>
        <item x="1653"/>
        <item x="1152"/>
        <item x="1274"/>
        <item x="1229"/>
        <item x="1349"/>
        <item x="1305"/>
        <item x="1424"/>
        <item x="1376"/>
        <item x="1455"/>
        <item x="1579"/>
        <item x="1532"/>
        <item x="1655"/>
        <item x="1609"/>
        <item x="79"/>
        <item x="165"/>
        <item x="250"/>
        <item x="85"/>
        <item x="335"/>
        <item x="171"/>
        <item x="25"/>
        <item x="5"/>
        <item x="256"/>
        <item x="420"/>
        <item x="95"/>
        <item x="29"/>
        <item x="11"/>
        <item x="341"/>
        <item x="118"/>
        <item x="101"/>
        <item x="286"/>
        <item x="203"/>
        <item x="426"/>
        <item x="266"/>
        <item x="186"/>
        <item x="371"/>
        <item x="290"/>
        <item x="351"/>
        <item x="272"/>
        <item x="21"/>
        <item x="663"/>
        <item x="456"/>
        <item x="375"/>
        <item x="588"/>
        <item x="111"/>
        <item x="357"/>
        <item x="436"/>
        <item x="537"/>
        <item x="743"/>
        <item x="196"/>
        <item x="460"/>
        <item x="442"/>
        <item x="822"/>
        <item x="282"/>
        <item x="618"/>
        <item x="523"/>
        <item x="899"/>
        <item x="749"/>
        <item x="598"/>
        <item x="367"/>
        <item x="698"/>
        <item x="621"/>
        <item x="1052"/>
        <item x="828"/>
        <item x="678"/>
        <item x="604"/>
        <item x="452"/>
        <item x="702"/>
        <item x="1127"/>
        <item x="19"/>
        <item x="759"/>
        <item x="684"/>
        <item x="981"/>
        <item x="533"/>
        <item x="109"/>
        <item x="780"/>
        <item x="838"/>
        <item x="933"/>
        <item x="194"/>
        <item x="914"/>
        <item x="1009"/>
        <item x="861"/>
        <item x="614"/>
        <item x="991"/>
        <item x="844"/>
        <item x="937"/>
        <item x="280"/>
        <item x="1210"/>
        <item x="1085"/>
        <item x="920"/>
        <item x="1013"/>
        <item x="694"/>
        <item x="1067"/>
        <item x="1161"/>
        <item x="996"/>
        <item x="365"/>
        <item x="1285"/>
        <item x="1142"/>
        <item x="1088"/>
        <item x="1430"/>
        <item x="773"/>
        <item x="1239"/>
        <item x="1073"/>
        <item x="1165"/>
        <item x="1358"/>
        <item x="1507"/>
        <item x="450"/>
        <item x="1148"/>
        <item x="854"/>
        <item x="1313"/>
        <item x="929"/>
        <item x="531"/>
        <item x="1295"/>
        <item x="1225"/>
        <item x="1005"/>
        <item x="1584"/>
        <item x="1316"/>
        <item x="1386"/>
        <item x="1513"/>
        <item x="1301"/>
        <item x="1082"/>
        <item x="612"/>
        <item x="1661"/>
        <item x="1465"/>
        <item x="1157"/>
        <item x="1390"/>
        <item x="1445"/>
        <item x="692"/>
        <item x="1590"/>
        <item x="1469"/>
        <item x="1235"/>
        <item x="1541"/>
        <item x="1451"/>
        <item x="13"/>
        <item x="61"/>
        <item x="1667"/>
        <item x="1523"/>
        <item x="103"/>
        <item x="147"/>
        <item x="1619"/>
        <item x="852"/>
        <item x="1545"/>
        <item x="188"/>
        <item x="1600"/>
        <item x="232"/>
        <item x="1382"/>
        <item x="1003"/>
        <item x="1623"/>
        <item x="274"/>
        <item x="318"/>
        <item x="1461"/>
        <item x="1080"/>
        <item x="359"/>
        <item x="402"/>
        <item x="1537"/>
        <item x="1233"/>
        <item x="444"/>
        <item x="486"/>
        <item x="1615"/>
        <item x="525"/>
        <item x="565"/>
        <item x="1380"/>
        <item x="606"/>
        <item x="646"/>
        <item x="1459"/>
        <item x="686"/>
        <item x="725"/>
        <item x="766"/>
        <item x="804"/>
        <item x="1535"/>
        <item x="1"/>
        <item x="846"/>
        <item x="884"/>
        <item x="91"/>
        <item x="1613"/>
        <item x="922"/>
        <item x="959"/>
        <item x="177"/>
        <item x="1035"/>
        <item x="262"/>
        <item x="1110"/>
        <item x="1150"/>
        <item x="1188"/>
        <item x="347"/>
        <item x="81"/>
        <item x="1227"/>
        <item x="1262"/>
        <item x="167"/>
        <item x="63"/>
        <item x="432"/>
        <item x="1303"/>
        <item x="149"/>
        <item x="1337"/>
        <item x="252"/>
        <item x="514"/>
        <item x="234"/>
        <item x="337"/>
        <item x="1374"/>
        <item x="1412"/>
        <item x="77"/>
        <item x="320"/>
        <item x="594"/>
        <item x="1453"/>
        <item x="163"/>
        <item x="1491"/>
        <item x="422"/>
        <item x="248"/>
        <item x="404"/>
        <item x="674"/>
        <item x="505"/>
        <item x="1530"/>
        <item x="1567"/>
        <item x="333"/>
        <item x="755"/>
        <item x="488"/>
        <item x="584"/>
        <item x="1607"/>
        <item x="1643"/>
        <item x="834"/>
        <item x="418"/>
        <item x="567"/>
        <item x="910"/>
        <item x="665"/>
        <item x="987"/>
        <item x="502"/>
        <item x="648"/>
        <item x="745"/>
        <item x="1063"/>
        <item x="581"/>
        <item x="1138"/>
        <item x="727"/>
        <item x="824"/>
        <item x="1216"/>
        <item x="661"/>
        <item x="806"/>
        <item x="901"/>
        <item x="977"/>
        <item x="886"/>
        <item x="1291"/>
        <item x="741"/>
        <item x="1054"/>
        <item x="961"/>
        <item x="1037"/>
        <item x="820"/>
        <item x="1129"/>
        <item x="1364"/>
        <item x="1206"/>
        <item x="897"/>
        <item x="1112"/>
        <item x="1441"/>
        <item x="974"/>
        <item x="1190"/>
        <item x="1281"/>
        <item x="23"/>
        <item x="1050"/>
        <item x="54"/>
        <item x="113"/>
        <item x="1264"/>
        <item x="1519"/>
        <item x="141"/>
        <item x="1125"/>
        <item x="198"/>
        <item x="1203"/>
        <item x="1339"/>
        <item x="226"/>
        <item x="1596"/>
        <item x="1432"/>
        <item x="284"/>
        <item x="1278"/>
        <item x="312"/>
        <item x="1414"/>
        <item x="1509"/>
        <item x="369"/>
        <item x="1352"/>
        <item x="1493"/>
        <item x="396"/>
        <item x="1586"/>
        <item x="454"/>
        <item x="1428"/>
        <item x="480"/>
        <item x="1569"/>
        <item x="535"/>
        <item x="1663"/>
        <item x="1505"/>
        <item x="559"/>
        <item x="1645"/>
        <item x="616"/>
        <item x="1582"/>
        <item x="640"/>
        <item x="696"/>
        <item x="1659"/>
        <item x="719"/>
        <item x="775"/>
        <item x="798"/>
        <item x="856"/>
        <item x="878"/>
        <item x="931"/>
        <item x="17"/>
        <item x="953"/>
        <item x="1007"/>
        <item x="107"/>
        <item x="1029"/>
        <item x="192"/>
        <item x="1104"/>
        <item x="1159"/>
        <item x="1183"/>
        <item x="27"/>
        <item x="278"/>
        <item x="116"/>
        <item x="1237"/>
        <item x="9"/>
        <item x="1257"/>
        <item x="363"/>
        <item x="99"/>
        <item x="201"/>
        <item x="1311"/>
        <item x="184"/>
        <item x="1332"/>
        <item x="288"/>
        <item x="448"/>
        <item x="89"/>
        <item x="1384"/>
        <item x="270"/>
        <item x="175"/>
        <item x="529"/>
        <item x="1407"/>
        <item x="373"/>
        <item x="1463"/>
        <item x="260"/>
        <item x="355"/>
        <item x="1485"/>
        <item x="458"/>
        <item x="610"/>
        <item x="345"/>
        <item x="1539"/>
        <item x="440"/>
        <item x="539"/>
        <item x="3"/>
        <item x="1561"/>
        <item x="690"/>
        <item x="430"/>
        <item x="50"/>
        <item x="93"/>
        <item x="521"/>
        <item x="1617"/>
        <item x="34"/>
        <item x="137"/>
        <item x="1638"/>
        <item x="770"/>
        <item x="179"/>
        <item x="83"/>
        <item x="122"/>
        <item x="512"/>
        <item x="222"/>
        <item x="169"/>
        <item x="850"/>
        <item x="602"/>
        <item x="207"/>
        <item x="264"/>
        <item x="700"/>
        <item x="592"/>
        <item x="926"/>
        <item x="254"/>
        <item x="308"/>
        <item x="1001"/>
        <item x="682"/>
        <item x="293"/>
        <item x="349"/>
        <item x="778"/>
        <item x="339"/>
        <item x="392"/>
        <item x="672"/>
        <item x="1078"/>
        <item x="763"/>
        <item x="859"/>
        <item x="378"/>
        <item x="434"/>
        <item x="1154"/>
        <item x="424"/>
        <item x="935"/>
        <item x="842"/>
        <item x="753"/>
        <item x="476"/>
        <item x="1011"/>
        <item x="516"/>
        <item x="918"/>
        <item x="464"/>
        <item x="1231"/>
        <item x="555"/>
        <item x="507"/>
        <item x="832"/>
        <item x="543"/>
        <item x="1307"/>
        <item x="586"/>
        <item x="908"/>
        <item x="1163"/>
        <item x="596"/>
        <item x="1071"/>
        <item x="985"/>
        <item x="637"/>
        <item x="1146"/>
        <item x="625"/>
        <item x="1061"/>
        <item x="676"/>
        <item x="1378"/>
        <item x="667"/>
        <item x="716"/>
        <item x="69"/>
        <item x="1223"/>
        <item x="1457"/>
        <item x="705"/>
        <item x="1136"/>
        <item x="757"/>
        <item x="155"/>
        <item x="747"/>
        <item x="1214"/>
        <item x="795"/>
        <item x="1299"/>
        <item x="836"/>
        <item x="240"/>
        <item x="782"/>
        <item x="1388"/>
        <item x="875"/>
        <item x="912"/>
        <item x="826"/>
        <item x="1289"/>
        <item x="864"/>
        <item x="950"/>
        <item x="989"/>
        <item x="325"/>
        <item x="1371"/>
        <item x="1467"/>
        <item x="903"/>
        <item x="940"/>
        <item x="1026"/>
        <item x="1611"/>
        <item x="1362"/>
        <item x="1449"/>
        <item x="979"/>
        <item x="1016"/>
        <item x="1065"/>
        <item x="410"/>
        <item x="1056"/>
        <item x="1101"/>
        <item x="1140"/>
        <item x="1543"/>
        <item x="1091"/>
        <item x="1439"/>
        <item x="1180"/>
        <item x="494"/>
        <item x="1527"/>
        <item x="1131"/>
        <item x="1169"/>
        <item x="1218"/>
        <item x="1621"/>
        <item x="1517"/>
        <item x="1208"/>
        <item x="1254"/>
        <item x="573"/>
        <item x="1604"/>
        <item x="1243"/>
        <item x="1293"/>
        <item x="1283"/>
        <item x="1330"/>
        <item x="1594"/>
        <item x="1319"/>
        <item x="654"/>
        <item x="1366"/>
        <item x="1356"/>
        <item x="1671"/>
        <item x="1404"/>
        <item x="1443"/>
        <item x="733"/>
        <item x="1393"/>
        <item x="1483"/>
        <item x="1434"/>
        <item x="1473"/>
        <item x="812"/>
        <item x="1511"/>
        <item x="1521"/>
        <item x="891"/>
        <item x="1558"/>
        <item x="967"/>
        <item x="1548"/>
        <item x="1598"/>
        <item x="1043"/>
        <item x="1588"/>
        <item x="1635"/>
        <item x="1626"/>
        <item x="1118"/>
        <item x="1665"/>
        <item x="1196"/>
        <item x="1270"/>
        <item x="64"/>
        <item x="150"/>
        <item x="1345"/>
        <item x="235"/>
        <item x="1602"/>
        <item x="1420"/>
        <item x="321"/>
        <item x="1499"/>
        <item x="405"/>
        <item x="1575"/>
        <item x="489"/>
        <item x="1649"/>
        <item x="568"/>
        <item x="1651"/>
        <item x="649"/>
        <item x="728"/>
        <item x="84"/>
        <item x="58"/>
        <item x="170"/>
        <item x="144"/>
        <item x="807"/>
        <item x="255"/>
        <item x="229"/>
        <item x="887"/>
        <item x="962"/>
        <item x="340"/>
        <item x="315"/>
        <item x="1038"/>
        <item x="425"/>
        <item x="399"/>
        <item x="1113"/>
        <item x="1191"/>
        <item x="508"/>
        <item x="483"/>
        <item x="1265"/>
        <item x="587"/>
        <item x="562"/>
        <item x="1340"/>
        <item x="668"/>
        <item x="643"/>
        <item x="1415"/>
        <item x="748"/>
        <item x="722"/>
        <item x="1494"/>
        <item x="827"/>
        <item x="801"/>
        <item x="7"/>
        <item x="1570"/>
        <item x="904"/>
        <item x="881"/>
        <item x="97"/>
        <item x="980"/>
        <item x="956"/>
        <item x="1646"/>
        <item x="1057"/>
        <item x="182"/>
        <item x="1032"/>
        <item x="1132"/>
        <item x="30"/>
        <item x="268"/>
        <item x="1107"/>
        <item x="1209"/>
        <item x="119"/>
        <item x="1186"/>
        <item x="353"/>
        <item x="204"/>
        <item x="1284"/>
        <item x="1260"/>
        <item x="291"/>
        <item x="438"/>
        <item x="1357"/>
        <item x="1335"/>
        <item x="519"/>
        <item x="376"/>
        <item x="1435"/>
        <item x="1410"/>
        <item x="1512"/>
        <item x="461"/>
        <item x="600"/>
        <item x="1488"/>
        <item x="541"/>
        <item x="680"/>
        <item x="1589"/>
        <item x="1564"/>
        <item x="761"/>
        <item x="622"/>
        <item x="52"/>
        <item x="1666"/>
        <item x="1640"/>
        <item x="840"/>
        <item x="139"/>
        <item x="703"/>
        <item x="916"/>
        <item x="224"/>
        <item x="87"/>
        <item x="67"/>
        <item x="993"/>
        <item x="173"/>
        <item x="153"/>
        <item x="310"/>
        <item x="1069"/>
        <item x="258"/>
        <item x="238"/>
        <item x="1144"/>
        <item x="938"/>
        <item x="394"/>
        <item x="343"/>
        <item x="323"/>
        <item x="1014"/>
        <item x="1221"/>
        <item x="478"/>
        <item x="428"/>
        <item x="408"/>
        <item x="1089"/>
        <item x="1297"/>
        <item x="1166"/>
        <item x="557"/>
        <item x="510"/>
        <item x="492"/>
        <item x="1242"/>
        <item x="1369"/>
        <item x="590"/>
        <item x="571"/>
        <item x="638"/>
        <item x="1447"/>
        <item x="1317"/>
        <item x="717"/>
        <item x="670"/>
        <item x="652"/>
        <item x="1391"/>
        <item x="1525"/>
        <item x="796"/>
        <item x="751"/>
        <item x="731"/>
        <item x="1470"/>
        <item x="876"/>
        <item x="951"/>
        <item x="830"/>
        <item x="810"/>
        <item x="1027"/>
        <item x="1546"/>
        <item x="906"/>
        <item x="889"/>
        <item x="983"/>
        <item x="965"/>
        <item x="1102"/>
        <item x="1624"/>
        <item x="1059"/>
        <item x="1041"/>
        <item x="1181"/>
        <item x="80"/>
        <item x="1134"/>
        <item x="1116"/>
        <item x="1255"/>
        <item x="166"/>
        <item x="1212"/>
        <item x="1194"/>
        <item x="251"/>
        <item x="1331"/>
        <item x="1287"/>
        <item x="1268"/>
        <item x="336"/>
        <item x="1405"/>
        <item x="1360"/>
        <item x="1343"/>
        <item x="421"/>
        <item x="1484"/>
        <item x="1437"/>
        <item x="1418"/>
        <item x="504"/>
        <item x="1515"/>
        <item x="1497"/>
        <item x="1559"/>
        <item x="583"/>
        <item x="1636"/>
        <item x="1592"/>
        <item x="1573"/>
        <item x="664"/>
        <item x="1669"/>
        <item x="744"/>
        <item x="823"/>
        <item x="900"/>
        <item x="32"/>
        <item x="976"/>
        <item x="121"/>
        <item x="1053"/>
        <item x="206"/>
        <item x="1128"/>
        <item x="292"/>
        <item x="1205"/>
        <item x="377"/>
        <item x="1280"/>
        <item x="44"/>
        <item x="1354"/>
        <item x="462"/>
        <item x="132"/>
        <item x="542"/>
        <item x="217"/>
        <item x="1431"/>
        <item x="303"/>
        <item x="1508"/>
        <item x="623"/>
        <item x="387"/>
        <item x="704"/>
        <item x="1585"/>
        <item x="60"/>
        <item x="472"/>
        <item x="781"/>
        <item x="1662"/>
        <item x="146"/>
        <item x="551"/>
        <item x="862"/>
        <item x="38"/>
        <item x="231"/>
        <item x="939"/>
        <item x="126"/>
        <item x="1015"/>
        <item x="317"/>
        <item x="633"/>
        <item x="211"/>
        <item x="1090"/>
        <item x="56"/>
        <item x="401"/>
        <item x="712"/>
        <item x="297"/>
        <item x="1167"/>
        <item x="142"/>
        <item x="790"/>
        <item x="227"/>
        <item x="382"/>
        <item x="485"/>
        <item x="872"/>
        <item x="564"/>
        <item x="313"/>
        <item x="1318"/>
        <item x="946"/>
        <item x="467"/>
        <item x="1023"/>
        <item x="397"/>
        <item x="546"/>
        <item x="645"/>
        <item x="1392"/>
        <item x="1098"/>
        <item x="74"/>
        <item x="1471"/>
        <item x="62"/>
        <item x="1176"/>
        <item x="481"/>
        <item x="724"/>
        <item x="160"/>
        <item x="628"/>
        <item x="148"/>
        <item x="560"/>
        <item x="245"/>
        <item x="1250"/>
        <item x="803"/>
        <item x="233"/>
        <item x="708"/>
        <item x="1547"/>
        <item x="883"/>
        <item x="330"/>
        <item x="1326"/>
        <item x="319"/>
        <item x="641"/>
        <item x="785"/>
        <item x="1625"/>
        <item x="958"/>
        <item x="1034"/>
        <item x="415"/>
        <item x="867"/>
        <item x="403"/>
        <item x="1400"/>
        <item x="720"/>
        <item x="943"/>
        <item x="1109"/>
        <item x="1480"/>
        <item x="1019"/>
        <item x="499"/>
        <item x="799"/>
        <item x="1187"/>
        <item x="487"/>
        <item x="578"/>
        <item x="879"/>
        <item x="1094"/>
        <item x="566"/>
        <item x="1261"/>
        <item x="1554"/>
        <item x="954"/>
        <item x="1172"/>
        <item x="1030"/>
        <item x="1336"/>
        <item x="658"/>
        <item x="1631"/>
        <item x="1246"/>
        <item x="647"/>
        <item x="1105"/>
        <item x="40"/>
        <item x="738"/>
        <item x="1184"/>
        <item x="1322"/>
        <item x="1411"/>
        <item x="128"/>
        <item x="726"/>
        <item x="1490"/>
        <item x="817"/>
        <item x="213"/>
        <item x="1258"/>
        <item x="805"/>
        <item x="1396"/>
        <item x="88"/>
        <item x="82"/>
        <item x="895"/>
        <item x="174"/>
        <item x="299"/>
        <item x="885"/>
        <item x="1333"/>
        <item x="168"/>
        <item x="971"/>
        <item x="1566"/>
        <item x="960"/>
        <item x="259"/>
        <item x="253"/>
        <item x="384"/>
        <item x="1036"/>
        <item x="1408"/>
        <item x="1642"/>
        <item x="1551"/>
        <item x="344"/>
        <item x="338"/>
        <item x="1111"/>
        <item x="1486"/>
        <item x="469"/>
        <item x="1189"/>
        <item x="1628"/>
        <item x="429"/>
        <item x="423"/>
        <item x="548"/>
        <item x="1275"/>
        <item x="1263"/>
        <item x="1562"/>
        <item x="511"/>
        <item x="506"/>
        <item x="1350"/>
        <item x="630"/>
        <item x="1338"/>
        <item x="1639"/>
        <item x="591"/>
        <item x="585"/>
        <item x="709"/>
        <item x="1425"/>
        <item x="1413"/>
        <item x="671"/>
        <item x="1502"/>
        <item x="666"/>
        <item x="787"/>
        <item x="1492"/>
        <item x="752"/>
        <item x="869"/>
        <item x="746"/>
        <item x="1580"/>
        <item x="944"/>
        <item x="1568"/>
        <item x="831"/>
        <item x="1021"/>
        <item x="825"/>
        <item x="1656"/>
        <item x="907"/>
        <item x="1644"/>
        <item x="902"/>
        <item x="1096"/>
        <item x="20"/>
        <item x="984"/>
        <item x="978"/>
        <item x="1174"/>
        <item x="110"/>
        <item x="1060"/>
        <item x="1055"/>
        <item x="195"/>
        <item x="1248"/>
        <item x="1135"/>
        <item x="1130"/>
        <item x="1213"/>
        <item x="281"/>
        <item x="1207"/>
        <item x="1324"/>
        <item x="1288"/>
        <item x="366"/>
        <item x="1282"/>
        <item x="1398"/>
        <item x="1361"/>
        <item x="1355"/>
        <item x="1477"/>
        <item x="451"/>
        <item x="532"/>
        <item x="1438"/>
        <item x="1433"/>
        <item x="1552"/>
        <item x="1516"/>
        <item x="1510"/>
        <item x="613"/>
        <item x="1629"/>
        <item x="1593"/>
        <item x="693"/>
        <item x="1587"/>
        <item x="1670"/>
        <item x="772"/>
        <item x="1664"/>
        <item x="853"/>
        <item x="24"/>
        <item x="928"/>
        <item x="114"/>
        <item x="1004"/>
        <item x="199"/>
        <item x="1081"/>
        <item x="285"/>
        <item x="1156"/>
        <item x="370"/>
        <item x="1234"/>
        <item x="68"/>
        <item x="48"/>
        <item x="154"/>
        <item x="1309"/>
        <item x="455"/>
        <item x="135"/>
        <item x="239"/>
        <item x="28"/>
        <item x="536"/>
        <item x="220"/>
        <item x="117"/>
        <item x="1381"/>
        <item x="324"/>
        <item x="306"/>
        <item x="202"/>
        <item x="1460"/>
        <item x="617"/>
        <item x="409"/>
        <item x="390"/>
        <item x="289"/>
        <item x="697"/>
        <item x="1536"/>
        <item x="493"/>
        <item x="374"/>
        <item x="475"/>
        <item x="776"/>
        <item x="1614"/>
        <item x="572"/>
        <item x="554"/>
        <item x="857"/>
        <item x="459"/>
        <item x="932"/>
        <item x="540"/>
        <item x="653"/>
        <item x="1008"/>
        <item x="636"/>
        <item x="732"/>
        <item x="1084"/>
        <item x="715"/>
        <item x="620"/>
        <item x="70"/>
        <item x="1160"/>
        <item x="156"/>
        <item x="811"/>
        <item x="794"/>
        <item x="701"/>
        <item x="1238"/>
        <item x="42"/>
        <item x="241"/>
        <item x="890"/>
        <item x="874"/>
        <item x="130"/>
        <item x="966"/>
        <item x="779"/>
        <item x="1312"/>
        <item x="949"/>
        <item x="326"/>
        <item x="1042"/>
        <item x="215"/>
        <item x="1025"/>
        <item x="860"/>
        <item x="936"/>
        <item x="411"/>
        <item x="1117"/>
        <item x="1385"/>
        <item x="301"/>
        <item x="1100"/>
        <item x="1012"/>
        <item x="1195"/>
        <item x="1464"/>
        <item x="1179"/>
        <item x="385"/>
        <item x="495"/>
        <item x="1087"/>
        <item x="1269"/>
        <item x="1253"/>
        <item x="1164"/>
        <item x="574"/>
        <item x="1540"/>
        <item x="470"/>
        <item x="1344"/>
        <item x="1329"/>
        <item x="1241"/>
        <item x="549"/>
        <item x="1618"/>
        <item x="655"/>
        <item x="1419"/>
        <item x="1315"/>
        <item x="1403"/>
        <item x="734"/>
        <item x="1498"/>
        <item x="631"/>
        <item x="1482"/>
        <item x="1389"/>
        <item x="36"/>
        <item x="813"/>
        <item x="710"/>
        <item x="1468"/>
        <item x="124"/>
        <item x="1574"/>
        <item x="892"/>
        <item x="1557"/>
        <item x="788"/>
        <item x="209"/>
        <item x="968"/>
        <item x="1650"/>
        <item x="1044"/>
        <item x="1634"/>
        <item x="870"/>
        <item x="1544"/>
        <item x="295"/>
        <item x="945"/>
        <item x="1119"/>
        <item x="1022"/>
        <item x="1622"/>
        <item x="380"/>
        <item x="1197"/>
        <item x="1097"/>
        <item x="1271"/>
        <item x="1175"/>
        <item x="465"/>
        <item x="544"/>
        <item x="1346"/>
        <item x="4"/>
        <item x="1249"/>
        <item x="94"/>
        <item x="1325"/>
        <item x="1421"/>
        <item x="180"/>
        <item x="626"/>
        <item x="1500"/>
        <item x="265"/>
        <item x="1399"/>
        <item x="706"/>
        <item x="1478"/>
        <item x="350"/>
        <item x="783"/>
        <item x="1576"/>
        <item x="72"/>
        <item x="86"/>
        <item x="865"/>
        <item x="158"/>
        <item x="1652"/>
        <item x="172"/>
        <item x="435"/>
        <item x="1553"/>
        <item x="941"/>
        <item x="243"/>
        <item x="1017"/>
        <item x="257"/>
        <item x="517"/>
        <item x="1630"/>
        <item x="328"/>
        <item x="1092"/>
        <item x="342"/>
        <item x="1170"/>
        <item x="597"/>
        <item x="413"/>
        <item x="427"/>
        <item x="1244"/>
        <item x="22"/>
        <item x="677"/>
        <item x="112"/>
        <item x="497"/>
        <item x="509"/>
        <item x="1320"/>
        <item x="758"/>
        <item x="197"/>
        <item x="576"/>
        <item x="589"/>
        <item x="78"/>
        <item x="837"/>
        <item x="164"/>
        <item x="1394"/>
        <item x="283"/>
        <item x="913"/>
        <item x="990"/>
        <item x="249"/>
        <item x="656"/>
        <item x="1474"/>
        <item x="669"/>
        <item x="368"/>
        <item x="1066"/>
        <item x="334"/>
        <item x="736"/>
        <item x="750"/>
        <item x="1141"/>
        <item x="1549"/>
        <item x="453"/>
        <item x="419"/>
        <item x="815"/>
        <item x="829"/>
        <item x="534"/>
        <item x="1219"/>
        <item x="1627"/>
        <item x="893"/>
        <item x="905"/>
        <item x="503"/>
        <item x="969"/>
        <item x="982"/>
        <item x="1294"/>
        <item x="1046"/>
        <item x="615"/>
        <item x="1058"/>
        <item x="582"/>
        <item x="1367"/>
        <item x="1121"/>
        <item x="695"/>
        <item x="1133"/>
        <item x="1199"/>
        <item x="1211"/>
        <item x="1444"/>
        <item x="662"/>
        <item x="0"/>
        <item x="774"/>
        <item x="90"/>
        <item x="1273"/>
        <item x="1286"/>
        <item x="742"/>
        <item x="855"/>
        <item x="1522"/>
        <item x="176"/>
        <item x="930"/>
        <item x="1348"/>
        <item x="1359"/>
        <item x="821"/>
        <item x="1006"/>
        <item x="1599"/>
        <item x="261"/>
        <item x="898"/>
        <item x="1423"/>
        <item x="1083"/>
        <item x="1436"/>
        <item x="975"/>
        <item x="346"/>
        <item x="1158"/>
        <item x="1051"/>
        <item x="1501"/>
        <item x="1514"/>
        <item x="1236"/>
        <item x="1126"/>
        <item x="431"/>
        <item x="1204"/>
        <item x="1578"/>
        <item x="1591"/>
        <item x="513"/>
        <item x="1310"/>
        <item x="66"/>
        <item x="1279"/>
        <item x="1654"/>
        <item x="1668"/>
        <item x="152"/>
        <item x="1383"/>
        <item x="593"/>
        <item x="1353"/>
        <item x="237"/>
        <item x="1462"/>
        <item x="673"/>
        <item x="322"/>
        <item x="1429"/>
        <item x="754"/>
        <item x="1538"/>
        <item x="1506"/>
        <item x="407"/>
        <item x="833"/>
        <item x="1616"/>
        <item x="909"/>
        <item x="491"/>
        <item x="1583"/>
        <item x="986"/>
        <item x="570"/>
        <item x="1660"/>
        <item x="1062"/>
        <item x="1137"/>
        <item x="651"/>
        <item x="1215"/>
        <item x="730"/>
        <item x="1290"/>
        <item x="26"/>
        <item x="809"/>
        <item x="115"/>
        <item x="1363"/>
        <item x="888"/>
        <item x="200"/>
        <item x="964"/>
        <item x="1440"/>
        <item x="1040"/>
        <item x="287"/>
        <item x="46"/>
        <item x="133"/>
        <item x="1115"/>
        <item x="1518"/>
        <item x="372"/>
        <item x="1193"/>
        <item x="218"/>
        <item x="1595"/>
        <item x="457"/>
        <item x="1267"/>
        <item x="304"/>
        <item x="538"/>
        <item x="1342"/>
        <item x="388"/>
        <item x="8"/>
        <item x="98"/>
        <item x="619"/>
        <item x="1417"/>
        <item x="473"/>
        <item x="183"/>
        <item x="1496"/>
        <item x="552"/>
        <item x="699"/>
        <item x="269"/>
        <item x="777"/>
        <item x="1572"/>
        <item x="634"/>
        <item x="354"/>
        <item x="858"/>
        <item x="934"/>
        <item x="1648"/>
        <item x="713"/>
        <item x="1010"/>
        <item x="439"/>
        <item x="792"/>
        <item x="520"/>
        <item x="1086"/>
        <item x="873"/>
        <item x="1162"/>
        <item x="947"/>
        <item x="1024"/>
        <item x="601"/>
        <item x="1240"/>
        <item x="1099"/>
        <item x="681"/>
        <item x="2"/>
        <item x="1314"/>
        <item x="1177"/>
        <item x="92"/>
        <item x="762"/>
        <item x="178"/>
        <item x="1387"/>
        <item x="1251"/>
        <item x="841"/>
        <item x="1466"/>
        <item x="917"/>
        <item x="263"/>
        <item x="1327"/>
        <item x="994"/>
        <item x="348"/>
        <item x="1542"/>
        <item x="1401"/>
        <item x="1070"/>
        <item x="1145"/>
        <item x="1481"/>
        <item x="433"/>
        <item x="1620"/>
        <item x="1222"/>
        <item x="515"/>
        <item x="1555"/>
        <item x="1298"/>
        <item x="595"/>
        <item x="1632"/>
        <item x="1370"/>
        <item x="675"/>
        <item x="1448"/>
        <item x="756"/>
        <item x="835"/>
        <item x="1526"/>
        <item x="911"/>
        <item x="988"/>
        <item x="1603"/>
        <item x="1064"/>
        <item x="1139"/>
        <item x="1217"/>
        <item x="1292"/>
        <item x="1365"/>
        <item x="76"/>
        <item x="1442"/>
        <item x="162"/>
        <item x="247"/>
        <item x="1520"/>
        <item x="332"/>
        <item x="1597"/>
        <item x="417"/>
        <item x="501"/>
        <item x="580"/>
        <item x="660"/>
        <item x="740"/>
        <item x="819"/>
        <item x="896"/>
        <item x="973"/>
        <item x="1049"/>
        <item x="1124"/>
        <item x="1202"/>
        <item x="1277"/>
        <item x="1351"/>
        <item x="1427"/>
        <item x="1504"/>
        <item x="1581"/>
        <item x="1658"/>
        <item x="10"/>
        <item x="100"/>
        <item x="185"/>
        <item x="271"/>
        <item x="356"/>
        <item x="441"/>
        <item x="522"/>
        <item x="14"/>
        <item x="104"/>
        <item x="189"/>
        <item x="603"/>
        <item x="275"/>
        <item x="683"/>
        <item x="360"/>
        <item x="764"/>
        <item x="843"/>
        <item x="18"/>
        <item x="445"/>
        <item x="919"/>
        <item x="108"/>
        <item x="995"/>
        <item x="526"/>
        <item x="193"/>
        <item x="1072"/>
        <item x="1147"/>
        <item x="279"/>
        <item x="607"/>
        <item x="6"/>
        <item x="1224"/>
        <item x="96"/>
        <item x="364"/>
        <item x="687"/>
        <item x="181"/>
        <item x="1300"/>
        <item x="767"/>
        <item x="449"/>
        <item x="267"/>
        <item x="847"/>
        <item x="530"/>
        <item x="1372"/>
        <item x="923"/>
        <item x="352"/>
        <item x="998"/>
        <item x="1450"/>
        <item x="611"/>
        <item x="1075"/>
        <item x="437"/>
        <item x="1151"/>
        <item x="1528"/>
        <item x="691"/>
        <item x="518"/>
        <item x="1228"/>
        <item x="1605"/>
        <item x="771"/>
        <item x="599"/>
        <item x="851"/>
        <item x="1304"/>
        <item x="927"/>
        <item x="679"/>
        <item x="1002"/>
        <item x="1375"/>
        <item x="760"/>
        <item x="1079"/>
        <item x="1454"/>
        <item x="1155"/>
        <item x="839"/>
        <item x="915"/>
        <item x="1232"/>
        <item x="1531"/>
        <item x="992"/>
        <item x="1308"/>
        <item x="1608"/>
        <item x="1068"/>
        <item x="1143"/>
        <item x="1379"/>
        <item x="1220"/>
        <item x="1458"/>
        <item x="1296"/>
        <item x="1534"/>
        <item x="1368"/>
        <item x="1612"/>
        <item x="1446"/>
        <item x="1524"/>
        <item x="1601"/>
        <item x="12"/>
        <item x="102"/>
        <item x="187"/>
        <item x="273"/>
        <item x="358"/>
        <item x="443"/>
        <item x="524"/>
        <item x="605"/>
        <item x="685"/>
        <item x="765"/>
        <item x="845"/>
        <item x="921"/>
        <item x="997"/>
        <item x="1074"/>
        <item x="1149"/>
        <item x="1226"/>
        <item x="1302"/>
        <item x="1373"/>
        <item x="1452"/>
        <item x="1529"/>
        <item x="1606"/>
        <item x="16"/>
        <item x="106"/>
        <item x="191"/>
        <item x="277"/>
        <item x="362"/>
        <item x="447"/>
        <item x="528"/>
        <item x="609"/>
        <item x="689"/>
        <item x="769"/>
        <item x="849"/>
        <item x="925"/>
        <item x="1000"/>
        <item x="1077"/>
        <item x="1153"/>
        <item x="1230"/>
        <item x="1306"/>
        <item x="1377"/>
        <item x="1456"/>
        <item x="1533"/>
        <item x="1610"/>
        <item t="default"/>
      </items>
    </pivotField>
    <pivotField showAll="0"/>
    <pivotField numFmtId="2" showAll="0"/>
    <pivotField showAll="0" defaultSubtotal="0">
      <items count="6">
        <item sd="0" x="0"/>
        <item sd="0" x="1"/>
        <item sd="0" x="2"/>
        <item sd="0" x="3"/>
        <item sd="0" x="4"/>
        <item sd="0" x="5"/>
      </items>
    </pivotField>
    <pivotField showAll="0" defaultSubtotal="0">
      <items count="4">
        <item sd="0" x="0"/>
        <item x="1"/>
        <item x="2"/>
        <item sd="0" x="3"/>
      </items>
    </pivotField>
  </pivotFields>
  <rowFields count="1">
    <field x="1"/>
  </rowFields>
  <rowItems count="4">
    <i>
      <x/>
    </i>
    <i>
      <x v="1"/>
    </i>
    <i>
      <x v="2"/>
    </i>
    <i t="grand">
      <x/>
    </i>
  </rowItems>
  <colItems count="1">
    <i/>
  </colItems>
  <dataFields count="1">
    <dataField name="Soma de Visitantes" fld="5" baseField="0" baseItem="0"/>
  </dataFields>
  <chartFormats count="1">
    <chartFormat chart="5" format="10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72" name="Mês">
      <autoFilter ref="A1">
        <filterColumn colId="0">
          <customFilters and="1">
            <customFilter operator="greaterThanOrEqual" val="43101"/>
            <customFilter operator="lessThanOrEqual" val="437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ela dinâmica4" cacheId="0" applyNumberFormats="0" applyBorderFormats="0" applyFontFormats="0" applyPatternFormats="0" applyAlignmentFormats="0" applyWidthHeightFormats="1" dataCaption="Valores" updatedVersion="6" minRefreshableVersion="5" useAutoFormatting="1" itemPrintTitles="1" createdVersion="6" indent="0" outline="1" outlineData="1" multipleFieldFilters="0" chartFormat="15">
  <location ref="H27:I29" firstHeaderRow="1" firstDataRow="1" firstDataCol="1"/>
  <pivotFields count="11">
    <pivotField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items count="4">
        <item x="0"/>
        <item h="1" x="1"/>
        <item h="1" x="2"/>
        <item t="default"/>
      </items>
    </pivotField>
    <pivotField showAll="0">
      <items count="6">
        <item h="1" x="0"/>
        <item h="1" x="1"/>
        <item h="1" x="2"/>
        <item x="3"/>
        <item h="1" x="4"/>
        <item t="default"/>
      </items>
    </pivotField>
    <pivotField axis="axisRow" showAll="0">
      <items count="3">
        <item h="1" x="0"/>
        <item x="1"/>
        <item t="default"/>
      </items>
    </pivotField>
    <pivotField dataField="1" showAll="0"/>
    <pivotField showAll="0">
      <items count="1673">
        <item x="45"/>
        <item x="791"/>
        <item x="35"/>
        <item x="123"/>
        <item x="208"/>
        <item x="294"/>
        <item x="379"/>
        <item x="55"/>
        <item x="41"/>
        <item x="129"/>
        <item x="214"/>
        <item x="300"/>
        <item x="49"/>
        <item x="136"/>
        <item x="221"/>
        <item x="307"/>
        <item x="391"/>
        <item x="31"/>
        <item x="120"/>
        <item x="205"/>
        <item x="43"/>
        <item x="131"/>
        <item x="216"/>
        <item x="302"/>
        <item x="386"/>
        <item x="471"/>
        <item x="550"/>
        <item x="632"/>
        <item x="711"/>
        <item x="789"/>
        <item x="871"/>
        <item x="51"/>
        <item x="138"/>
        <item x="223"/>
        <item x="309"/>
        <item x="393"/>
        <item x="477"/>
        <item x="556"/>
        <item x="1479"/>
        <item x="33"/>
        <item x="59"/>
        <item x="145"/>
        <item x="230"/>
        <item x="316"/>
        <item x="400"/>
        <item x="463"/>
        <item x="484"/>
        <item x="563"/>
        <item x="624"/>
        <item x="644"/>
        <item x="723"/>
        <item x="863"/>
        <item x="802"/>
        <item x="882"/>
        <item x="957"/>
        <item x="1033"/>
        <item x="1168"/>
        <item x="1108"/>
        <item x="39"/>
        <item x="127"/>
        <item x="212"/>
        <item x="298"/>
        <item x="1472"/>
        <item x="383"/>
        <item x="1489"/>
        <item x="468"/>
        <item x="1565"/>
        <item x="547"/>
        <item x="1641"/>
        <item x="629"/>
        <item x="47"/>
        <item x="134"/>
        <item x="786"/>
        <item x="219"/>
        <item x="868"/>
        <item x="305"/>
        <item x="1020"/>
        <item x="389"/>
        <item x="1095"/>
        <item x="1173"/>
        <item x="474"/>
        <item x="1247"/>
        <item x="553"/>
        <item x="1323"/>
        <item x="635"/>
        <item x="1397"/>
        <item x="714"/>
        <item x="1476"/>
        <item x="793"/>
        <item x="53"/>
        <item x="140"/>
        <item x="948"/>
        <item x="225"/>
        <item x="311"/>
        <item x="1178"/>
        <item x="395"/>
        <item x="1252"/>
        <item x="479"/>
        <item x="1328"/>
        <item x="558"/>
        <item x="1402"/>
        <item x="639"/>
        <item x="718"/>
        <item x="1556"/>
        <item x="797"/>
        <item x="1633"/>
        <item x="877"/>
        <item x="75"/>
        <item x="952"/>
        <item x="161"/>
        <item x="1028"/>
        <item x="246"/>
        <item x="1103"/>
        <item x="331"/>
        <item x="1182"/>
        <item x="416"/>
        <item x="1256"/>
        <item x="500"/>
        <item x="579"/>
        <item x="1406"/>
        <item x="659"/>
        <item x="739"/>
        <item x="1560"/>
        <item x="818"/>
        <item x="57"/>
        <item x="1637"/>
        <item x="143"/>
        <item x="972"/>
        <item x="228"/>
        <item x="1048"/>
        <item x="314"/>
        <item x="1123"/>
        <item x="1201"/>
        <item x="398"/>
        <item x="1276"/>
        <item x="482"/>
        <item x="561"/>
        <item x="1426"/>
        <item x="642"/>
        <item x="1503"/>
        <item x="721"/>
        <item x="800"/>
        <item x="880"/>
        <item x="1657"/>
        <item x="955"/>
        <item x="1031"/>
        <item x="1106"/>
        <item x="1185"/>
        <item x="1259"/>
        <item x="37"/>
        <item x="125"/>
        <item x="1334"/>
        <item x="210"/>
        <item x="1409"/>
        <item x="296"/>
        <item x="1487"/>
        <item x="381"/>
        <item x="1563"/>
        <item x="466"/>
        <item x="545"/>
        <item x="627"/>
        <item x="707"/>
        <item x="784"/>
        <item x="866"/>
        <item x="942"/>
        <item x="1018"/>
        <item x="1093"/>
        <item x="1171"/>
        <item x="1245"/>
        <item x="1321"/>
        <item x="65"/>
        <item x="1395"/>
        <item x="151"/>
        <item x="1475"/>
        <item x="236"/>
        <item x="71"/>
        <item x="157"/>
        <item x="1550"/>
        <item x="242"/>
        <item x="406"/>
        <item x="327"/>
        <item x="490"/>
        <item x="412"/>
        <item x="569"/>
        <item x="496"/>
        <item x="650"/>
        <item x="575"/>
        <item x="729"/>
        <item x="73"/>
        <item x="15"/>
        <item x="159"/>
        <item x="808"/>
        <item x="105"/>
        <item x="244"/>
        <item x="735"/>
        <item x="190"/>
        <item x="963"/>
        <item x="329"/>
        <item x="814"/>
        <item x="1039"/>
        <item x="276"/>
        <item x="414"/>
        <item x="1114"/>
        <item x="361"/>
        <item x="1192"/>
        <item x="1045"/>
        <item x="498"/>
        <item x="446"/>
        <item x="1266"/>
        <item x="577"/>
        <item x="1120"/>
        <item x="527"/>
        <item x="1198"/>
        <item x="1341"/>
        <item x="657"/>
        <item x="1272"/>
        <item x="608"/>
        <item x="1416"/>
        <item x="737"/>
        <item x="1347"/>
        <item x="1495"/>
        <item x="688"/>
        <item x="816"/>
        <item x="1422"/>
        <item x="768"/>
        <item x="894"/>
        <item x="1571"/>
        <item x="970"/>
        <item x="848"/>
        <item x="1047"/>
        <item x="924"/>
        <item x="1647"/>
        <item x="999"/>
        <item x="1577"/>
        <item x="1122"/>
        <item x="1200"/>
        <item x="1076"/>
        <item x="1653"/>
        <item x="1152"/>
        <item x="1274"/>
        <item x="1229"/>
        <item x="1349"/>
        <item x="1305"/>
        <item x="1424"/>
        <item x="1376"/>
        <item x="1455"/>
        <item x="1579"/>
        <item x="1532"/>
        <item x="1655"/>
        <item x="1609"/>
        <item x="79"/>
        <item x="165"/>
        <item x="250"/>
        <item x="85"/>
        <item x="335"/>
        <item x="171"/>
        <item x="25"/>
        <item x="5"/>
        <item x="256"/>
        <item x="420"/>
        <item x="95"/>
        <item x="29"/>
        <item x="11"/>
        <item x="341"/>
        <item x="118"/>
        <item x="101"/>
        <item x="286"/>
        <item x="203"/>
        <item x="426"/>
        <item x="266"/>
        <item x="186"/>
        <item x="371"/>
        <item x="290"/>
        <item x="351"/>
        <item x="272"/>
        <item x="21"/>
        <item x="663"/>
        <item x="456"/>
        <item x="375"/>
        <item x="588"/>
        <item x="111"/>
        <item x="357"/>
        <item x="436"/>
        <item x="537"/>
        <item x="743"/>
        <item x="196"/>
        <item x="460"/>
        <item x="442"/>
        <item x="822"/>
        <item x="282"/>
        <item x="618"/>
        <item x="523"/>
        <item x="899"/>
        <item x="749"/>
        <item x="598"/>
        <item x="367"/>
        <item x="698"/>
        <item x="621"/>
        <item x="1052"/>
        <item x="828"/>
        <item x="678"/>
        <item x="604"/>
        <item x="452"/>
        <item x="702"/>
        <item x="1127"/>
        <item x="19"/>
        <item x="759"/>
        <item x="684"/>
        <item x="981"/>
        <item x="533"/>
        <item x="109"/>
        <item x="780"/>
        <item x="838"/>
        <item x="933"/>
        <item x="194"/>
        <item x="914"/>
        <item x="1009"/>
        <item x="861"/>
        <item x="614"/>
        <item x="991"/>
        <item x="844"/>
        <item x="937"/>
        <item x="280"/>
        <item x="1210"/>
        <item x="1085"/>
        <item x="920"/>
        <item x="1013"/>
        <item x="694"/>
        <item x="1067"/>
        <item x="1161"/>
        <item x="996"/>
        <item x="365"/>
        <item x="1285"/>
        <item x="1142"/>
        <item x="1088"/>
        <item x="1430"/>
        <item x="773"/>
        <item x="1239"/>
        <item x="1073"/>
        <item x="1165"/>
        <item x="1358"/>
        <item x="1507"/>
        <item x="450"/>
        <item x="1148"/>
        <item x="854"/>
        <item x="1313"/>
        <item x="929"/>
        <item x="531"/>
        <item x="1295"/>
        <item x="1225"/>
        <item x="1005"/>
        <item x="1584"/>
        <item x="1316"/>
        <item x="1386"/>
        <item x="1513"/>
        <item x="1301"/>
        <item x="1082"/>
        <item x="612"/>
        <item x="1661"/>
        <item x="1465"/>
        <item x="1157"/>
        <item x="1390"/>
        <item x="1445"/>
        <item x="692"/>
        <item x="1590"/>
        <item x="1469"/>
        <item x="1235"/>
        <item x="1541"/>
        <item x="1451"/>
        <item x="13"/>
        <item x="61"/>
        <item x="1667"/>
        <item x="1523"/>
        <item x="103"/>
        <item x="147"/>
        <item x="1619"/>
        <item x="852"/>
        <item x="1545"/>
        <item x="188"/>
        <item x="1600"/>
        <item x="232"/>
        <item x="1382"/>
        <item x="1003"/>
        <item x="1623"/>
        <item x="274"/>
        <item x="318"/>
        <item x="1461"/>
        <item x="1080"/>
        <item x="359"/>
        <item x="402"/>
        <item x="1537"/>
        <item x="1233"/>
        <item x="444"/>
        <item x="486"/>
        <item x="1615"/>
        <item x="525"/>
        <item x="565"/>
        <item x="1380"/>
        <item x="606"/>
        <item x="646"/>
        <item x="1459"/>
        <item x="686"/>
        <item x="725"/>
        <item x="766"/>
        <item x="804"/>
        <item x="1535"/>
        <item x="1"/>
        <item x="846"/>
        <item x="884"/>
        <item x="91"/>
        <item x="1613"/>
        <item x="922"/>
        <item x="959"/>
        <item x="177"/>
        <item x="1035"/>
        <item x="262"/>
        <item x="1110"/>
        <item x="1150"/>
        <item x="1188"/>
        <item x="347"/>
        <item x="81"/>
        <item x="1227"/>
        <item x="1262"/>
        <item x="167"/>
        <item x="63"/>
        <item x="432"/>
        <item x="1303"/>
        <item x="149"/>
        <item x="1337"/>
        <item x="252"/>
        <item x="514"/>
        <item x="234"/>
        <item x="337"/>
        <item x="1374"/>
        <item x="1412"/>
        <item x="77"/>
        <item x="320"/>
        <item x="594"/>
        <item x="1453"/>
        <item x="163"/>
        <item x="1491"/>
        <item x="422"/>
        <item x="248"/>
        <item x="404"/>
        <item x="674"/>
        <item x="505"/>
        <item x="1530"/>
        <item x="1567"/>
        <item x="333"/>
        <item x="755"/>
        <item x="488"/>
        <item x="584"/>
        <item x="1607"/>
        <item x="1643"/>
        <item x="834"/>
        <item x="418"/>
        <item x="567"/>
        <item x="910"/>
        <item x="665"/>
        <item x="987"/>
        <item x="502"/>
        <item x="648"/>
        <item x="745"/>
        <item x="1063"/>
        <item x="581"/>
        <item x="1138"/>
        <item x="727"/>
        <item x="824"/>
        <item x="1216"/>
        <item x="661"/>
        <item x="806"/>
        <item x="901"/>
        <item x="977"/>
        <item x="886"/>
        <item x="1291"/>
        <item x="741"/>
        <item x="1054"/>
        <item x="961"/>
        <item x="1037"/>
        <item x="820"/>
        <item x="1129"/>
        <item x="1364"/>
        <item x="1206"/>
        <item x="897"/>
        <item x="1112"/>
        <item x="1441"/>
        <item x="974"/>
        <item x="1190"/>
        <item x="1281"/>
        <item x="23"/>
        <item x="1050"/>
        <item x="54"/>
        <item x="113"/>
        <item x="1264"/>
        <item x="1519"/>
        <item x="141"/>
        <item x="1125"/>
        <item x="198"/>
        <item x="1203"/>
        <item x="1339"/>
        <item x="226"/>
        <item x="1596"/>
        <item x="1432"/>
        <item x="284"/>
        <item x="1278"/>
        <item x="312"/>
        <item x="1414"/>
        <item x="1509"/>
        <item x="369"/>
        <item x="1352"/>
        <item x="1493"/>
        <item x="396"/>
        <item x="1586"/>
        <item x="454"/>
        <item x="1428"/>
        <item x="480"/>
        <item x="1569"/>
        <item x="535"/>
        <item x="1663"/>
        <item x="1505"/>
        <item x="559"/>
        <item x="1645"/>
        <item x="616"/>
        <item x="1582"/>
        <item x="640"/>
        <item x="696"/>
        <item x="1659"/>
        <item x="719"/>
        <item x="775"/>
        <item x="798"/>
        <item x="856"/>
        <item x="878"/>
        <item x="931"/>
        <item x="17"/>
        <item x="953"/>
        <item x="1007"/>
        <item x="107"/>
        <item x="1029"/>
        <item x="192"/>
        <item x="1104"/>
        <item x="1159"/>
        <item x="1183"/>
        <item x="27"/>
        <item x="278"/>
        <item x="116"/>
        <item x="1237"/>
        <item x="9"/>
        <item x="1257"/>
        <item x="363"/>
        <item x="99"/>
        <item x="201"/>
        <item x="1311"/>
        <item x="184"/>
        <item x="1332"/>
        <item x="288"/>
        <item x="448"/>
        <item x="89"/>
        <item x="1384"/>
        <item x="270"/>
        <item x="175"/>
        <item x="529"/>
        <item x="1407"/>
        <item x="373"/>
        <item x="1463"/>
        <item x="260"/>
        <item x="355"/>
        <item x="1485"/>
        <item x="458"/>
        <item x="610"/>
        <item x="345"/>
        <item x="1539"/>
        <item x="440"/>
        <item x="539"/>
        <item x="3"/>
        <item x="1561"/>
        <item x="690"/>
        <item x="430"/>
        <item x="50"/>
        <item x="93"/>
        <item x="521"/>
        <item x="1617"/>
        <item x="34"/>
        <item x="137"/>
        <item x="1638"/>
        <item x="770"/>
        <item x="179"/>
        <item x="83"/>
        <item x="122"/>
        <item x="512"/>
        <item x="222"/>
        <item x="169"/>
        <item x="850"/>
        <item x="602"/>
        <item x="207"/>
        <item x="264"/>
        <item x="700"/>
        <item x="592"/>
        <item x="926"/>
        <item x="254"/>
        <item x="308"/>
        <item x="1001"/>
        <item x="682"/>
        <item x="293"/>
        <item x="349"/>
        <item x="778"/>
        <item x="339"/>
        <item x="392"/>
        <item x="672"/>
        <item x="1078"/>
        <item x="763"/>
        <item x="859"/>
        <item x="378"/>
        <item x="434"/>
        <item x="1154"/>
        <item x="424"/>
        <item x="935"/>
        <item x="842"/>
        <item x="753"/>
        <item x="476"/>
        <item x="1011"/>
        <item x="516"/>
        <item x="918"/>
        <item x="464"/>
        <item x="1231"/>
        <item x="555"/>
        <item x="507"/>
        <item x="832"/>
        <item x="543"/>
        <item x="1307"/>
        <item x="586"/>
        <item x="908"/>
        <item x="1163"/>
        <item x="596"/>
        <item x="1071"/>
        <item x="985"/>
        <item x="637"/>
        <item x="1146"/>
        <item x="625"/>
        <item x="1061"/>
        <item x="676"/>
        <item x="1378"/>
        <item x="667"/>
        <item x="716"/>
        <item x="69"/>
        <item x="1223"/>
        <item x="1457"/>
        <item x="705"/>
        <item x="1136"/>
        <item x="757"/>
        <item x="155"/>
        <item x="747"/>
        <item x="1214"/>
        <item x="795"/>
        <item x="1299"/>
        <item x="836"/>
        <item x="240"/>
        <item x="782"/>
        <item x="1388"/>
        <item x="875"/>
        <item x="912"/>
        <item x="826"/>
        <item x="1289"/>
        <item x="864"/>
        <item x="950"/>
        <item x="989"/>
        <item x="325"/>
        <item x="1371"/>
        <item x="1467"/>
        <item x="903"/>
        <item x="940"/>
        <item x="1026"/>
        <item x="1611"/>
        <item x="1362"/>
        <item x="1449"/>
        <item x="979"/>
        <item x="1016"/>
        <item x="1065"/>
        <item x="410"/>
        <item x="1056"/>
        <item x="1101"/>
        <item x="1140"/>
        <item x="1543"/>
        <item x="1091"/>
        <item x="1439"/>
        <item x="1180"/>
        <item x="494"/>
        <item x="1527"/>
        <item x="1131"/>
        <item x="1169"/>
        <item x="1218"/>
        <item x="1621"/>
        <item x="1517"/>
        <item x="1208"/>
        <item x="1254"/>
        <item x="573"/>
        <item x="1604"/>
        <item x="1243"/>
        <item x="1293"/>
        <item x="1283"/>
        <item x="1330"/>
        <item x="1594"/>
        <item x="1319"/>
        <item x="654"/>
        <item x="1366"/>
        <item x="1356"/>
        <item x="1671"/>
        <item x="1404"/>
        <item x="1443"/>
        <item x="733"/>
        <item x="1393"/>
        <item x="1483"/>
        <item x="1434"/>
        <item x="1473"/>
        <item x="812"/>
        <item x="1511"/>
        <item x="1521"/>
        <item x="891"/>
        <item x="1558"/>
        <item x="967"/>
        <item x="1548"/>
        <item x="1598"/>
        <item x="1043"/>
        <item x="1588"/>
        <item x="1635"/>
        <item x="1626"/>
        <item x="1118"/>
        <item x="1665"/>
        <item x="1196"/>
        <item x="1270"/>
        <item x="64"/>
        <item x="150"/>
        <item x="1345"/>
        <item x="235"/>
        <item x="1602"/>
        <item x="1420"/>
        <item x="321"/>
        <item x="1499"/>
        <item x="405"/>
        <item x="1575"/>
        <item x="489"/>
        <item x="1649"/>
        <item x="568"/>
        <item x="1651"/>
        <item x="649"/>
        <item x="728"/>
        <item x="84"/>
        <item x="58"/>
        <item x="170"/>
        <item x="144"/>
        <item x="807"/>
        <item x="255"/>
        <item x="229"/>
        <item x="887"/>
        <item x="962"/>
        <item x="340"/>
        <item x="315"/>
        <item x="1038"/>
        <item x="425"/>
        <item x="399"/>
        <item x="1113"/>
        <item x="1191"/>
        <item x="508"/>
        <item x="483"/>
        <item x="1265"/>
        <item x="587"/>
        <item x="562"/>
        <item x="1340"/>
        <item x="668"/>
        <item x="643"/>
        <item x="1415"/>
        <item x="748"/>
        <item x="722"/>
        <item x="1494"/>
        <item x="827"/>
        <item x="801"/>
        <item x="7"/>
        <item x="1570"/>
        <item x="904"/>
        <item x="881"/>
        <item x="97"/>
        <item x="980"/>
        <item x="956"/>
        <item x="1646"/>
        <item x="1057"/>
        <item x="182"/>
        <item x="1032"/>
        <item x="1132"/>
        <item x="30"/>
        <item x="268"/>
        <item x="1107"/>
        <item x="1209"/>
        <item x="119"/>
        <item x="1186"/>
        <item x="353"/>
        <item x="204"/>
        <item x="1284"/>
        <item x="1260"/>
        <item x="291"/>
        <item x="438"/>
        <item x="1357"/>
        <item x="1335"/>
        <item x="519"/>
        <item x="376"/>
        <item x="1435"/>
        <item x="1410"/>
        <item x="1512"/>
        <item x="461"/>
        <item x="600"/>
        <item x="1488"/>
        <item x="541"/>
        <item x="680"/>
        <item x="1589"/>
        <item x="1564"/>
        <item x="761"/>
        <item x="622"/>
        <item x="52"/>
        <item x="1666"/>
        <item x="1640"/>
        <item x="840"/>
        <item x="139"/>
        <item x="703"/>
        <item x="916"/>
        <item x="224"/>
        <item x="87"/>
        <item x="67"/>
        <item x="993"/>
        <item x="173"/>
        <item x="153"/>
        <item x="310"/>
        <item x="1069"/>
        <item x="258"/>
        <item x="238"/>
        <item x="1144"/>
        <item x="938"/>
        <item x="394"/>
        <item x="343"/>
        <item x="323"/>
        <item x="1014"/>
        <item x="1221"/>
        <item x="478"/>
        <item x="428"/>
        <item x="408"/>
        <item x="1089"/>
        <item x="1297"/>
        <item x="1166"/>
        <item x="557"/>
        <item x="510"/>
        <item x="492"/>
        <item x="1242"/>
        <item x="1369"/>
        <item x="590"/>
        <item x="571"/>
        <item x="638"/>
        <item x="1447"/>
        <item x="1317"/>
        <item x="717"/>
        <item x="670"/>
        <item x="652"/>
        <item x="1391"/>
        <item x="1525"/>
        <item x="796"/>
        <item x="751"/>
        <item x="731"/>
        <item x="1470"/>
        <item x="876"/>
        <item x="951"/>
        <item x="830"/>
        <item x="810"/>
        <item x="1027"/>
        <item x="1546"/>
        <item x="906"/>
        <item x="889"/>
        <item x="983"/>
        <item x="965"/>
        <item x="1102"/>
        <item x="1624"/>
        <item x="1059"/>
        <item x="1041"/>
        <item x="1181"/>
        <item x="80"/>
        <item x="1134"/>
        <item x="1116"/>
        <item x="1255"/>
        <item x="166"/>
        <item x="1212"/>
        <item x="1194"/>
        <item x="251"/>
        <item x="1331"/>
        <item x="1287"/>
        <item x="1268"/>
        <item x="336"/>
        <item x="1405"/>
        <item x="1360"/>
        <item x="1343"/>
        <item x="421"/>
        <item x="1484"/>
        <item x="1437"/>
        <item x="1418"/>
        <item x="504"/>
        <item x="1515"/>
        <item x="1497"/>
        <item x="1559"/>
        <item x="583"/>
        <item x="1636"/>
        <item x="1592"/>
        <item x="1573"/>
        <item x="664"/>
        <item x="1669"/>
        <item x="744"/>
        <item x="823"/>
        <item x="900"/>
        <item x="32"/>
        <item x="976"/>
        <item x="121"/>
        <item x="1053"/>
        <item x="206"/>
        <item x="1128"/>
        <item x="292"/>
        <item x="1205"/>
        <item x="377"/>
        <item x="1280"/>
        <item x="44"/>
        <item x="1354"/>
        <item x="462"/>
        <item x="132"/>
        <item x="542"/>
        <item x="217"/>
        <item x="1431"/>
        <item x="303"/>
        <item x="1508"/>
        <item x="623"/>
        <item x="387"/>
        <item x="704"/>
        <item x="1585"/>
        <item x="60"/>
        <item x="472"/>
        <item x="781"/>
        <item x="1662"/>
        <item x="146"/>
        <item x="551"/>
        <item x="862"/>
        <item x="38"/>
        <item x="231"/>
        <item x="939"/>
        <item x="126"/>
        <item x="1015"/>
        <item x="317"/>
        <item x="633"/>
        <item x="211"/>
        <item x="1090"/>
        <item x="56"/>
        <item x="401"/>
        <item x="712"/>
        <item x="297"/>
        <item x="1167"/>
        <item x="142"/>
        <item x="790"/>
        <item x="227"/>
        <item x="382"/>
        <item x="485"/>
        <item x="872"/>
        <item x="564"/>
        <item x="313"/>
        <item x="1318"/>
        <item x="946"/>
        <item x="467"/>
        <item x="1023"/>
        <item x="397"/>
        <item x="546"/>
        <item x="645"/>
        <item x="1392"/>
        <item x="1098"/>
        <item x="74"/>
        <item x="1471"/>
        <item x="62"/>
        <item x="1176"/>
        <item x="481"/>
        <item x="724"/>
        <item x="160"/>
        <item x="628"/>
        <item x="148"/>
        <item x="560"/>
        <item x="245"/>
        <item x="1250"/>
        <item x="803"/>
        <item x="233"/>
        <item x="708"/>
        <item x="1547"/>
        <item x="883"/>
        <item x="330"/>
        <item x="1326"/>
        <item x="319"/>
        <item x="641"/>
        <item x="785"/>
        <item x="1625"/>
        <item x="958"/>
        <item x="1034"/>
        <item x="415"/>
        <item x="867"/>
        <item x="403"/>
        <item x="1400"/>
        <item x="720"/>
        <item x="943"/>
        <item x="1109"/>
        <item x="1480"/>
        <item x="1019"/>
        <item x="499"/>
        <item x="799"/>
        <item x="1187"/>
        <item x="487"/>
        <item x="578"/>
        <item x="879"/>
        <item x="1094"/>
        <item x="566"/>
        <item x="1261"/>
        <item x="1554"/>
        <item x="954"/>
        <item x="1172"/>
        <item x="1030"/>
        <item x="1336"/>
        <item x="658"/>
        <item x="1631"/>
        <item x="1246"/>
        <item x="647"/>
        <item x="1105"/>
        <item x="40"/>
        <item x="738"/>
        <item x="1184"/>
        <item x="1322"/>
        <item x="1411"/>
        <item x="128"/>
        <item x="726"/>
        <item x="1490"/>
        <item x="817"/>
        <item x="213"/>
        <item x="1258"/>
        <item x="805"/>
        <item x="1396"/>
        <item x="88"/>
        <item x="82"/>
        <item x="895"/>
        <item x="174"/>
        <item x="299"/>
        <item x="885"/>
        <item x="1333"/>
        <item x="168"/>
        <item x="971"/>
        <item x="1566"/>
        <item x="960"/>
        <item x="259"/>
        <item x="253"/>
        <item x="384"/>
        <item x="1036"/>
        <item x="1408"/>
        <item x="1642"/>
        <item x="1551"/>
        <item x="344"/>
        <item x="338"/>
        <item x="1111"/>
        <item x="1486"/>
        <item x="469"/>
        <item x="1189"/>
        <item x="1628"/>
        <item x="429"/>
        <item x="423"/>
        <item x="548"/>
        <item x="1275"/>
        <item x="1263"/>
        <item x="1562"/>
        <item x="511"/>
        <item x="506"/>
        <item x="1350"/>
        <item x="630"/>
        <item x="1338"/>
        <item x="1639"/>
        <item x="591"/>
        <item x="585"/>
        <item x="709"/>
        <item x="1425"/>
        <item x="1413"/>
        <item x="671"/>
        <item x="1502"/>
        <item x="666"/>
        <item x="787"/>
        <item x="1492"/>
        <item x="752"/>
        <item x="869"/>
        <item x="746"/>
        <item x="1580"/>
        <item x="944"/>
        <item x="1568"/>
        <item x="831"/>
        <item x="1021"/>
        <item x="825"/>
        <item x="1656"/>
        <item x="907"/>
        <item x="1644"/>
        <item x="902"/>
        <item x="1096"/>
        <item x="20"/>
        <item x="984"/>
        <item x="978"/>
        <item x="1174"/>
        <item x="110"/>
        <item x="1060"/>
        <item x="1055"/>
        <item x="195"/>
        <item x="1248"/>
        <item x="1135"/>
        <item x="1130"/>
        <item x="1213"/>
        <item x="281"/>
        <item x="1207"/>
        <item x="1324"/>
        <item x="1288"/>
        <item x="366"/>
        <item x="1282"/>
        <item x="1398"/>
        <item x="1361"/>
        <item x="1355"/>
        <item x="1477"/>
        <item x="451"/>
        <item x="532"/>
        <item x="1438"/>
        <item x="1433"/>
        <item x="1552"/>
        <item x="1516"/>
        <item x="1510"/>
        <item x="613"/>
        <item x="1629"/>
        <item x="1593"/>
        <item x="693"/>
        <item x="1587"/>
        <item x="1670"/>
        <item x="772"/>
        <item x="1664"/>
        <item x="853"/>
        <item x="24"/>
        <item x="928"/>
        <item x="114"/>
        <item x="1004"/>
        <item x="199"/>
        <item x="1081"/>
        <item x="285"/>
        <item x="1156"/>
        <item x="370"/>
        <item x="1234"/>
        <item x="68"/>
        <item x="48"/>
        <item x="154"/>
        <item x="1309"/>
        <item x="455"/>
        <item x="135"/>
        <item x="239"/>
        <item x="28"/>
        <item x="536"/>
        <item x="220"/>
        <item x="117"/>
        <item x="1381"/>
        <item x="324"/>
        <item x="306"/>
        <item x="202"/>
        <item x="1460"/>
        <item x="617"/>
        <item x="409"/>
        <item x="390"/>
        <item x="289"/>
        <item x="697"/>
        <item x="1536"/>
        <item x="493"/>
        <item x="374"/>
        <item x="475"/>
        <item x="776"/>
        <item x="1614"/>
        <item x="572"/>
        <item x="554"/>
        <item x="857"/>
        <item x="459"/>
        <item x="932"/>
        <item x="540"/>
        <item x="653"/>
        <item x="1008"/>
        <item x="636"/>
        <item x="732"/>
        <item x="1084"/>
        <item x="715"/>
        <item x="620"/>
        <item x="70"/>
        <item x="1160"/>
        <item x="156"/>
        <item x="811"/>
        <item x="794"/>
        <item x="701"/>
        <item x="1238"/>
        <item x="42"/>
        <item x="241"/>
        <item x="890"/>
        <item x="874"/>
        <item x="130"/>
        <item x="966"/>
        <item x="779"/>
        <item x="1312"/>
        <item x="949"/>
        <item x="326"/>
        <item x="1042"/>
        <item x="215"/>
        <item x="1025"/>
        <item x="860"/>
        <item x="936"/>
        <item x="411"/>
        <item x="1117"/>
        <item x="1385"/>
        <item x="301"/>
        <item x="1100"/>
        <item x="1012"/>
        <item x="1195"/>
        <item x="1464"/>
        <item x="1179"/>
        <item x="385"/>
        <item x="495"/>
        <item x="1087"/>
        <item x="1269"/>
        <item x="1253"/>
        <item x="1164"/>
        <item x="574"/>
        <item x="1540"/>
        <item x="470"/>
        <item x="1344"/>
        <item x="1329"/>
        <item x="1241"/>
        <item x="549"/>
        <item x="1618"/>
        <item x="655"/>
        <item x="1419"/>
        <item x="1315"/>
        <item x="1403"/>
        <item x="734"/>
        <item x="1498"/>
        <item x="631"/>
        <item x="1482"/>
        <item x="1389"/>
        <item x="36"/>
        <item x="813"/>
        <item x="710"/>
        <item x="1468"/>
        <item x="124"/>
        <item x="1574"/>
        <item x="892"/>
        <item x="1557"/>
        <item x="788"/>
        <item x="209"/>
        <item x="968"/>
        <item x="1650"/>
        <item x="1044"/>
        <item x="1634"/>
        <item x="870"/>
        <item x="1544"/>
        <item x="295"/>
        <item x="945"/>
        <item x="1119"/>
        <item x="1022"/>
        <item x="1622"/>
        <item x="380"/>
        <item x="1197"/>
        <item x="1097"/>
        <item x="1271"/>
        <item x="1175"/>
        <item x="465"/>
        <item x="544"/>
        <item x="1346"/>
        <item x="4"/>
        <item x="1249"/>
        <item x="94"/>
        <item x="1325"/>
        <item x="1421"/>
        <item x="180"/>
        <item x="626"/>
        <item x="1500"/>
        <item x="265"/>
        <item x="1399"/>
        <item x="706"/>
        <item x="1478"/>
        <item x="350"/>
        <item x="783"/>
        <item x="1576"/>
        <item x="72"/>
        <item x="86"/>
        <item x="865"/>
        <item x="158"/>
        <item x="1652"/>
        <item x="172"/>
        <item x="435"/>
        <item x="1553"/>
        <item x="941"/>
        <item x="243"/>
        <item x="1017"/>
        <item x="257"/>
        <item x="517"/>
        <item x="1630"/>
        <item x="328"/>
        <item x="1092"/>
        <item x="342"/>
        <item x="1170"/>
        <item x="597"/>
        <item x="413"/>
        <item x="427"/>
        <item x="1244"/>
        <item x="22"/>
        <item x="677"/>
        <item x="112"/>
        <item x="497"/>
        <item x="509"/>
        <item x="1320"/>
        <item x="758"/>
        <item x="197"/>
        <item x="576"/>
        <item x="589"/>
        <item x="78"/>
        <item x="837"/>
        <item x="164"/>
        <item x="1394"/>
        <item x="283"/>
        <item x="913"/>
        <item x="990"/>
        <item x="249"/>
        <item x="656"/>
        <item x="1474"/>
        <item x="669"/>
        <item x="368"/>
        <item x="1066"/>
        <item x="334"/>
        <item x="736"/>
        <item x="750"/>
        <item x="1141"/>
        <item x="1549"/>
        <item x="453"/>
        <item x="419"/>
        <item x="815"/>
        <item x="829"/>
        <item x="534"/>
        <item x="1219"/>
        <item x="1627"/>
        <item x="893"/>
        <item x="905"/>
        <item x="503"/>
        <item x="969"/>
        <item x="982"/>
        <item x="1294"/>
        <item x="1046"/>
        <item x="615"/>
        <item x="1058"/>
        <item x="582"/>
        <item x="1367"/>
        <item x="1121"/>
        <item x="695"/>
        <item x="1133"/>
        <item x="1199"/>
        <item x="1211"/>
        <item x="1444"/>
        <item x="662"/>
        <item x="0"/>
        <item x="774"/>
        <item x="90"/>
        <item x="1273"/>
        <item x="1286"/>
        <item x="742"/>
        <item x="855"/>
        <item x="1522"/>
        <item x="176"/>
        <item x="930"/>
        <item x="1348"/>
        <item x="1359"/>
        <item x="821"/>
        <item x="1006"/>
        <item x="1599"/>
        <item x="261"/>
        <item x="898"/>
        <item x="1423"/>
        <item x="1083"/>
        <item x="1436"/>
        <item x="975"/>
        <item x="346"/>
        <item x="1158"/>
        <item x="1051"/>
        <item x="1501"/>
        <item x="1514"/>
        <item x="1236"/>
        <item x="1126"/>
        <item x="431"/>
        <item x="1204"/>
        <item x="1578"/>
        <item x="1591"/>
        <item x="513"/>
        <item x="1310"/>
        <item x="66"/>
        <item x="1279"/>
        <item x="1654"/>
        <item x="1668"/>
        <item x="152"/>
        <item x="1383"/>
        <item x="593"/>
        <item x="1353"/>
        <item x="237"/>
        <item x="1462"/>
        <item x="673"/>
        <item x="322"/>
        <item x="1429"/>
        <item x="754"/>
        <item x="1538"/>
        <item x="1506"/>
        <item x="407"/>
        <item x="833"/>
        <item x="1616"/>
        <item x="909"/>
        <item x="491"/>
        <item x="1583"/>
        <item x="986"/>
        <item x="570"/>
        <item x="1660"/>
        <item x="1062"/>
        <item x="1137"/>
        <item x="651"/>
        <item x="1215"/>
        <item x="730"/>
        <item x="1290"/>
        <item x="26"/>
        <item x="809"/>
        <item x="115"/>
        <item x="1363"/>
        <item x="888"/>
        <item x="200"/>
        <item x="964"/>
        <item x="1440"/>
        <item x="1040"/>
        <item x="287"/>
        <item x="46"/>
        <item x="133"/>
        <item x="1115"/>
        <item x="1518"/>
        <item x="372"/>
        <item x="1193"/>
        <item x="218"/>
        <item x="1595"/>
        <item x="457"/>
        <item x="1267"/>
        <item x="304"/>
        <item x="538"/>
        <item x="1342"/>
        <item x="388"/>
        <item x="8"/>
        <item x="98"/>
        <item x="619"/>
        <item x="1417"/>
        <item x="473"/>
        <item x="183"/>
        <item x="1496"/>
        <item x="552"/>
        <item x="699"/>
        <item x="269"/>
        <item x="777"/>
        <item x="1572"/>
        <item x="634"/>
        <item x="354"/>
        <item x="858"/>
        <item x="934"/>
        <item x="1648"/>
        <item x="713"/>
        <item x="1010"/>
        <item x="439"/>
        <item x="792"/>
        <item x="520"/>
        <item x="1086"/>
        <item x="873"/>
        <item x="1162"/>
        <item x="947"/>
        <item x="1024"/>
        <item x="601"/>
        <item x="1240"/>
        <item x="1099"/>
        <item x="681"/>
        <item x="2"/>
        <item x="1314"/>
        <item x="1177"/>
        <item x="92"/>
        <item x="762"/>
        <item x="178"/>
        <item x="1387"/>
        <item x="1251"/>
        <item x="841"/>
        <item x="1466"/>
        <item x="917"/>
        <item x="263"/>
        <item x="1327"/>
        <item x="994"/>
        <item x="348"/>
        <item x="1542"/>
        <item x="1401"/>
        <item x="1070"/>
        <item x="1145"/>
        <item x="1481"/>
        <item x="433"/>
        <item x="1620"/>
        <item x="1222"/>
        <item x="515"/>
        <item x="1555"/>
        <item x="1298"/>
        <item x="595"/>
        <item x="1632"/>
        <item x="1370"/>
        <item x="675"/>
        <item x="1448"/>
        <item x="756"/>
        <item x="835"/>
        <item x="1526"/>
        <item x="911"/>
        <item x="988"/>
        <item x="1603"/>
        <item x="1064"/>
        <item x="1139"/>
        <item x="1217"/>
        <item x="1292"/>
        <item x="1365"/>
        <item x="76"/>
        <item x="1442"/>
        <item x="162"/>
        <item x="247"/>
        <item x="1520"/>
        <item x="332"/>
        <item x="1597"/>
        <item x="417"/>
        <item x="501"/>
        <item x="580"/>
        <item x="660"/>
        <item x="740"/>
        <item x="819"/>
        <item x="896"/>
        <item x="973"/>
        <item x="1049"/>
        <item x="1124"/>
        <item x="1202"/>
        <item x="1277"/>
        <item x="1351"/>
        <item x="1427"/>
        <item x="1504"/>
        <item x="1581"/>
        <item x="1658"/>
        <item x="10"/>
        <item x="100"/>
        <item x="185"/>
        <item x="271"/>
        <item x="356"/>
        <item x="441"/>
        <item x="522"/>
        <item x="14"/>
        <item x="104"/>
        <item x="189"/>
        <item x="603"/>
        <item x="275"/>
        <item x="683"/>
        <item x="360"/>
        <item x="764"/>
        <item x="843"/>
        <item x="18"/>
        <item x="445"/>
        <item x="919"/>
        <item x="108"/>
        <item x="995"/>
        <item x="526"/>
        <item x="193"/>
        <item x="1072"/>
        <item x="1147"/>
        <item x="279"/>
        <item x="607"/>
        <item x="6"/>
        <item x="1224"/>
        <item x="96"/>
        <item x="364"/>
        <item x="687"/>
        <item x="181"/>
        <item x="1300"/>
        <item x="767"/>
        <item x="449"/>
        <item x="267"/>
        <item x="847"/>
        <item x="530"/>
        <item x="1372"/>
        <item x="923"/>
        <item x="352"/>
        <item x="998"/>
        <item x="1450"/>
        <item x="611"/>
        <item x="1075"/>
        <item x="437"/>
        <item x="1151"/>
        <item x="1528"/>
        <item x="691"/>
        <item x="518"/>
        <item x="1228"/>
        <item x="1605"/>
        <item x="771"/>
        <item x="599"/>
        <item x="851"/>
        <item x="1304"/>
        <item x="927"/>
        <item x="679"/>
        <item x="1002"/>
        <item x="1375"/>
        <item x="760"/>
        <item x="1079"/>
        <item x="1454"/>
        <item x="1155"/>
        <item x="839"/>
        <item x="915"/>
        <item x="1232"/>
        <item x="1531"/>
        <item x="992"/>
        <item x="1308"/>
        <item x="1608"/>
        <item x="1068"/>
        <item x="1143"/>
        <item x="1379"/>
        <item x="1220"/>
        <item x="1458"/>
        <item x="1296"/>
        <item x="1534"/>
        <item x="1368"/>
        <item x="1612"/>
        <item x="1446"/>
        <item x="1524"/>
        <item x="1601"/>
        <item x="12"/>
        <item x="102"/>
        <item x="187"/>
        <item x="273"/>
        <item x="358"/>
        <item x="443"/>
        <item x="524"/>
        <item x="605"/>
        <item x="685"/>
        <item x="765"/>
        <item x="845"/>
        <item x="921"/>
        <item x="997"/>
        <item x="1074"/>
        <item x="1149"/>
        <item x="1226"/>
        <item x="1302"/>
        <item x="1373"/>
        <item x="1452"/>
        <item x="1529"/>
        <item x="1606"/>
        <item x="16"/>
        <item x="106"/>
        <item x="191"/>
        <item x="277"/>
        <item x="362"/>
        <item x="447"/>
        <item x="528"/>
        <item x="609"/>
        <item x="689"/>
        <item x="769"/>
        <item x="849"/>
        <item x="925"/>
        <item x="1000"/>
        <item x="1077"/>
        <item x="1153"/>
        <item x="1230"/>
        <item x="1306"/>
        <item x="1377"/>
        <item x="1456"/>
        <item x="1533"/>
        <item x="1610"/>
        <item t="default"/>
      </items>
    </pivotField>
    <pivotField showAll="0"/>
    <pivotField numFmtId="2" showAll="0"/>
    <pivotField showAll="0" defaultSubtotal="0">
      <items count="6">
        <item sd="0" x="0"/>
        <item sd="0" x="1"/>
        <item sd="0" x="2"/>
        <item sd="0" x="3"/>
        <item sd="0" x="4"/>
        <item sd="0" x="5"/>
      </items>
    </pivotField>
    <pivotField showAll="0" defaultSubtotal="0">
      <items count="4">
        <item sd="0" x="0"/>
        <item x="1"/>
        <item x="2"/>
        <item sd="0" x="3"/>
      </items>
    </pivotField>
  </pivotFields>
  <rowFields count="1">
    <field x="4"/>
  </rowFields>
  <rowItems count="2">
    <i>
      <x v="1"/>
    </i>
    <i t="grand">
      <x/>
    </i>
  </rowItems>
  <colItems count="1">
    <i/>
  </colItems>
  <dataFields count="1">
    <dataField name="Soma de Visitantes" fld="5" baseField="0" baseItem="0"/>
  </dataFields>
  <chartFormats count="1">
    <chartFormat chart="14" format="6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72" name="Mês">
      <autoFilter ref="A1">
        <filterColumn colId="0">
          <customFilters and="1">
            <customFilter operator="greaterThanOrEqual" val="43101"/>
            <customFilter operator="lessThanOrEqual" val="437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ela dinâmica10" cacheId="0" applyNumberFormats="0" applyBorderFormats="0" applyFontFormats="0" applyPatternFormats="0" applyAlignmentFormats="0" applyWidthHeightFormats="1" dataCaption="Valores" updatedVersion="6" minRefreshableVersion="5" useAutoFormatting="1" itemPrintTitles="1" createdVersion="6" indent="0" outline="1" outlineData="1" multipleFieldFilters="0" chartFormat="18">
  <location ref="AK11:AM36" firstHeaderRow="1" firstDataRow="2" firstDataCol="1"/>
  <pivotFields count="11">
    <pivotField axis="axisRow"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items count="4">
        <item x="0"/>
        <item h="1" x="1"/>
        <item h="1" x="2"/>
        <item t="default"/>
      </items>
    </pivotField>
    <pivotField axis="axisCol" showAll="0">
      <items count="6">
        <item h="1" x="0"/>
        <item h="1" x="1"/>
        <item h="1" x="2"/>
        <item x="3"/>
        <item h="1" x="4"/>
        <item t="default"/>
      </items>
    </pivotField>
    <pivotField showAll="0">
      <items count="3">
        <item h="1" x="0"/>
        <item x="1"/>
        <item t="default"/>
      </items>
    </pivotField>
    <pivotField dataField="1" showAll="0">
      <items count="1827">
        <item x="35"/>
        <item x="123"/>
        <item x="211"/>
        <item x="299"/>
        <item x="387"/>
        <item x="474"/>
        <item x="562"/>
        <item x="650"/>
        <item x="735"/>
        <item x="822"/>
        <item x="907"/>
        <item x="991"/>
        <item x="1078"/>
        <item x="1164"/>
        <item x="1251"/>
        <item x="1338"/>
        <item x="1426"/>
        <item x="1513"/>
        <item x="1599"/>
        <item x="1685"/>
        <item x="1773"/>
        <item x="25"/>
        <item x="113"/>
        <item x="201"/>
        <item x="289"/>
        <item x="377"/>
        <item x="45"/>
        <item x="133"/>
        <item x="552"/>
        <item x="221"/>
        <item x="640"/>
        <item x="309"/>
        <item x="725"/>
        <item x="397"/>
        <item x="812"/>
        <item x="484"/>
        <item x="897"/>
        <item x="572"/>
        <item x="660"/>
        <item x="983"/>
        <item x="745"/>
        <item x="1069"/>
        <item x="831"/>
        <item x="1155"/>
        <item x="1241"/>
        <item x="916"/>
        <item x="21"/>
        <item x="109"/>
        <item x="1329"/>
        <item x="1416"/>
        <item x="197"/>
        <item x="1001"/>
        <item x="285"/>
        <item x="1503"/>
        <item x="1088"/>
        <item x="373"/>
        <item x="1174"/>
        <item x="1590"/>
        <item x="1261"/>
        <item x="461"/>
        <item x="1676"/>
        <item x="1348"/>
        <item x="548"/>
        <item x="1763"/>
        <item x="1435"/>
        <item x="636"/>
        <item x="1522"/>
        <item x="721"/>
        <item x="1609"/>
        <item x="808"/>
        <item x="1695"/>
        <item x="893"/>
        <item x="1783"/>
        <item x="979"/>
        <item x="1065"/>
        <item x="1151"/>
        <item x="1237"/>
        <item x="1325"/>
        <item x="1412"/>
        <item x="1499"/>
        <item x="31"/>
        <item x="1586"/>
        <item x="119"/>
        <item x="1672"/>
        <item x="207"/>
        <item x="1759"/>
        <item x="295"/>
        <item x="383"/>
        <item x="470"/>
        <item x="558"/>
        <item x="646"/>
        <item x="51"/>
        <item x="139"/>
        <item x="731"/>
        <item x="818"/>
        <item x="227"/>
        <item x="315"/>
        <item x="903"/>
        <item x="403"/>
        <item x="490"/>
        <item x="1074"/>
        <item x="578"/>
        <item x="1160"/>
        <item x="665"/>
        <item x="1247"/>
        <item x="751"/>
        <item x="1334"/>
        <item x="836"/>
        <item x="1422"/>
        <item x="922"/>
        <item x="1509"/>
        <item x="41"/>
        <item x="1595"/>
        <item x="129"/>
        <item x="1007"/>
        <item x="1681"/>
        <item x="217"/>
        <item x="1093"/>
        <item x="1769"/>
        <item x="305"/>
        <item x="1179"/>
        <item x="1267"/>
        <item x="393"/>
        <item x="1354"/>
        <item x="480"/>
        <item x="1441"/>
        <item x="568"/>
        <item x="1528"/>
        <item x="656"/>
        <item x="29"/>
        <item x="741"/>
        <item x="117"/>
        <item x="23"/>
        <item x="1701"/>
        <item x="111"/>
        <item x="205"/>
        <item x="1789"/>
        <item x="49"/>
        <item x="199"/>
        <item x="293"/>
        <item x="137"/>
        <item x="287"/>
        <item x="381"/>
        <item x="225"/>
        <item x="997"/>
        <item x="375"/>
        <item x="468"/>
        <item x="313"/>
        <item x="1084"/>
        <item x="463"/>
        <item x="401"/>
        <item x="556"/>
        <item x="1170"/>
        <item x="550"/>
        <item x="1257"/>
        <item x="488"/>
        <item x="644"/>
        <item x="1344"/>
        <item x="638"/>
        <item x="729"/>
        <item x="576"/>
        <item x="1431"/>
        <item x="723"/>
        <item x="816"/>
        <item x="39"/>
        <item x="810"/>
        <item x="1518"/>
        <item x="127"/>
        <item x="901"/>
        <item x="749"/>
        <item x="895"/>
        <item x="1605"/>
        <item x="215"/>
        <item x="303"/>
        <item x="1691"/>
        <item x="920"/>
        <item x="981"/>
        <item x="391"/>
        <item x="1779"/>
        <item x="1067"/>
        <item x="33"/>
        <item x="478"/>
        <item x="1005"/>
        <item x="121"/>
        <item x="1245"/>
        <item x="1153"/>
        <item x="566"/>
        <item x="1239"/>
        <item x="209"/>
        <item x="1327"/>
        <item x="654"/>
        <item x="1420"/>
        <item x="297"/>
        <item x="1265"/>
        <item x="1414"/>
        <item x="739"/>
        <item x="1507"/>
        <item x="385"/>
        <item x="1352"/>
        <item x="826"/>
        <item x="1501"/>
        <item x="472"/>
        <item x="1439"/>
        <item x="911"/>
        <item x="1588"/>
        <item x="1526"/>
        <item x="560"/>
        <item x="1674"/>
        <item x="1767"/>
        <item x="648"/>
        <item x="1613"/>
        <item x="995"/>
        <item x="1761"/>
        <item x="733"/>
        <item x="1699"/>
        <item x="1082"/>
        <item x="820"/>
        <item x="1787"/>
        <item x="1168"/>
        <item x="905"/>
        <item x="1255"/>
        <item x="1342"/>
        <item x="989"/>
        <item x="43"/>
        <item x="131"/>
        <item x="1076"/>
        <item x="1162"/>
        <item x="219"/>
        <item x="1603"/>
        <item x="1249"/>
        <item x="307"/>
        <item x="1689"/>
        <item x="1336"/>
        <item x="395"/>
        <item x="1777"/>
        <item x="1424"/>
        <item x="482"/>
        <item x="53"/>
        <item x="1511"/>
        <item x="141"/>
        <item x="570"/>
        <item x="1597"/>
        <item x="229"/>
        <item x="658"/>
        <item x="1683"/>
        <item x="317"/>
        <item x="743"/>
        <item x="1771"/>
        <item x="405"/>
        <item x="829"/>
        <item x="492"/>
        <item x="914"/>
        <item x="580"/>
        <item x="999"/>
        <item x="667"/>
        <item x="1086"/>
        <item x="753"/>
        <item x="838"/>
        <item x="1172"/>
        <item x="1259"/>
        <item x="924"/>
        <item x="1346"/>
        <item x="1433"/>
        <item x="1009"/>
        <item x="1520"/>
        <item x="1095"/>
        <item x="1607"/>
        <item x="1181"/>
        <item x="1269"/>
        <item x="1693"/>
        <item x="1356"/>
        <item x="1781"/>
        <item x="1443"/>
        <item x="1530"/>
        <item x="1616"/>
        <item x="1703"/>
        <item x="1791"/>
        <item x="56"/>
        <item x="144"/>
        <item x="5"/>
        <item x="232"/>
        <item x="93"/>
        <item x="320"/>
        <item x="73"/>
        <item x="161"/>
        <item x="181"/>
        <item x="408"/>
        <item x="269"/>
        <item x="249"/>
        <item x="495"/>
        <item x="357"/>
        <item x="337"/>
        <item x="583"/>
        <item x="445"/>
        <item x="425"/>
        <item x="670"/>
        <item x="63"/>
        <item x="512"/>
        <item x="532"/>
        <item x="151"/>
        <item x="756"/>
        <item x="620"/>
        <item x="600"/>
        <item x="841"/>
        <item x="239"/>
        <item x="705"/>
        <item x="327"/>
        <item x="927"/>
        <item x="792"/>
        <item x="415"/>
        <item x="877"/>
        <item x="857"/>
        <item x="502"/>
        <item x="1012"/>
        <item x="37"/>
        <item x="943"/>
        <item x="125"/>
        <item x="1098"/>
        <item x="590"/>
        <item x="963"/>
        <item x="1184"/>
        <item x="213"/>
        <item x="1272"/>
        <item x="1049"/>
        <item x="1029"/>
        <item x="301"/>
        <item x="763"/>
        <item x="1359"/>
        <item x="1135"/>
        <item x="1115"/>
        <item x="389"/>
        <item x="1221"/>
        <item x="1446"/>
        <item x="1201"/>
        <item x="1309"/>
        <item x="476"/>
        <item x="1289"/>
        <item x="1533"/>
        <item x="1396"/>
        <item x="1376"/>
        <item x="564"/>
        <item x="1619"/>
        <item x="1483"/>
        <item x="1019"/>
        <item x="1463"/>
        <item x="652"/>
        <item x="1706"/>
        <item x="1105"/>
        <item x="1550"/>
        <item x="1570"/>
        <item x="737"/>
        <item x="1794"/>
        <item x="1191"/>
        <item x="824"/>
        <item x="1656"/>
        <item x="1636"/>
        <item x="1279"/>
        <item x="909"/>
        <item x="1743"/>
        <item x="1366"/>
        <item x="1723"/>
        <item x="1453"/>
        <item x="1811"/>
        <item x="993"/>
        <item x="1540"/>
        <item x="1"/>
        <item x="1080"/>
        <item x="89"/>
        <item x="1626"/>
        <item x="1166"/>
        <item x="177"/>
        <item x="1253"/>
        <item x="1713"/>
        <item x="265"/>
        <item x="1340"/>
        <item x="1801"/>
        <item x="353"/>
        <item x="1428"/>
        <item x="441"/>
        <item x="1515"/>
        <item x="528"/>
        <item x="1601"/>
        <item x="616"/>
        <item x="1687"/>
        <item x="701"/>
        <item x="1775"/>
        <item x="83"/>
        <item x="788"/>
        <item x="171"/>
        <item x="873"/>
        <item x="259"/>
        <item x="347"/>
        <item x="959"/>
        <item x="435"/>
        <item x="1045"/>
        <item x="522"/>
        <item x="1131"/>
        <item x="610"/>
        <item x="1217"/>
        <item x="1305"/>
        <item x="695"/>
        <item x="1392"/>
        <item x="782"/>
        <item x="867"/>
        <item x="1479"/>
        <item x="953"/>
        <item x="1566"/>
        <item x="1652"/>
        <item x="1039"/>
        <item x="1739"/>
        <item x="1125"/>
        <item x="1211"/>
        <item x="9"/>
        <item x="1299"/>
        <item x="97"/>
        <item x="1386"/>
        <item x="185"/>
        <item x="1473"/>
        <item x="273"/>
        <item x="1560"/>
        <item x="69"/>
        <item x="361"/>
        <item x="157"/>
        <item x="3"/>
        <item x="1646"/>
        <item x="449"/>
        <item x="91"/>
        <item x="245"/>
        <item x="1733"/>
        <item x="536"/>
        <item x="333"/>
        <item x="179"/>
        <item x="1821"/>
        <item x="267"/>
        <item x="624"/>
        <item x="421"/>
        <item x="355"/>
        <item x="709"/>
        <item x="508"/>
        <item x="796"/>
        <item x="443"/>
        <item x="596"/>
        <item x="881"/>
        <item x="530"/>
        <item x="682"/>
        <item x="618"/>
        <item x="769"/>
        <item x="967"/>
        <item x="853"/>
        <item x="703"/>
        <item x="1053"/>
        <item x="790"/>
        <item x="939"/>
        <item x="1139"/>
        <item x="875"/>
        <item x="1225"/>
        <item x="1313"/>
        <item x="1025"/>
        <item x="961"/>
        <item x="1400"/>
        <item x="1111"/>
        <item x="79"/>
        <item x="167"/>
        <item x="71"/>
        <item x="1047"/>
        <item x="1487"/>
        <item x="1197"/>
        <item x="159"/>
        <item x="1285"/>
        <item x="255"/>
        <item x="1133"/>
        <item x="1574"/>
        <item x="1372"/>
        <item x="1219"/>
        <item x="247"/>
        <item x="343"/>
        <item x="1307"/>
        <item x="1660"/>
        <item x="335"/>
        <item x="1459"/>
        <item x="431"/>
        <item x="1394"/>
        <item x="1747"/>
        <item x="423"/>
        <item x="1546"/>
        <item x="518"/>
        <item x="1481"/>
        <item x="510"/>
        <item x="1632"/>
        <item x="606"/>
        <item x="1568"/>
        <item x="59"/>
        <item x="598"/>
        <item x="1719"/>
        <item x="691"/>
        <item x="147"/>
        <item x="1654"/>
        <item x="684"/>
        <item x="1807"/>
        <item x="778"/>
        <item x="235"/>
        <item x="1741"/>
        <item x="771"/>
        <item x="863"/>
        <item x="323"/>
        <item x="855"/>
        <item x="949"/>
        <item x="411"/>
        <item x="941"/>
        <item x="498"/>
        <item x="1035"/>
        <item x="586"/>
        <item x="1027"/>
        <item x="1121"/>
        <item x="673"/>
        <item x="1113"/>
        <item x="1207"/>
        <item x="1295"/>
        <item x="759"/>
        <item x="1199"/>
        <item x="1287"/>
        <item x="1382"/>
        <item x="844"/>
        <item x="1374"/>
        <item x="1469"/>
        <item x="930"/>
        <item x="61"/>
        <item x="1461"/>
        <item x="149"/>
        <item x="1556"/>
        <item x="1548"/>
        <item x="237"/>
        <item x="1015"/>
        <item x="1642"/>
        <item x="325"/>
        <item x="1634"/>
        <item x="1101"/>
        <item x="1729"/>
        <item x="413"/>
        <item x="1721"/>
        <item x="1187"/>
        <item x="1817"/>
        <item x="1275"/>
        <item x="500"/>
        <item x="1809"/>
        <item x="1362"/>
        <item x="588"/>
        <item x="1449"/>
        <item x="675"/>
        <item x="1536"/>
        <item x="761"/>
        <item x="1622"/>
        <item x="846"/>
        <item x="1709"/>
        <item x="932"/>
        <item x="1797"/>
        <item x="1017"/>
        <item x="87"/>
        <item x="175"/>
        <item x="1103"/>
        <item x="1189"/>
        <item x="263"/>
        <item x="1277"/>
        <item x="351"/>
        <item x="77"/>
        <item x="1364"/>
        <item x="165"/>
        <item x="439"/>
        <item x="1451"/>
        <item x="253"/>
        <item x="526"/>
        <item x="47"/>
        <item x="1538"/>
        <item x="341"/>
        <item x="135"/>
        <item x="614"/>
        <item x="81"/>
        <item x="429"/>
        <item x="1624"/>
        <item x="223"/>
        <item x="169"/>
        <item x="699"/>
        <item x="516"/>
        <item x="311"/>
        <item x="1711"/>
        <item x="786"/>
        <item x="257"/>
        <item x="15"/>
        <item x="399"/>
        <item x="1799"/>
        <item x="604"/>
        <item x="871"/>
        <item x="103"/>
        <item x="345"/>
        <item x="486"/>
        <item x="689"/>
        <item x="957"/>
        <item x="433"/>
        <item x="191"/>
        <item x="776"/>
        <item x="574"/>
        <item x="279"/>
        <item x="520"/>
        <item x="861"/>
        <item x="662"/>
        <item x="1043"/>
        <item x="367"/>
        <item x="608"/>
        <item x="947"/>
        <item x="747"/>
        <item x="1129"/>
        <item x="455"/>
        <item x="693"/>
        <item x="833"/>
        <item x="1215"/>
        <item x="542"/>
        <item x="780"/>
        <item x="1303"/>
        <item x="1033"/>
        <item x="918"/>
        <item x="67"/>
        <item x="865"/>
        <item x="1390"/>
        <item x="630"/>
        <item x="155"/>
        <item x="1119"/>
        <item x="951"/>
        <item x="1477"/>
        <item x="715"/>
        <item x="1205"/>
        <item x="1003"/>
        <item x="243"/>
        <item x="802"/>
        <item x="1293"/>
        <item x="1564"/>
        <item x="331"/>
        <item x="1090"/>
        <item x="1380"/>
        <item x="1037"/>
        <item x="887"/>
        <item x="419"/>
        <item x="1650"/>
        <item x="1176"/>
        <item x="1467"/>
        <item x="1123"/>
        <item x="1263"/>
        <item x="506"/>
        <item x="1737"/>
        <item x="1554"/>
        <item x="1350"/>
        <item x="973"/>
        <item x="1209"/>
        <item x="1825"/>
        <item x="1297"/>
        <item x="594"/>
        <item x="1437"/>
        <item x="1059"/>
        <item x="1640"/>
        <item x="1384"/>
        <item x="680"/>
        <item x="1524"/>
        <item x="1145"/>
        <item x="11"/>
        <item x="1727"/>
        <item x="1471"/>
        <item x="1231"/>
        <item x="99"/>
        <item x="767"/>
        <item x="1815"/>
        <item x="1611"/>
        <item x="1319"/>
        <item x="1558"/>
        <item x="851"/>
        <item x="187"/>
        <item x="1697"/>
        <item x="1406"/>
        <item x="937"/>
        <item x="1644"/>
        <item x="275"/>
        <item x="1785"/>
        <item x="1493"/>
        <item x="1731"/>
        <item x="363"/>
        <item x="1023"/>
        <item x="1580"/>
        <item x="1819"/>
        <item x="451"/>
        <item x="1109"/>
        <item x="1666"/>
        <item x="538"/>
        <item x="1195"/>
        <item x="1753"/>
        <item x="626"/>
        <item x="1283"/>
        <item x="1370"/>
        <item x="711"/>
        <item x="798"/>
        <item x="1457"/>
        <item x="883"/>
        <item x="1544"/>
        <item x="1630"/>
        <item x="969"/>
        <item x="1717"/>
        <item x="1055"/>
        <item x="1805"/>
        <item x="1141"/>
        <item x="1227"/>
        <item x="1315"/>
        <item x="1402"/>
        <item x="1489"/>
        <item x="1576"/>
        <item x="1662"/>
        <item x="1749"/>
        <item x="85"/>
        <item x="173"/>
        <item x="19"/>
        <item x="107"/>
        <item x="261"/>
        <item x="195"/>
        <item x="349"/>
        <item x="283"/>
        <item x="437"/>
        <item x="371"/>
        <item x="524"/>
        <item x="459"/>
        <item x="13"/>
        <item x="612"/>
        <item x="101"/>
        <item x="546"/>
        <item x="697"/>
        <item x="189"/>
        <item x="634"/>
        <item x="784"/>
        <item x="277"/>
        <item x="719"/>
        <item x="869"/>
        <item x="365"/>
        <item x="806"/>
        <item x="65"/>
        <item x="955"/>
        <item x="453"/>
        <item x="153"/>
        <item x="891"/>
        <item x="540"/>
        <item x="241"/>
        <item x="1041"/>
        <item x="329"/>
        <item x="628"/>
        <item x="977"/>
        <item x="1127"/>
        <item x="417"/>
        <item x="713"/>
        <item x="1063"/>
        <item x="1213"/>
        <item x="800"/>
        <item x="504"/>
        <item x="1301"/>
        <item x="1149"/>
        <item x="1235"/>
        <item x="1388"/>
        <item x="885"/>
        <item x="592"/>
        <item x="1323"/>
        <item x="1475"/>
        <item x="678"/>
        <item x="1410"/>
        <item x="1562"/>
        <item x="971"/>
        <item x="765"/>
        <item x="1497"/>
        <item x="1057"/>
        <item x="849"/>
        <item x="1648"/>
        <item x="1584"/>
        <item x="1143"/>
        <item x="935"/>
        <item x="1735"/>
        <item x="1229"/>
        <item x="1670"/>
        <item x="1823"/>
        <item x="1317"/>
        <item x="1757"/>
        <item x="1021"/>
        <item x="1404"/>
        <item x="1107"/>
        <item x="1491"/>
        <item x="1193"/>
        <item x="1578"/>
        <item x="1281"/>
        <item x="1368"/>
        <item x="20"/>
        <item x="1664"/>
        <item x="108"/>
        <item x="1455"/>
        <item x="1751"/>
        <item x="196"/>
        <item x="1542"/>
        <item x="284"/>
        <item x="1628"/>
        <item x="372"/>
        <item x="1715"/>
        <item x="460"/>
        <item x="1803"/>
        <item x="547"/>
        <item x="635"/>
        <item x="24"/>
        <item x="720"/>
        <item x="112"/>
        <item x="807"/>
        <item x="200"/>
        <item x="892"/>
        <item x="288"/>
        <item x="376"/>
        <item x="978"/>
        <item x="464"/>
        <item x="1064"/>
        <item x="27"/>
        <item x="551"/>
        <item x="115"/>
        <item x="1150"/>
        <item x="1236"/>
        <item x="639"/>
        <item x="203"/>
        <item x="1324"/>
        <item x="724"/>
        <item x="291"/>
        <item x="1411"/>
        <item x="811"/>
        <item x="379"/>
        <item x="1498"/>
        <item x="896"/>
        <item x="466"/>
        <item x="1585"/>
        <item x="554"/>
        <item x="982"/>
        <item x="1671"/>
        <item x="642"/>
        <item x="1068"/>
        <item x="1758"/>
        <item x="727"/>
        <item x="1154"/>
        <item x="814"/>
        <item x="1240"/>
        <item x="1328"/>
        <item x="899"/>
        <item x="1415"/>
        <item x="1502"/>
        <item x="985"/>
        <item x="1071"/>
        <item x="1589"/>
        <item x="1157"/>
        <item x="1675"/>
        <item x="1243"/>
        <item x="1762"/>
        <item x="1331"/>
        <item x="1418"/>
        <item x="1505"/>
        <item x="1592"/>
        <item x="1678"/>
        <item x="1765"/>
        <item x="28"/>
        <item x="116"/>
        <item x="204"/>
        <item x="292"/>
        <item x="380"/>
        <item x="467"/>
        <item x="7"/>
        <item x="555"/>
        <item x="95"/>
        <item x="643"/>
        <item x="183"/>
        <item x="728"/>
        <item x="271"/>
        <item x="815"/>
        <item x="359"/>
        <item x="900"/>
        <item x="447"/>
        <item x="534"/>
        <item x="986"/>
        <item x="22"/>
        <item x="622"/>
        <item x="1072"/>
        <item x="110"/>
        <item x="707"/>
        <item x="1158"/>
        <item x="1244"/>
        <item x="198"/>
        <item x="794"/>
        <item x="82"/>
        <item x="1332"/>
        <item x="286"/>
        <item x="879"/>
        <item x="170"/>
        <item x="1419"/>
        <item x="374"/>
        <item x="258"/>
        <item x="1506"/>
        <item x="462"/>
        <item x="965"/>
        <item x="346"/>
        <item x="1593"/>
        <item x="549"/>
        <item x="1051"/>
        <item x="434"/>
        <item x="1679"/>
        <item x="637"/>
        <item x="1137"/>
        <item x="521"/>
        <item x="1223"/>
        <item x="1766"/>
        <item x="722"/>
        <item x="1311"/>
        <item x="609"/>
        <item x="809"/>
        <item x="1398"/>
        <item x="694"/>
        <item x="894"/>
        <item x="1485"/>
        <item x="781"/>
        <item x="866"/>
        <item x="1572"/>
        <item x="980"/>
        <item x="952"/>
        <item x="1658"/>
        <item x="1066"/>
        <item x="1745"/>
        <item x="1152"/>
        <item x="1038"/>
        <item x="1238"/>
        <item x="1326"/>
        <item x="1124"/>
        <item x="1413"/>
        <item x="1210"/>
        <item x="1298"/>
        <item x="1500"/>
        <item x="1385"/>
        <item x="1587"/>
        <item x="1472"/>
        <item x="1673"/>
        <item x="1559"/>
        <item x="1760"/>
        <item x="1645"/>
        <item x="1732"/>
        <item x="1820"/>
        <item x="54"/>
        <item x="142"/>
        <item x="230"/>
        <item x="318"/>
        <item x="406"/>
        <item x="493"/>
        <item x="581"/>
        <item x="668"/>
        <item x="78"/>
        <item x="754"/>
        <item x="62"/>
        <item x="166"/>
        <item x="150"/>
        <item x="839"/>
        <item x="254"/>
        <item x="925"/>
        <item x="238"/>
        <item x="75"/>
        <item x="342"/>
        <item x="163"/>
        <item x="326"/>
        <item x="430"/>
        <item x="414"/>
        <item x="251"/>
        <item x="1010"/>
        <item x="517"/>
        <item x="339"/>
        <item x="501"/>
        <item x="1096"/>
        <item x="605"/>
        <item x="427"/>
        <item x="1182"/>
        <item x="589"/>
        <item x="1270"/>
        <item x="690"/>
        <item x="514"/>
        <item x="676"/>
        <item x="1357"/>
        <item x="777"/>
        <item x="602"/>
        <item x="762"/>
        <item x="1444"/>
        <item x="862"/>
        <item x="847"/>
        <item x="687"/>
        <item x="1531"/>
        <item x="948"/>
        <item x="933"/>
        <item x="774"/>
        <item x="1617"/>
        <item x="859"/>
        <item x="1034"/>
        <item x="1704"/>
        <item x="945"/>
        <item x="1018"/>
        <item x="1120"/>
        <item x="1792"/>
        <item x="1104"/>
        <item x="1206"/>
        <item x="1031"/>
        <item x="1190"/>
        <item x="1294"/>
        <item x="1278"/>
        <item x="1381"/>
        <item x="1117"/>
        <item x="1365"/>
        <item x="1468"/>
        <item x="1203"/>
        <item x="1452"/>
        <item x="1291"/>
        <item x="1555"/>
        <item x="1378"/>
        <item x="1539"/>
        <item x="50"/>
        <item x="138"/>
        <item x="1641"/>
        <item x="1465"/>
        <item x="1625"/>
        <item x="1728"/>
        <item x="1552"/>
        <item x="226"/>
        <item x="1712"/>
        <item x="314"/>
        <item x="1816"/>
        <item x="1638"/>
        <item x="1800"/>
        <item x="402"/>
        <item x="1725"/>
        <item x="489"/>
        <item x="1813"/>
        <item x="72"/>
        <item x="577"/>
        <item x="160"/>
        <item x="17"/>
        <item x="664"/>
        <item x="248"/>
        <item x="105"/>
        <item x="750"/>
        <item x="336"/>
        <item x="193"/>
        <item x="835"/>
        <item x="424"/>
        <item x="281"/>
        <item x="921"/>
        <item x="511"/>
        <item x="369"/>
        <item x="86"/>
        <item x="174"/>
        <item x="599"/>
        <item x="457"/>
        <item x="1006"/>
        <item x="262"/>
        <item x="685"/>
        <item x="80"/>
        <item x="544"/>
        <item x="1092"/>
        <item x="168"/>
        <item x="350"/>
        <item x="772"/>
        <item x="632"/>
        <item x="1178"/>
        <item x="438"/>
        <item x="856"/>
        <item x="256"/>
        <item x="1266"/>
        <item x="34"/>
        <item x="717"/>
        <item x="122"/>
        <item x="344"/>
        <item x="525"/>
        <item x="1353"/>
        <item x="942"/>
        <item x="804"/>
        <item x="432"/>
        <item x="1440"/>
        <item x="210"/>
        <item x="613"/>
        <item x="889"/>
        <item x="298"/>
        <item x="519"/>
        <item x="1527"/>
        <item x="1028"/>
        <item x="698"/>
        <item x="386"/>
        <item x="1114"/>
        <item x="607"/>
        <item x="785"/>
        <item x="1614"/>
        <item x="975"/>
        <item x="473"/>
        <item x="870"/>
        <item x="1200"/>
        <item x="692"/>
        <item x="1700"/>
        <item x="1061"/>
        <item x="1288"/>
        <item x="0"/>
        <item x="956"/>
        <item x="561"/>
        <item x="779"/>
        <item x="1788"/>
        <item x="1375"/>
        <item x="1147"/>
        <item x="88"/>
        <item x="4"/>
        <item x="1233"/>
        <item x="92"/>
        <item x="864"/>
        <item x="649"/>
        <item x="1462"/>
        <item x="1321"/>
        <item x="176"/>
        <item x="950"/>
        <item x="1042"/>
        <item x="734"/>
        <item x="180"/>
        <item x="1549"/>
        <item x="264"/>
        <item x="1408"/>
        <item x="821"/>
        <item x="268"/>
        <item x="1128"/>
        <item x="352"/>
        <item x="1635"/>
        <item x="1495"/>
        <item x="906"/>
        <item x="356"/>
        <item x="1036"/>
        <item x="1214"/>
        <item x="440"/>
        <item x="1302"/>
        <item x="1722"/>
        <item x="1582"/>
        <item x="444"/>
        <item x="1122"/>
        <item x="1389"/>
        <item x="1810"/>
        <item x="527"/>
        <item x="1668"/>
        <item x="990"/>
        <item x="1208"/>
        <item x="531"/>
        <item x="1476"/>
        <item x="1296"/>
        <item x="57"/>
        <item x="615"/>
        <item x="1755"/>
        <item x="1077"/>
        <item x="145"/>
        <item x="619"/>
        <item x="1383"/>
        <item x="1563"/>
        <item x="700"/>
        <item x="1163"/>
        <item x="704"/>
        <item x="1470"/>
        <item x="233"/>
        <item x="1250"/>
        <item x="787"/>
        <item x="1649"/>
        <item x="58"/>
        <item x="791"/>
        <item x="321"/>
        <item x="146"/>
        <item x="1337"/>
        <item x="1557"/>
        <item x="872"/>
        <item x="1736"/>
        <item x="876"/>
        <item x="409"/>
        <item x="1425"/>
        <item x="234"/>
        <item x="1643"/>
        <item x="1824"/>
        <item x="496"/>
        <item x="322"/>
        <item x="1512"/>
        <item x="958"/>
        <item x="1730"/>
        <item x="962"/>
        <item x="410"/>
        <item x="584"/>
        <item x="1044"/>
        <item x="1598"/>
        <item x="1818"/>
        <item x="1048"/>
        <item x="497"/>
        <item x="671"/>
        <item x="1130"/>
        <item x="1684"/>
        <item x="1216"/>
        <item x="1134"/>
        <item x="44"/>
        <item x="757"/>
        <item x="585"/>
        <item x="1772"/>
        <item x="1220"/>
        <item x="1304"/>
        <item x="132"/>
        <item x="842"/>
        <item x="1308"/>
        <item x="672"/>
        <item x="1391"/>
        <item x="220"/>
        <item x="928"/>
        <item x="1395"/>
        <item x="758"/>
        <item x="68"/>
        <item x="1478"/>
        <item x="308"/>
        <item x="156"/>
        <item x="843"/>
        <item x="1482"/>
        <item x="396"/>
        <item x="1565"/>
        <item x="1013"/>
        <item x="929"/>
        <item x="244"/>
        <item x="1569"/>
        <item x="483"/>
        <item x="1651"/>
        <item x="1099"/>
        <item x="332"/>
        <item x="1655"/>
        <item x="1738"/>
        <item x="571"/>
        <item x="1185"/>
        <item x="420"/>
        <item x="1014"/>
        <item x="1742"/>
        <item x="1273"/>
        <item x="659"/>
        <item x="507"/>
        <item x="1100"/>
        <item x="1360"/>
        <item x="8"/>
        <item x="744"/>
        <item x="1186"/>
        <item x="96"/>
        <item x="1447"/>
        <item x="595"/>
        <item x="1274"/>
        <item x="830"/>
        <item x="1534"/>
        <item x="681"/>
        <item x="1361"/>
        <item x="184"/>
        <item x="52"/>
        <item x="915"/>
        <item x="140"/>
        <item x="272"/>
        <item x="768"/>
        <item x="1448"/>
        <item x="1620"/>
        <item x="852"/>
        <item x="360"/>
        <item x="228"/>
        <item x="1535"/>
        <item x="1707"/>
        <item x="1000"/>
        <item x="938"/>
        <item x="316"/>
        <item x="448"/>
        <item x="1795"/>
        <item x="1621"/>
        <item x="1087"/>
        <item x="404"/>
        <item x="535"/>
        <item x="1708"/>
        <item x="1173"/>
        <item x="1024"/>
        <item x="491"/>
        <item x="1260"/>
        <item x="623"/>
        <item x="1796"/>
        <item x="1347"/>
        <item x="1110"/>
        <item x="579"/>
        <item x="708"/>
        <item x="1434"/>
        <item x="1196"/>
        <item x="795"/>
        <item x="666"/>
        <item x="60"/>
        <item x="1284"/>
        <item x="148"/>
        <item x="1521"/>
        <item x="880"/>
        <item x="1371"/>
        <item x="752"/>
        <item x="837"/>
        <item x="236"/>
        <item x="1608"/>
        <item x="1458"/>
        <item x="324"/>
        <item x="923"/>
        <item x="966"/>
        <item x="1694"/>
        <item x="1545"/>
        <item x="412"/>
        <item x="1052"/>
        <item x="1782"/>
        <item x="30"/>
        <item x="1631"/>
        <item x="499"/>
        <item x="118"/>
        <item x="1008"/>
        <item x="1138"/>
        <item x="66"/>
        <item x="1718"/>
        <item x="1224"/>
        <item x="154"/>
        <item x="1094"/>
        <item x="587"/>
        <item x="206"/>
        <item x="1312"/>
        <item x="1806"/>
        <item x="294"/>
        <item x="1180"/>
        <item x="674"/>
        <item x="242"/>
        <item x="1399"/>
        <item x="1268"/>
        <item x="382"/>
        <item x="330"/>
        <item x="760"/>
        <item x="1355"/>
        <item x="1486"/>
        <item x="845"/>
        <item x="469"/>
        <item x="418"/>
        <item x="1442"/>
        <item x="70"/>
        <item x="1573"/>
        <item x="158"/>
        <item x="931"/>
        <item x="505"/>
        <item x="40"/>
        <item x="557"/>
        <item x="1529"/>
        <item x="128"/>
        <item x="1659"/>
        <item x="246"/>
        <item x="645"/>
        <item x="593"/>
        <item x="1615"/>
        <item x="1746"/>
        <item x="334"/>
        <item x="1016"/>
        <item x="216"/>
        <item x="730"/>
        <item x="679"/>
        <item x="1702"/>
        <item x="304"/>
        <item x="422"/>
        <item x="1102"/>
        <item x="817"/>
        <item x="766"/>
        <item x="1790"/>
        <item x="392"/>
        <item x="509"/>
        <item x="1188"/>
        <item x="902"/>
        <item x="850"/>
        <item x="1276"/>
        <item x="479"/>
        <item x="84"/>
        <item x="936"/>
        <item x="597"/>
        <item x="1363"/>
        <item x="172"/>
        <item x="567"/>
        <item x="987"/>
        <item x="683"/>
        <item x="1450"/>
        <item x="2"/>
        <item x="260"/>
        <item x="90"/>
        <item x="655"/>
        <item x="76"/>
        <item x="1073"/>
        <item x="1022"/>
        <item x="770"/>
        <item x="1537"/>
        <item x="348"/>
        <item x="164"/>
        <item x="854"/>
        <item x="740"/>
        <item x="1159"/>
        <item x="1108"/>
        <item x="178"/>
        <item x="1623"/>
        <item x="436"/>
        <item x="1246"/>
        <item x="827"/>
        <item x="252"/>
        <item x="266"/>
        <item x="940"/>
        <item x="1194"/>
        <item x="1333"/>
        <item x="1710"/>
        <item x="523"/>
        <item x="340"/>
        <item x="1282"/>
        <item x="912"/>
        <item x="354"/>
        <item x="1421"/>
        <item x="1369"/>
        <item x="1798"/>
        <item x="428"/>
        <item x="611"/>
        <item x="1026"/>
        <item x="442"/>
        <item x="1508"/>
        <item x="1456"/>
        <item x="515"/>
        <item x="696"/>
        <item x="996"/>
        <item x="1112"/>
        <item x="529"/>
        <item x="1543"/>
        <item x="1594"/>
        <item x="783"/>
        <item x="1083"/>
        <item x="603"/>
        <item x="1198"/>
        <item x="617"/>
        <item x="1286"/>
        <item x="868"/>
        <item x="1680"/>
        <item x="1629"/>
        <item x="1169"/>
        <item x="688"/>
        <item x="1373"/>
        <item x="702"/>
        <item x="1256"/>
        <item x="954"/>
        <item x="1768"/>
        <item x="1716"/>
        <item x="775"/>
        <item x="789"/>
        <item x="1343"/>
        <item x="1460"/>
        <item x="860"/>
        <item x="1804"/>
        <item x="874"/>
        <item x="1430"/>
        <item x="1547"/>
        <item x="1040"/>
        <item x="38"/>
        <item x="946"/>
        <item x="1517"/>
        <item x="126"/>
        <item x="1633"/>
        <item x="1126"/>
        <item x="960"/>
        <item x="1604"/>
        <item x="214"/>
        <item x="1720"/>
        <item x="1212"/>
        <item x="1032"/>
        <item x="1046"/>
        <item x="1300"/>
        <item x="302"/>
        <item x="1690"/>
        <item x="1808"/>
        <item x="1118"/>
        <item x="1387"/>
        <item x="1132"/>
        <item x="390"/>
        <item x="1778"/>
        <item x="1218"/>
        <item x="1204"/>
        <item x="1474"/>
        <item x="1292"/>
        <item x="477"/>
        <item x="1306"/>
        <item x="1561"/>
        <item x="1379"/>
        <item x="1393"/>
        <item x="565"/>
        <item x="48"/>
        <item x="1466"/>
        <item x="136"/>
        <item x="1647"/>
        <item x="1480"/>
        <item x="653"/>
        <item x="1553"/>
        <item x="1734"/>
        <item x="224"/>
        <item x="738"/>
        <item x="1567"/>
        <item x="32"/>
        <item x="312"/>
        <item x="1822"/>
        <item x="1639"/>
        <item x="825"/>
        <item x="120"/>
        <item x="1653"/>
        <item x="400"/>
        <item x="1726"/>
        <item x="910"/>
        <item x="208"/>
        <item x="1740"/>
        <item x="55"/>
        <item x="487"/>
        <item x="143"/>
        <item x="1814"/>
        <item x="296"/>
        <item x="994"/>
        <item x="384"/>
        <item x="575"/>
        <item x="231"/>
        <item x="319"/>
        <item x="1081"/>
        <item x="471"/>
        <item x="663"/>
        <item x="407"/>
        <item x="1167"/>
        <item x="748"/>
        <item x="559"/>
        <item x="1254"/>
        <item x="834"/>
        <item x="494"/>
        <item x="1341"/>
        <item x="647"/>
        <item x="919"/>
        <item x="582"/>
        <item x="1429"/>
        <item x="732"/>
        <item x="42"/>
        <item x="130"/>
        <item x="819"/>
        <item x="669"/>
        <item x="1516"/>
        <item x="1004"/>
        <item x="904"/>
        <item x="755"/>
        <item x="218"/>
        <item x="1602"/>
        <item x="1091"/>
        <item x="840"/>
        <item x="306"/>
        <item x="1688"/>
        <item x="1177"/>
        <item x="926"/>
        <item x="394"/>
        <item x="988"/>
        <item x="1264"/>
        <item x="1776"/>
        <item x="481"/>
        <item x="1075"/>
        <item x="1351"/>
        <item x="1011"/>
        <item x="1161"/>
        <item x="1438"/>
        <item x="569"/>
        <item x="1248"/>
        <item x="1097"/>
        <item x="1525"/>
        <item x="657"/>
        <item x="1335"/>
        <item x="1183"/>
        <item x="742"/>
        <item x="1423"/>
        <item x="1612"/>
        <item x="1271"/>
        <item x="828"/>
        <item x="1358"/>
        <item x="1510"/>
        <item x="1698"/>
        <item x="913"/>
        <item x="1445"/>
        <item x="1786"/>
        <item x="1596"/>
        <item x="1532"/>
        <item x="1682"/>
        <item x="998"/>
        <item x="1618"/>
        <item x="1770"/>
        <item x="1085"/>
        <item x="1705"/>
        <item x="1171"/>
        <item x="1793"/>
        <item x="1258"/>
        <item x="1345"/>
        <item x="1432"/>
        <item x="1519"/>
        <item x="10"/>
        <item x="98"/>
        <item x="1606"/>
        <item x="186"/>
        <item x="1692"/>
        <item x="64"/>
        <item x="274"/>
        <item x="1780"/>
        <item x="152"/>
        <item x="362"/>
        <item x="240"/>
        <item x="450"/>
        <item x="328"/>
        <item x="537"/>
        <item x="416"/>
        <item x="625"/>
        <item x="503"/>
        <item x="710"/>
        <item x="14"/>
        <item x="591"/>
        <item x="102"/>
        <item x="797"/>
        <item x="677"/>
        <item x="882"/>
        <item x="190"/>
        <item x="764"/>
        <item x="278"/>
        <item x="848"/>
        <item x="366"/>
        <item x="968"/>
        <item x="934"/>
        <item x="454"/>
        <item x="1054"/>
        <item x="1140"/>
        <item x="541"/>
        <item x="1020"/>
        <item x="1226"/>
        <item x="629"/>
        <item x="1314"/>
        <item x="1106"/>
        <item x="714"/>
        <item x="1401"/>
        <item x="1192"/>
        <item x="801"/>
        <item x="1280"/>
        <item x="1488"/>
        <item x="1367"/>
        <item x="886"/>
        <item x="18"/>
        <item x="1575"/>
        <item x="1454"/>
        <item x="106"/>
        <item x="1661"/>
        <item x="1541"/>
        <item x="972"/>
        <item x="194"/>
        <item x="1748"/>
        <item x="1058"/>
        <item x="282"/>
        <item x="1627"/>
        <item x="1144"/>
        <item x="370"/>
        <item x="1714"/>
        <item x="1230"/>
        <item x="458"/>
        <item x="1802"/>
        <item x="1318"/>
        <item x="545"/>
        <item x="1405"/>
        <item x="633"/>
        <item x="1492"/>
        <item x="36"/>
        <item x="718"/>
        <item x="124"/>
        <item x="1579"/>
        <item x="805"/>
        <item x="1665"/>
        <item x="212"/>
        <item x="890"/>
        <item x="300"/>
        <item x="1752"/>
        <item x="388"/>
        <item x="976"/>
        <item x="475"/>
        <item x="1062"/>
        <item x="563"/>
        <item x="1148"/>
        <item x="1234"/>
        <item x="651"/>
        <item x="1322"/>
        <item x="736"/>
        <item x="1409"/>
        <item x="823"/>
        <item x="1496"/>
        <item x="908"/>
        <item x="1583"/>
        <item x="992"/>
        <item x="1669"/>
        <item x="1079"/>
        <item x="1756"/>
        <item x="1165"/>
        <item x="1252"/>
        <item x="1339"/>
        <item x="1427"/>
        <item x="1514"/>
        <item x="1600"/>
        <item x="12"/>
        <item x="100"/>
        <item x="26"/>
        <item x="1686"/>
        <item x="114"/>
        <item x="188"/>
        <item x="1774"/>
        <item x="202"/>
        <item x="276"/>
        <item x="290"/>
        <item x="364"/>
        <item x="378"/>
        <item x="452"/>
        <item x="465"/>
        <item x="539"/>
        <item x="553"/>
        <item x="627"/>
        <item x="641"/>
        <item x="712"/>
        <item x="726"/>
        <item x="799"/>
        <item x="813"/>
        <item x="884"/>
        <item x="898"/>
        <item x="970"/>
        <item x="984"/>
        <item x="1056"/>
        <item x="1070"/>
        <item x="1142"/>
        <item x="1228"/>
        <item x="1156"/>
        <item x="1242"/>
        <item x="1316"/>
        <item x="1330"/>
        <item x="1403"/>
        <item x="74"/>
        <item x="1417"/>
        <item x="1490"/>
        <item x="162"/>
        <item x="46"/>
        <item x="1504"/>
        <item x="134"/>
        <item x="1577"/>
        <item x="250"/>
        <item x="1591"/>
        <item x="338"/>
        <item x="1663"/>
        <item x="222"/>
        <item x="1677"/>
        <item x="426"/>
        <item x="310"/>
        <item x="1750"/>
        <item x="1764"/>
        <item x="513"/>
        <item x="398"/>
        <item x="485"/>
        <item x="601"/>
        <item x="686"/>
        <item x="573"/>
        <item x="773"/>
        <item x="661"/>
        <item x="858"/>
        <item x="746"/>
        <item x="944"/>
        <item x="832"/>
        <item x="917"/>
        <item x="1030"/>
        <item x="1116"/>
        <item x="1002"/>
        <item x="1202"/>
        <item x="1089"/>
        <item x="1290"/>
        <item x="1175"/>
        <item x="1377"/>
        <item x="1262"/>
        <item x="1464"/>
        <item x="1349"/>
        <item x="1551"/>
        <item x="1436"/>
        <item x="1523"/>
        <item x="1637"/>
        <item x="1724"/>
        <item x="1610"/>
        <item x="1812"/>
        <item x="1696"/>
        <item x="1784"/>
        <item x="6"/>
        <item x="94"/>
        <item x="182"/>
        <item x="270"/>
        <item x="358"/>
        <item x="446"/>
        <item x="533"/>
        <item x="621"/>
        <item x="706"/>
        <item x="793"/>
        <item x="878"/>
        <item x="964"/>
        <item x="1050"/>
        <item x="1136"/>
        <item x="1222"/>
        <item x="1310"/>
        <item x="1397"/>
        <item x="1484"/>
        <item x="1571"/>
        <item x="1657"/>
        <item x="1744"/>
        <item x="16"/>
        <item x="104"/>
        <item x="192"/>
        <item x="280"/>
        <item x="368"/>
        <item x="456"/>
        <item x="543"/>
        <item x="631"/>
        <item x="716"/>
        <item x="803"/>
        <item x="888"/>
        <item x="974"/>
        <item x="1060"/>
        <item x="1146"/>
        <item x="1232"/>
        <item x="1320"/>
        <item x="1407"/>
        <item x="1494"/>
        <item x="1581"/>
        <item x="1667"/>
        <item x="1754"/>
        <item t="default"/>
      </items>
    </pivotField>
    <pivotField showAll="0">
      <items count="1673">
        <item x="45"/>
        <item x="791"/>
        <item x="35"/>
        <item x="123"/>
        <item x="208"/>
        <item x="294"/>
        <item x="379"/>
        <item x="55"/>
        <item x="41"/>
        <item x="129"/>
        <item x="214"/>
        <item x="300"/>
        <item x="49"/>
        <item x="136"/>
        <item x="221"/>
        <item x="307"/>
        <item x="391"/>
        <item x="31"/>
        <item x="120"/>
        <item x="205"/>
        <item x="43"/>
        <item x="131"/>
        <item x="216"/>
        <item x="302"/>
        <item x="386"/>
        <item x="471"/>
        <item x="550"/>
        <item x="632"/>
        <item x="711"/>
        <item x="789"/>
        <item x="871"/>
        <item x="51"/>
        <item x="138"/>
        <item x="223"/>
        <item x="309"/>
        <item x="393"/>
        <item x="477"/>
        <item x="556"/>
        <item x="1479"/>
        <item x="33"/>
        <item x="59"/>
        <item x="145"/>
        <item x="230"/>
        <item x="316"/>
        <item x="400"/>
        <item x="463"/>
        <item x="484"/>
        <item x="563"/>
        <item x="624"/>
        <item x="644"/>
        <item x="723"/>
        <item x="863"/>
        <item x="802"/>
        <item x="882"/>
        <item x="957"/>
        <item x="1033"/>
        <item x="1168"/>
        <item x="1108"/>
        <item x="39"/>
        <item x="127"/>
        <item x="212"/>
        <item x="298"/>
        <item x="1472"/>
        <item x="383"/>
        <item x="1489"/>
        <item x="468"/>
        <item x="1565"/>
        <item x="547"/>
        <item x="1641"/>
        <item x="629"/>
        <item x="47"/>
        <item x="134"/>
        <item x="786"/>
        <item x="219"/>
        <item x="868"/>
        <item x="305"/>
        <item x="1020"/>
        <item x="389"/>
        <item x="1095"/>
        <item x="1173"/>
        <item x="474"/>
        <item x="1247"/>
        <item x="553"/>
        <item x="1323"/>
        <item x="635"/>
        <item x="1397"/>
        <item x="714"/>
        <item x="1476"/>
        <item x="793"/>
        <item x="53"/>
        <item x="140"/>
        <item x="948"/>
        <item x="225"/>
        <item x="311"/>
        <item x="1178"/>
        <item x="395"/>
        <item x="1252"/>
        <item x="479"/>
        <item x="1328"/>
        <item x="558"/>
        <item x="1402"/>
        <item x="639"/>
        <item x="718"/>
        <item x="1556"/>
        <item x="797"/>
        <item x="1633"/>
        <item x="877"/>
        <item x="75"/>
        <item x="952"/>
        <item x="161"/>
        <item x="1028"/>
        <item x="246"/>
        <item x="1103"/>
        <item x="331"/>
        <item x="1182"/>
        <item x="416"/>
        <item x="1256"/>
        <item x="500"/>
        <item x="579"/>
        <item x="1406"/>
        <item x="659"/>
        <item x="739"/>
        <item x="1560"/>
        <item x="818"/>
        <item x="57"/>
        <item x="1637"/>
        <item x="143"/>
        <item x="972"/>
        <item x="228"/>
        <item x="1048"/>
        <item x="314"/>
        <item x="1123"/>
        <item x="1201"/>
        <item x="398"/>
        <item x="1276"/>
        <item x="482"/>
        <item x="561"/>
        <item x="1426"/>
        <item x="642"/>
        <item x="1503"/>
        <item x="721"/>
        <item x="800"/>
        <item x="880"/>
        <item x="1657"/>
        <item x="955"/>
        <item x="1031"/>
        <item x="1106"/>
        <item x="1185"/>
        <item x="1259"/>
        <item x="37"/>
        <item x="125"/>
        <item x="1334"/>
        <item x="210"/>
        <item x="1409"/>
        <item x="296"/>
        <item x="1487"/>
        <item x="381"/>
        <item x="1563"/>
        <item x="466"/>
        <item x="545"/>
        <item x="627"/>
        <item x="707"/>
        <item x="784"/>
        <item x="866"/>
        <item x="942"/>
        <item x="1018"/>
        <item x="1093"/>
        <item x="1171"/>
        <item x="1245"/>
        <item x="1321"/>
        <item x="65"/>
        <item x="1395"/>
        <item x="151"/>
        <item x="1475"/>
        <item x="236"/>
        <item x="71"/>
        <item x="157"/>
        <item x="1550"/>
        <item x="242"/>
        <item x="406"/>
        <item x="327"/>
        <item x="490"/>
        <item x="412"/>
        <item x="569"/>
        <item x="496"/>
        <item x="650"/>
        <item x="575"/>
        <item x="729"/>
        <item x="73"/>
        <item x="15"/>
        <item x="159"/>
        <item x="808"/>
        <item x="105"/>
        <item x="244"/>
        <item x="735"/>
        <item x="190"/>
        <item x="963"/>
        <item x="329"/>
        <item x="814"/>
        <item x="1039"/>
        <item x="276"/>
        <item x="414"/>
        <item x="1114"/>
        <item x="361"/>
        <item x="1192"/>
        <item x="1045"/>
        <item x="498"/>
        <item x="446"/>
        <item x="1266"/>
        <item x="577"/>
        <item x="1120"/>
        <item x="527"/>
        <item x="1198"/>
        <item x="1341"/>
        <item x="657"/>
        <item x="1272"/>
        <item x="608"/>
        <item x="1416"/>
        <item x="737"/>
        <item x="1347"/>
        <item x="1495"/>
        <item x="688"/>
        <item x="816"/>
        <item x="1422"/>
        <item x="768"/>
        <item x="894"/>
        <item x="1571"/>
        <item x="970"/>
        <item x="848"/>
        <item x="1047"/>
        <item x="924"/>
        <item x="1647"/>
        <item x="999"/>
        <item x="1577"/>
        <item x="1122"/>
        <item x="1200"/>
        <item x="1076"/>
        <item x="1653"/>
        <item x="1152"/>
        <item x="1274"/>
        <item x="1229"/>
        <item x="1349"/>
        <item x="1305"/>
        <item x="1424"/>
        <item x="1376"/>
        <item x="1455"/>
        <item x="1579"/>
        <item x="1532"/>
        <item x="1655"/>
        <item x="1609"/>
        <item x="79"/>
        <item x="165"/>
        <item x="250"/>
        <item x="85"/>
        <item x="335"/>
        <item x="171"/>
        <item x="25"/>
        <item x="5"/>
        <item x="256"/>
        <item x="420"/>
        <item x="95"/>
        <item x="29"/>
        <item x="11"/>
        <item x="341"/>
        <item x="118"/>
        <item x="101"/>
        <item x="286"/>
        <item x="203"/>
        <item x="426"/>
        <item x="266"/>
        <item x="186"/>
        <item x="371"/>
        <item x="290"/>
        <item x="351"/>
        <item x="272"/>
        <item x="21"/>
        <item x="663"/>
        <item x="456"/>
        <item x="375"/>
        <item x="588"/>
        <item x="111"/>
        <item x="357"/>
        <item x="436"/>
        <item x="537"/>
        <item x="743"/>
        <item x="196"/>
        <item x="460"/>
        <item x="442"/>
        <item x="822"/>
        <item x="282"/>
        <item x="618"/>
        <item x="523"/>
        <item x="899"/>
        <item x="749"/>
        <item x="598"/>
        <item x="367"/>
        <item x="698"/>
        <item x="621"/>
        <item x="1052"/>
        <item x="828"/>
        <item x="678"/>
        <item x="604"/>
        <item x="452"/>
        <item x="702"/>
        <item x="1127"/>
        <item x="19"/>
        <item x="759"/>
        <item x="684"/>
        <item x="981"/>
        <item x="533"/>
        <item x="109"/>
        <item x="780"/>
        <item x="838"/>
        <item x="933"/>
        <item x="194"/>
        <item x="914"/>
        <item x="1009"/>
        <item x="861"/>
        <item x="614"/>
        <item x="991"/>
        <item x="844"/>
        <item x="937"/>
        <item x="280"/>
        <item x="1210"/>
        <item x="1085"/>
        <item x="920"/>
        <item x="1013"/>
        <item x="694"/>
        <item x="1067"/>
        <item x="1161"/>
        <item x="996"/>
        <item x="365"/>
        <item x="1285"/>
        <item x="1142"/>
        <item x="1088"/>
        <item x="1430"/>
        <item x="773"/>
        <item x="1239"/>
        <item x="1073"/>
        <item x="1165"/>
        <item x="1358"/>
        <item x="1507"/>
        <item x="450"/>
        <item x="1148"/>
        <item x="854"/>
        <item x="1313"/>
        <item x="929"/>
        <item x="531"/>
        <item x="1295"/>
        <item x="1225"/>
        <item x="1005"/>
        <item x="1584"/>
        <item x="1316"/>
        <item x="1386"/>
        <item x="1513"/>
        <item x="1301"/>
        <item x="1082"/>
        <item x="612"/>
        <item x="1661"/>
        <item x="1465"/>
        <item x="1157"/>
        <item x="1390"/>
        <item x="1445"/>
        <item x="692"/>
        <item x="1590"/>
        <item x="1469"/>
        <item x="1235"/>
        <item x="1541"/>
        <item x="1451"/>
        <item x="13"/>
        <item x="61"/>
        <item x="1667"/>
        <item x="1523"/>
        <item x="103"/>
        <item x="147"/>
        <item x="1619"/>
        <item x="852"/>
        <item x="1545"/>
        <item x="188"/>
        <item x="1600"/>
        <item x="232"/>
        <item x="1382"/>
        <item x="1003"/>
        <item x="1623"/>
        <item x="274"/>
        <item x="318"/>
        <item x="1461"/>
        <item x="1080"/>
        <item x="359"/>
        <item x="402"/>
        <item x="1537"/>
        <item x="1233"/>
        <item x="444"/>
        <item x="486"/>
        <item x="1615"/>
        <item x="525"/>
        <item x="565"/>
        <item x="1380"/>
        <item x="606"/>
        <item x="646"/>
        <item x="1459"/>
        <item x="686"/>
        <item x="725"/>
        <item x="766"/>
        <item x="804"/>
        <item x="1535"/>
        <item x="1"/>
        <item x="846"/>
        <item x="884"/>
        <item x="91"/>
        <item x="1613"/>
        <item x="922"/>
        <item x="959"/>
        <item x="177"/>
        <item x="1035"/>
        <item x="262"/>
        <item x="1110"/>
        <item x="1150"/>
        <item x="1188"/>
        <item x="347"/>
        <item x="81"/>
        <item x="1227"/>
        <item x="1262"/>
        <item x="167"/>
        <item x="63"/>
        <item x="432"/>
        <item x="1303"/>
        <item x="149"/>
        <item x="1337"/>
        <item x="252"/>
        <item x="514"/>
        <item x="234"/>
        <item x="337"/>
        <item x="1374"/>
        <item x="1412"/>
        <item x="77"/>
        <item x="320"/>
        <item x="594"/>
        <item x="1453"/>
        <item x="163"/>
        <item x="1491"/>
        <item x="422"/>
        <item x="248"/>
        <item x="404"/>
        <item x="674"/>
        <item x="505"/>
        <item x="1530"/>
        <item x="1567"/>
        <item x="333"/>
        <item x="755"/>
        <item x="488"/>
        <item x="584"/>
        <item x="1607"/>
        <item x="1643"/>
        <item x="834"/>
        <item x="418"/>
        <item x="567"/>
        <item x="910"/>
        <item x="665"/>
        <item x="987"/>
        <item x="502"/>
        <item x="648"/>
        <item x="745"/>
        <item x="1063"/>
        <item x="581"/>
        <item x="1138"/>
        <item x="727"/>
        <item x="824"/>
        <item x="1216"/>
        <item x="661"/>
        <item x="806"/>
        <item x="901"/>
        <item x="977"/>
        <item x="886"/>
        <item x="1291"/>
        <item x="741"/>
        <item x="1054"/>
        <item x="961"/>
        <item x="1037"/>
        <item x="820"/>
        <item x="1129"/>
        <item x="1364"/>
        <item x="1206"/>
        <item x="897"/>
        <item x="1112"/>
        <item x="1441"/>
        <item x="974"/>
        <item x="1190"/>
        <item x="1281"/>
        <item x="23"/>
        <item x="1050"/>
        <item x="54"/>
        <item x="113"/>
        <item x="1264"/>
        <item x="1519"/>
        <item x="141"/>
        <item x="1125"/>
        <item x="198"/>
        <item x="1203"/>
        <item x="1339"/>
        <item x="226"/>
        <item x="1596"/>
        <item x="1432"/>
        <item x="284"/>
        <item x="1278"/>
        <item x="312"/>
        <item x="1414"/>
        <item x="1509"/>
        <item x="369"/>
        <item x="1352"/>
        <item x="1493"/>
        <item x="396"/>
        <item x="1586"/>
        <item x="454"/>
        <item x="1428"/>
        <item x="480"/>
        <item x="1569"/>
        <item x="535"/>
        <item x="1663"/>
        <item x="1505"/>
        <item x="559"/>
        <item x="1645"/>
        <item x="616"/>
        <item x="1582"/>
        <item x="640"/>
        <item x="696"/>
        <item x="1659"/>
        <item x="719"/>
        <item x="775"/>
        <item x="798"/>
        <item x="856"/>
        <item x="878"/>
        <item x="931"/>
        <item x="17"/>
        <item x="953"/>
        <item x="1007"/>
        <item x="107"/>
        <item x="1029"/>
        <item x="192"/>
        <item x="1104"/>
        <item x="1159"/>
        <item x="1183"/>
        <item x="27"/>
        <item x="278"/>
        <item x="116"/>
        <item x="1237"/>
        <item x="9"/>
        <item x="1257"/>
        <item x="363"/>
        <item x="99"/>
        <item x="201"/>
        <item x="1311"/>
        <item x="184"/>
        <item x="1332"/>
        <item x="288"/>
        <item x="448"/>
        <item x="89"/>
        <item x="1384"/>
        <item x="270"/>
        <item x="175"/>
        <item x="529"/>
        <item x="1407"/>
        <item x="373"/>
        <item x="1463"/>
        <item x="260"/>
        <item x="355"/>
        <item x="1485"/>
        <item x="458"/>
        <item x="610"/>
        <item x="345"/>
        <item x="1539"/>
        <item x="440"/>
        <item x="539"/>
        <item x="3"/>
        <item x="1561"/>
        <item x="690"/>
        <item x="430"/>
        <item x="50"/>
        <item x="93"/>
        <item x="521"/>
        <item x="1617"/>
        <item x="34"/>
        <item x="137"/>
        <item x="1638"/>
        <item x="770"/>
        <item x="179"/>
        <item x="83"/>
        <item x="122"/>
        <item x="512"/>
        <item x="222"/>
        <item x="169"/>
        <item x="850"/>
        <item x="602"/>
        <item x="207"/>
        <item x="264"/>
        <item x="700"/>
        <item x="592"/>
        <item x="926"/>
        <item x="254"/>
        <item x="308"/>
        <item x="1001"/>
        <item x="682"/>
        <item x="293"/>
        <item x="349"/>
        <item x="778"/>
        <item x="339"/>
        <item x="392"/>
        <item x="672"/>
        <item x="1078"/>
        <item x="763"/>
        <item x="859"/>
        <item x="378"/>
        <item x="434"/>
        <item x="1154"/>
        <item x="424"/>
        <item x="935"/>
        <item x="842"/>
        <item x="753"/>
        <item x="476"/>
        <item x="1011"/>
        <item x="516"/>
        <item x="918"/>
        <item x="464"/>
        <item x="1231"/>
        <item x="555"/>
        <item x="507"/>
        <item x="832"/>
        <item x="543"/>
        <item x="1307"/>
        <item x="586"/>
        <item x="908"/>
        <item x="1163"/>
        <item x="596"/>
        <item x="1071"/>
        <item x="985"/>
        <item x="637"/>
        <item x="1146"/>
        <item x="625"/>
        <item x="1061"/>
        <item x="676"/>
        <item x="1378"/>
        <item x="667"/>
        <item x="716"/>
        <item x="69"/>
        <item x="1223"/>
        <item x="1457"/>
        <item x="705"/>
        <item x="1136"/>
        <item x="757"/>
        <item x="155"/>
        <item x="747"/>
        <item x="1214"/>
        <item x="795"/>
        <item x="1299"/>
        <item x="836"/>
        <item x="240"/>
        <item x="782"/>
        <item x="1388"/>
        <item x="875"/>
        <item x="912"/>
        <item x="826"/>
        <item x="1289"/>
        <item x="864"/>
        <item x="950"/>
        <item x="989"/>
        <item x="325"/>
        <item x="1371"/>
        <item x="1467"/>
        <item x="903"/>
        <item x="940"/>
        <item x="1026"/>
        <item x="1611"/>
        <item x="1362"/>
        <item x="1449"/>
        <item x="979"/>
        <item x="1016"/>
        <item x="1065"/>
        <item x="410"/>
        <item x="1056"/>
        <item x="1101"/>
        <item x="1140"/>
        <item x="1543"/>
        <item x="1091"/>
        <item x="1439"/>
        <item x="1180"/>
        <item x="494"/>
        <item x="1527"/>
        <item x="1131"/>
        <item x="1169"/>
        <item x="1218"/>
        <item x="1621"/>
        <item x="1517"/>
        <item x="1208"/>
        <item x="1254"/>
        <item x="573"/>
        <item x="1604"/>
        <item x="1243"/>
        <item x="1293"/>
        <item x="1283"/>
        <item x="1330"/>
        <item x="1594"/>
        <item x="1319"/>
        <item x="654"/>
        <item x="1366"/>
        <item x="1356"/>
        <item x="1671"/>
        <item x="1404"/>
        <item x="1443"/>
        <item x="733"/>
        <item x="1393"/>
        <item x="1483"/>
        <item x="1434"/>
        <item x="1473"/>
        <item x="812"/>
        <item x="1511"/>
        <item x="1521"/>
        <item x="891"/>
        <item x="1558"/>
        <item x="967"/>
        <item x="1548"/>
        <item x="1598"/>
        <item x="1043"/>
        <item x="1588"/>
        <item x="1635"/>
        <item x="1626"/>
        <item x="1118"/>
        <item x="1665"/>
        <item x="1196"/>
        <item x="1270"/>
        <item x="64"/>
        <item x="150"/>
        <item x="1345"/>
        <item x="235"/>
        <item x="1602"/>
        <item x="1420"/>
        <item x="321"/>
        <item x="1499"/>
        <item x="405"/>
        <item x="1575"/>
        <item x="489"/>
        <item x="1649"/>
        <item x="568"/>
        <item x="1651"/>
        <item x="649"/>
        <item x="728"/>
        <item x="84"/>
        <item x="58"/>
        <item x="170"/>
        <item x="144"/>
        <item x="807"/>
        <item x="255"/>
        <item x="229"/>
        <item x="887"/>
        <item x="962"/>
        <item x="340"/>
        <item x="315"/>
        <item x="1038"/>
        <item x="425"/>
        <item x="399"/>
        <item x="1113"/>
        <item x="1191"/>
        <item x="508"/>
        <item x="483"/>
        <item x="1265"/>
        <item x="587"/>
        <item x="562"/>
        <item x="1340"/>
        <item x="668"/>
        <item x="643"/>
        <item x="1415"/>
        <item x="748"/>
        <item x="722"/>
        <item x="1494"/>
        <item x="827"/>
        <item x="801"/>
        <item x="7"/>
        <item x="1570"/>
        <item x="904"/>
        <item x="881"/>
        <item x="97"/>
        <item x="980"/>
        <item x="956"/>
        <item x="1646"/>
        <item x="1057"/>
        <item x="182"/>
        <item x="1032"/>
        <item x="1132"/>
        <item x="30"/>
        <item x="268"/>
        <item x="1107"/>
        <item x="1209"/>
        <item x="119"/>
        <item x="1186"/>
        <item x="353"/>
        <item x="204"/>
        <item x="1284"/>
        <item x="1260"/>
        <item x="291"/>
        <item x="438"/>
        <item x="1357"/>
        <item x="1335"/>
        <item x="519"/>
        <item x="376"/>
        <item x="1435"/>
        <item x="1410"/>
        <item x="1512"/>
        <item x="461"/>
        <item x="600"/>
        <item x="1488"/>
        <item x="541"/>
        <item x="680"/>
        <item x="1589"/>
        <item x="1564"/>
        <item x="761"/>
        <item x="622"/>
        <item x="52"/>
        <item x="1666"/>
        <item x="1640"/>
        <item x="840"/>
        <item x="139"/>
        <item x="703"/>
        <item x="916"/>
        <item x="224"/>
        <item x="87"/>
        <item x="67"/>
        <item x="993"/>
        <item x="173"/>
        <item x="153"/>
        <item x="310"/>
        <item x="1069"/>
        <item x="258"/>
        <item x="238"/>
        <item x="1144"/>
        <item x="938"/>
        <item x="394"/>
        <item x="343"/>
        <item x="323"/>
        <item x="1014"/>
        <item x="1221"/>
        <item x="478"/>
        <item x="428"/>
        <item x="408"/>
        <item x="1089"/>
        <item x="1297"/>
        <item x="1166"/>
        <item x="557"/>
        <item x="510"/>
        <item x="492"/>
        <item x="1242"/>
        <item x="1369"/>
        <item x="590"/>
        <item x="571"/>
        <item x="638"/>
        <item x="1447"/>
        <item x="1317"/>
        <item x="717"/>
        <item x="670"/>
        <item x="652"/>
        <item x="1391"/>
        <item x="1525"/>
        <item x="796"/>
        <item x="751"/>
        <item x="731"/>
        <item x="1470"/>
        <item x="876"/>
        <item x="951"/>
        <item x="830"/>
        <item x="810"/>
        <item x="1027"/>
        <item x="1546"/>
        <item x="906"/>
        <item x="889"/>
        <item x="983"/>
        <item x="965"/>
        <item x="1102"/>
        <item x="1624"/>
        <item x="1059"/>
        <item x="1041"/>
        <item x="1181"/>
        <item x="80"/>
        <item x="1134"/>
        <item x="1116"/>
        <item x="1255"/>
        <item x="166"/>
        <item x="1212"/>
        <item x="1194"/>
        <item x="251"/>
        <item x="1331"/>
        <item x="1287"/>
        <item x="1268"/>
        <item x="336"/>
        <item x="1405"/>
        <item x="1360"/>
        <item x="1343"/>
        <item x="421"/>
        <item x="1484"/>
        <item x="1437"/>
        <item x="1418"/>
        <item x="504"/>
        <item x="1515"/>
        <item x="1497"/>
        <item x="1559"/>
        <item x="583"/>
        <item x="1636"/>
        <item x="1592"/>
        <item x="1573"/>
        <item x="664"/>
        <item x="1669"/>
        <item x="744"/>
        <item x="823"/>
        <item x="900"/>
        <item x="32"/>
        <item x="976"/>
        <item x="121"/>
        <item x="1053"/>
        <item x="206"/>
        <item x="1128"/>
        <item x="292"/>
        <item x="1205"/>
        <item x="377"/>
        <item x="1280"/>
        <item x="44"/>
        <item x="1354"/>
        <item x="462"/>
        <item x="132"/>
        <item x="542"/>
        <item x="217"/>
        <item x="1431"/>
        <item x="303"/>
        <item x="1508"/>
        <item x="623"/>
        <item x="387"/>
        <item x="704"/>
        <item x="1585"/>
        <item x="60"/>
        <item x="472"/>
        <item x="781"/>
        <item x="1662"/>
        <item x="146"/>
        <item x="551"/>
        <item x="862"/>
        <item x="38"/>
        <item x="231"/>
        <item x="939"/>
        <item x="126"/>
        <item x="1015"/>
        <item x="317"/>
        <item x="633"/>
        <item x="211"/>
        <item x="1090"/>
        <item x="56"/>
        <item x="401"/>
        <item x="712"/>
        <item x="297"/>
        <item x="1167"/>
        <item x="142"/>
        <item x="790"/>
        <item x="227"/>
        <item x="382"/>
        <item x="485"/>
        <item x="872"/>
        <item x="564"/>
        <item x="313"/>
        <item x="1318"/>
        <item x="946"/>
        <item x="467"/>
        <item x="1023"/>
        <item x="397"/>
        <item x="546"/>
        <item x="645"/>
        <item x="1392"/>
        <item x="1098"/>
        <item x="74"/>
        <item x="1471"/>
        <item x="62"/>
        <item x="1176"/>
        <item x="481"/>
        <item x="724"/>
        <item x="160"/>
        <item x="628"/>
        <item x="148"/>
        <item x="560"/>
        <item x="245"/>
        <item x="1250"/>
        <item x="803"/>
        <item x="233"/>
        <item x="708"/>
        <item x="1547"/>
        <item x="883"/>
        <item x="330"/>
        <item x="1326"/>
        <item x="319"/>
        <item x="641"/>
        <item x="785"/>
        <item x="1625"/>
        <item x="958"/>
        <item x="1034"/>
        <item x="415"/>
        <item x="867"/>
        <item x="403"/>
        <item x="1400"/>
        <item x="720"/>
        <item x="943"/>
        <item x="1109"/>
        <item x="1480"/>
        <item x="1019"/>
        <item x="499"/>
        <item x="799"/>
        <item x="1187"/>
        <item x="487"/>
        <item x="578"/>
        <item x="879"/>
        <item x="1094"/>
        <item x="566"/>
        <item x="1261"/>
        <item x="1554"/>
        <item x="954"/>
        <item x="1172"/>
        <item x="1030"/>
        <item x="1336"/>
        <item x="658"/>
        <item x="1631"/>
        <item x="1246"/>
        <item x="647"/>
        <item x="1105"/>
        <item x="40"/>
        <item x="738"/>
        <item x="1184"/>
        <item x="1322"/>
        <item x="1411"/>
        <item x="128"/>
        <item x="726"/>
        <item x="1490"/>
        <item x="817"/>
        <item x="213"/>
        <item x="1258"/>
        <item x="805"/>
        <item x="1396"/>
        <item x="88"/>
        <item x="82"/>
        <item x="895"/>
        <item x="174"/>
        <item x="299"/>
        <item x="885"/>
        <item x="1333"/>
        <item x="168"/>
        <item x="971"/>
        <item x="1566"/>
        <item x="960"/>
        <item x="259"/>
        <item x="253"/>
        <item x="384"/>
        <item x="1036"/>
        <item x="1408"/>
        <item x="1642"/>
        <item x="1551"/>
        <item x="344"/>
        <item x="338"/>
        <item x="1111"/>
        <item x="1486"/>
        <item x="469"/>
        <item x="1189"/>
        <item x="1628"/>
        <item x="429"/>
        <item x="423"/>
        <item x="548"/>
        <item x="1275"/>
        <item x="1263"/>
        <item x="1562"/>
        <item x="511"/>
        <item x="506"/>
        <item x="1350"/>
        <item x="630"/>
        <item x="1338"/>
        <item x="1639"/>
        <item x="591"/>
        <item x="585"/>
        <item x="709"/>
        <item x="1425"/>
        <item x="1413"/>
        <item x="671"/>
        <item x="1502"/>
        <item x="666"/>
        <item x="787"/>
        <item x="1492"/>
        <item x="752"/>
        <item x="869"/>
        <item x="746"/>
        <item x="1580"/>
        <item x="944"/>
        <item x="1568"/>
        <item x="831"/>
        <item x="1021"/>
        <item x="825"/>
        <item x="1656"/>
        <item x="907"/>
        <item x="1644"/>
        <item x="902"/>
        <item x="1096"/>
        <item x="20"/>
        <item x="984"/>
        <item x="978"/>
        <item x="1174"/>
        <item x="110"/>
        <item x="1060"/>
        <item x="1055"/>
        <item x="195"/>
        <item x="1248"/>
        <item x="1135"/>
        <item x="1130"/>
        <item x="1213"/>
        <item x="281"/>
        <item x="1207"/>
        <item x="1324"/>
        <item x="1288"/>
        <item x="366"/>
        <item x="1282"/>
        <item x="1398"/>
        <item x="1361"/>
        <item x="1355"/>
        <item x="1477"/>
        <item x="451"/>
        <item x="532"/>
        <item x="1438"/>
        <item x="1433"/>
        <item x="1552"/>
        <item x="1516"/>
        <item x="1510"/>
        <item x="613"/>
        <item x="1629"/>
        <item x="1593"/>
        <item x="693"/>
        <item x="1587"/>
        <item x="1670"/>
        <item x="772"/>
        <item x="1664"/>
        <item x="853"/>
        <item x="24"/>
        <item x="928"/>
        <item x="114"/>
        <item x="1004"/>
        <item x="199"/>
        <item x="1081"/>
        <item x="285"/>
        <item x="1156"/>
        <item x="370"/>
        <item x="1234"/>
        <item x="68"/>
        <item x="48"/>
        <item x="154"/>
        <item x="1309"/>
        <item x="455"/>
        <item x="135"/>
        <item x="239"/>
        <item x="28"/>
        <item x="536"/>
        <item x="220"/>
        <item x="117"/>
        <item x="1381"/>
        <item x="324"/>
        <item x="306"/>
        <item x="202"/>
        <item x="1460"/>
        <item x="617"/>
        <item x="409"/>
        <item x="390"/>
        <item x="289"/>
        <item x="697"/>
        <item x="1536"/>
        <item x="493"/>
        <item x="374"/>
        <item x="475"/>
        <item x="776"/>
        <item x="1614"/>
        <item x="572"/>
        <item x="554"/>
        <item x="857"/>
        <item x="459"/>
        <item x="932"/>
        <item x="540"/>
        <item x="653"/>
        <item x="1008"/>
        <item x="636"/>
        <item x="732"/>
        <item x="1084"/>
        <item x="715"/>
        <item x="620"/>
        <item x="70"/>
        <item x="1160"/>
        <item x="156"/>
        <item x="811"/>
        <item x="794"/>
        <item x="701"/>
        <item x="1238"/>
        <item x="42"/>
        <item x="241"/>
        <item x="890"/>
        <item x="874"/>
        <item x="130"/>
        <item x="966"/>
        <item x="779"/>
        <item x="1312"/>
        <item x="949"/>
        <item x="326"/>
        <item x="1042"/>
        <item x="215"/>
        <item x="1025"/>
        <item x="860"/>
        <item x="936"/>
        <item x="411"/>
        <item x="1117"/>
        <item x="1385"/>
        <item x="301"/>
        <item x="1100"/>
        <item x="1012"/>
        <item x="1195"/>
        <item x="1464"/>
        <item x="1179"/>
        <item x="385"/>
        <item x="495"/>
        <item x="1087"/>
        <item x="1269"/>
        <item x="1253"/>
        <item x="1164"/>
        <item x="574"/>
        <item x="1540"/>
        <item x="470"/>
        <item x="1344"/>
        <item x="1329"/>
        <item x="1241"/>
        <item x="549"/>
        <item x="1618"/>
        <item x="655"/>
        <item x="1419"/>
        <item x="1315"/>
        <item x="1403"/>
        <item x="734"/>
        <item x="1498"/>
        <item x="631"/>
        <item x="1482"/>
        <item x="1389"/>
        <item x="36"/>
        <item x="813"/>
        <item x="710"/>
        <item x="1468"/>
        <item x="124"/>
        <item x="1574"/>
        <item x="892"/>
        <item x="1557"/>
        <item x="788"/>
        <item x="209"/>
        <item x="968"/>
        <item x="1650"/>
        <item x="1044"/>
        <item x="1634"/>
        <item x="870"/>
        <item x="1544"/>
        <item x="295"/>
        <item x="945"/>
        <item x="1119"/>
        <item x="1022"/>
        <item x="1622"/>
        <item x="380"/>
        <item x="1197"/>
        <item x="1097"/>
        <item x="1271"/>
        <item x="1175"/>
        <item x="465"/>
        <item x="544"/>
        <item x="1346"/>
        <item x="4"/>
        <item x="1249"/>
        <item x="94"/>
        <item x="1325"/>
        <item x="1421"/>
        <item x="180"/>
        <item x="626"/>
        <item x="1500"/>
        <item x="265"/>
        <item x="1399"/>
        <item x="706"/>
        <item x="1478"/>
        <item x="350"/>
        <item x="783"/>
        <item x="1576"/>
        <item x="72"/>
        <item x="86"/>
        <item x="865"/>
        <item x="158"/>
        <item x="1652"/>
        <item x="172"/>
        <item x="435"/>
        <item x="1553"/>
        <item x="941"/>
        <item x="243"/>
        <item x="1017"/>
        <item x="257"/>
        <item x="517"/>
        <item x="1630"/>
        <item x="328"/>
        <item x="1092"/>
        <item x="342"/>
        <item x="1170"/>
        <item x="597"/>
        <item x="413"/>
        <item x="427"/>
        <item x="1244"/>
        <item x="22"/>
        <item x="677"/>
        <item x="112"/>
        <item x="497"/>
        <item x="509"/>
        <item x="1320"/>
        <item x="758"/>
        <item x="197"/>
        <item x="576"/>
        <item x="589"/>
        <item x="78"/>
        <item x="837"/>
        <item x="164"/>
        <item x="1394"/>
        <item x="283"/>
        <item x="913"/>
        <item x="990"/>
        <item x="249"/>
        <item x="656"/>
        <item x="1474"/>
        <item x="669"/>
        <item x="368"/>
        <item x="1066"/>
        <item x="334"/>
        <item x="736"/>
        <item x="750"/>
        <item x="1141"/>
        <item x="1549"/>
        <item x="453"/>
        <item x="419"/>
        <item x="815"/>
        <item x="829"/>
        <item x="534"/>
        <item x="1219"/>
        <item x="1627"/>
        <item x="893"/>
        <item x="905"/>
        <item x="503"/>
        <item x="969"/>
        <item x="982"/>
        <item x="1294"/>
        <item x="1046"/>
        <item x="615"/>
        <item x="1058"/>
        <item x="582"/>
        <item x="1367"/>
        <item x="1121"/>
        <item x="695"/>
        <item x="1133"/>
        <item x="1199"/>
        <item x="1211"/>
        <item x="1444"/>
        <item x="662"/>
        <item x="0"/>
        <item x="774"/>
        <item x="90"/>
        <item x="1273"/>
        <item x="1286"/>
        <item x="742"/>
        <item x="855"/>
        <item x="1522"/>
        <item x="176"/>
        <item x="930"/>
        <item x="1348"/>
        <item x="1359"/>
        <item x="821"/>
        <item x="1006"/>
        <item x="1599"/>
        <item x="261"/>
        <item x="898"/>
        <item x="1423"/>
        <item x="1083"/>
        <item x="1436"/>
        <item x="975"/>
        <item x="346"/>
        <item x="1158"/>
        <item x="1051"/>
        <item x="1501"/>
        <item x="1514"/>
        <item x="1236"/>
        <item x="1126"/>
        <item x="431"/>
        <item x="1204"/>
        <item x="1578"/>
        <item x="1591"/>
        <item x="513"/>
        <item x="1310"/>
        <item x="66"/>
        <item x="1279"/>
        <item x="1654"/>
        <item x="1668"/>
        <item x="152"/>
        <item x="1383"/>
        <item x="593"/>
        <item x="1353"/>
        <item x="237"/>
        <item x="1462"/>
        <item x="673"/>
        <item x="322"/>
        <item x="1429"/>
        <item x="754"/>
        <item x="1538"/>
        <item x="1506"/>
        <item x="407"/>
        <item x="833"/>
        <item x="1616"/>
        <item x="909"/>
        <item x="491"/>
        <item x="1583"/>
        <item x="986"/>
        <item x="570"/>
        <item x="1660"/>
        <item x="1062"/>
        <item x="1137"/>
        <item x="651"/>
        <item x="1215"/>
        <item x="730"/>
        <item x="1290"/>
        <item x="26"/>
        <item x="809"/>
        <item x="115"/>
        <item x="1363"/>
        <item x="888"/>
        <item x="200"/>
        <item x="964"/>
        <item x="1440"/>
        <item x="1040"/>
        <item x="287"/>
        <item x="46"/>
        <item x="133"/>
        <item x="1115"/>
        <item x="1518"/>
        <item x="372"/>
        <item x="1193"/>
        <item x="218"/>
        <item x="1595"/>
        <item x="457"/>
        <item x="1267"/>
        <item x="304"/>
        <item x="538"/>
        <item x="1342"/>
        <item x="388"/>
        <item x="8"/>
        <item x="98"/>
        <item x="619"/>
        <item x="1417"/>
        <item x="473"/>
        <item x="183"/>
        <item x="1496"/>
        <item x="552"/>
        <item x="699"/>
        <item x="269"/>
        <item x="777"/>
        <item x="1572"/>
        <item x="634"/>
        <item x="354"/>
        <item x="858"/>
        <item x="934"/>
        <item x="1648"/>
        <item x="713"/>
        <item x="1010"/>
        <item x="439"/>
        <item x="792"/>
        <item x="520"/>
        <item x="1086"/>
        <item x="873"/>
        <item x="1162"/>
        <item x="947"/>
        <item x="1024"/>
        <item x="601"/>
        <item x="1240"/>
        <item x="1099"/>
        <item x="681"/>
        <item x="2"/>
        <item x="1314"/>
        <item x="1177"/>
        <item x="92"/>
        <item x="762"/>
        <item x="178"/>
        <item x="1387"/>
        <item x="1251"/>
        <item x="841"/>
        <item x="1466"/>
        <item x="917"/>
        <item x="263"/>
        <item x="1327"/>
        <item x="994"/>
        <item x="348"/>
        <item x="1542"/>
        <item x="1401"/>
        <item x="1070"/>
        <item x="1145"/>
        <item x="1481"/>
        <item x="433"/>
        <item x="1620"/>
        <item x="1222"/>
        <item x="515"/>
        <item x="1555"/>
        <item x="1298"/>
        <item x="595"/>
        <item x="1632"/>
        <item x="1370"/>
        <item x="675"/>
        <item x="1448"/>
        <item x="756"/>
        <item x="835"/>
        <item x="1526"/>
        <item x="911"/>
        <item x="988"/>
        <item x="1603"/>
        <item x="1064"/>
        <item x="1139"/>
        <item x="1217"/>
        <item x="1292"/>
        <item x="1365"/>
        <item x="76"/>
        <item x="1442"/>
        <item x="162"/>
        <item x="247"/>
        <item x="1520"/>
        <item x="332"/>
        <item x="1597"/>
        <item x="417"/>
        <item x="501"/>
        <item x="580"/>
        <item x="660"/>
        <item x="740"/>
        <item x="819"/>
        <item x="896"/>
        <item x="973"/>
        <item x="1049"/>
        <item x="1124"/>
        <item x="1202"/>
        <item x="1277"/>
        <item x="1351"/>
        <item x="1427"/>
        <item x="1504"/>
        <item x="1581"/>
        <item x="1658"/>
        <item x="10"/>
        <item x="100"/>
        <item x="185"/>
        <item x="271"/>
        <item x="356"/>
        <item x="441"/>
        <item x="522"/>
        <item x="14"/>
        <item x="104"/>
        <item x="189"/>
        <item x="603"/>
        <item x="275"/>
        <item x="683"/>
        <item x="360"/>
        <item x="764"/>
        <item x="843"/>
        <item x="18"/>
        <item x="445"/>
        <item x="919"/>
        <item x="108"/>
        <item x="995"/>
        <item x="526"/>
        <item x="193"/>
        <item x="1072"/>
        <item x="1147"/>
        <item x="279"/>
        <item x="607"/>
        <item x="6"/>
        <item x="1224"/>
        <item x="96"/>
        <item x="364"/>
        <item x="687"/>
        <item x="181"/>
        <item x="1300"/>
        <item x="767"/>
        <item x="449"/>
        <item x="267"/>
        <item x="847"/>
        <item x="530"/>
        <item x="1372"/>
        <item x="923"/>
        <item x="352"/>
        <item x="998"/>
        <item x="1450"/>
        <item x="611"/>
        <item x="1075"/>
        <item x="437"/>
        <item x="1151"/>
        <item x="1528"/>
        <item x="691"/>
        <item x="518"/>
        <item x="1228"/>
        <item x="1605"/>
        <item x="771"/>
        <item x="599"/>
        <item x="851"/>
        <item x="1304"/>
        <item x="927"/>
        <item x="679"/>
        <item x="1002"/>
        <item x="1375"/>
        <item x="760"/>
        <item x="1079"/>
        <item x="1454"/>
        <item x="1155"/>
        <item x="839"/>
        <item x="915"/>
        <item x="1232"/>
        <item x="1531"/>
        <item x="992"/>
        <item x="1308"/>
        <item x="1608"/>
        <item x="1068"/>
        <item x="1143"/>
        <item x="1379"/>
        <item x="1220"/>
        <item x="1458"/>
        <item x="1296"/>
        <item x="1534"/>
        <item x="1368"/>
        <item x="1612"/>
        <item x="1446"/>
        <item x="1524"/>
        <item x="1601"/>
        <item x="12"/>
        <item x="102"/>
        <item x="187"/>
        <item x="273"/>
        <item x="358"/>
        <item x="443"/>
        <item x="524"/>
        <item x="605"/>
        <item x="685"/>
        <item x="765"/>
        <item x="845"/>
        <item x="921"/>
        <item x="997"/>
        <item x="1074"/>
        <item x="1149"/>
        <item x="1226"/>
        <item x="1302"/>
        <item x="1373"/>
        <item x="1452"/>
        <item x="1529"/>
        <item x="1606"/>
        <item x="16"/>
        <item x="106"/>
        <item x="191"/>
        <item x="277"/>
        <item x="362"/>
        <item x="447"/>
        <item x="528"/>
        <item x="609"/>
        <item x="689"/>
        <item x="769"/>
        <item x="849"/>
        <item x="925"/>
        <item x="1000"/>
        <item x="1077"/>
        <item x="1153"/>
        <item x="1230"/>
        <item x="1306"/>
        <item x="1377"/>
        <item x="1456"/>
        <item x="1533"/>
        <item x="1610"/>
        <item t="default"/>
      </items>
    </pivotField>
    <pivotField showAll="0"/>
    <pivotField numFmtId="2" showAll="0"/>
    <pivotField showAll="0" defaultSubtotal="0">
      <items count="6">
        <item sd="0" x="0"/>
        <item sd="0" x="1"/>
        <item sd="0" x="2"/>
        <item sd="0" x="3"/>
        <item sd="0" x="4"/>
        <item sd="0" x="5"/>
      </items>
    </pivotField>
    <pivotField axis="axisRow" showAll="0" defaultSubtotal="0">
      <items count="4">
        <item sd="0" x="0"/>
        <item x="1"/>
        <item x="2"/>
        <item sd="0" x="3"/>
      </items>
    </pivotField>
  </pivotFields>
  <rowFields count="2">
    <field x="10"/>
    <field x="0"/>
  </rowFields>
  <rowItems count="24">
    <i>
      <x v="1"/>
    </i>
    <i r="1">
      <x v="1"/>
    </i>
    <i r="1">
      <x v="2"/>
    </i>
    <i r="1">
      <x v="3"/>
    </i>
    <i r="1">
      <x v="4"/>
    </i>
    <i r="1">
      <x v="5"/>
    </i>
    <i r="1">
      <x v="6"/>
    </i>
    <i r="1">
      <x v="7"/>
    </i>
    <i r="1">
      <x v="8"/>
    </i>
    <i r="1">
      <x v="9"/>
    </i>
    <i r="1">
      <x v="10"/>
    </i>
    <i r="1">
      <x v="11"/>
    </i>
    <i r="1">
      <x v="12"/>
    </i>
    <i>
      <x v="2"/>
    </i>
    <i r="1">
      <x v="1"/>
    </i>
    <i r="1">
      <x v="2"/>
    </i>
    <i r="1">
      <x v="3"/>
    </i>
    <i r="1">
      <x v="4"/>
    </i>
    <i r="1">
      <x v="5"/>
    </i>
    <i r="1">
      <x v="6"/>
    </i>
    <i r="1">
      <x v="7"/>
    </i>
    <i r="1">
      <x v="8"/>
    </i>
    <i r="1">
      <x v="9"/>
    </i>
    <i t="grand">
      <x/>
    </i>
  </rowItems>
  <colFields count="1">
    <field x="3"/>
  </colFields>
  <colItems count="2">
    <i>
      <x v="3"/>
    </i>
    <i t="grand">
      <x/>
    </i>
  </colItems>
  <dataFields count="1">
    <dataField name="Soma de Visitantes" fld="5" baseField="0" baseItem="0"/>
  </dataFields>
  <chartFormats count="5">
    <chartFormat chart="17" format="15" series="1">
      <pivotArea type="data" outline="0" fieldPosition="0">
        <references count="1">
          <reference field="3" count="1" selected="0">
            <x v="0"/>
          </reference>
        </references>
      </pivotArea>
    </chartFormat>
    <chartFormat chart="17" format="16" series="1">
      <pivotArea type="data" outline="0" fieldPosition="0">
        <references count="1">
          <reference field="3" count="1" selected="0">
            <x v="1"/>
          </reference>
        </references>
      </pivotArea>
    </chartFormat>
    <chartFormat chart="17" format="17" series="1">
      <pivotArea type="data" outline="0" fieldPosition="0">
        <references count="1">
          <reference field="3" count="1" selected="0">
            <x v="2"/>
          </reference>
        </references>
      </pivotArea>
    </chartFormat>
    <chartFormat chart="17" format="18" series="1">
      <pivotArea type="data" outline="0" fieldPosition="0">
        <references count="1">
          <reference field="3" count="1" selected="0">
            <x v="3"/>
          </reference>
        </references>
      </pivotArea>
    </chartFormat>
    <chartFormat chart="17" format="19" series="1">
      <pivotArea type="data" outline="0" fieldPosition="0">
        <references count="1">
          <reference field="3" count="1" selected="0">
            <x v="4"/>
          </reference>
        </references>
      </pivotArea>
    </chartFormat>
  </chartFormats>
  <pivotTableStyleInfo name="PivotStyleLight16" showRowHeaders="1" showColHeaders="1" showRowStripes="0" showColStripes="0" showLastColumn="1"/>
  <filters count="1">
    <filter fld="0" type="dateBetween" evalOrder="-1" id="72" name="Mês">
      <autoFilter ref="A1">
        <filterColumn colId="0">
          <customFilters and="1">
            <customFilter operator="greaterThanOrEqual" val="43101"/>
            <customFilter operator="lessThanOrEqual" val="437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ela dinâmica9" cacheId="0" applyNumberFormats="0" applyBorderFormats="0" applyFontFormats="0" applyPatternFormats="0" applyAlignmentFormats="0" applyWidthHeightFormats="1" dataCaption="Valores" updatedVersion="6" minRefreshableVersion="5" useAutoFormatting="1" itemPrintTitles="1" createdVersion="6" indent="0" outline="1" outlineData="1" multipleFieldFilters="0" chartFormat="15">
  <location ref="AD11:AF36" firstHeaderRow="1" firstDataRow="2" firstDataCol="1"/>
  <pivotFields count="11">
    <pivotField axis="axisRow"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items count="4">
        <item x="0"/>
        <item h="1" x="1"/>
        <item h="1" x="2"/>
        <item t="default"/>
      </items>
    </pivotField>
    <pivotField showAll="0">
      <items count="6">
        <item h="1" x="0"/>
        <item h="1" x="1"/>
        <item h="1" x="2"/>
        <item x="3"/>
        <item h="1" x="4"/>
        <item t="default"/>
      </items>
    </pivotField>
    <pivotField axis="axisCol" showAll="0">
      <items count="3">
        <item h="1" x="0"/>
        <item x="1"/>
        <item t="default"/>
      </items>
    </pivotField>
    <pivotField dataField="1" showAll="0">
      <items count="1827">
        <item x="35"/>
        <item x="123"/>
        <item x="211"/>
        <item x="299"/>
        <item x="387"/>
        <item x="474"/>
        <item x="562"/>
        <item x="650"/>
        <item x="735"/>
        <item x="822"/>
        <item x="907"/>
        <item x="991"/>
        <item x="1078"/>
        <item x="1164"/>
        <item x="1251"/>
        <item x="1338"/>
        <item x="1426"/>
        <item x="1513"/>
        <item x="1599"/>
        <item x="1685"/>
        <item x="1773"/>
        <item x="25"/>
        <item x="113"/>
        <item x="201"/>
        <item x="289"/>
        <item x="377"/>
        <item x="45"/>
        <item x="133"/>
        <item x="552"/>
        <item x="221"/>
        <item x="640"/>
        <item x="309"/>
        <item x="725"/>
        <item x="397"/>
        <item x="812"/>
        <item x="484"/>
        <item x="897"/>
        <item x="572"/>
        <item x="660"/>
        <item x="983"/>
        <item x="745"/>
        <item x="1069"/>
        <item x="831"/>
        <item x="1155"/>
        <item x="1241"/>
        <item x="916"/>
        <item x="21"/>
        <item x="109"/>
        <item x="1329"/>
        <item x="1416"/>
        <item x="197"/>
        <item x="1001"/>
        <item x="285"/>
        <item x="1503"/>
        <item x="1088"/>
        <item x="373"/>
        <item x="1174"/>
        <item x="1590"/>
        <item x="1261"/>
        <item x="461"/>
        <item x="1676"/>
        <item x="1348"/>
        <item x="548"/>
        <item x="1763"/>
        <item x="1435"/>
        <item x="636"/>
        <item x="1522"/>
        <item x="721"/>
        <item x="1609"/>
        <item x="808"/>
        <item x="1695"/>
        <item x="893"/>
        <item x="1783"/>
        <item x="979"/>
        <item x="1065"/>
        <item x="1151"/>
        <item x="1237"/>
        <item x="1325"/>
        <item x="1412"/>
        <item x="1499"/>
        <item x="31"/>
        <item x="1586"/>
        <item x="119"/>
        <item x="1672"/>
        <item x="207"/>
        <item x="1759"/>
        <item x="295"/>
        <item x="383"/>
        <item x="470"/>
        <item x="558"/>
        <item x="646"/>
        <item x="51"/>
        <item x="139"/>
        <item x="731"/>
        <item x="818"/>
        <item x="227"/>
        <item x="315"/>
        <item x="903"/>
        <item x="403"/>
        <item x="490"/>
        <item x="1074"/>
        <item x="578"/>
        <item x="1160"/>
        <item x="665"/>
        <item x="1247"/>
        <item x="751"/>
        <item x="1334"/>
        <item x="836"/>
        <item x="1422"/>
        <item x="922"/>
        <item x="1509"/>
        <item x="41"/>
        <item x="1595"/>
        <item x="129"/>
        <item x="1007"/>
        <item x="1681"/>
        <item x="217"/>
        <item x="1093"/>
        <item x="1769"/>
        <item x="305"/>
        <item x="1179"/>
        <item x="1267"/>
        <item x="393"/>
        <item x="1354"/>
        <item x="480"/>
        <item x="1441"/>
        <item x="568"/>
        <item x="1528"/>
        <item x="656"/>
        <item x="29"/>
        <item x="741"/>
        <item x="117"/>
        <item x="23"/>
        <item x="1701"/>
        <item x="111"/>
        <item x="205"/>
        <item x="1789"/>
        <item x="49"/>
        <item x="199"/>
        <item x="293"/>
        <item x="137"/>
        <item x="287"/>
        <item x="381"/>
        <item x="225"/>
        <item x="997"/>
        <item x="375"/>
        <item x="468"/>
        <item x="313"/>
        <item x="1084"/>
        <item x="463"/>
        <item x="401"/>
        <item x="556"/>
        <item x="1170"/>
        <item x="550"/>
        <item x="1257"/>
        <item x="488"/>
        <item x="644"/>
        <item x="1344"/>
        <item x="638"/>
        <item x="729"/>
        <item x="576"/>
        <item x="1431"/>
        <item x="723"/>
        <item x="816"/>
        <item x="39"/>
        <item x="810"/>
        <item x="1518"/>
        <item x="127"/>
        <item x="901"/>
        <item x="749"/>
        <item x="895"/>
        <item x="1605"/>
        <item x="215"/>
        <item x="303"/>
        <item x="1691"/>
        <item x="920"/>
        <item x="981"/>
        <item x="391"/>
        <item x="1779"/>
        <item x="1067"/>
        <item x="33"/>
        <item x="478"/>
        <item x="1005"/>
        <item x="121"/>
        <item x="1245"/>
        <item x="1153"/>
        <item x="566"/>
        <item x="1239"/>
        <item x="209"/>
        <item x="1327"/>
        <item x="654"/>
        <item x="1420"/>
        <item x="297"/>
        <item x="1265"/>
        <item x="1414"/>
        <item x="739"/>
        <item x="1507"/>
        <item x="385"/>
        <item x="1352"/>
        <item x="826"/>
        <item x="1501"/>
        <item x="472"/>
        <item x="1439"/>
        <item x="911"/>
        <item x="1588"/>
        <item x="1526"/>
        <item x="560"/>
        <item x="1674"/>
        <item x="1767"/>
        <item x="648"/>
        <item x="1613"/>
        <item x="995"/>
        <item x="1761"/>
        <item x="733"/>
        <item x="1699"/>
        <item x="1082"/>
        <item x="820"/>
        <item x="1787"/>
        <item x="1168"/>
        <item x="905"/>
        <item x="1255"/>
        <item x="1342"/>
        <item x="989"/>
        <item x="43"/>
        <item x="131"/>
        <item x="1076"/>
        <item x="1162"/>
        <item x="219"/>
        <item x="1603"/>
        <item x="1249"/>
        <item x="307"/>
        <item x="1689"/>
        <item x="1336"/>
        <item x="395"/>
        <item x="1777"/>
        <item x="1424"/>
        <item x="482"/>
        <item x="53"/>
        <item x="1511"/>
        <item x="141"/>
        <item x="570"/>
        <item x="1597"/>
        <item x="229"/>
        <item x="658"/>
        <item x="1683"/>
        <item x="317"/>
        <item x="743"/>
        <item x="1771"/>
        <item x="405"/>
        <item x="829"/>
        <item x="492"/>
        <item x="914"/>
        <item x="580"/>
        <item x="999"/>
        <item x="667"/>
        <item x="1086"/>
        <item x="753"/>
        <item x="838"/>
        <item x="1172"/>
        <item x="1259"/>
        <item x="924"/>
        <item x="1346"/>
        <item x="1433"/>
        <item x="1009"/>
        <item x="1520"/>
        <item x="1095"/>
        <item x="1607"/>
        <item x="1181"/>
        <item x="1269"/>
        <item x="1693"/>
        <item x="1356"/>
        <item x="1781"/>
        <item x="1443"/>
        <item x="1530"/>
        <item x="1616"/>
        <item x="1703"/>
        <item x="1791"/>
        <item x="56"/>
        <item x="144"/>
        <item x="5"/>
        <item x="232"/>
        <item x="93"/>
        <item x="320"/>
        <item x="73"/>
        <item x="161"/>
        <item x="181"/>
        <item x="408"/>
        <item x="269"/>
        <item x="249"/>
        <item x="495"/>
        <item x="357"/>
        <item x="337"/>
        <item x="583"/>
        <item x="445"/>
        <item x="425"/>
        <item x="670"/>
        <item x="63"/>
        <item x="512"/>
        <item x="532"/>
        <item x="151"/>
        <item x="756"/>
        <item x="620"/>
        <item x="600"/>
        <item x="841"/>
        <item x="239"/>
        <item x="705"/>
        <item x="327"/>
        <item x="927"/>
        <item x="792"/>
        <item x="415"/>
        <item x="877"/>
        <item x="857"/>
        <item x="502"/>
        <item x="1012"/>
        <item x="37"/>
        <item x="943"/>
        <item x="125"/>
        <item x="1098"/>
        <item x="590"/>
        <item x="963"/>
        <item x="1184"/>
        <item x="213"/>
        <item x="1272"/>
        <item x="1049"/>
        <item x="1029"/>
        <item x="301"/>
        <item x="763"/>
        <item x="1359"/>
        <item x="1135"/>
        <item x="1115"/>
        <item x="389"/>
        <item x="1221"/>
        <item x="1446"/>
        <item x="1201"/>
        <item x="1309"/>
        <item x="476"/>
        <item x="1289"/>
        <item x="1533"/>
        <item x="1396"/>
        <item x="1376"/>
        <item x="564"/>
        <item x="1619"/>
        <item x="1483"/>
        <item x="1019"/>
        <item x="1463"/>
        <item x="652"/>
        <item x="1706"/>
        <item x="1105"/>
        <item x="1550"/>
        <item x="1570"/>
        <item x="737"/>
        <item x="1794"/>
        <item x="1191"/>
        <item x="824"/>
        <item x="1656"/>
        <item x="1636"/>
        <item x="1279"/>
        <item x="909"/>
        <item x="1743"/>
        <item x="1366"/>
        <item x="1723"/>
        <item x="1453"/>
        <item x="1811"/>
        <item x="993"/>
        <item x="1540"/>
        <item x="1"/>
        <item x="1080"/>
        <item x="89"/>
        <item x="1626"/>
        <item x="1166"/>
        <item x="177"/>
        <item x="1253"/>
        <item x="1713"/>
        <item x="265"/>
        <item x="1340"/>
        <item x="1801"/>
        <item x="353"/>
        <item x="1428"/>
        <item x="441"/>
        <item x="1515"/>
        <item x="528"/>
        <item x="1601"/>
        <item x="616"/>
        <item x="1687"/>
        <item x="701"/>
        <item x="1775"/>
        <item x="83"/>
        <item x="788"/>
        <item x="171"/>
        <item x="873"/>
        <item x="259"/>
        <item x="347"/>
        <item x="959"/>
        <item x="435"/>
        <item x="1045"/>
        <item x="522"/>
        <item x="1131"/>
        <item x="610"/>
        <item x="1217"/>
        <item x="1305"/>
        <item x="695"/>
        <item x="1392"/>
        <item x="782"/>
        <item x="867"/>
        <item x="1479"/>
        <item x="953"/>
        <item x="1566"/>
        <item x="1652"/>
        <item x="1039"/>
        <item x="1739"/>
        <item x="1125"/>
        <item x="1211"/>
        <item x="9"/>
        <item x="1299"/>
        <item x="97"/>
        <item x="1386"/>
        <item x="185"/>
        <item x="1473"/>
        <item x="273"/>
        <item x="1560"/>
        <item x="69"/>
        <item x="361"/>
        <item x="157"/>
        <item x="3"/>
        <item x="1646"/>
        <item x="449"/>
        <item x="91"/>
        <item x="245"/>
        <item x="1733"/>
        <item x="536"/>
        <item x="333"/>
        <item x="179"/>
        <item x="1821"/>
        <item x="267"/>
        <item x="624"/>
        <item x="421"/>
        <item x="355"/>
        <item x="709"/>
        <item x="508"/>
        <item x="796"/>
        <item x="443"/>
        <item x="596"/>
        <item x="881"/>
        <item x="530"/>
        <item x="682"/>
        <item x="618"/>
        <item x="769"/>
        <item x="967"/>
        <item x="853"/>
        <item x="703"/>
        <item x="1053"/>
        <item x="790"/>
        <item x="939"/>
        <item x="1139"/>
        <item x="875"/>
        <item x="1225"/>
        <item x="1313"/>
        <item x="1025"/>
        <item x="961"/>
        <item x="1400"/>
        <item x="1111"/>
        <item x="79"/>
        <item x="167"/>
        <item x="71"/>
        <item x="1047"/>
        <item x="1487"/>
        <item x="1197"/>
        <item x="159"/>
        <item x="1285"/>
        <item x="255"/>
        <item x="1133"/>
        <item x="1574"/>
        <item x="1372"/>
        <item x="1219"/>
        <item x="247"/>
        <item x="343"/>
        <item x="1307"/>
        <item x="1660"/>
        <item x="335"/>
        <item x="1459"/>
        <item x="431"/>
        <item x="1394"/>
        <item x="1747"/>
        <item x="423"/>
        <item x="1546"/>
        <item x="518"/>
        <item x="1481"/>
        <item x="510"/>
        <item x="1632"/>
        <item x="606"/>
        <item x="1568"/>
        <item x="59"/>
        <item x="598"/>
        <item x="1719"/>
        <item x="691"/>
        <item x="147"/>
        <item x="1654"/>
        <item x="684"/>
        <item x="1807"/>
        <item x="778"/>
        <item x="235"/>
        <item x="1741"/>
        <item x="771"/>
        <item x="863"/>
        <item x="323"/>
        <item x="855"/>
        <item x="949"/>
        <item x="411"/>
        <item x="941"/>
        <item x="498"/>
        <item x="1035"/>
        <item x="586"/>
        <item x="1027"/>
        <item x="1121"/>
        <item x="673"/>
        <item x="1113"/>
        <item x="1207"/>
        <item x="1295"/>
        <item x="759"/>
        <item x="1199"/>
        <item x="1287"/>
        <item x="1382"/>
        <item x="844"/>
        <item x="1374"/>
        <item x="1469"/>
        <item x="930"/>
        <item x="61"/>
        <item x="1461"/>
        <item x="149"/>
        <item x="1556"/>
        <item x="1548"/>
        <item x="237"/>
        <item x="1015"/>
        <item x="1642"/>
        <item x="325"/>
        <item x="1634"/>
        <item x="1101"/>
        <item x="1729"/>
        <item x="413"/>
        <item x="1721"/>
        <item x="1187"/>
        <item x="1817"/>
        <item x="1275"/>
        <item x="500"/>
        <item x="1809"/>
        <item x="1362"/>
        <item x="588"/>
        <item x="1449"/>
        <item x="675"/>
        <item x="1536"/>
        <item x="761"/>
        <item x="1622"/>
        <item x="846"/>
        <item x="1709"/>
        <item x="932"/>
        <item x="1797"/>
        <item x="1017"/>
        <item x="87"/>
        <item x="175"/>
        <item x="1103"/>
        <item x="1189"/>
        <item x="263"/>
        <item x="1277"/>
        <item x="351"/>
        <item x="77"/>
        <item x="1364"/>
        <item x="165"/>
        <item x="439"/>
        <item x="1451"/>
        <item x="253"/>
        <item x="526"/>
        <item x="47"/>
        <item x="1538"/>
        <item x="341"/>
        <item x="135"/>
        <item x="614"/>
        <item x="81"/>
        <item x="429"/>
        <item x="1624"/>
        <item x="223"/>
        <item x="169"/>
        <item x="699"/>
        <item x="516"/>
        <item x="311"/>
        <item x="1711"/>
        <item x="786"/>
        <item x="257"/>
        <item x="15"/>
        <item x="399"/>
        <item x="1799"/>
        <item x="604"/>
        <item x="871"/>
        <item x="103"/>
        <item x="345"/>
        <item x="486"/>
        <item x="689"/>
        <item x="957"/>
        <item x="433"/>
        <item x="191"/>
        <item x="776"/>
        <item x="574"/>
        <item x="279"/>
        <item x="520"/>
        <item x="861"/>
        <item x="662"/>
        <item x="1043"/>
        <item x="367"/>
        <item x="608"/>
        <item x="947"/>
        <item x="747"/>
        <item x="1129"/>
        <item x="455"/>
        <item x="693"/>
        <item x="833"/>
        <item x="1215"/>
        <item x="542"/>
        <item x="780"/>
        <item x="1303"/>
        <item x="1033"/>
        <item x="918"/>
        <item x="67"/>
        <item x="865"/>
        <item x="1390"/>
        <item x="630"/>
        <item x="155"/>
        <item x="1119"/>
        <item x="951"/>
        <item x="1477"/>
        <item x="715"/>
        <item x="1205"/>
        <item x="1003"/>
        <item x="243"/>
        <item x="802"/>
        <item x="1293"/>
        <item x="1564"/>
        <item x="331"/>
        <item x="1090"/>
        <item x="1380"/>
        <item x="1037"/>
        <item x="887"/>
        <item x="419"/>
        <item x="1650"/>
        <item x="1176"/>
        <item x="1467"/>
        <item x="1123"/>
        <item x="1263"/>
        <item x="506"/>
        <item x="1737"/>
        <item x="1554"/>
        <item x="1350"/>
        <item x="973"/>
        <item x="1209"/>
        <item x="1825"/>
        <item x="1297"/>
        <item x="594"/>
        <item x="1437"/>
        <item x="1059"/>
        <item x="1640"/>
        <item x="1384"/>
        <item x="680"/>
        <item x="1524"/>
        <item x="1145"/>
        <item x="11"/>
        <item x="1727"/>
        <item x="1471"/>
        <item x="1231"/>
        <item x="99"/>
        <item x="767"/>
        <item x="1815"/>
        <item x="1611"/>
        <item x="1319"/>
        <item x="1558"/>
        <item x="851"/>
        <item x="187"/>
        <item x="1697"/>
        <item x="1406"/>
        <item x="937"/>
        <item x="1644"/>
        <item x="275"/>
        <item x="1785"/>
        <item x="1493"/>
        <item x="1731"/>
        <item x="363"/>
        <item x="1023"/>
        <item x="1580"/>
        <item x="1819"/>
        <item x="451"/>
        <item x="1109"/>
        <item x="1666"/>
        <item x="538"/>
        <item x="1195"/>
        <item x="1753"/>
        <item x="626"/>
        <item x="1283"/>
        <item x="1370"/>
        <item x="711"/>
        <item x="798"/>
        <item x="1457"/>
        <item x="883"/>
        <item x="1544"/>
        <item x="1630"/>
        <item x="969"/>
        <item x="1717"/>
        <item x="1055"/>
        <item x="1805"/>
        <item x="1141"/>
        <item x="1227"/>
        <item x="1315"/>
        <item x="1402"/>
        <item x="1489"/>
        <item x="1576"/>
        <item x="1662"/>
        <item x="1749"/>
        <item x="85"/>
        <item x="173"/>
        <item x="19"/>
        <item x="107"/>
        <item x="261"/>
        <item x="195"/>
        <item x="349"/>
        <item x="283"/>
        <item x="437"/>
        <item x="371"/>
        <item x="524"/>
        <item x="459"/>
        <item x="13"/>
        <item x="612"/>
        <item x="101"/>
        <item x="546"/>
        <item x="697"/>
        <item x="189"/>
        <item x="634"/>
        <item x="784"/>
        <item x="277"/>
        <item x="719"/>
        <item x="869"/>
        <item x="365"/>
        <item x="806"/>
        <item x="65"/>
        <item x="955"/>
        <item x="453"/>
        <item x="153"/>
        <item x="891"/>
        <item x="540"/>
        <item x="241"/>
        <item x="1041"/>
        <item x="329"/>
        <item x="628"/>
        <item x="977"/>
        <item x="1127"/>
        <item x="417"/>
        <item x="713"/>
        <item x="1063"/>
        <item x="1213"/>
        <item x="800"/>
        <item x="504"/>
        <item x="1301"/>
        <item x="1149"/>
        <item x="1235"/>
        <item x="1388"/>
        <item x="885"/>
        <item x="592"/>
        <item x="1323"/>
        <item x="1475"/>
        <item x="678"/>
        <item x="1410"/>
        <item x="1562"/>
        <item x="971"/>
        <item x="765"/>
        <item x="1497"/>
        <item x="1057"/>
        <item x="849"/>
        <item x="1648"/>
        <item x="1584"/>
        <item x="1143"/>
        <item x="935"/>
        <item x="1735"/>
        <item x="1229"/>
        <item x="1670"/>
        <item x="1823"/>
        <item x="1317"/>
        <item x="1757"/>
        <item x="1021"/>
        <item x="1404"/>
        <item x="1107"/>
        <item x="1491"/>
        <item x="1193"/>
        <item x="1578"/>
        <item x="1281"/>
        <item x="1368"/>
        <item x="20"/>
        <item x="1664"/>
        <item x="108"/>
        <item x="1455"/>
        <item x="1751"/>
        <item x="196"/>
        <item x="1542"/>
        <item x="284"/>
        <item x="1628"/>
        <item x="372"/>
        <item x="1715"/>
        <item x="460"/>
        <item x="1803"/>
        <item x="547"/>
        <item x="635"/>
        <item x="24"/>
        <item x="720"/>
        <item x="112"/>
        <item x="807"/>
        <item x="200"/>
        <item x="892"/>
        <item x="288"/>
        <item x="376"/>
        <item x="978"/>
        <item x="464"/>
        <item x="1064"/>
        <item x="27"/>
        <item x="551"/>
        <item x="115"/>
        <item x="1150"/>
        <item x="1236"/>
        <item x="639"/>
        <item x="203"/>
        <item x="1324"/>
        <item x="724"/>
        <item x="291"/>
        <item x="1411"/>
        <item x="811"/>
        <item x="379"/>
        <item x="1498"/>
        <item x="896"/>
        <item x="466"/>
        <item x="1585"/>
        <item x="554"/>
        <item x="982"/>
        <item x="1671"/>
        <item x="642"/>
        <item x="1068"/>
        <item x="1758"/>
        <item x="727"/>
        <item x="1154"/>
        <item x="814"/>
        <item x="1240"/>
        <item x="1328"/>
        <item x="899"/>
        <item x="1415"/>
        <item x="1502"/>
        <item x="985"/>
        <item x="1071"/>
        <item x="1589"/>
        <item x="1157"/>
        <item x="1675"/>
        <item x="1243"/>
        <item x="1762"/>
        <item x="1331"/>
        <item x="1418"/>
        <item x="1505"/>
        <item x="1592"/>
        <item x="1678"/>
        <item x="1765"/>
        <item x="28"/>
        <item x="116"/>
        <item x="204"/>
        <item x="292"/>
        <item x="380"/>
        <item x="467"/>
        <item x="7"/>
        <item x="555"/>
        <item x="95"/>
        <item x="643"/>
        <item x="183"/>
        <item x="728"/>
        <item x="271"/>
        <item x="815"/>
        <item x="359"/>
        <item x="900"/>
        <item x="447"/>
        <item x="534"/>
        <item x="986"/>
        <item x="22"/>
        <item x="622"/>
        <item x="1072"/>
        <item x="110"/>
        <item x="707"/>
        <item x="1158"/>
        <item x="1244"/>
        <item x="198"/>
        <item x="794"/>
        <item x="82"/>
        <item x="1332"/>
        <item x="286"/>
        <item x="879"/>
        <item x="170"/>
        <item x="1419"/>
        <item x="374"/>
        <item x="258"/>
        <item x="1506"/>
        <item x="462"/>
        <item x="965"/>
        <item x="346"/>
        <item x="1593"/>
        <item x="549"/>
        <item x="1051"/>
        <item x="434"/>
        <item x="1679"/>
        <item x="637"/>
        <item x="1137"/>
        <item x="521"/>
        <item x="1223"/>
        <item x="1766"/>
        <item x="722"/>
        <item x="1311"/>
        <item x="609"/>
        <item x="809"/>
        <item x="1398"/>
        <item x="694"/>
        <item x="894"/>
        <item x="1485"/>
        <item x="781"/>
        <item x="866"/>
        <item x="1572"/>
        <item x="980"/>
        <item x="952"/>
        <item x="1658"/>
        <item x="1066"/>
        <item x="1745"/>
        <item x="1152"/>
        <item x="1038"/>
        <item x="1238"/>
        <item x="1326"/>
        <item x="1124"/>
        <item x="1413"/>
        <item x="1210"/>
        <item x="1298"/>
        <item x="1500"/>
        <item x="1385"/>
        <item x="1587"/>
        <item x="1472"/>
        <item x="1673"/>
        <item x="1559"/>
        <item x="1760"/>
        <item x="1645"/>
        <item x="1732"/>
        <item x="1820"/>
        <item x="54"/>
        <item x="142"/>
        <item x="230"/>
        <item x="318"/>
        <item x="406"/>
        <item x="493"/>
        <item x="581"/>
        <item x="668"/>
        <item x="78"/>
        <item x="754"/>
        <item x="62"/>
        <item x="166"/>
        <item x="150"/>
        <item x="839"/>
        <item x="254"/>
        <item x="925"/>
        <item x="238"/>
        <item x="75"/>
        <item x="342"/>
        <item x="163"/>
        <item x="326"/>
        <item x="430"/>
        <item x="414"/>
        <item x="251"/>
        <item x="1010"/>
        <item x="517"/>
        <item x="339"/>
        <item x="501"/>
        <item x="1096"/>
        <item x="605"/>
        <item x="427"/>
        <item x="1182"/>
        <item x="589"/>
        <item x="1270"/>
        <item x="690"/>
        <item x="514"/>
        <item x="676"/>
        <item x="1357"/>
        <item x="777"/>
        <item x="602"/>
        <item x="762"/>
        <item x="1444"/>
        <item x="862"/>
        <item x="847"/>
        <item x="687"/>
        <item x="1531"/>
        <item x="948"/>
        <item x="933"/>
        <item x="774"/>
        <item x="1617"/>
        <item x="859"/>
        <item x="1034"/>
        <item x="1704"/>
        <item x="945"/>
        <item x="1018"/>
        <item x="1120"/>
        <item x="1792"/>
        <item x="1104"/>
        <item x="1206"/>
        <item x="1031"/>
        <item x="1190"/>
        <item x="1294"/>
        <item x="1278"/>
        <item x="1381"/>
        <item x="1117"/>
        <item x="1365"/>
        <item x="1468"/>
        <item x="1203"/>
        <item x="1452"/>
        <item x="1291"/>
        <item x="1555"/>
        <item x="1378"/>
        <item x="1539"/>
        <item x="50"/>
        <item x="138"/>
        <item x="1641"/>
        <item x="1465"/>
        <item x="1625"/>
        <item x="1728"/>
        <item x="1552"/>
        <item x="226"/>
        <item x="1712"/>
        <item x="314"/>
        <item x="1816"/>
        <item x="1638"/>
        <item x="1800"/>
        <item x="402"/>
        <item x="1725"/>
        <item x="489"/>
        <item x="1813"/>
        <item x="72"/>
        <item x="577"/>
        <item x="160"/>
        <item x="17"/>
        <item x="664"/>
        <item x="248"/>
        <item x="105"/>
        <item x="750"/>
        <item x="336"/>
        <item x="193"/>
        <item x="835"/>
        <item x="424"/>
        <item x="281"/>
        <item x="921"/>
        <item x="511"/>
        <item x="369"/>
        <item x="86"/>
        <item x="174"/>
        <item x="599"/>
        <item x="457"/>
        <item x="1006"/>
        <item x="262"/>
        <item x="685"/>
        <item x="80"/>
        <item x="544"/>
        <item x="1092"/>
        <item x="168"/>
        <item x="350"/>
        <item x="772"/>
        <item x="632"/>
        <item x="1178"/>
        <item x="438"/>
        <item x="856"/>
        <item x="256"/>
        <item x="1266"/>
        <item x="34"/>
        <item x="717"/>
        <item x="122"/>
        <item x="344"/>
        <item x="525"/>
        <item x="1353"/>
        <item x="942"/>
        <item x="804"/>
        <item x="432"/>
        <item x="1440"/>
        <item x="210"/>
        <item x="613"/>
        <item x="889"/>
        <item x="298"/>
        <item x="519"/>
        <item x="1527"/>
        <item x="1028"/>
        <item x="698"/>
        <item x="386"/>
        <item x="1114"/>
        <item x="607"/>
        <item x="785"/>
        <item x="1614"/>
        <item x="975"/>
        <item x="473"/>
        <item x="870"/>
        <item x="1200"/>
        <item x="692"/>
        <item x="1700"/>
        <item x="1061"/>
        <item x="1288"/>
        <item x="0"/>
        <item x="956"/>
        <item x="561"/>
        <item x="779"/>
        <item x="1788"/>
        <item x="1375"/>
        <item x="1147"/>
        <item x="88"/>
        <item x="4"/>
        <item x="1233"/>
        <item x="92"/>
        <item x="864"/>
        <item x="649"/>
        <item x="1462"/>
        <item x="1321"/>
        <item x="176"/>
        <item x="950"/>
        <item x="1042"/>
        <item x="734"/>
        <item x="180"/>
        <item x="1549"/>
        <item x="264"/>
        <item x="1408"/>
        <item x="821"/>
        <item x="268"/>
        <item x="1128"/>
        <item x="352"/>
        <item x="1635"/>
        <item x="1495"/>
        <item x="906"/>
        <item x="356"/>
        <item x="1036"/>
        <item x="1214"/>
        <item x="440"/>
        <item x="1302"/>
        <item x="1722"/>
        <item x="1582"/>
        <item x="444"/>
        <item x="1122"/>
        <item x="1389"/>
        <item x="1810"/>
        <item x="527"/>
        <item x="1668"/>
        <item x="990"/>
        <item x="1208"/>
        <item x="531"/>
        <item x="1476"/>
        <item x="1296"/>
        <item x="57"/>
        <item x="615"/>
        <item x="1755"/>
        <item x="1077"/>
        <item x="145"/>
        <item x="619"/>
        <item x="1383"/>
        <item x="1563"/>
        <item x="700"/>
        <item x="1163"/>
        <item x="704"/>
        <item x="1470"/>
        <item x="233"/>
        <item x="1250"/>
        <item x="787"/>
        <item x="1649"/>
        <item x="58"/>
        <item x="791"/>
        <item x="321"/>
        <item x="146"/>
        <item x="1337"/>
        <item x="1557"/>
        <item x="872"/>
        <item x="1736"/>
        <item x="876"/>
        <item x="409"/>
        <item x="1425"/>
        <item x="234"/>
        <item x="1643"/>
        <item x="1824"/>
        <item x="496"/>
        <item x="322"/>
        <item x="1512"/>
        <item x="958"/>
        <item x="1730"/>
        <item x="962"/>
        <item x="410"/>
        <item x="584"/>
        <item x="1044"/>
        <item x="1598"/>
        <item x="1818"/>
        <item x="1048"/>
        <item x="497"/>
        <item x="671"/>
        <item x="1130"/>
        <item x="1684"/>
        <item x="1216"/>
        <item x="1134"/>
        <item x="44"/>
        <item x="757"/>
        <item x="585"/>
        <item x="1772"/>
        <item x="1220"/>
        <item x="1304"/>
        <item x="132"/>
        <item x="842"/>
        <item x="1308"/>
        <item x="672"/>
        <item x="1391"/>
        <item x="220"/>
        <item x="928"/>
        <item x="1395"/>
        <item x="758"/>
        <item x="68"/>
        <item x="1478"/>
        <item x="308"/>
        <item x="156"/>
        <item x="843"/>
        <item x="1482"/>
        <item x="396"/>
        <item x="1565"/>
        <item x="1013"/>
        <item x="929"/>
        <item x="244"/>
        <item x="1569"/>
        <item x="483"/>
        <item x="1651"/>
        <item x="1099"/>
        <item x="332"/>
        <item x="1655"/>
        <item x="1738"/>
        <item x="571"/>
        <item x="1185"/>
        <item x="420"/>
        <item x="1014"/>
        <item x="1742"/>
        <item x="1273"/>
        <item x="659"/>
        <item x="507"/>
        <item x="1100"/>
        <item x="1360"/>
        <item x="8"/>
        <item x="744"/>
        <item x="1186"/>
        <item x="96"/>
        <item x="1447"/>
        <item x="595"/>
        <item x="1274"/>
        <item x="830"/>
        <item x="1534"/>
        <item x="681"/>
        <item x="1361"/>
        <item x="184"/>
        <item x="52"/>
        <item x="915"/>
        <item x="140"/>
        <item x="272"/>
        <item x="768"/>
        <item x="1448"/>
        <item x="1620"/>
        <item x="852"/>
        <item x="360"/>
        <item x="228"/>
        <item x="1535"/>
        <item x="1707"/>
        <item x="1000"/>
        <item x="938"/>
        <item x="316"/>
        <item x="448"/>
        <item x="1795"/>
        <item x="1621"/>
        <item x="1087"/>
        <item x="404"/>
        <item x="535"/>
        <item x="1708"/>
        <item x="1173"/>
        <item x="1024"/>
        <item x="491"/>
        <item x="1260"/>
        <item x="623"/>
        <item x="1796"/>
        <item x="1347"/>
        <item x="1110"/>
        <item x="579"/>
        <item x="708"/>
        <item x="1434"/>
        <item x="1196"/>
        <item x="795"/>
        <item x="666"/>
        <item x="60"/>
        <item x="1284"/>
        <item x="148"/>
        <item x="1521"/>
        <item x="880"/>
        <item x="1371"/>
        <item x="752"/>
        <item x="837"/>
        <item x="236"/>
        <item x="1608"/>
        <item x="1458"/>
        <item x="324"/>
        <item x="923"/>
        <item x="966"/>
        <item x="1694"/>
        <item x="1545"/>
        <item x="412"/>
        <item x="1052"/>
        <item x="1782"/>
        <item x="30"/>
        <item x="1631"/>
        <item x="499"/>
        <item x="118"/>
        <item x="1008"/>
        <item x="1138"/>
        <item x="66"/>
        <item x="1718"/>
        <item x="1224"/>
        <item x="154"/>
        <item x="1094"/>
        <item x="587"/>
        <item x="206"/>
        <item x="1312"/>
        <item x="1806"/>
        <item x="294"/>
        <item x="1180"/>
        <item x="674"/>
        <item x="242"/>
        <item x="1399"/>
        <item x="1268"/>
        <item x="382"/>
        <item x="330"/>
        <item x="760"/>
        <item x="1355"/>
        <item x="1486"/>
        <item x="845"/>
        <item x="469"/>
        <item x="418"/>
        <item x="1442"/>
        <item x="70"/>
        <item x="1573"/>
        <item x="158"/>
        <item x="931"/>
        <item x="505"/>
        <item x="40"/>
        <item x="557"/>
        <item x="1529"/>
        <item x="128"/>
        <item x="1659"/>
        <item x="246"/>
        <item x="645"/>
        <item x="593"/>
        <item x="1615"/>
        <item x="1746"/>
        <item x="334"/>
        <item x="1016"/>
        <item x="216"/>
        <item x="730"/>
        <item x="679"/>
        <item x="1702"/>
        <item x="304"/>
        <item x="422"/>
        <item x="1102"/>
        <item x="817"/>
        <item x="766"/>
        <item x="1790"/>
        <item x="392"/>
        <item x="509"/>
        <item x="1188"/>
        <item x="902"/>
        <item x="850"/>
        <item x="1276"/>
        <item x="479"/>
        <item x="84"/>
        <item x="936"/>
        <item x="597"/>
        <item x="1363"/>
        <item x="172"/>
        <item x="567"/>
        <item x="987"/>
        <item x="683"/>
        <item x="1450"/>
        <item x="2"/>
        <item x="260"/>
        <item x="90"/>
        <item x="655"/>
        <item x="76"/>
        <item x="1073"/>
        <item x="1022"/>
        <item x="770"/>
        <item x="1537"/>
        <item x="348"/>
        <item x="164"/>
        <item x="854"/>
        <item x="740"/>
        <item x="1159"/>
        <item x="1108"/>
        <item x="178"/>
        <item x="1623"/>
        <item x="436"/>
        <item x="1246"/>
        <item x="827"/>
        <item x="252"/>
        <item x="266"/>
        <item x="940"/>
        <item x="1194"/>
        <item x="1333"/>
        <item x="1710"/>
        <item x="523"/>
        <item x="340"/>
        <item x="1282"/>
        <item x="912"/>
        <item x="354"/>
        <item x="1421"/>
        <item x="1369"/>
        <item x="1798"/>
        <item x="428"/>
        <item x="611"/>
        <item x="1026"/>
        <item x="442"/>
        <item x="1508"/>
        <item x="1456"/>
        <item x="515"/>
        <item x="696"/>
        <item x="996"/>
        <item x="1112"/>
        <item x="529"/>
        <item x="1543"/>
        <item x="1594"/>
        <item x="783"/>
        <item x="1083"/>
        <item x="603"/>
        <item x="1198"/>
        <item x="617"/>
        <item x="1286"/>
        <item x="868"/>
        <item x="1680"/>
        <item x="1629"/>
        <item x="1169"/>
        <item x="688"/>
        <item x="1373"/>
        <item x="702"/>
        <item x="1256"/>
        <item x="954"/>
        <item x="1768"/>
        <item x="1716"/>
        <item x="775"/>
        <item x="789"/>
        <item x="1343"/>
        <item x="1460"/>
        <item x="860"/>
        <item x="1804"/>
        <item x="874"/>
        <item x="1430"/>
        <item x="1547"/>
        <item x="1040"/>
        <item x="38"/>
        <item x="946"/>
        <item x="1517"/>
        <item x="126"/>
        <item x="1633"/>
        <item x="1126"/>
        <item x="960"/>
        <item x="1604"/>
        <item x="214"/>
        <item x="1720"/>
        <item x="1212"/>
        <item x="1032"/>
        <item x="1046"/>
        <item x="1300"/>
        <item x="302"/>
        <item x="1690"/>
        <item x="1808"/>
        <item x="1118"/>
        <item x="1387"/>
        <item x="1132"/>
        <item x="390"/>
        <item x="1778"/>
        <item x="1218"/>
        <item x="1204"/>
        <item x="1474"/>
        <item x="1292"/>
        <item x="477"/>
        <item x="1306"/>
        <item x="1561"/>
        <item x="1379"/>
        <item x="1393"/>
        <item x="565"/>
        <item x="48"/>
        <item x="1466"/>
        <item x="136"/>
        <item x="1647"/>
        <item x="1480"/>
        <item x="653"/>
        <item x="1553"/>
        <item x="1734"/>
        <item x="224"/>
        <item x="738"/>
        <item x="1567"/>
        <item x="32"/>
        <item x="312"/>
        <item x="1822"/>
        <item x="1639"/>
        <item x="825"/>
        <item x="120"/>
        <item x="1653"/>
        <item x="400"/>
        <item x="1726"/>
        <item x="910"/>
        <item x="208"/>
        <item x="1740"/>
        <item x="55"/>
        <item x="487"/>
        <item x="143"/>
        <item x="1814"/>
        <item x="296"/>
        <item x="994"/>
        <item x="384"/>
        <item x="575"/>
        <item x="231"/>
        <item x="319"/>
        <item x="1081"/>
        <item x="471"/>
        <item x="663"/>
        <item x="407"/>
        <item x="1167"/>
        <item x="748"/>
        <item x="559"/>
        <item x="1254"/>
        <item x="834"/>
        <item x="494"/>
        <item x="1341"/>
        <item x="647"/>
        <item x="919"/>
        <item x="582"/>
        <item x="1429"/>
        <item x="732"/>
        <item x="42"/>
        <item x="130"/>
        <item x="819"/>
        <item x="669"/>
        <item x="1516"/>
        <item x="1004"/>
        <item x="904"/>
        <item x="755"/>
        <item x="218"/>
        <item x="1602"/>
        <item x="1091"/>
        <item x="840"/>
        <item x="306"/>
        <item x="1688"/>
        <item x="1177"/>
        <item x="926"/>
        <item x="394"/>
        <item x="988"/>
        <item x="1264"/>
        <item x="1776"/>
        <item x="481"/>
        <item x="1075"/>
        <item x="1351"/>
        <item x="1011"/>
        <item x="1161"/>
        <item x="1438"/>
        <item x="569"/>
        <item x="1248"/>
        <item x="1097"/>
        <item x="1525"/>
        <item x="657"/>
        <item x="1335"/>
        <item x="1183"/>
        <item x="742"/>
        <item x="1423"/>
        <item x="1612"/>
        <item x="1271"/>
        <item x="828"/>
        <item x="1358"/>
        <item x="1510"/>
        <item x="1698"/>
        <item x="913"/>
        <item x="1445"/>
        <item x="1786"/>
        <item x="1596"/>
        <item x="1532"/>
        <item x="1682"/>
        <item x="998"/>
        <item x="1618"/>
        <item x="1770"/>
        <item x="1085"/>
        <item x="1705"/>
        <item x="1171"/>
        <item x="1793"/>
        <item x="1258"/>
        <item x="1345"/>
        <item x="1432"/>
        <item x="1519"/>
        <item x="10"/>
        <item x="98"/>
        <item x="1606"/>
        <item x="186"/>
        <item x="1692"/>
        <item x="64"/>
        <item x="274"/>
        <item x="1780"/>
        <item x="152"/>
        <item x="362"/>
        <item x="240"/>
        <item x="450"/>
        <item x="328"/>
        <item x="537"/>
        <item x="416"/>
        <item x="625"/>
        <item x="503"/>
        <item x="710"/>
        <item x="14"/>
        <item x="591"/>
        <item x="102"/>
        <item x="797"/>
        <item x="677"/>
        <item x="882"/>
        <item x="190"/>
        <item x="764"/>
        <item x="278"/>
        <item x="848"/>
        <item x="366"/>
        <item x="968"/>
        <item x="934"/>
        <item x="454"/>
        <item x="1054"/>
        <item x="1140"/>
        <item x="541"/>
        <item x="1020"/>
        <item x="1226"/>
        <item x="629"/>
        <item x="1314"/>
        <item x="1106"/>
        <item x="714"/>
        <item x="1401"/>
        <item x="1192"/>
        <item x="801"/>
        <item x="1280"/>
        <item x="1488"/>
        <item x="1367"/>
        <item x="886"/>
        <item x="18"/>
        <item x="1575"/>
        <item x="1454"/>
        <item x="106"/>
        <item x="1661"/>
        <item x="1541"/>
        <item x="972"/>
        <item x="194"/>
        <item x="1748"/>
        <item x="1058"/>
        <item x="282"/>
        <item x="1627"/>
        <item x="1144"/>
        <item x="370"/>
        <item x="1714"/>
        <item x="1230"/>
        <item x="458"/>
        <item x="1802"/>
        <item x="1318"/>
        <item x="545"/>
        <item x="1405"/>
        <item x="633"/>
        <item x="1492"/>
        <item x="36"/>
        <item x="718"/>
        <item x="124"/>
        <item x="1579"/>
        <item x="805"/>
        <item x="1665"/>
        <item x="212"/>
        <item x="890"/>
        <item x="300"/>
        <item x="1752"/>
        <item x="388"/>
        <item x="976"/>
        <item x="475"/>
        <item x="1062"/>
        <item x="563"/>
        <item x="1148"/>
        <item x="1234"/>
        <item x="651"/>
        <item x="1322"/>
        <item x="736"/>
        <item x="1409"/>
        <item x="823"/>
        <item x="1496"/>
        <item x="908"/>
        <item x="1583"/>
        <item x="992"/>
        <item x="1669"/>
        <item x="1079"/>
        <item x="1756"/>
        <item x="1165"/>
        <item x="1252"/>
        <item x="1339"/>
        <item x="1427"/>
        <item x="1514"/>
        <item x="1600"/>
        <item x="12"/>
        <item x="100"/>
        <item x="26"/>
        <item x="1686"/>
        <item x="114"/>
        <item x="188"/>
        <item x="1774"/>
        <item x="202"/>
        <item x="276"/>
        <item x="290"/>
        <item x="364"/>
        <item x="378"/>
        <item x="452"/>
        <item x="465"/>
        <item x="539"/>
        <item x="553"/>
        <item x="627"/>
        <item x="641"/>
        <item x="712"/>
        <item x="726"/>
        <item x="799"/>
        <item x="813"/>
        <item x="884"/>
        <item x="898"/>
        <item x="970"/>
        <item x="984"/>
        <item x="1056"/>
        <item x="1070"/>
        <item x="1142"/>
        <item x="1228"/>
        <item x="1156"/>
        <item x="1242"/>
        <item x="1316"/>
        <item x="1330"/>
        <item x="1403"/>
        <item x="74"/>
        <item x="1417"/>
        <item x="1490"/>
        <item x="162"/>
        <item x="46"/>
        <item x="1504"/>
        <item x="134"/>
        <item x="1577"/>
        <item x="250"/>
        <item x="1591"/>
        <item x="338"/>
        <item x="1663"/>
        <item x="222"/>
        <item x="1677"/>
        <item x="426"/>
        <item x="310"/>
        <item x="1750"/>
        <item x="1764"/>
        <item x="513"/>
        <item x="398"/>
        <item x="485"/>
        <item x="601"/>
        <item x="686"/>
        <item x="573"/>
        <item x="773"/>
        <item x="661"/>
        <item x="858"/>
        <item x="746"/>
        <item x="944"/>
        <item x="832"/>
        <item x="917"/>
        <item x="1030"/>
        <item x="1116"/>
        <item x="1002"/>
        <item x="1202"/>
        <item x="1089"/>
        <item x="1290"/>
        <item x="1175"/>
        <item x="1377"/>
        <item x="1262"/>
        <item x="1464"/>
        <item x="1349"/>
        <item x="1551"/>
        <item x="1436"/>
        <item x="1523"/>
        <item x="1637"/>
        <item x="1724"/>
        <item x="1610"/>
        <item x="1812"/>
        <item x="1696"/>
        <item x="1784"/>
        <item x="6"/>
        <item x="94"/>
        <item x="182"/>
        <item x="270"/>
        <item x="358"/>
        <item x="446"/>
        <item x="533"/>
        <item x="621"/>
        <item x="706"/>
        <item x="793"/>
        <item x="878"/>
        <item x="964"/>
        <item x="1050"/>
        <item x="1136"/>
        <item x="1222"/>
        <item x="1310"/>
        <item x="1397"/>
        <item x="1484"/>
        <item x="1571"/>
        <item x="1657"/>
        <item x="1744"/>
        <item x="16"/>
        <item x="104"/>
        <item x="192"/>
        <item x="280"/>
        <item x="368"/>
        <item x="456"/>
        <item x="543"/>
        <item x="631"/>
        <item x="716"/>
        <item x="803"/>
        <item x="888"/>
        <item x="974"/>
        <item x="1060"/>
        <item x="1146"/>
        <item x="1232"/>
        <item x="1320"/>
        <item x="1407"/>
        <item x="1494"/>
        <item x="1581"/>
        <item x="1667"/>
        <item x="1754"/>
        <item t="default"/>
      </items>
    </pivotField>
    <pivotField showAll="0">
      <items count="1673">
        <item x="45"/>
        <item x="791"/>
        <item x="35"/>
        <item x="123"/>
        <item x="208"/>
        <item x="294"/>
        <item x="379"/>
        <item x="55"/>
        <item x="41"/>
        <item x="129"/>
        <item x="214"/>
        <item x="300"/>
        <item x="49"/>
        <item x="136"/>
        <item x="221"/>
        <item x="307"/>
        <item x="391"/>
        <item x="31"/>
        <item x="120"/>
        <item x="205"/>
        <item x="43"/>
        <item x="131"/>
        <item x="216"/>
        <item x="302"/>
        <item x="386"/>
        <item x="471"/>
        <item x="550"/>
        <item x="632"/>
        <item x="711"/>
        <item x="789"/>
        <item x="871"/>
        <item x="51"/>
        <item x="138"/>
        <item x="223"/>
        <item x="309"/>
        <item x="393"/>
        <item x="477"/>
        <item x="556"/>
        <item x="1479"/>
        <item x="33"/>
        <item x="59"/>
        <item x="145"/>
        <item x="230"/>
        <item x="316"/>
        <item x="400"/>
        <item x="463"/>
        <item x="484"/>
        <item x="563"/>
        <item x="624"/>
        <item x="644"/>
        <item x="723"/>
        <item x="863"/>
        <item x="802"/>
        <item x="882"/>
        <item x="957"/>
        <item x="1033"/>
        <item x="1168"/>
        <item x="1108"/>
        <item x="39"/>
        <item x="127"/>
        <item x="212"/>
        <item x="298"/>
        <item x="1472"/>
        <item x="383"/>
        <item x="1489"/>
        <item x="468"/>
        <item x="1565"/>
        <item x="547"/>
        <item x="1641"/>
        <item x="629"/>
        <item x="47"/>
        <item x="134"/>
        <item x="786"/>
        <item x="219"/>
        <item x="868"/>
        <item x="305"/>
        <item x="1020"/>
        <item x="389"/>
        <item x="1095"/>
        <item x="1173"/>
        <item x="474"/>
        <item x="1247"/>
        <item x="553"/>
        <item x="1323"/>
        <item x="635"/>
        <item x="1397"/>
        <item x="714"/>
        <item x="1476"/>
        <item x="793"/>
        <item x="53"/>
        <item x="140"/>
        <item x="948"/>
        <item x="225"/>
        <item x="311"/>
        <item x="1178"/>
        <item x="395"/>
        <item x="1252"/>
        <item x="479"/>
        <item x="1328"/>
        <item x="558"/>
        <item x="1402"/>
        <item x="639"/>
        <item x="718"/>
        <item x="1556"/>
        <item x="797"/>
        <item x="1633"/>
        <item x="877"/>
        <item x="75"/>
        <item x="952"/>
        <item x="161"/>
        <item x="1028"/>
        <item x="246"/>
        <item x="1103"/>
        <item x="331"/>
        <item x="1182"/>
        <item x="416"/>
        <item x="1256"/>
        <item x="500"/>
        <item x="579"/>
        <item x="1406"/>
        <item x="659"/>
        <item x="739"/>
        <item x="1560"/>
        <item x="818"/>
        <item x="57"/>
        <item x="1637"/>
        <item x="143"/>
        <item x="972"/>
        <item x="228"/>
        <item x="1048"/>
        <item x="314"/>
        <item x="1123"/>
        <item x="1201"/>
        <item x="398"/>
        <item x="1276"/>
        <item x="482"/>
        <item x="561"/>
        <item x="1426"/>
        <item x="642"/>
        <item x="1503"/>
        <item x="721"/>
        <item x="800"/>
        <item x="880"/>
        <item x="1657"/>
        <item x="955"/>
        <item x="1031"/>
        <item x="1106"/>
        <item x="1185"/>
        <item x="1259"/>
        <item x="37"/>
        <item x="125"/>
        <item x="1334"/>
        <item x="210"/>
        <item x="1409"/>
        <item x="296"/>
        <item x="1487"/>
        <item x="381"/>
        <item x="1563"/>
        <item x="466"/>
        <item x="545"/>
        <item x="627"/>
        <item x="707"/>
        <item x="784"/>
        <item x="866"/>
        <item x="942"/>
        <item x="1018"/>
        <item x="1093"/>
        <item x="1171"/>
        <item x="1245"/>
        <item x="1321"/>
        <item x="65"/>
        <item x="1395"/>
        <item x="151"/>
        <item x="1475"/>
        <item x="236"/>
        <item x="71"/>
        <item x="157"/>
        <item x="1550"/>
        <item x="242"/>
        <item x="406"/>
        <item x="327"/>
        <item x="490"/>
        <item x="412"/>
        <item x="569"/>
        <item x="496"/>
        <item x="650"/>
        <item x="575"/>
        <item x="729"/>
        <item x="73"/>
        <item x="15"/>
        <item x="159"/>
        <item x="808"/>
        <item x="105"/>
        <item x="244"/>
        <item x="735"/>
        <item x="190"/>
        <item x="963"/>
        <item x="329"/>
        <item x="814"/>
        <item x="1039"/>
        <item x="276"/>
        <item x="414"/>
        <item x="1114"/>
        <item x="361"/>
        <item x="1192"/>
        <item x="1045"/>
        <item x="498"/>
        <item x="446"/>
        <item x="1266"/>
        <item x="577"/>
        <item x="1120"/>
        <item x="527"/>
        <item x="1198"/>
        <item x="1341"/>
        <item x="657"/>
        <item x="1272"/>
        <item x="608"/>
        <item x="1416"/>
        <item x="737"/>
        <item x="1347"/>
        <item x="1495"/>
        <item x="688"/>
        <item x="816"/>
        <item x="1422"/>
        <item x="768"/>
        <item x="894"/>
        <item x="1571"/>
        <item x="970"/>
        <item x="848"/>
        <item x="1047"/>
        <item x="924"/>
        <item x="1647"/>
        <item x="999"/>
        <item x="1577"/>
        <item x="1122"/>
        <item x="1200"/>
        <item x="1076"/>
        <item x="1653"/>
        <item x="1152"/>
        <item x="1274"/>
        <item x="1229"/>
        <item x="1349"/>
        <item x="1305"/>
        <item x="1424"/>
        <item x="1376"/>
        <item x="1455"/>
        <item x="1579"/>
        <item x="1532"/>
        <item x="1655"/>
        <item x="1609"/>
        <item x="79"/>
        <item x="165"/>
        <item x="250"/>
        <item x="85"/>
        <item x="335"/>
        <item x="171"/>
        <item x="25"/>
        <item x="5"/>
        <item x="256"/>
        <item x="420"/>
        <item x="95"/>
        <item x="29"/>
        <item x="11"/>
        <item x="341"/>
        <item x="118"/>
        <item x="101"/>
        <item x="286"/>
        <item x="203"/>
        <item x="426"/>
        <item x="266"/>
        <item x="186"/>
        <item x="371"/>
        <item x="290"/>
        <item x="351"/>
        <item x="272"/>
        <item x="21"/>
        <item x="663"/>
        <item x="456"/>
        <item x="375"/>
        <item x="588"/>
        <item x="111"/>
        <item x="357"/>
        <item x="436"/>
        <item x="537"/>
        <item x="743"/>
        <item x="196"/>
        <item x="460"/>
        <item x="442"/>
        <item x="822"/>
        <item x="282"/>
        <item x="618"/>
        <item x="523"/>
        <item x="899"/>
        <item x="749"/>
        <item x="598"/>
        <item x="367"/>
        <item x="698"/>
        <item x="621"/>
        <item x="1052"/>
        <item x="828"/>
        <item x="678"/>
        <item x="604"/>
        <item x="452"/>
        <item x="702"/>
        <item x="1127"/>
        <item x="19"/>
        <item x="759"/>
        <item x="684"/>
        <item x="981"/>
        <item x="533"/>
        <item x="109"/>
        <item x="780"/>
        <item x="838"/>
        <item x="933"/>
        <item x="194"/>
        <item x="914"/>
        <item x="1009"/>
        <item x="861"/>
        <item x="614"/>
        <item x="991"/>
        <item x="844"/>
        <item x="937"/>
        <item x="280"/>
        <item x="1210"/>
        <item x="1085"/>
        <item x="920"/>
        <item x="1013"/>
        <item x="694"/>
        <item x="1067"/>
        <item x="1161"/>
        <item x="996"/>
        <item x="365"/>
        <item x="1285"/>
        <item x="1142"/>
        <item x="1088"/>
        <item x="1430"/>
        <item x="773"/>
        <item x="1239"/>
        <item x="1073"/>
        <item x="1165"/>
        <item x="1358"/>
        <item x="1507"/>
        <item x="450"/>
        <item x="1148"/>
        <item x="854"/>
        <item x="1313"/>
        <item x="929"/>
        <item x="531"/>
        <item x="1295"/>
        <item x="1225"/>
        <item x="1005"/>
        <item x="1584"/>
        <item x="1316"/>
        <item x="1386"/>
        <item x="1513"/>
        <item x="1301"/>
        <item x="1082"/>
        <item x="612"/>
        <item x="1661"/>
        <item x="1465"/>
        <item x="1157"/>
        <item x="1390"/>
        <item x="1445"/>
        <item x="692"/>
        <item x="1590"/>
        <item x="1469"/>
        <item x="1235"/>
        <item x="1541"/>
        <item x="1451"/>
        <item x="13"/>
        <item x="61"/>
        <item x="1667"/>
        <item x="1523"/>
        <item x="103"/>
        <item x="147"/>
        <item x="1619"/>
        <item x="852"/>
        <item x="1545"/>
        <item x="188"/>
        <item x="1600"/>
        <item x="232"/>
        <item x="1382"/>
        <item x="1003"/>
        <item x="1623"/>
        <item x="274"/>
        <item x="318"/>
        <item x="1461"/>
        <item x="1080"/>
        <item x="359"/>
        <item x="402"/>
        <item x="1537"/>
        <item x="1233"/>
        <item x="444"/>
        <item x="486"/>
        <item x="1615"/>
        <item x="525"/>
        <item x="565"/>
        <item x="1380"/>
        <item x="606"/>
        <item x="646"/>
        <item x="1459"/>
        <item x="686"/>
        <item x="725"/>
        <item x="766"/>
        <item x="804"/>
        <item x="1535"/>
        <item x="1"/>
        <item x="846"/>
        <item x="884"/>
        <item x="91"/>
        <item x="1613"/>
        <item x="922"/>
        <item x="959"/>
        <item x="177"/>
        <item x="1035"/>
        <item x="262"/>
        <item x="1110"/>
        <item x="1150"/>
        <item x="1188"/>
        <item x="347"/>
        <item x="81"/>
        <item x="1227"/>
        <item x="1262"/>
        <item x="167"/>
        <item x="63"/>
        <item x="432"/>
        <item x="1303"/>
        <item x="149"/>
        <item x="1337"/>
        <item x="252"/>
        <item x="514"/>
        <item x="234"/>
        <item x="337"/>
        <item x="1374"/>
        <item x="1412"/>
        <item x="77"/>
        <item x="320"/>
        <item x="594"/>
        <item x="1453"/>
        <item x="163"/>
        <item x="1491"/>
        <item x="422"/>
        <item x="248"/>
        <item x="404"/>
        <item x="674"/>
        <item x="505"/>
        <item x="1530"/>
        <item x="1567"/>
        <item x="333"/>
        <item x="755"/>
        <item x="488"/>
        <item x="584"/>
        <item x="1607"/>
        <item x="1643"/>
        <item x="834"/>
        <item x="418"/>
        <item x="567"/>
        <item x="910"/>
        <item x="665"/>
        <item x="987"/>
        <item x="502"/>
        <item x="648"/>
        <item x="745"/>
        <item x="1063"/>
        <item x="581"/>
        <item x="1138"/>
        <item x="727"/>
        <item x="824"/>
        <item x="1216"/>
        <item x="661"/>
        <item x="806"/>
        <item x="901"/>
        <item x="977"/>
        <item x="886"/>
        <item x="1291"/>
        <item x="741"/>
        <item x="1054"/>
        <item x="961"/>
        <item x="1037"/>
        <item x="820"/>
        <item x="1129"/>
        <item x="1364"/>
        <item x="1206"/>
        <item x="897"/>
        <item x="1112"/>
        <item x="1441"/>
        <item x="974"/>
        <item x="1190"/>
        <item x="1281"/>
        <item x="23"/>
        <item x="1050"/>
        <item x="54"/>
        <item x="113"/>
        <item x="1264"/>
        <item x="1519"/>
        <item x="141"/>
        <item x="1125"/>
        <item x="198"/>
        <item x="1203"/>
        <item x="1339"/>
        <item x="226"/>
        <item x="1596"/>
        <item x="1432"/>
        <item x="284"/>
        <item x="1278"/>
        <item x="312"/>
        <item x="1414"/>
        <item x="1509"/>
        <item x="369"/>
        <item x="1352"/>
        <item x="1493"/>
        <item x="396"/>
        <item x="1586"/>
        <item x="454"/>
        <item x="1428"/>
        <item x="480"/>
        <item x="1569"/>
        <item x="535"/>
        <item x="1663"/>
        <item x="1505"/>
        <item x="559"/>
        <item x="1645"/>
        <item x="616"/>
        <item x="1582"/>
        <item x="640"/>
        <item x="696"/>
        <item x="1659"/>
        <item x="719"/>
        <item x="775"/>
        <item x="798"/>
        <item x="856"/>
        <item x="878"/>
        <item x="931"/>
        <item x="17"/>
        <item x="953"/>
        <item x="1007"/>
        <item x="107"/>
        <item x="1029"/>
        <item x="192"/>
        <item x="1104"/>
        <item x="1159"/>
        <item x="1183"/>
        <item x="27"/>
        <item x="278"/>
        <item x="116"/>
        <item x="1237"/>
        <item x="9"/>
        <item x="1257"/>
        <item x="363"/>
        <item x="99"/>
        <item x="201"/>
        <item x="1311"/>
        <item x="184"/>
        <item x="1332"/>
        <item x="288"/>
        <item x="448"/>
        <item x="89"/>
        <item x="1384"/>
        <item x="270"/>
        <item x="175"/>
        <item x="529"/>
        <item x="1407"/>
        <item x="373"/>
        <item x="1463"/>
        <item x="260"/>
        <item x="355"/>
        <item x="1485"/>
        <item x="458"/>
        <item x="610"/>
        <item x="345"/>
        <item x="1539"/>
        <item x="440"/>
        <item x="539"/>
        <item x="3"/>
        <item x="1561"/>
        <item x="690"/>
        <item x="430"/>
        <item x="50"/>
        <item x="93"/>
        <item x="521"/>
        <item x="1617"/>
        <item x="34"/>
        <item x="137"/>
        <item x="1638"/>
        <item x="770"/>
        <item x="179"/>
        <item x="83"/>
        <item x="122"/>
        <item x="512"/>
        <item x="222"/>
        <item x="169"/>
        <item x="850"/>
        <item x="602"/>
        <item x="207"/>
        <item x="264"/>
        <item x="700"/>
        <item x="592"/>
        <item x="926"/>
        <item x="254"/>
        <item x="308"/>
        <item x="1001"/>
        <item x="682"/>
        <item x="293"/>
        <item x="349"/>
        <item x="778"/>
        <item x="339"/>
        <item x="392"/>
        <item x="672"/>
        <item x="1078"/>
        <item x="763"/>
        <item x="859"/>
        <item x="378"/>
        <item x="434"/>
        <item x="1154"/>
        <item x="424"/>
        <item x="935"/>
        <item x="842"/>
        <item x="753"/>
        <item x="476"/>
        <item x="1011"/>
        <item x="516"/>
        <item x="918"/>
        <item x="464"/>
        <item x="1231"/>
        <item x="555"/>
        <item x="507"/>
        <item x="832"/>
        <item x="543"/>
        <item x="1307"/>
        <item x="586"/>
        <item x="908"/>
        <item x="1163"/>
        <item x="596"/>
        <item x="1071"/>
        <item x="985"/>
        <item x="637"/>
        <item x="1146"/>
        <item x="625"/>
        <item x="1061"/>
        <item x="676"/>
        <item x="1378"/>
        <item x="667"/>
        <item x="716"/>
        <item x="69"/>
        <item x="1223"/>
        <item x="1457"/>
        <item x="705"/>
        <item x="1136"/>
        <item x="757"/>
        <item x="155"/>
        <item x="747"/>
        <item x="1214"/>
        <item x="795"/>
        <item x="1299"/>
        <item x="836"/>
        <item x="240"/>
        <item x="782"/>
        <item x="1388"/>
        <item x="875"/>
        <item x="912"/>
        <item x="826"/>
        <item x="1289"/>
        <item x="864"/>
        <item x="950"/>
        <item x="989"/>
        <item x="325"/>
        <item x="1371"/>
        <item x="1467"/>
        <item x="903"/>
        <item x="940"/>
        <item x="1026"/>
        <item x="1611"/>
        <item x="1362"/>
        <item x="1449"/>
        <item x="979"/>
        <item x="1016"/>
        <item x="1065"/>
        <item x="410"/>
        <item x="1056"/>
        <item x="1101"/>
        <item x="1140"/>
        <item x="1543"/>
        <item x="1091"/>
        <item x="1439"/>
        <item x="1180"/>
        <item x="494"/>
        <item x="1527"/>
        <item x="1131"/>
        <item x="1169"/>
        <item x="1218"/>
        <item x="1621"/>
        <item x="1517"/>
        <item x="1208"/>
        <item x="1254"/>
        <item x="573"/>
        <item x="1604"/>
        <item x="1243"/>
        <item x="1293"/>
        <item x="1283"/>
        <item x="1330"/>
        <item x="1594"/>
        <item x="1319"/>
        <item x="654"/>
        <item x="1366"/>
        <item x="1356"/>
        <item x="1671"/>
        <item x="1404"/>
        <item x="1443"/>
        <item x="733"/>
        <item x="1393"/>
        <item x="1483"/>
        <item x="1434"/>
        <item x="1473"/>
        <item x="812"/>
        <item x="1511"/>
        <item x="1521"/>
        <item x="891"/>
        <item x="1558"/>
        <item x="967"/>
        <item x="1548"/>
        <item x="1598"/>
        <item x="1043"/>
        <item x="1588"/>
        <item x="1635"/>
        <item x="1626"/>
        <item x="1118"/>
        <item x="1665"/>
        <item x="1196"/>
        <item x="1270"/>
        <item x="64"/>
        <item x="150"/>
        <item x="1345"/>
        <item x="235"/>
        <item x="1602"/>
        <item x="1420"/>
        <item x="321"/>
        <item x="1499"/>
        <item x="405"/>
        <item x="1575"/>
        <item x="489"/>
        <item x="1649"/>
        <item x="568"/>
        <item x="1651"/>
        <item x="649"/>
        <item x="728"/>
        <item x="84"/>
        <item x="58"/>
        <item x="170"/>
        <item x="144"/>
        <item x="807"/>
        <item x="255"/>
        <item x="229"/>
        <item x="887"/>
        <item x="962"/>
        <item x="340"/>
        <item x="315"/>
        <item x="1038"/>
        <item x="425"/>
        <item x="399"/>
        <item x="1113"/>
        <item x="1191"/>
        <item x="508"/>
        <item x="483"/>
        <item x="1265"/>
        <item x="587"/>
        <item x="562"/>
        <item x="1340"/>
        <item x="668"/>
        <item x="643"/>
        <item x="1415"/>
        <item x="748"/>
        <item x="722"/>
        <item x="1494"/>
        <item x="827"/>
        <item x="801"/>
        <item x="7"/>
        <item x="1570"/>
        <item x="904"/>
        <item x="881"/>
        <item x="97"/>
        <item x="980"/>
        <item x="956"/>
        <item x="1646"/>
        <item x="1057"/>
        <item x="182"/>
        <item x="1032"/>
        <item x="1132"/>
        <item x="30"/>
        <item x="268"/>
        <item x="1107"/>
        <item x="1209"/>
        <item x="119"/>
        <item x="1186"/>
        <item x="353"/>
        <item x="204"/>
        <item x="1284"/>
        <item x="1260"/>
        <item x="291"/>
        <item x="438"/>
        <item x="1357"/>
        <item x="1335"/>
        <item x="519"/>
        <item x="376"/>
        <item x="1435"/>
        <item x="1410"/>
        <item x="1512"/>
        <item x="461"/>
        <item x="600"/>
        <item x="1488"/>
        <item x="541"/>
        <item x="680"/>
        <item x="1589"/>
        <item x="1564"/>
        <item x="761"/>
        <item x="622"/>
        <item x="52"/>
        <item x="1666"/>
        <item x="1640"/>
        <item x="840"/>
        <item x="139"/>
        <item x="703"/>
        <item x="916"/>
        <item x="224"/>
        <item x="87"/>
        <item x="67"/>
        <item x="993"/>
        <item x="173"/>
        <item x="153"/>
        <item x="310"/>
        <item x="1069"/>
        <item x="258"/>
        <item x="238"/>
        <item x="1144"/>
        <item x="938"/>
        <item x="394"/>
        <item x="343"/>
        <item x="323"/>
        <item x="1014"/>
        <item x="1221"/>
        <item x="478"/>
        <item x="428"/>
        <item x="408"/>
        <item x="1089"/>
        <item x="1297"/>
        <item x="1166"/>
        <item x="557"/>
        <item x="510"/>
        <item x="492"/>
        <item x="1242"/>
        <item x="1369"/>
        <item x="590"/>
        <item x="571"/>
        <item x="638"/>
        <item x="1447"/>
        <item x="1317"/>
        <item x="717"/>
        <item x="670"/>
        <item x="652"/>
        <item x="1391"/>
        <item x="1525"/>
        <item x="796"/>
        <item x="751"/>
        <item x="731"/>
        <item x="1470"/>
        <item x="876"/>
        <item x="951"/>
        <item x="830"/>
        <item x="810"/>
        <item x="1027"/>
        <item x="1546"/>
        <item x="906"/>
        <item x="889"/>
        <item x="983"/>
        <item x="965"/>
        <item x="1102"/>
        <item x="1624"/>
        <item x="1059"/>
        <item x="1041"/>
        <item x="1181"/>
        <item x="80"/>
        <item x="1134"/>
        <item x="1116"/>
        <item x="1255"/>
        <item x="166"/>
        <item x="1212"/>
        <item x="1194"/>
        <item x="251"/>
        <item x="1331"/>
        <item x="1287"/>
        <item x="1268"/>
        <item x="336"/>
        <item x="1405"/>
        <item x="1360"/>
        <item x="1343"/>
        <item x="421"/>
        <item x="1484"/>
        <item x="1437"/>
        <item x="1418"/>
        <item x="504"/>
        <item x="1515"/>
        <item x="1497"/>
        <item x="1559"/>
        <item x="583"/>
        <item x="1636"/>
        <item x="1592"/>
        <item x="1573"/>
        <item x="664"/>
        <item x="1669"/>
        <item x="744"/>
        <item x="823"/>
        <item x="900"/>
        <item x="32"/>
        <item x="976"/>
        <item x="121"/>
        <item x="1053"/>
        <item x="206"/>
        <item x="1128"/>
        <item x="292"/>
        <item x="1205"/>
        <item x="377"/>
        <item x="1280"/>
        <item x="44"/>
        <item x="1354"/>
        <item x="462"/>
        <item x="132"/>
        <item x="542"/>
        <item x="217"/>
        <item x="1431"/>
        <item x="303"/>
        <item x="1508"/>
        <item x="623"/>
        <item x="387"/>
        <item x="704"/>
        <item x="1585"/>
        <item x="60"/>
        <item x="472"/>
        <item x="781"/>
        <item x="1662"/>
        <item x="146"/>
        <item x="551"/>
        <item x="862"/>
        <item x="38"/>
        <item x="231"/>
        <item x="939"/>
        <item x="126"/>
        <item x="1015"/>
        <item x="317"/>
        <item x="633"/>
        <item x="211"/>
        <item x="1090"/>
        <item x="56"/>
        <item x="401"/>
        <item x="712"/>
        <item x="297"/>
        <item x="1167"/>
        <item x="142"/>
        <item x="790"/>
        <item x="227"/>
        <item x="382"/>
        <item x="485"/>
        <item x="872"/>
        <item x="564"/>
        <item x="313"/>
        <item x="1318"/>
        <item x="946"/>
        <item x="467"/>
        <item x="1023"/>
        <item x="397"/>
        <item x="546"/>
        <item x="645"/>
        <item x="1392"/>
        <item x="1098"/>
        <item x="74"/>
        <item x="1471"/>
        <item x="62"/>
        <item x="1176"/>
        <item x="481"/>
        <item x="724"/>
        <item x="160"/>
        <item x="628"/>
        <item x="148"/>
        <item x="560"/>
        <item x="245"/>
        <item x="1250"/>
        <item x="803"/>
        <item x="233"/>
        <item x="708"/>
        <item x="1547"/>
        <item x="883"/>
        <item x="330"/>
        <item x="1326"/>
        <item x="319"/>
        <item x="641"/>
        <item x="785"/>
        <item x="1625"/>
        <item x="958"/>
        <item x="1034"/>
        <item x="415"/>
        <item x="867"/>
        <item x="403"/>
        <item x="1400"/>
        <item x="720"/>
        <item x="943"/>
        <item x="1109"/>
        <item x="1480"/>
        <item x="1019"/>
        <item x="499"/>
        <item x="799"/>
        <item x="1187"/>
        <item x="487"/>
        <item x="578"/>
        <item x="879"/>
        <item x="1094"/>
        <item x="566"/>
        <item x="1261"/>
        <item x="1554"/>
        <item x="954"/>
        <item x="1172"/>
        <item x="1030"/>
        <item x="1336"/>
        <item x="658"/>
        <item x="1631"/>
        <item x="1246"/>
        <item x="647"/>
        <item x="1105"/>
        <item x="40"/>
        <item x="738"/>
        <item x="1184"/>
        <item x="1322"/>
        <item x="1411"/>
        <item x="128"/>
        <item x="726"/>
        <item x="1490"/>
        <item x="817"/>
        <item x="213"/>
        <item x="1258"/>
        <item x="805"/>
        <item x="1396"/>
        <item x="88"/>
        <item x="82"/>
        <item x="895"/>
        <item x="174"/>
        <item x="299"/>
        <item x="885"/>
        <item x="1333"/>
        <item x="168"/>
        <item x="971"/>
        <item x="1566"/>
        <item x="960"/>
        <item x="259"/>
        <item x="253"/>
        <item x="384"/>
        <item x="1036"/>
        <item x="1408"/>
        <item x="1642"/>
        <item x="1551"/>
        <item x="344"/>
        <item x="338"/>
        <item x="1111"/>
        <item x="1486"/>
        <item x="469"/>
        <item x="1189"/>
        <item x="1628"/>
        <item x="429"/>
        <item x="423"/>
        <item x="548"/>
        <item x="1275"/>
        <item x="1263"/>
        <item x="1562"/>
        <item x="511"/>
        <item x="506"/>
        <item x="1350"/>
        <item x="630"/>
        <item x="1338"/>
        <item x="1639"/>
        <item x="591"/>
        <item x="585"/>
        <item x="709"/>
        <item x="1425"/>
        <item x="1413"/>
        <item x="671"/>
        <item x="1502"/>
        <item x="666"/>
        <item x="787"/>
        <item x="1492"/>
        <item x="752"/>
        <item x="869"/>
        <item x="746"/>
        <item x="1580"/>
        <item x="944"/>
        <item x="1568"/>
        <item x="831"/>
        <item x="1021"/>
        <item x="825"/>
        <item x="1656"/>
        <item x="907"/>
        <item x="1644"/>
        <item x="902"/>
        <item x="1096"/>
        <item x="20"/>
        <item x="984"/>
        <item x="978"/>
        <item x="1174"/>
        <item x="110"/>
        <item x="1060"/>
        <item x="1055"/>
        <item x="195"/>
        <item x="1248"/>
        <item x="1135"/>
        <item x="1130"/>
        <item x="1213"/>
        <item x="281"/>
        <item x="1207"/>
        <item x="1324"/>
        <item x="1288"/>
        <item x="366"/>
        <item x="1282"/>
        <item x="1398"/>
        <item x="1361"/>
        <item x="1355"/>
        <item x="1477"/>
        <item x="451"/>
        <item x="532"/>
        <item x="1438"/>
        <item x="1433"/>
        <item x="1552"/>
        <item x="1516"/>
        <item x="1510"/>
        <item x="613"/>
        <item x="1629"/>
        <item x="1593"/>
        <item x="693"/>
        <item x="1587"/>
        <item x="1670"/>
        <item x="772"/>
        <item x="1664"/>
        <item x="853"/>
        <item x="24"/>
        <item x="928"/>
        <item x="114"/>
        <item x="1004"/>
        <item x="199"/>
        <item x="1081"/>
        <item x="285"/>
        <item x="1156"/>
        <item x="370"/>
        <item x="1234"/>
        <item x="68"/>
        <item x="48"/>
        <item x="154"/>
        <item x="1309"/>
        <item x="455"/>
        <item x="135"/>
        <item x="239"/>
        <item x="28"/>
        <item x="536"/>
        <item x="220"/>
        <item x="117"/>
        <item x="1381"/>
        <item x="324"/>
        <item x="306"/>
        <item x="202"/>
        <item x="1460"/>
        <item x="617"/>
        <item x="409"/>
        <item x="390"/>
        <item x="289"/>
        <item x="697"/>
        <item x="1536"/>
        <item x="493"/>
        <item x="374"/>
        <item x="475"/>
        <item x="776"/>
        <item x="1614"/>
        <item x="572"/>
        <item x="554"/>
        <item x="857"/>
        <item x="459"/>
        <item x="932"/>
        <item x="540"/>
        <item x="653"/>
        <item x="1008"/>
        <item x="636"/>
        <item x="732"/>
        <item x="1084"/>
        <item x="715"/>
        <item x="620"/>
        <item x="70"/>
        <item x="1160"/>
        <item x="156"/>
        <item x="811"/>
        <item x="794"/>
        <item x="701"/>
        <item x="1238"/>
        <item x="42"/>
        <item x="241"/>
        <item x="890"/>
        <item x="874"/>
        <item x="130"/>
        <item x="966"/>
        <item x="779"/>
        <item x="1312"/>
        <item x="949"/>
        <item x="326"/>
        <item x="1042"/>
        <item x="215"/>
        <item x="1025"/>
        <item x="860"/>
        <item x="936"/>
        <item x="411"/>
        <item x="1117"/>
        <item x="1385"/>
        <item x="301"/>
        <item x="1100"/>
        <item x="1012"/>
        <item x="1195"/>
        <item x="1464"/>
        <item x="1179"/>
        <item x="385"/>
        <item x="495"/>
        <item x="1087"/>
        <item x="1269"/>
        <item x="1253"/>
        <item x="1164"/>
        <item x="574"/>
        <item x="1540"/>
        <item x="470"/>
        <item x="1344"/>
        <item x="1329"/>
        <item x="1241"/>
        <item x="549"/>
        <item x="1618"/>
        <item x="655"/>
        <item x="1419"/>
        <item x="1315"/>
        <item x="1403"/>
        <item x="734"/>
        <item x="1498"/>
        <item x="631"/>
        <item x="1482"/>
        <item x="1389"/>
        <item x="36"/>
        <item x="813"/>
        <item x="710"/>
        <item x="1468"/>
        <item x="124"/>
        <item x="1574"/>
        <item x="892"/>
        <item x="1557"/>
        <item x="788"/>
        <item x="209"/>
        <item x="968"/>
        <item x="1650"/>
        <item x="1044"/>
        <item x="1634"/>
        <item x="870"/>
        <item x="1544"/>
        <item x="295"/>
        <item x="945"/>
        <item x="1119"/>
        <item x="1022"/>
        <item x="1622"/>
        <item x="380"/>
        <item x="1197"/>
        <item x="1097"/>
        <item x="1271"/>
        <item x="1175"/>
        <item x="465"/>
        <item x="544"/>
        <item x="1346"/>
        <item x="4"/>
        <item x="1249"/>
        <item x="94"/>
        <item x="1325"/>
        <item x="1421"/>
        <item x="180"/>
        <item x="626"/>
        <item x="1500"/>
        <item x="265"/>
        <item x="1399"/>
        <item x="706"/>
        <item x="1478"/>
        <item x="350"/>
        <item x="783"/>
        <item x="1576"/>
        <item x="72"/>
        <item x="86"/>
        <item x="865"/>
        <item x="158"/>
        <item x="1652"/>
        <item x="172"/>
        <item x="435"/>
        <item x="1553"/>
        <item x="941"/>
        <item x="243"/>
        <item x="1017"/>
        <item x="257"/>
        <item x="517"/>
        <item x="1630"/>
        <item x="328"/>
        <item x="1092"/>
        <item x="342"/>
        <item x="1170"/>
        <item x="597"/>
        <item x="413"/>
        <item x="427"/>
        <item x="1244"/>
        <item x="22"/>
        <item x="677"/>
        <item x="112"/>
        <item x="497"/>
        <item x="509"/>
        <item x="1320"/>
        <item x="758"/>
        <item x="197"/>
        <item x="576"/>
        <item x="589"/>
        <item x="78"/>
        <item x="837"/>
        <item x="164"/>
        <item x="1394"/>
        <item x="283"/>
        <item x="913"/>
        <item x="990"/>
        <item x="249"/>
        <item x="656"/>
        <item x="1474"/>
        <item x="669"/>
        <item x="368"/>
        <item x="1066"/>
        <item x="334"/>
        <item x="736"/>
        <item x="750"/>
        <item x="1141"/>
        <item x="1549"/>
        <item x="453"/>
        <item x="419"/>
        <item x="815"/>
        <item x="829"/>
        <item x="534"/>
        <item x="1219"/>
        <item x="1627"/>
        <item x="893"/>
        <item x="905"/>
        <item x="503"/>
        <item x="969"/>
        <item x="982"/>
        <item x="1294"/>
        <item x="1046"/>
        <item x="615"/>
        <item x="1058"/>
        <item x="582"/>
        <item x="1367"/>
        <item x="1121"/>
        <item x="695"/>
        <item x="1133"/>
        <item x="1199"/>
        <item x="1211"/>
        <item x="1444"/>
        <item x="662"/>
        <item x="0"/>
        <item x="774"/>
        <item x="90"/>
        <item x="1273"/>
        <item x="1286"/>
        <item x="742"/>
        <item x="855"/>
        <item x="1522"/>
        <item x="176"/>
        <item x="930"/>
        <item x="1348"/>
        <item x="1359"/>
        <item x="821"/>
        <item x="1006"/>
        <item x="1599"/>
        <item x="261"/>
        <item x="898"/>
        <item x="1423"/>
        <item x="1083"/>
        <item x="1436"/>
        <item x="975"/>
        <item x="346"/>
        <item x="1158"/>
        <item x="1051"/>
        <item x="1501"/>
        <item x="1514"/>
        <item x="1236"/>
        <item x="1126"/>
        <item x="431"/>
        <item x="1204"/>
        <item x="1578"/>
        <item x="1591"/>
        <item x="513"/>
        <item x="1310"/>
        <item x="66"/>
        <item x="1279"/>
        <item x="1654"/>
        <item x="1668"/>
        <item x="152"/>
        <item x="1383"/>
        <item x="593"/>
        <item x="1353"/>
        <item x="237"/>
        <item x="1462"/>
        <item x="673"/>
        <item x="322"/>
        <item x="1429"/>
        <item x="754"/>
        <item x="1538"/>
        <item x="1506"/>
        <item x="407"/>
        <item x="833"/>
        <item x="1616"/>
        <item x="909"/>
        <item x="491"/>
        <item x="1583"/>
        <item x="986"/>
        <item x="570"/>
        <item x="1660"/>
        <item x="1062"/>
        <item x="1137"/>
        <item x="651"/>
        <item x="1215"/>
        <item x="730"/>
        <item x="1290"/>
        <item x="26"/>
        <item x="809"/>
        <item x="115"/>
        <item x="1363"/>
        <item x="888"/>
        <item x="200"/>
        <item x="964"/>
        <item x="1440"/>
        <item x="1040"/>
        <item x="287"/>
        <item x="46"/>
        <item x="133"/>
        <item x="1115"/>
        <item x="1518"/>
        <item x="372"/>
        <item x="1193"/>
        <item x="218"/>
        <item x="1595"/>
        <item x="457"/>
        <item x="1267"/>
        <item x="304"/>
        <item x="538"/>
        <item x="1342"/>
        <item x="388"/>
        <item x="8"/>
        <item x="98"/>
        <item x="619"/>
        <item x="1417"/>
        <item x="473"/>
        <item x="183"/>
        <item x="1496"/>
        <item x="552"/>
        <item x="699"/>
        <item x="269"/>
        <item x="777"/>
        <item x="1572"/>
        <item x="634"/>
        <item x="354"/>
        <item x="858"/>
        <item x="934"/>
        <item x="1648"/>
        <item x="713"/>
        <item x="1010"/>
        <item x="439"/>
        <item x="792"/>
        <item x="520"/>
        <item x="1086"/>
        <item x="873"/>
        <item x="1162"/>
        <item x="947"/>
        <item x="1024"/>
        <item x="601"/>
        <item x="1240"/>
        <item x="1099"/>
        <item x="681"/>
        <item x="2"/>
        <item x="1314"/>
        <item x="1177"/>
        <item x="92"/>
        <item x="762"/>
        <item x="178"/>
        <item x="1387"/>
        <item x="1251"/>
        <item x="841"/>
        <item x="1466"/>
        <item x="917"/>
        <item x="263"/>
        <item x="1327"/>
        <item x="994"/>
        <item x="348"/>
        <item x="1542"/>
        <item x="1401"/>
        <item x="1070"/>
        <item x="1145"/>
        <item x="1481"/>
        <item x="433"/>
        <item x="1620"/>
        <item x="1222"/>
        <item x="515"/>
        <item x="1555"/>
        <item x="1298"/>
        <item x="595"/>
        <item x="1632"/>
        <item x="1370"/>
        <item x="675"/>
        <item x="1448"/>
        <item x="756"/>
        <item x="835"/>
        <item x="1526"/>
        <item x="911"/>
        <item x="988"/>
        <item x="1603"/>
        <item x="1064"/>
        <item x="1139"/>
        <item x="1217"/>
        <item x="1292"/>
        <item x="1365"/>
        <item x="76"/>
        <item x="1442"/>
        <item x="162"/>
        <item x="247"/>
        <item x="1520"/>
        <item x="332"/>
        <item x="1597"/>
        <item x="417"/>
        <item x="501"/>
        <item x="580"/>
        <item x="660"/>
        <item x="740"/>
        <item x="819"/>
        <item x="896"/>
        <item x="973"/>
        <item x="1049"/>
        <item x="1124"/>
        <item x="1202"/>
        <item x="1277"/>
        <item x="1351"/>
        <item x="1427"/>
        <item x="1504"/>
        <item x="1581"/>
        <item x="1658"/>
        <item x="10"/>
        <item x="100"/>
        <item x="185"/>
        <item x="271"/>
        <item x="356"/>
        <item x="441"/>
        <item x="522"/>
        <item x="14"/>
        <item x="104"/>
        <item x="189"/>
        <item x="603"/>
        <item x="275"/>
        <item x="683"/>
        <item x="360"/>
        <item x="764"/>
        <item x="843"/>
        <item x="18"/>
        <item x="445"/>
        <item x="919"/>
        <item x="108"/>
        <item x="995"/>
        <item x="526"/>
        <item x="193"/>
        <item x="1072"/>
        <item x="1147"/>
        <item x="279"/>
        <item x="607"/>
        <item x="6"/>
        <item x="1224"/>
        <item x="96"/>
        <item x="364"/>
        <item x="687"/>
        <item x="181"/>
        <item x="1300"/>
        <item x="767"/>
        <item x="449"/>
        <item x="267"/>
        <item x="847"/>
        <item x="530"/>
        <item x="1372"/>
        <item x="923"/>
        <item x="352"/>
        <item x="998"/>
        <item x="1450"/>
        <item x="611"/>
        <item x="1075"/>
        <item x="437"/>
        <item x="1151"/>
        <item x="1528"/>
        <item x="691"/>
        <item x="518"/>
        <item x="1228"/>
        <item x="1605"/>
        <item x="771"/>
        <item x="599"/>
        <item x="851"/>
        <item x="1304"/>
        <item x="927"/>
        <item x="679"/>
        <item x="1002"/>
        <item x="1375"/>
        <item x="760"/>
        <item x="1079"/>
        <item x="1454"/>
        <item x="1155"/>
        <item x="839"/>
        <item x="915"/>
        <item x="1232"/>
        <item x="1531"/>
        <item x="992"/>
        <item x="1308"/>
        <item x="1608"/>
        <item x="1068"/>
        <item x="1143"/>
        <item x="1379"/>
        <item x="1220"/>
        <item x="1458"/>
        <item x="1296"/>
        <item x="1534"/>
        <item x="1368"/>
        <item x="1612"/>
        <item x="1446"/>
        <item x="1524"/>
        <item x="1601"/>
        <item x="12"/>
        <item x="102"/>
        <item x="187"/>
        <item x="273"/>
        <item x="358"/>
        <item x="443"/>
        <item x="524"/>
        <item x="605"/>
        <item x="685"/>
        <item x="765"/>
        <item x="845"/>
        <item x="921"/>
        <item x="997"/>
        <item x="1074"/>
        <item x="1149"/>
        <item x="1226"/>
        <item x="1302"/>
        <item x="1373"/>
        <item x="1452"/>
        <item x="1529"/>
        <item x="1606"/>
        <item x="16"/>
        <item x="106"/>
        <item x="191"/>
        <item x="277"/>
        <item x="362"/>
        <item x="447"/>
        <item x="528"/>
        <item x="609"/>
        <item x="689"/>
        <item x="769"/>
        <item x="849"/>
        <item x="925"/>
        <item x="1000"/>
        <item x="1077"/>
        <item x="1153"/>
        <item x="1230"/>
        <item x="1306"/>
        <item x="1377"/>
        <item x="1456"/>
        <item x="1533"/>
        <item x="1610"/>
        <item t="default"/>
      </items>
    </pivotField>
    <pivotField showAll="0"/>
    <pivotField numFmtId="2" showAll="0"/>
    <pivotField showAll="0" defaultSubtotal="0">
      <items count="6">
        <item sd="0" x="0"/>
        <item sd="0" x="1"/>
        <item sd="0" x="2"/>
        <item sd="0" x="3"/>
        <item sd="0" x="4"/>
        <item sd="0" x="5"/>
      </items>
    </pivotField>
    <pivotField axis="axisRow" showAll="0" defaultSubtotal="0">
      <items count="4">
        <item sd="0" x="0"/>
        <item x="1"/>
        <item x="2"/>
        <item sd="0" x="3"/>
      </items>
    </pivotField>
  </pivotFields>
  <rowFields count="2">
    <field x="10"/>
    <field x="0"/>
  </rowFields>
  <rowItems count="24">
    <i>
      <x v="1"/>
    </i>
    <i r="1">
      <x v="1"/>
    </i>
    <i r="1">
      <x v="2"/>
    </i>
    <i r="1">
      <x v="3"/>
    </i>
    <i r="1">
      <x v="4"/>
    </i>
    <i r="1">
      <x v="5"/>
    </i>
    <i r="1">
      <x v="6"/>
    </i>
    <i r="1">
      <x v="7"/>
    </i>
    <i r="1">
      <x v="8"/>
    </i>
    <i r="1">
      <x v="9"/>
    </i>
    <i r="1">
      <x v="10"/>
    </i>
    <i r="1">
      <x v="11"/>
    </i>
    <i r="1">
      <x v="12"/>
    </i>
    <i>
      <x v="2"/>
    </i>
    <i r="1">
      <x v="1"/>
    </i>
    <i r="1">
      <x v="2"/>
    </i>
    <i r="1">
      <x v="3"/>
    </i>
    <i r="1">
      <x v="4"/>
    </i>
    <i r="1">
      <x v="5"/>
    </i>
    <i r="1">
      <x v="6"/>
    </i>
    <i r="1">
      <x v="7"/>
    </i>
    <i r="1">
      <x v="8"/>
    </i>
    <i r="1">
      <x v="9"/>
    </i>
    <i t="grand">
      <x/>
    </i>
  </rowItems>
  <colFields count="1">
    <field x="4"/>
  </colFields>
  <colItems count="2">
    <i>
      <x v="1"/>
    </i>
    <i t="grand">
      <x/>
    </i>
  </colItems>
  <dataFields count="1">
    <dataField name="Soma de Visitantes" fld="5" baseField="0" baseItem="0"/>
  </dataFields>
  <chartFormats count="2">
    <chartFormat chart="14" format="6" series="1">
      <pivotArea type="data" outline="0" fieldPosition="0">
        <references count="1">
          <reference field="4" count="1" selected="0">
            <x v="0"/>
          </reference>
        </references>
      </pivotArea>
    </chartFormat>
    <chartFormat chart="14" format="7" series="1">
      <pivotArea type="data" outline="0" fieldPosition="0">
        <references count="1">
          <reference field="4" count="1" selected="0">
            <x v="1"/>
          </reference>
        </references>
      </pivotArea>
    </chartFormat>
  </chartFormats>
  <pivotTableStyleInfo name="PivotStyleLight16" showRowHeaders="1" showColHeaders="1" showRowStripes="0" showColStripes="0" showLastColumn="1"/>
  <filters count="1">
    <filter fld="0" type="dateBetween" evalOrder="-1" id="72" name="Mês">
      <autoFilter ref="A1">
        <filterColumn colId="0">
          <customFilters and="1">
            <customFilter operator="greaterThanOrEqual" val="43101"/>
            <customFilter operator="lessThanOrEqual" val="437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ela dinâmica1" cacheId="0" applyNumberFormats="0" applyBorderFormats="0" applyFontFormats="0" applyPatternFormats="0" applyAlignmentFormats="0" applyWidthHeightFormats="1" dataCaption="Valores" updatedVersion="6" minRefreshableVersion="5" useAutoFormatting="1" itemPrintTitles="1" createdVersion="6" indent="0" outline="1" outlineData="1" multipleFieldFilters="0">
  <location ref="A11:E35" firstHeaderRow="0" firstDataRow="1" firstDataCol="1"/>
  <pivotFields count="11">
    <pivotField axis="axisRow"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items count="4">
        <item x="0"/>
        <item h="1" x="1"/>
        <item h="1" x="2"/>
        <item t="default"/>
      </items>
    </pivotField>
    <pivotField showAll="0">
      <items count="6">
        <item h="1" x="0"/>
        <item h="1" x="1"/>
        <item h="1" x="2"/>
        <item x="3"/>
        <item h="1" x="4"/>
        <item t="default"/>
      </items>
    </pivotField>
    <pivotField showAll="0">
      <items count="3">
        <item h="1" x="0"/>
        <item x="1"/>
        <item t="default"/>
      </items>
    </pivotField>
    <pivotField dataField="1" showAll="0"/>
    <pivotField dataField="1" showAll="0"/>
    <pivotField dataField="1" showAll="0"/>
    <pivotField dataField="1" numFmtId="2" showAll="0"/>
    <pivotField showAll="0" defaultSubtotal="0">
      <items count="6">
        <item sd="0" x="0"/>
        <item sd="0" x="1"/>
        <item sd="0" x="2"/>
        <item sd="0" x="3"/>
        <item sd="0" x="4"/>
        <item sd="0" x="5"/>
      </items>
    </pivotField>
    <pivotField axis="axisRow" showAll="0" defaultSubtotal="0">
      <items count="4">
        <item sd="0" x="0"/>
        <item x="1"/>
        <item x="2"/>
        <item sd="0" x="3"/>
      </items>
    </pivotField>
  </pivotFields>
  <rowFields count="2">
    <field x="10"/>
    <field x="0"/>
  </rowFields>
  <rowItems count="24">
    <i>
      <x v="1"/>
    </i>
    <i r="1">
      <x v="1"/>
    </i>
    <i r="1">
      <x v="2"/>
    </i>
    <i r="1">
      <x v="3"/>
    </i>
    <i r="1">
      <x v="4"/>
    </i>
    <i r="1">
      <x v="5"/>
    </i>
    <i r="1">
      <x v="6"/>
    </i>
    <i r="1">
      <x v="7"/>
    </i>
    <i r="1">
      <x v="8"/>
    </i>
    <i r="1">
      <x v="9"/>
    </i>
    <i r="1">
      <x v="10"/>
    </i>
    <i r="1">
      <x v="11"/>
    </i>
    <i r="1">
      <x v="12"/>
    </i>
    <i>
      <x v="2"/>
    </i>
    <i r="1">
      <x v="1"/>
    </i>
    <i r="1">
      <x v="2"/>
    </i>
    <i r="1">
      <x v="3"/>
    </i>
    <i r="1">
      <x v="4"/>
    </i>
    <i r="1">
      <x v="5"/>
    </i>
    <i r="1">
      <x v="6"/>
    </i>
    <i r="1">
      <x v="7"/>
    </i>
    <i r="1">
      <x v="8"/>
    </i>
    <i r="1">
      <x v="9"/>
    </i>
    <i t="grand">
      <x/>
    </i>
  </rowItems>
  <colFields count="1">
    <field x="-2"/>
  </colFields>
  <colItems count="4">
    <i>
      <x/>
    </i>
    <i i="1">
      <x v="1"/>
    </i>
    <i i="2">
      <x v="2"/>
    </i>
    <i i="3">
      <x v="3"/>
    </i>
  </colItems>
  <dataFields count="4">
    <dataField name="Soma de Receita" fld="8" baseField="0" baseItem="0"/>
    <dataField name="Soma de Anúncios aprovados" fld="7" baseField="0" baseItem="0"/>
    <dataField name="Soma de Anunciantes" fld="6" baseField="0" baseItem="0"/>
    <dataField name="Soma de Visitantes" fld="5" baseField="0" baseItem="0"/>
  </dataFields>
  <pivotTableStyleInfo name="PivotStyleLight16" showRowHeaders="1" showColHeaders="1" showRowStripes="0" showColStripes="0" showLastColumn="1"/>
  <filters count="1">
    <filter fld="0" type="dateBetween" evalOrder="-1" id="72" name="Mês">
      <autoFilter ref="A1">
        <filterColumn colId="0">
          <customFilters and="1">
            <customFilter operator="greaterThanOrEqual" val="43101"/>
            <customFilter operator="lessThanOrEqual" val="437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ela dinâmica7" cacheId="0" applyNumberFormats="0" applyBorderFormats="0" applyFontFormats="0" applyPatternFormats="0" applyAlignmentFormats="0" applyWidthHeightFormats="1" dataCaption="Valores" updatedVersion="6" minRefreshableVersion="5" useAutoFormatting="1" itemPrintTitles="1" createdVersion="6" indent="0" outline="1" outlineData="1" multipleFieldFilters="0" chartFormat="9">
  <location ref="L11:P36" firstHeaderRow="1" firstDataRow="2" firstDataCol="1"/>
  <pivotFields count="11">
    <pivotField axis="axisRow" numFmtId="164" showAll="0">
      <items count="15">
        <item x="0"/>
        <item x="1"/>
        <item x="2"/>
        <item x="3"/>
        <item x="4"/>
        <item x="5"/>
        <item x="6"/>
        <item x="7"/>
        <item x="8"/>
        <item x="9"/>
        <item x="10"/>
        <item x="11"/>
        <item x="12"/>
        <item x="13"/>
        <item t="default"/>
      </items>
    </pivotField>
    <pivotField axis="axisCol" showAll="0">
      <items count="4">
        <item x="0"/>
        <item x="1"/>
        <item x="2"/>
        <item t="default"/>
      </items>
    </pivotField>
    <pivotField showAll="0">
      <items count="4">
        <item x="0"/>
        <item h="1" x="1"/>
        <item h="1" x="2"/>
        <item t="default"/>
      </items>
    </pivotField>
    <pivotField showAll="0">
      <items count="6">
        <item h="1" x="0"/>
        <item h="1" x="1"/>
        <item h="1" x="2"/>
        <item x="3"/>
        <item h="1" x="4"/>
        <item t="default"/>
      </items>
    </pivotField>
    <pivotField showAll="0">
      <items count="3">
        <item h="1" x="0"/>
        <item x="1"/>
        <item t="default"/>
      </items>
    </pivotField>
    <pivotField dataField="1" showAll="0">
      <items count="1827">
        <item x="35"/>
        <item x="123"/>
        <item x="211"/>
        <item x="299"/>
        <item x="387"/>
        <item x="474"/>
        <item x="562"/>
        <item x="650"/>
        <item x="735"/>
        <item x="822"/>
        <item x="907"/>
        <item x="991"/>
        <item x="1078"/>
        <item x="1164"/>
        <item x="1251"/>
        <item x="1338"/>
        <item x="1426"/>
        <item x="1513"/>
        <item x="1599"/>
        <item x="1685"/>
        <item x="1773"/>
        <item x="25"/>
        <item x="113"/>
        <item x="201"/>
        <item x="289"/>
        <item x="377"/>
        <item x="45"/>
        <item x="133"/>
        <item x="552"/>
        <item x="221"/>
        <item x="640"/>
        <item x="309"/>
        <item x="725"/>
        <item x="397"/>
        <item x="812"/>
        <item x="484"/>
        <item x="897"/>
        <item x="572"/>
        <item x="660"/>
        <item x="983"/>
        <item x="745"/>
        <item x="1069"/>
        <item x="831"/>
        <item x="1155"/>
        <item x="1241"/>
        <item x="916"/>
        <item x="21"/>
        <item x="109"/>
        <item x="1329"/>
        <item x="1416"/>
        <item x="197"/>
        <item x="1001"/>
        <item x="285"/>
        <item x="1503"/>
        <item x="1088"/>
        <item x="373"/>
        <item x="1174"/>
        <item x="1590"/>
        <item x="1261"/>
        <item x="461"/>
        <item x="1676"/>
        <item x="1348"/>
        <item x="548"/>
        <item x="1763"/>
        <item x="1435"/>
        <item x="636"/>
        <item x="1522"/>
        <item x="721"/>
        <item x="1609"/>
        <item x="808"/>
        <item x="1695"/>
        <item x="893"/>
        <item x="1783"/>
        <item x="979"/>
        <item x="1065"/>
        <item x="1151"/>
        <item x="1237"/>
        <item x="1325"/>
        <item x="1412"/>
        <item x="1499"/>
        <item x="31"/>
        <item x="1586"/>
        <item x="119"/>
        <item x="1672"/>
        <item x="207"/>
        <item x="1759"/>
        <item x="295"/>
        <item x="383"/>
        <item x="470"/>
        <item x="558"/>
        <item x="646"/>
        <item x="51"/>
        <item x="139"/>
        <item x="731"/>
        <item x="818"/>
        <item x="227"/>
        <item x="315"/>
        <item x="903"/>
        <item x="403"/>
        <item x="490"/>
        <item x="1074"/>
        <item x="578"/>
        <item x="1160"/>
        <item x="665"/>
        <item x="1247"/>
        <item x="751"/>
        <item x="1334"/>
        <item x="836"/>
        <item x="1422"/>
        <item x="922"/>
        <item x="1509"/>
        <item x="41"/>
        <item x="1595"/>
        <item x="129"/>
        <item x="1007"/>
        <item x="1681"/>
        <item x="217"/>
        <item x="1093"/>
        <item x="1769"/>
        <item x="305"/>
        <item x="1179"/>
        <item x="1267"/>
        <item x="393"/>
        <item x="1354"/>
        <item x="480"/>
        <item x="1441"/>
        <item x="568"/>
        <item x="1528"/>
        <item x="656"/>
        <item x="29"/>
        <item x="741"/>
        <item x="117"/>
        <item x="23"/>
        <item x="1701"/>
        <item x="111"/>
        <item x="205"/>
        <item x="1789"/>
        <item x="49"/>
        <item x="199"/>
        <item x="293"/>
        <item x="137"/>
        <item x="287"/>
        <item x="381"/>
        <item x="225"/>
        <item x="997"/>
        <item x="375"/>
        <item x="468"/>
        <item x="313"/>
        <item x="1084"/>
        <item x="463"/>
        <item x="401"/>
        <item x="556"/>
        <item x="1170"/>
        <item x="550"/>
        <item x="1257"/>
        <item x="488"/>
        <item x="644"/>
        <item x="1344"/>
        <item x="638"/>
        <item x="729"/>
        <item x="576"/>
        <item x="1431"/>
        <item x="723"/>
        <item x="816"/>
        <item x="39"/>
        <item x="810"/>
        <item x="1518"/>
        <item x="127"/>
        <item x="901"/>
        <item x="749"/>
        <item x="895"/>
        <item x="1605"/>
        <item x="215"/>
        <item x="303"/>
        <item x="1691"/>
        <item x="920"/>
        <item x="981"/>
        <item x="391"/>
        <item x="1779"/>
        <item x="1067"/>
        <item x="33"/>
        <item x="478"/>
        <item x="1005"/>
        <item x="121"/>
        <item x="1245"/>
        <item x="1153"/>
        <item x="566"/>
        <item x="1239"/>
        <item x="209"/>
        <item x="1327"/>
        <item x="654"/>
        <item x="1420"/>
        <item x="297"/>
        <item x="1265"/>
        <item x="1414"/>
        <item x="739"/>
        <item x="1507"/>
        <item x="385"/>
        <item x="1352"/>
        <item x="826"/>
        <item x="1501"/>
        <item x="472"/>
        <item x="1439"/>
        <item x="911"/>
        <item x="1588"/>
        <item x="1526"/>
        <item x="560"/>
        <item x="1674"/>
        <item x="1767"/>
        <item x="648"/>
        <item x="1613"/>
        <item x="995"/>
        <item x="1761"/>
        <item x="733"/>
        <item x="1699"/>
        <item x="1082"/>
        <item x="820"/>
        <item x="1787"/>
        <item x="1168"/>
        <item x="905"/>
        <item x="1255"/>
        <item x="1342"/>
        <item x="989"/>
        <item x="43"/>
        <item x="131"/>
        <item x="1076"/>
        <item x="1162"/>
        <item x="219"/>
        <item x="1603"/>
        <item x="1249"/>
        <item x="307"/>
        <item x="1689"/>
        <item x="1336"/>
        <item x="395"/>
        <item x="1777"/>
        <item x="1424"/>
        <item x="482"/>
        <item x="53"/>
        <item x="1511"/>
        <item x="141"/>
        <item x="570"/>
        <item x="1597"/>
        <item x="229"/>
        <item x="658"/>
        <item x="1683"/>
        <item x="317"/>
        <item x="743"/>
        <item x="1771"/>
        <item x="405"/>
        <item x="829"/>
        <item x="492"/>
        <item x="914"/>
        <item x="580"/>
        <item x="999"/>
        <item x="667"/>
        <item x="1086"/>
        <item x="753"/>
        <item x="838"/>
        <item x="1172"/>
        <item x="1259"/>
        <item x="924"/>
        <item x="1346"/>
        <item x="1433"/>
        <item x="1009"/>
        <item x="1520"/>
        <item x="1095"/>
        <item x="1607"/>
        <item x="1181"/>
        <item x="1269"/>
        <item x="1693"/>
        <item x="1356"/>
        <item x="1781"/>
        <item x="1443"/>
        <item x="1530"/>
        <item x="1616"/>
        <item x="1703"/>
        <item x="1791"/>
        <item x="56"/>
        <item x="144"/>
        <item x="5"/>
        <item x="232"/>
        <item x="93"/>
        <item x="320"/>
        <item x="73"/>
        <item x="161"/>
        <item x="181"/>
        <item x="408"/>
        <item x="269"/>
        <item x="249"/>
        <item x="495"/>
        <item x="357"/>
        <item x="337"/>
        <item x="583"/>
        <item x="445"/>
        <item x="425"/>
        <item x="670"/>
        <item x="63"/>
        <item x="512"/>
        <item x="532"/>
        <item x="151"/>
        <item x="756"/>
        <item x="620"/>
        <item x="600"/>
        <item x="841"/>
        <item x="239"/>
        <item x="705"/>
        <item x="327"/>
        <item x="927"/>
        <item x="792"/>
        <item x="415"/>
        <item x="877"/>
        <item x="857"/>
        <item x="502"/>
        <item x="1012"/>
        <item x="37"/>
        <item x="943"/>
        <item x="125"/>
        <item x="1098"/>
        <item x="590"/>
        <item x="963"/>
        <item x="1184"/>
        <item x="213"/>
        <item x="1272"/>
        <item x="1049"/>
        <item x="1029"/>
        <item x="301"/>
        <item x="763"/>
        <item x="1359"/>
        <item x="1135"/>
        <item x="1115"/>
        <item x="389"/>
        <item x="1221"/>
        <item x="1446"/>
        <item x="1201"/>
        <item x="1309"/>
        <item x="476"/>
        <item x="1289"/>
        <item x="1533"/>
        <item x="1396"/>
        <item x="1376"/>
        <item x="564"/>
        <item x="1619"/>
        <item x="1483"/>
        <item x="1019"/>
        <item x="1463"/>
        <item x="652"/>
        <item x="1706"/>
        <item x="1105"/>
        <item x="1550"/>
        <item x="1570"/>
        <item x="737"/>
        <item x="1794"/>
        <item x="1191"/>
        <item x="824"/>
        <item x="1656"/>
        <item x="1636"/>
        <item x="1279"/>
        <item x="909"/>
        <item x="1743"/>
        <item x="1366"/>
        <item x="1723"/>
        <item x="1453"/>
        <item x="1811"/>
        <item x="993"/>
        <item x="1540"/>
        <item x="1"/>
        <item x="1080"/>
        <item x="89"/>
        <item x="1626"/>
        <item x="1166"/>
        <item x="177"/>
        <item x="1253"/>
        <item x="1713"/>
        <item x="265"/>
        <item x="1340"/>
        <item x="1801"/>
        <item x="353"/>
        <item x="1428"/>
        <item x="441"/>
        <item x="1515"/>
        <item x="528"/>
        <item x="1601"/>
        <item x="616"/>
        <item x="1687"/>
        <item x="701"/>
        <item x="1775"/>
        <item x="83"/>
        <item x="788"/>
        <item x="171"/>
        <item x="873"/>
        <item x="259"/>
        <item x="347"/>
        <item x="959"/>
        <item x="435"/>
        <item x="1045"/>
        <item x="522"/>
        <item x="1131"/>
        <item x="610"/>
        <item x="1217"/>
        <item x="1305"/>
        <item x="695"/>
        <item x="1392"/>
        <item x="782"/>
        <item x="867"/>
        <item x="1479"/>
        <item x="953"/>
        <item x="1566"/>
        <item x="1652"/>
        <item x="1039"/>
        <item x="1739"/>
        <item x="1125"/>
        <item x="1211"/>
        <item x="9"/>
        <item x="1299"/>
        <item x="97"/>
        <item x="1386"/>
        <item x="185"/>
        <item x="1473"/>
        <item x="273"/>
        <item x="1560"/>
        <item x="69"/>
        <item x="361"/>
        <item x="157"/>
        <item x="3"/>
        <item x="1646"/>
        <item x="449"/>
        <item x="91"/>
        <item x="245"/>
        <item x="1733"/>
        <item x="536"/>
        <item x="333"/>
        <item x="179"/>
        <item x="1821"/>
        <item x="267"/>
        <item x="624"/>
        <item x="421"/>
        <item x="355"/>
        <item x="709"/>
        <item x="508"/>
        <item x="796"/>
        <item x="443"/>
        <item x="596"/>
        <item x="881"/>
        <item x="530"/>
        <item x="682"/>
        <item x="618"/>
        <item x="769"/>
        <item x="967"/>
        <item x="853"/>
        <item x="703"/>
        <item x="1053"/>
        <item x="790"/>
        <item x="939"/>
        <item x="1139"/>
        <item x="875"/>
        <item x="1225"/>
        <item x="1313"/>
        <item x="1025"/>
        <item x="961"/>
        <item x="1400"/>
        <item x="1111"/>
        <item x="79"/>
        <item x="167"/>
        <item x="71"/>
        <item x="1047"/>
        <item x="1487"/>
        <item x="1197"/>
        <item x="159"/>
        <item x="1285"/>
        <item x="255"/>
        <item x="1133"/>
        <item x="1574"/>
        <item x="1372"/>
        <item x="1219"/>
        <item x="247"/>
        <item x="343"/>
        <item x="1307"/>
        <item x="1660"/>
        <item x="335"/>
        <item x="1459"/>
        <item x="431"/>
        <item x="1394"/>
        <item x="1747"/>
        <item x="423"/>
        <item x="1546"/>
        <item x="518"/>
        <item x="1481"/>
        <item x="510"/>
        <item x="1632"/>
        <item x="606"/>
        <item x="1568"/>
        <item x="59"/>
        <item x="598"/>
        <item x="1719"/>
        <item x="691"/>
        <item x="147"/>
        <item x="1654"/>
        <item x="684"/>
        <item x="1807"/>
        <item x="778"/>
        <item x="235"/>
        <item x="1741"/>
        <item x="771"/>
        <item x="863"/>
        <item x="323"/>
        <item x="855"/>
        <item x="949"/>
        <item x="411"/>
        <item x="941"/>
        <item x="498"/>
        <item x="1035"/>
        <item x="586"/>
        <item x="1027"/>
        <item x="1121"/>
        <item x="673"/>
        <item x="1113"/>
        <item x="1207"/>
        <item x="1295"/>
        <item x="759"/>
        <item x="1199"/>
        <item x="1287"/>
        <item x="1382"/>
        <item x="844"/>
        <item x="1374"/>
        <item x="1469"/>
        <item x="930"/>
        <item x="61"/>
        <item x="1461"/>
        <item x="149"/>
        <item x="1556"/>
        <item x="1548"/>
        <item x="237"/>
        <item x="1015"/>
        <item x="1642"/>
        <item x="325"/>
        <item x="1634"/>
        <item x="1101"/>
        <item x="1729"/>
        <item x="413"/>
        <item x="1721"/>
        <item x="1187"/>
        <item x="1817"/>
        <item x="1275"/>
        <item x="500"/>
        <item x="1809"/>
        <item x="1362"/>
        <item x="588"/>
        <item x="1449"/>
        <item x="675"/>
        <item x="1536"/>
        <item x="761"/>
        <item x="1622"/>
        <item x="846"/>
        <item x="1709"/>
        <item x="932"/>
        <item x="1797"/>
        <item x="1017"/>
        <item x="87"/>
        <item x="175"/>
        <item x="1103"/>
        <item x="1189"/>
        <item x="263"/>
        <item x="1277"/>
        <item x="351"/>
        <item x="77"/>
        <item x="1364"/>
        <item x="165"/>
        <item x="439"/>
        <item x="1451"/>
        <item x="253"/>
        <item x="526"/>
        <item x="47"/>
        <item x="1538"/>
        <item x="341"/>
        <item x="135"/>
        <item x="614"/>
        <item x="81"/>
        <item x="429"/>
        <item x="1624"/>
        <item x="223"/>
        <item x="169"/>
        <item x="699"/>
        <item x="516"/>
        <item x="311"/>
        <item x="1711"/>
        <item x="786"/>
        <item x="257"/>
        <item x="15"/>
        <item x="399"/>
        <item x="1799"/>
        <item x="604"/>
        <item x="871"/>
        <item x="103"/>
        <item x="345"/>
        <item x="486"/>
        <item x="689"/>
        <item x="957"/>
        <item x="433"/>
        <item x="191"/>
        <item x="776"/>
        <item x="574"/>
        <item x="279"/>
        <item x="520"/>
        <item x="861"/>
        <item x="662"/>
        <item x="1043"/>
        <item x="367"/>
        <item x="608"/>
        <item x="947"/>
        <item x="747"/>
        <item x="1129"/>
        <item x="455"/>
        <item x="693"/>
        <item x="833"/>
        <item x="1215"/>
        <item x="542"/>
        <item x="780"/>
        <item x="1303"/>
        <item x="1033"/>
        <item x="918"/>
        <item x="67"/>
        <item x="865"/>
        <item x="1390"/>
        <item x="630"/>
        <item x="155"/>
        <item x="1119"/>
        <item x="951"/>
        <item x="1477"/>
        <item x="715"/>
        <item x="1205"/>
        <item x="1003"/>
        <item x="243"/>
        <item x="802"/>
        <item x="1293"/>
        <item x="1564"/>
        <item x="331"/>
        <item x="1090"/>
        <item x="1380"/>
        <item x="1037"/>
        <item x="887"/>
        <item x="419"/>
        <item x="1650"/>
        <item x="1176"/>
        <item x="1467"/>
        <item x="1123"/>
        <item x="1263"/>
        <item x="506"/>
        <item x="1737"/>
        <item x="1554"/>
        <item x="1350"/>
        <item x="973"/>
        <item x="1209"/>
        <item x="1825"/>
        <item x="1297"/>
        <item x="594"/>
        <item x="1437"/>
        <item x="1059"/>
        <item x="1640"/>
        <item x="1384"/>
        <item x="680"/>
        <item x="1524"/>
        <item x="1145"/>
        <item x="11"/>
        <item x="1727"/>
        <item x="1471"/>
        <item x="1231"/>
        <item x="99"/>
        <item x="767"/>
        <item x="1815"/>
        <item x="1611"/>
        <item x="1319"/>
        <item x="1558"/>
        <item x="851"/>
        <item x="187"/>
        <item x="1697"/>
        <item x="1406"/>
        <item x="937"/>
        <item x="1644"/>
        <item x="275"/>
        <item x="1785"/>
        <item x="1493"/>
        <item x="1731"/>
        <item x="363"/>
        <item x="1023"/>
        <item x="1580"/>
        <item x="1819"/>
        <item x="451"/>
        <item x="1109"/>
        <item x="1666"/>
        <item x="538"/>
        <item x="1195"/>
        <item x="1753"/>
        <item x="626"/>
        <item x="1283"/>
        <item x="1370"/>
        <item x="711"/>
        <item x="798"/>
        <item x="1457"/>
        <item x="883"/>
        <item x="1544"/>
        <item x="1630"/>
        <item x="969"/>
        <item x="1717"/>
        <item x="1055"/>
        <item x="1805"/>
        <item x="1141"/>
        <item x="1227"/>
        <item x="1315"/>
        <item x="1402"/>
        <item x="1489"/>
        <item x="1576"/>
        <item x="1662"/>
        <item x="1749"/>
        <item x="85"/>
        <item x="173"/>
        <item x="19"/>
        <item x="107"/>
        <item x="261"/>
        <item x="195"/>
        <item x="349"/>
        <item x="283"/>
        <item x="437"/>
        <item x="371"/>
        <item x="524"/>
        <item x="459"/>
        <item x="13"/>
        <item x="612"/>
        <item x="101"/>
        <item x="546"/>
        <item x="697"/>
        <item x="189"/>
        <item x="634"/>
        <item x="784"/>
        <item x="277"/>
        <item x="719"/>
        <item x="869"/>
        <item x="365"/>
        <item x="806"/>
        <item x="65"/>
        <item x="955"/>
        <item x="453"/>
        <item x="153"/>
        <item x="891"/>
        <item x="540"/>
        <item x="241"/>
        <item x="1041"/>
        <item x="329"/>
        <item x="628"/>
        <item x="977"/>
        <item x="1127"/>
        <item x="417"/>
        <item x="713"/>
        <item x="1063"/>
        <item x="1213"/>
        <item x="800"/>
        <item x="504"/>
        <item x="1301"/>
        <item x="1149"/>
        <item x="1235"/>
        <item x="1388"/>
        <item x="885"/>
        <item x="592"/>
        <item x="1323"/>
        <item x="1475"/>
        <item x="678"/>
        <item x="1410"/>
        <item x="1562"/>
        <item x="971"/>
        <item x="765"/>
        <item x="1497"/>
        <item x="1057"/>
        <item x="849"/>
        <item x="1648"/>
        <item x="1584"/>
        <item x="1143"/>
        <item x="935"/>
        <item x="1735"/>
        <item x="1229"/>
        <item x="1670"/>
        <item x="1823"/>
        <item x="1317"/>
        <item x="1757"/>
        <item x="1021"/>
        <item x="1404"/>
        <item x="1107"/>
        <item x="1491"/>
        <item x="1193"/>
        <item x="1578"/>
        <item x="1281"/>
        <item x="1368"/>
        <item x="20"/>
        <item x="1664"/>
        <item x="108"/>
        <item x="1455"/>
        <item x="1751"/>
        <item x="196"/>
        <item x="1542"/>
        <item x="284"/>
        <item x="1628"/>
        <item x="372"/>
        <item x="1715"/>
        <item x="460"/>
        <item x="1803"/>
        <item x="547"/>
        <item x="635"/>
        <item x="24"/>
        <item x="720"/>
        <item x="112"/>
        <item x="807"/>
        <item x="200"/>
        <item x="892"/>
        <item x="288"/>
        <item x="376"/>
        <item x="978"/>
        <item x="464"/>
        <item x="1064"/>
        <item x="27"/>
        <item x="551"/>
        <item x="115"/>
        <item x="1150"/>
        <item x="1236"/>
        <item x="639"/>
        <item x="203"/>
        <item x="1324"/>
        <item x="724"/>
        <item x="291"/>
        <item x="1411"/>
        <item x="811"/>
        <item x="379"/>
        <item x="1498"/>
        <item x="896"/>
        <item x="466"/>
        <item x="1585"/>
        <item x="554"/>
        <item x="982"/>
        <item x="1671"/>
        <item x="642"/>
        <item x="1068"/>
        <item x="1758"/>
        <item x="727"/>
        <item x="1154"/>
        <item x="814"/>
        <item x="1240"/>
        <item x="1328"/>
        <item x="899"/>
        <item x="1415"/>
        <item x="1502"/>
        <item x="985"/>
        <item x="1071"/>
        <item x="1589"/>
        <item x="1157"/>
        <item x="1675"/>
        <item x="1243"/>
        <item x="1762"/>
        <item x="1331"/>
        <item x="1418"/>
        <item x="1505"/>
        <item x="1592"/>
        <item x="1678"/>
        <item x="1765"/>
        <item x="28"/>
        <item x="116"/>
        <item x="204"/>
        <item x="292"/>
        <item x="380"/>
        <item x="467"/>
        <item x="7"/>
        <item x="555"/>
        <item x="95"/>
        <item x="643"/>
        <item x="183"/>
        <item x="728"/>
        <item x="271"/>
        <item x="815"/>
        <item x="359"/>
        <item x="900"/>
        <item x="447"/>
        <item x="534"/>
        <item x="986"/>
        <item x="22"/>
        <item x="622"/>
        <item x="1072"/>
        <item x="110"/>
        <item x="707"/>
        <item x="1158"/>
        <item x="1244"/>
        <item x="198"/>
        <item x="794"/>
        <item x="82"/>
        <item x="1332"/>
        <item x="286"/>
        <item x="879"/>
        <item x="170"/>
        <item x="1419"/>
        <item x="374"/>
        <item x="258"/>
        <item x="1506"/>
        <item x="462"/>
        <item x="965"/>
        <item x="346"/>
        <item x="1593"/>
        <item x="549"/>
        <item x="1051"/>
        <item x="434"/>
        <item x="1679"/>
        <item x="637"/>
        <item x="1137"/>
        <item x="521"/>
        <item x="1223"/>
        <item x="1766"/>
        <item x="722"/>
        <item x="1311"/>
        <item x="609"/>
        <item x="809"/>
        <item x="1398"/>
        <item x="694"/>
        <item x="894"/>
        <item x="1485"/>
        <item x="781"/>
        <item x="866"/>
        <item x="1572"/>
        <item x="980"/>
        <item x="952"/>
        <item x="1658"/>
        <item x="1066"/>
        <item x="1745"/>
        <item x="1152"/>
        <item x="1038"/>
        <item x="1238"/>
        <item x="1326"/>
        <item x="1124"/>
        <item x="1413"/>
        <item x="1210"/>
        <item x="1298"/>
        <item x="1500"/>
        <item x="1385"/>
        <item x="1587"/>
        <item x="1472"/>
        <item x="1673"/>
        <item x="1559"/>
        <item x="1760"/>
        <item x="1645"/>
        <item x="1732"/>
        <item x="1820"/>
        <item x="54"/>
        <item x="142"/>
        <item x="230"/>
        <item x="318"/>
        <item x="406"/>
        <item x="493"/>
        <item x="581"/>
        <item x="668"/>
        <item x="78"/>
        <item x="754"/>
        <item x="62"/>
        <item x="166"/>
        <item x="150"/>
        <item x="839"/>
        <item x="254"/>
        <item x="925"/>
        <item x="238"/>
        <item x="75"/>
        <item x="342"/>
        <item x="163"/>
        <item x="326"/>
        <item x="430"/>
        <item x="414"/>
        <item x="251"/>
        <item x="1010"/>
        <item x="517"/>
        <item x="339"/>
        <item x="501"/>
        <item x="1096"/>
        <item x="605"/>
        <item x="427"/>
        <item x="1182"/>
        <item x="589"/>
        <item x="1270"/>
        <item x="690"/>
        <item x="514"/>
        <item x="676"/>
        <item x="1357"/>
        <item x="777"/>
        <item x="602"/>
        <item x="762"/>
        <item x="1444"/>
        <item x="862"/>
        <item x="847"/>
        <item x="687"/>
        <item x="1531"/>
        <item x="948"/>
        <item x="933"/>
        <item x="774"/>
        <item x="1617"/>
        <item x="859"/>
        <item x="1034"/>
        <item x="1704"/>
        <item x="945"/>
        <item x="1018"/>
        <item x="1120"/>
        <item x="1792"/>
        <item x="1104"/>
        <item x="1206"/>
        <item x="1031"/>
        <item x="1190"/>
        <item x="1294"/>
        <item x="1278"/>
        <item x="1381"/>
        <item x="1117"/>
        <item x="1365"/>
        <item x="1468"/>
        <item x="1203"/>
        <item x="1452"/>
        <item x="1291"/>
        <item x="1555"/>
        <item x="1378"/>
        <item x="1539"/>
        <item x="50"/>
        <item x="138"/>
        <item x="1641"/>
        <item x="1465"/>
        <item x="1625"/>
        <item x="1728"/>
        <item x="1552"/>
        <item x="226"/>
        <item x="1712"/>
        <item x="314"/>
        <item x="1816"/>
        <item x="1638"/>
        <item x="1800"/>
        <item x="402"/>
        <item x="1725"/>
        <item x="489"/>
        <item x="1813"/>
        <item x="72"/>
        <item x="577"/>
        <item x="160"/>
        <item x="17"/>
        <item x="664"/>
        <item x="248"/>
        <item x="105"/>
        <item x="750"/>
        <item x="336"/>
        <item x="193"/>
        <item x="835"/>
        <item x="424"/>
        <item x="281"/>
        <item x="921"/>
        <item x="511"/>
        <item x="369"/>
        <item x="86"/>
        <item x="174"/>
        <item x="599"/>
        <item x="457"/>
        <item x="1006"/>
        <item x="262"/>
        <item x="685"/>
        <item x="80"/>
        <item x="544"/>
        <item x="1092"/>
        <item x="168"/>
        <item x="350"/>
        <item x="772"/>
        <item x="632"/>
        <item x="1178"/>
        <item x="438"/>
        <item x="856"/>
        <item x="256"/>
        <item x="1266"/>
        <item x="34"/>
        <item x="717"/>
        <item x="122"/>
        <item x="344"/>
        <item x="525"/>
        <item x="1353"/>
        <item x="942"/>
        <item x="804"/>
        <item x="432"/>
        <item x="1440"/>
        <item x="210"/>
        <item x="613"/>
        <item x="889"/>
        <item x="298"/>
        <item x="519"/>
        <item x="1527"/>
        <item x="1028"/>
        <item x="698"/>
        <item x="386"/>
        <item x="1114"/>
        <item x="607"/>
        <item x="785"/>
        <item x="1614"/>
        <item x="975"/>
        <item x="473"/>
        <item x="870"/>
        <item x="1200"/>
        <item x="692"/>
        <item x="1700"/>
        <item x="1061"/>
        <item x="1288"/>
        <item x="0"/>
        <item x="956"/>
        <item x="561"/>
        <item x="779"/>
        <item x="1788"/>
        <item x="1375"/>
        <item x="1147"/>
        <item x="88"/>
        <item x="4"/>
        <item x="1233"/>
        <item x="92"/>
        <item x="864"/>
        <item x="649"/>
        <item x="1462"/>
        <item x="1321"/>
        <item x="176"/>
        <item x="950"/>
        <item x="1042"/>
        <item x="734"/>
        <item x="180"/>
        <item x="1549"/>
        <item x="264"/>
        <item x="1408"/>
        <item x="821"/>
        <item x="268"/>
        <item x="1128"/>
        <item x="352"/>
        <item x="1635"/>
        <item x="1495"/>
        <item x="906"/>
        <item x="356"/>
        <item x="1036"/>
        <item x="1214"/>
        <item x="440"/>
        <item x="1302"/>
        <item x="1722"/>
        <item x="1582"/>
        <item x="444"/>
        <item x="1122"/>
        <item x="1389"/>
        <item x="1810"/>
        <item x="527"/>
        <item x="1668"/>
        <item x="990"/>
        <item x="1208"/>
        <item x="531"/>
        <item x="1476"/>
        <item x="1296"/>
        <item x="57"/>
        <item x="615"/>
        <item x="1755"/>
        <item x="1077"/>
        <item x="145"/>
        <item x="619"/>
        <item x="1383"/>
        <item x="1563"/>
        <item x="700"/>
        <item x="1163"/>
        <item x="704"/>
        <item x="1470"/>
        <item x="233"/>
        <item x="1250"/>
        <item x="787"/>
        <item x="1649"/>
        <item x="58"/>
        <item x="791"/>
        <item x="321"/>
        <item x="146"/>
        <item x="1337"/>
        <item x="1557"/>
        <item x="872"/>
        <item x="1736"/>
        <item x="876"/>
        <item x="409"/>
        <item x="1425"/>
        <item x="234"/>
        <item x="1643"/>
        <item x="1824"/>
        <item x="496"/>
        <item x="322"/>
        <item x="1512"/>
        <item x="958"/>
        <item x="1730"/>
        <item x="962"/>
        <item x="410"/>
        <item x="584"/>
        <item x="1044"/>
        <item x="1598"/>
        <item x="1818"/>
        <item x="1048"/>
        <item x="497"/>
        <item x="671"/>
        <item x="1130"/>
        <item x="1684"/>
        <item x="1216"/>
        <item x="1134"/>
        <item x="44"/>
        <item x="757"/>
        <item x="585"/>
        <item x="1772"/>
        <item x="1220"/>
        <item x="1304"/>
        <item x="132"/>
        <item x="842"/>
        <item x="1308"/>
        <item x="672"/>
        <item x="1391"/>
        <item x="220"/>
        <item x="928"/>
        <item x="1395"/>
        <item x="758"/>
        <item x="68"/>
        <item x="1478"/>
        <item x="308"/>
        <item x="156"/>
        <item x="843"/>
        <item x="1482"/>
        <item x="396"/>
        <item x="1565"/>
        <item x="1013"/>
        <item x="929"/>
        <item x="244"/>
        <item x="1569"/>
        <item x="483"/>
        <item x="1651"/>
        <item x="1099"/>
        <item x="332"/>
        <item x="1655"/>
        <item x="1738"/>
        <item x="571"/>
        <item x="1185"/>
        <item x="420"/>
        <item x="1014"/>
        <item x="1742"/>
        <item x="1273"/>
        <item x="659"/>
        <item x="507"/>
        <item x="1100"/>
        <item x="1360"/>
        <item x="8"/>
        <item x="744"/>
        <item x="1186"/>
        <item x="96"/>
        <item x="1447"/>
        <item x="595"/>
        <item x="1274"/>
        <item x="830"/>
        <item x="1534"/>
        <item x="681"/>
        <item x="1361"/>
        <item x="184"/>
        <item x="52"/>
        <item x="915"/>
        <item x="140"/>
        <item x="272"/>
        <item x="768"/>
        <item x="1448"/>
        <item x="1620"/>
        <item x="852"/>
        <item x="360"/>
        <item x="228"/>
        <item x="1535"/>
        <item x="1707"/>
        <item x="1000"/>
        <item x="938"/>
        <item x="316"/>
        <item x="448"/>
        <item x="1795"/>
        <item x="1621"/>
        <item x="1087"/>
        <item x="404"/>
        <item x="535"/>
        <item x="1708"/>
        <item x="1173"/>
        <item x="1024"/>
        <item x="491"/>
        <item x="1260"/>
        <item x="623"/>
        <item x="1796"/>
        <item x="1347"/>
        <item x="1110"/>
        <item x="579"/>
        <item x="708"/>
        <item x="1434"/>
        <item x="1196"/>
        <item x="795"/>
        <item x="666"/>
        <item x="60"/>
        <item x="1284"/>
        <item x="148"/>
        <item x="1521"/>
        <item x="880"/>
        <item x="1371"/>
        <item x="752"/>
        <item x="837"/>
        <item x="236"/>
        <item x="1608"/>
        <item x="1458"/>
        <item x="324"/>
        <item x="923"/>
        <item x="966"/>
        <item x="1694"/>
        <item x="1545"/>
        <item x="412"/>
        <item x="1052"/>
        <item x="1782"/>
        <item x="30"/>
        <item x="1631"/>
        <item x="499"/>
        <item x="118"/>
        <item x="1008"/>
        <item x="1138"/>
        <item x="66"/>
        <item x="1718"/>
        <item x="1224"/>
        <item x="154"/>
        <item x="1094"/>
        <item x="587"/>
        <item x="206"/>
        <item x="1312"/>
        <item x="1806"/>
        <item x="294"/>
        <item x="1180"/>
        <item x="674"/>
        <item x="242"/>
        <item x="1399"/>
        <item x="1268"/>
        <item x="382"/>
        <item x="330"/>
        <item x="760"/>
        <item x="1355"/>
        <item x="1486"/>
        <item x="845"/>
        <item x="469"/>
        <item x="418"/>
        <item x="1442"/>
        <item x="70"/>
        <item x="1573"/>
        <item x="158"/>
        <item x="931"/>
        <item x="505"/>
        <item x="40"/>
        <item x="557"/>
        <item x="1529"/>
        <item x="128"/>
        <item x="1659"/>
        <item x="246"/>
        <item x="645"/>
        <item x="593"/>
        <item x="1615"/>
        <item x="1746"/>
        <item x="334"/>
        <item x="1016"/>
        <item x="216"/>
        <item x="730"/>
        <item x="679"/>
        <item x="1702"/>
        <item x="304"/>
        <item x="422"/>
        <item x="1102"/>
        <item x="817"/>
        <item x="766"/>
        <item x="1790"/>
        <item x="392"/>
        <item x="509"/>
        <item x="1188"/>
        <item x="902"/>
        <item x="850"/>
        <item x="1276"/>
        <item x="479"/>
        <item x="84"/>
        <item x="936"/>
        <item x="597"/>
        <item x="1363"/>
        <item x="172"/>
        <item x="567"/>
        <item x="987"/>
        <item x="683"/>
        <item x="1450"/>
        <item x="2"/>
        <item x="260"/>
        <item x="90"/>
        <item x="655"/>
        <item x="76"/>
        <item x="1073"/>
        <item x="1022"/>
        <item x="770"/>
        <item x="1537"/>
        <item x="348"/>
        <item x="164"/>
        <item x="854"/>
        <item x="740"/>
        <item x="1159"/>
        <item x="1108"/>
        <item x="178"/>
        <item x="1623"/>
        <item x="436"/>
        <item x="1246"/>
        <item x="827"/>
        <item x="252"/>
        <item x="266"/>
        <item x="940"/>
        <item x="1194"/>
        <item x="1333"/>
        <item x="1710"/>
        <item x="523"/>
        <item x="340"/>
        <item x="1282"/>
        <item x="912"/>
        <item x="354"/>
        <item x="1421"/>
        <item x="1369"/>
        <item x="1798"/>
        <item x="428"/>
        <item x="611"/>
        <item x="1026"/>
        <item x="442"/>
        <item x="1508"/>
        <item x="1456"/>
        <item x="515"/>
        <item x="696"/>
        <item x="996"/>
        <item x="1112"/>
        <item x="529"/>
        <item x="1543"/>
        <item x="1594"/>
        <item x="783"/>
        <item x="1083"/>
        <item x="603"/>
        <item x="1198"/>
        <item x="617"/>
        <item x="1286"/>
        <item x="868"/>
        <item x="1680"/>
        <item x="1629"/>
        <item x="1169"/>
        <item x="688"/>
        <item x="1373"/>
        <item x="702"/>
        <item x="1256"/>
        <item x="954"/>
        <item x="1768"/>
        <item x="1716"/>
        <item x="775"/>
        <item x="789"/>
        <item x="1343"/>
        <item x="1460"/>
        <item x="860"/>
        <item x="1804"/>
        <item x="874"/>
        <item x="1430"/>
        <item x="1547"/>
        <item x="1040"/>
        <item x="38"/>
        <item x="946"/>
        <item x="1517"/>
        <item x="126"/>
        <item x="1633"/>
        <item x="1126"/>
        <item x="960"/>
        <item x="1604"/>
        <item x="214"/>
        <item x="1720"/>
        <item x="1212"/>
        <item x="1032"/>
        <item x="1046"/>
        <item x="1300"/>
        <item x="302"/>
        <item x="1690"/>
        <item x="1808"/>
        <item x="1118"/>
        <item x="1387"/>
        <item x="1132"/>
        <item x="390"/>
        <item x="1778"/>
        <item x="1218"/>
        <item x="1204"/>
        <item x="1474"/>
        <item x="1292"/>
        <item x="477"/>
        <item x="1306"/>
        <item x="1561"/>
        <item x="1379"/>
        <item x="1393"/>
        <item x="565"/>
        <item x="48"/>
        <item x="1466"/>
        <item x="136"/>
        <item x="1647"/>
        <item x="1480"/>
        <item x="653"/>
        <item x="1553"/>
        <item x="1734"/>
        <item x="224"/>
        <item x="738"/>
        <item x="1567"/>
        <item x="32"/>
        <item x="312"/>
        <item x="1822"/>
        <item x="1639"/>
        <item x="825"/>
        <item x="120"/>
        <item x="1653"/>
        <item x="400"/>
        <item x="1726"/>
        <item x="910"/>
        <item x="208"/>
        <item x="1740"/>
        <item x="55"/>
        <item x="487"/>
        <item x="143"/>
        <item x="1814"/>
        <item x="296"/>
        <item x="994"/>
        <item x="384"/>
        <item x="575"/>
        <item x="231"/>
        <item x="319"/>
        <item x="1081"/>
        <item x="471"/>
        <item x="663"/>
        <item x="407"/>
        <item x="1167"/>
        <item x="748"/>
        <item x="559"/>
        <item x="1254"/>
        <item x="834"/>
        <item x="494"/>
        <item x="1341"/>
        <item x="647"/>
        <item x="919"/>
        <item x="582"/>
        <item x="1429"/>
        <item x="732"/>
        <item x="42"/>
        <item x="130"/>
        <item x="819"/>
        <item x="669"/>
        <item x="1516"/>
        <item x="1004"/>
        <item x="904"/>
        <item x="755"/>
        <item x="218"/>
        <item x="1602"/>
        <item x="1091"/>
        <item x="840"/>
        <item x="306"/>
        <item x="1688"/>
        <item x="1177"/>
        <item x="926"/>
        <item x="394"/>
        <item x="988"/>
        <item x="1264"/>
        <item x="1776"/>
        <item x="481"/>
        <item x="1075"/>
        <item x="1351"/>
        <item x="1011"/>
        <item x="1161"/>
        <item x="1438"/>
        <item x="569"/>
        <item x="1248"/>
        <item x="1097"/>
        <item x="1525"/>
        <item x="657"/>
        <item x="1335"/>
        <item x="1183"/>
        <item x="742"/>
        <item x="1423"/>
        <item x="1612"/>
        <item x="1271"/>
        <item x="828"/>
        <item x="1358"/>
        <item x="1510"/>
        <item x="1698"/>
        <item x="913"/>
        <item x="1445"/>
        <item x="1786"/>
        <item x="1596"/>
        <item x="1532"/>
        <item x="1682"/>
        <item x="998"/>
        <item x="1618"/>
        <item x="1770"/>
        <item x="1085"/>
        <item x="1705"/>
        <item x="1171"/>
        <item x="1793"/>
        <item x="1258"/>
        <item x="1345"/>
        <item x="1432"/>
        <item x="1519"/>
        <item x="10"/>
        <item x="98"/>
        <item x="1606"/>
        <item x="186"/>
        <item x="1692"/>
        <item x="64"/>
        <item x="274"/>
        <item x="1780"/>
        <item x="152"/>
        <item x="362"/>
        <item x="240"/>
        <item x="450"/>
        <item x="328"/>
        <item x="537"/>
        <item x="416"/>
        <item x="625"/>
        <item x="503"/>
        <item x="710"/>
        <item x="14"/>
        <item x="591"/>
        <item x="102"/>
        <item x="797"/>
        <item x="677"/>
        <item x="882"/>
        <item x="190"/>
        <item x="764"/>
        <item x="278"/>
        <item x="848"/>
        <item x="366"/>
        <item x="968"/>
        <item x="934"/>
        <item x="454"/>
        <item x="1054"/>
        <item x="1140"/>
        <item x="541"/>
        <item x="1020"/>
        <item x="1226"/>
        <item x="629"/>
        <item x="1314"/>
        <item x="1106"/>
        <item x="714"/>
        <item x="1401"/>
        <item x="1192"/>
        <item x="801"/>
        <item x="1280"/>
        <item x="1488"/>
        <item x="1367"/>
        <item x="886"/>
        <item x="18"/>
        <item x="1575"/>
        <item x="1454"/>
        <item x="106"/>
        <item x="1661"/>
        <item x="1541"/>
        <item x="972"/>
        <item x="194"/>
        <item x="1748"/>
        <item x="1058"/>
        <item x="282"/>
        <item x="1627"/>
        <item x="1144"/>
        <item x="370"/>
        <item x="1714"/>
        <item x="1230"/>
        <item x="458"/>
        <item x="1802"/>
        <item x="1318"/>
        <item x="545"/>
        <item x="1405"/>
        <item x="633"/>
        <item x="1492"/>
        <item x="36"/>
        <item x="718"/>
        <item x="124"/>
        <item x="1579"/>
        <item x="805"/>
        <item x="1665"/>
        <item x="212"/>
        <item x="890"/>
        <item x="300"/>
        <item x="1752"/>
        <item x="388"/>
        <item x="976"/>
        <item x="475"/>
        <item x="1062"/>
        <item x="563"/>
        <item x="1148"/>
        <item x="1234"/>
        <item x="651"/>
        <item x="1322"/>
        <item x="736"/>
        <item x="1409"/>
        <item x="823"/>
        <item x="1496"/>
        <item x="908"/>
        <item x="1583"/>
        <item x="992"/>
        <item x="1669"/>
        <item x="1079"/>
        <item x="1756"/>
        <item x="1165"/>
        <item x="1252"/>
        <item x="1339"/>
        <item x="1427"/>
        <item x="1514"/>
        <item x="1600"/>
        <item x="12"/>
        <item x="100"/>
        <item x="26"/>
        <item x="1686"/>
        <item x="114"/>
        <item x="188"/>
        <item x="1774"/>
        <item x="202"/>
        <item x="276"/>
        <item x="290"/>
        <item x="364"/>
        <item x="378"/>
        <item x="452"/>
        <item x="465"/>
        <item x="539"/>
        <item x="553"/>
        <item x="627"/>
        <item x="641"/>
        <item x="712"/>
        <item x="726"/>
        <item x="799"/>
        <item x="813"/>
        <item x="884"/>
        <item x="898"/>
        <item x="970"/>
        <item x="984"/>
        <item x="1056"/>
        <item x="1070"/>
        <item x="1142"/>
        <item x="1228"/>
        <item x="1156"/>
        <item x="1242"/>
        <item x="1316"/>
        <item x="1330"/>
        <item x="1403"/>
        <item x="74"/>
        <item x="1417"/>
        <item x="1490"/>
        <item x="162"/>
        <item x="46"/>
        <item x="1504"/>
        <item x="134"/>
        <item x="1577"/>
        <item x="250"/>
        <item x="1591"/>
        <item x="338"/>
        <item x="1663"/>
        <item x="222"/>
        <item x="1677"/>
        <item x="426"/>
        <item x="310"/>
        <item x="1750"/>
        <item x="1764"/>
        <item x="513"/>
        <item x="398"/>
        <item x="485"/>
        <item x="601"/>
        <item x="686"/>
        <item x="573"/>
        <item x="773"/>
        <item x="661"/>
        <item x="858"/>
        <item x="746"/>
        <item x="944"/>
        <item x="832"/>
        <item x="917"/>
        <item x="1030"/>
        <item x="1116"/>
        <item x="1002"/>
        <item x="1202"/>
        <item x="1089"/>
        <item x="1290"/>
        <item x="1175"/>
        <item x="1377"/>
        <item x="1262"/>
        <item x="1464"/>
        <item x="1349"/>
        <item x="1551"/>
        <item x="1436"/>
        <item x="1523"/>
        <item x="1637"/>
        <item x="1724"/>
        <item x="1610"/>
        <item x="1812"/>
        <item x="1696"/>
        <item x="1784"/>
        <item x="6"/>
        <item x="94"/>
        <item x="182"/>
        <item x="270"/>
        <item x="358"/>
        <item x="446"/>
        <item x="533"/>
        <item x="621"/>
        <item x="706"/>
        <item x="793"/>
        <item x="878"/>
        <item x="964"/>
        <item x="1050"/>
        <item x="1136"/>
        <item x="1222"/>
        <item x="1310"/>
        <item x="1397"/>
        <item x="1484"/>
        <item x="1571"/>
        <item x="1657"/>
        <item x="1744"/>
        <item x="16"/>
        <item x="104"/>
        <item x="192"/>
        <item x="280"/>
        <item x="368"/>
        <item x="456"/>
        <item x="543"/>
        <item x="631"/>
        <item x="716"/>
        <item x="803"/>
        <item x="888"/>
        <item x="974"/>
        <item x="1060"/>
        <item x="1146"/>
        <item x="1232"/>
        <item x="1320"/>
        <item x="1407"/>
        <item x="1494"/>
        <item x="1581"/>
        <item x="1667"/>
        <item x="1754"/>
        <item t="default"/>
      </items>
    </pivotField>
    <pivotField showAll="0">
      <items count="1673">
        <item x="45"/>
        <item x="791"/>
        <item x="35"/>
        <item x="123"/>
        <item x="208"/>
        <item x="294"/>
        <item x="379"/>
        <item x="55"/>
        <item x="41"/>
        <item x="129"/>
        <item x="214"/>
        <item x="300"/>
        <item x="49"/>
        <item x="136"/>
        <item x="221"/>
        <item x="307"/>
        <item x="391"/>
        <item x="31"/>
        <item x="120"/>
        <item x="205"/>
        <item x="43"/>
        <item x="131"/>
        <item x="216"/>
        <item x="302"/>
        <item x="386"/>
        <item x="471"/>
        <item x="550"/>
        <item x="632"/>
        <item x="711"/>
        <item x="789"/>
        <item x="871"/>
        <item x="51"/>
        <item x="138"/>
        <item x="223"/>
        <item x="309"/>
        <item x="393"/>
        <item x="477"/>
        <item x="556"/>
        <item x="1479"/>
        <item x="33"/>
        <item x="59"/>
        <item x="145"/>
        <item x="230"/>
        <item x="316"/>
        <item x="400"/>
        <item x="463"/>
        <item x="484"/>
        <item x="563"/>
        <item x="624"/>
        <item x="644"/>
        <item x="723"/>
        <item x="863"/>
        <item x="802"/>
        <item x="882"/>
        <item x="957"/>
        <item x="1033"/>
        <item x="1168"/>
        <item x="1108"/>
        <item x="39"/>
        <item x="127"/>
        <item x="212"/>
        <item x="298"/>
        <item x="1472"/>
        <item x="383"/>
        <item x="1489"/>
        <item x="468"/>
        <item x="1565"/>
        <item x="547"/>
        <item x="1641"/>
        <item x="629"/>
        <item x="47"/>
        <item x="134"/>
        <item x="786"/>
        <item x="219"/>
        <item x="868"/>
        <item x="305"/>
        <item x="1020"/>
        <item x="389"/>
        <item x="1095"/>
        <item x="1173"/>
        <item x="474"/>
        <item x="1247"/>
        <item x="553"/>
        <item x="1323"/>
        <item x="635"/>
        <item x="1397"/>
        <item x="714"/>
        <item x="1476"/>
        <item x="793"/>
        <item x="53"/>
        <item x="140"/>
        <item x="948"/>
        <item x="225"/>
        <item x="311"/>
        <item x="1178"/>
        <item x="395"/>
        <item x="1252"/>
        <item x="479"/>
        <item x="1328"/>
        <item x="558"/>
        <item x="1402"/>
        <item x="639"/>
        <item x="718"/>
        <item x="1556"/>
        <item x="797"/>
        <item x="1633"/>
        <item x="877"/>
        <item x="75"/>
        <item x="952"/>
        <item x="161"/>
        <item x="1028"/>
        <item x="246"/>
        <item x="1103"/>
        <item x="331"/>
        <item x="1182"/>
        <item x="416"/>
        <item x="1256"/>
        <item x="500"/>
        <item x="579"/>
        <item x="1406"/>
        <item x="659"/>
        <item x="739"/>
        <item x="1560"/>
        <item x="818"/>
        <item x="57"/>
        <item x="1637"/>
        <item x="143"/>
        <item x="972"/>
        <item x="228"/>
        <item x="1048"/>
        <item x="314"/>
        <item x="1123"/>
        <item x="1201"/>
        <item x="398"/>
        <item x="1276"/>
        <item x="482"/>
        <item x="561"/>
        <item x="1426"/>
        <item x="642"/>
        <item x="1503"/>
        <item x="721"/>
        <item x="800"/>
        <item x="880"/>
        <item x="1657"/>
        <item x="955"/>
        <item x="1031"/>
        <item x="1106"/>
        <item x="1185"/>
        <item x="1259"/>
        <item x="37"/>
        <item x="125"/>
        <item x="1334"/>
        <item x="210"/>
        <item x="1409"/>
        <item x="296"/>
        <item x="1487"/>
        <item x="381"/>
        <item x="1563"/>
        <item x="466"/>
        <item x="545"/>
        <item x="627"/>
        <item x="707"/>
        <item x="784"/>
        <item x="866"/>
        <item x="942"/>
        <item x="1018"/>
        <item x="1093"/>
        <item x="1171"/>
        <item x="1245"/>
        <item x="1321"/>
        <item x="65"/>
        <item x="1395"/>
        <item x="151"/>
        <item x="1475"/>
        <item x="236"/>
        <item x="71"/>
        <item x="157"/>
        <item x="1550"/>
        <item x="242"/>
        <item x="406"/>
        <item x="327"/>
        <item x="490"/>
        <item x="412"/>
        <item x="569"/>
        <item x="496"/>
        <item x="650"/>
        <item x="575"/>
        <item x="729"/>
        <item x="73"/>
        <item x="15"/>
        <item x="159"/>
        <item x="808"/>
        <item x="105"/>
        <item x="244"/>
        <item x="735"/>
        <item x="190"/>
        <item x="963"/>
        <item x="329"/>
        <item x="814"/>
        <item x="1039"/>
        <item x="276"/>
        <item x="414"/>
        <item x="1114"/>
        <item x="361"/>
        <item x="1192"/>
        <item x="1045"/>
        <item x="498"/>
        <item x="446"/>
        <item x="1266"/>
        <item x="577"/>
        <item x="1120"/>
        <item x="527"/>
        <item x="1198"/>
        <item x="1341"/>
        <item x="657"/>
        <item x="1272"/>
        <item x="608"/>
        <item x="1416"/>
        <item x="737"/>
        <item x="1347"/>
        <item x="1495"/>
        <item x="688"/>
        <item x="816"/>
        <item x="1422"/>
        <item x="768"/>
        <item x="894"/>
        <item x="1571"/>
        <item x="970"/>
        <item x="848"/>
        <item x="1047"/>
        <item x="924"/>
        <item x="1647"/>
        <item x="999"/>
        <item x="1577"/>
        <item x="1122"/>
        <item x="1200"/>
        <item x="1076"/>
        <item x="1653"/>
        <item x="1152"/>
        <item x="1274"/>
        <item x="1229"/>
        <item x="1349"/>
        <item x="1305"/>
        <item x="1424"/>
        <item x="1376"/>
        <item x="1455"/>
        <item x="1579"/>
        <item x="1532"/>
        <item x="1655"/>
        <item x="1609"/>
        <item x="79"/>
        <item x="165"/>
        <item x="250"/>
        <item x="85"/>
        <item x="335"/>
        <item x="171"/>
        <item x="25"/>
        <item x="5"/>
        <item x="256"/>
        <item x="420"/>
        <item x="95"/>
        <item x="29"/>
        <item x="11"/>
        <item x="341"/>
        <item x="118"/>
        <item x="101"/>
        <item x="286"/>
        <item x="203"/>
        <item x="426"/>
        <item x="266"/>
        <item x="186"/>
        <item x="371"/>
        <item x="290"/>
        <item x="351"/>
        <item x="272"/>
        <item x="21"/>
        <item x="663"/>
        <item x="456"/>
        <item x="375"/>
        <item x="588"/>
        <item x="111"/>
        <item x="357"/>
        <item x="436"/>
        <item x="537"/>
        <item x="743"/>
        <item x="196"/>
        <item x="460"/>
        <item x="442"/>
        <item x="822"/>
        <item x="282"/>
        <item x="618"/>
        <item x="523"/>
        <item x="899"/>
        <item x="749"/>
        <item x="598"/>
        <item x="367"/>
        <item x="698"/>
        <item x="621"/>
        <item x="1052"/>
        <item x="828"/>
        <item x="678"/>
        <item x="604"/>
        <item x="452"/>
        <item x="702"/>
        <item x="1127"/>
        <item x="19"/>
        <item x="759"/>
        <item x="684"/>
        <item x="981"/>
        <item x="533"/>
        <item x="109"/>
        <item x="780"/>
        <item x="838"/>
        <item x="933"/>
        <item x="194"/>
        <item x="914"/>
        <item x="1009"/>
        <item x="861"/>
        <item x="614"/>
        <item x="991"/>
        <item x="844"/>
        <item x="937"/>
        <item x="280"/>
        <item x="1210"/>
        <item x="1085"/>
        <item x="920"/>
        <item x="1013"/>
        <item x="694"/>
        <item x="1067"/>
        <item x="1161"/>
        <item x="996"/>
        <item x="365"/>
        <item x="1285"/>
        <item x="1142"/>
        <item x="1088"/>
        <item x="1430"/>
        <item x="773"/>
        <item x="1239"/>
        <item x="1073"/>
        <item x="1165"/>
        <item x="1358"/>
        <item x="1507"/>
        <item x="450"/>
        <item x="1148"/>
        <item x="854"/>
        <item x="1313"/>
        <item x="929"/>
        <item x="531"/>
        <item x="1295"/>
        <item x="1225"/>
        <item x="1005"/>
        <item x="1584"/>
        <item x="1316"/>
        <item x="1386"/>
        <item x="1513"/>
        <item x="1301"/>
        <item x="1082"/>
        <item x="612"/>
        <item x="1661"/>
        <item x="1465"/>
        <item x="1157"/>
        <item x="1390"/>
        <item x="1445"/>
        <item x="692"/>
        <item x="1590"/>
        <item x="1469"/>
        <item x="1235"/>
        <item x="1541"/>
        <item x="1451"/>
        <item x="13"/>
        <item x="61"/>
        <item x="1667"/>
        <item x="1523"/>
        <item x="103"/>
        <item x="147"/>
        <item x="1619"/>
        <item x="852"/>
        <item x="1545"/>
        <item x="188"/>
        <item x="1600"/>
        <item x="232"/>
        <item x="1382"/>
        <item x="1003"/>
        <item x="1623"/>
        <item x="274"/>
        <item x="318"/>
        <item x="1461"/>
        <item x="1080"/>
        <item x="359"/>
        <item x="402"/>
        <item x="1537"/>
        <item x="1233"/>
        <item x="444"/>
        <item x="486"/>
        <item x="1615"/>
        <item x="525"/>
        <item x="565"/>
        <item x="1380"/>
        <item x="606"/>
        <item x="646"/>
        <item x="1459"/>
        <item x="686"/>
        <item x="725"/>
        <item x="766"/>
        <item x="804"/>
        <item x="1535"/>
        <item x="1"/>
        <item x="846"/>
        <item x="884"/>
        <item x="91"/>
        <item x="1613"/>
        <item x="922"/>
        <item x="959"/>
        <item x="177"/>
        <item x="1035"/>
        <item x="262"/>
        <item x="1110"/>
        <item x="1150"/>
        <item x="1188"/>
        <item x="347"/>
        <item x="81"/>
        <item x="1227"/>
        <item x="1262"/>
        <item x="167"/>
        <item x="63"/>
        <item x="432"/>
        <item x="1303"/>
        <item x="149"/>
        <item x="1337"/>
        <item x="252"/>
        <item x="514"/>
        <item x="234"/>
        <item x="337"/>
        <item x="1374"/>
        <item x="1412"/>
        <item x="77"/>
        <item x="320"/>
        <item x="594"/>
        <item x="1453"/>
        <item x="163"/>
        <item x="1491"/>
        <item x="422"/>
        <item x="248"/>
        <item x="404"/>
        <item x="674"/>
        <item x="505"/>
        <item x="1530"/>
        <item x="1567"/>
        <item x="333"/>
        <item x="755"/>
        <item x="488"/>
        <item x="584"/>
        <item x="1607"/>
        <item x="1643"/>
        <item x="834"/>
        <item x="418"/>
        <item x="567"/>
        <item x="910"/>
        <item x="665"/>
        <item x="987"/>
        <item x="502"/>
        <item x="648"/>
        <item x="745"/>
        <item x="1063"/>
        <item x="581"/>
        <item x="1138"/>
        <item x="727"/>
        <item x="824"/>
        <item x="1216"/>
        <item x="661"/>
        <item x="806"/>
        <item x="901"/>
        <item x="977"/>
        <item x="886"/>
        <item x="1291"/>
        <item x="741"/>
        <item x="1054"/>
        <item x="961"/>
        <item x="1037"/>
        <item x="820"/>
        <item x="1129"/>
        <item x="1364"/>
        <item x="1206"/>
        <item x="897"/>
        <item x="1112"/>
        <item x="1441"/>
        <item x="974"/>
        <item x="1190"/>
        <item x="1281"/>
        <item x="23"/>
        <item x="1050"/>
        <item x="54"/>
        <item x="113"/>
        <item x="1264"/>
        <item x="1519"/>
        <item x="141"/>
        <item x="1125"/>
        <item x="198"/>
        <item x="1203"/>
        <item x="1339"/>
        <item x="226"/>
        <item x="1596"/>
        <item x="1432"/>
        <item x="284"/>
        <item x="1278"/>
        <item x="312"/>
        <item x="1414"/>
        <item x="1509"/>
        <item x="369"/>
        <item x="1352"/>
        <item x="1493"/>
        <item x="396"/>
        <item x="1586"/>
        <item x="454"/>
        <item x="1428"/>
        <item x="480"/>
        <item x="1569"/>
        <item x="535"/>
        <item x="1663"/>
        <item x="1505"/>
        <item x="559"/>
        <item x="1645"/>
        <item x="616"/>
        <item x="1582"/>
        <item x="640"/>
        <item x="696"/>
        <item x="1659"/>
        <item x="719"/>
        <item x="775"/>
        <item x="798"/>
        <item x="856"/>
        <item x="878"/>
        <item x="931"/>
        <item x="17"/>
        <item x="953"/>
        <item x="1007"/>
        <item x="107"/>
        <item x="1029"/>
        <item x="192"/>
        <item x="1104"/>
        <item x="1159"/>
        <item x="1183"/>
        <item x="27"/>
        <item x="278"/>
        <item x="116"/>
        <item x="1237"/>
        <item x="9"/>
        <item x="1257"/>
        <item x="363"/>
        <item x="99"/>
        <item x="201"/>
        <item x="1311"/>
        <item x="184"/>
        <item x="1332"/>
        <item x="288"/>
        <item x="448"/>
        <item x="89"/>
        <item x="1384"/>
        <item x="270"/>
        <item x="175"/>
        <item x="529"/>
        <item x="1407"/>
        <item x="373"/>
        <item x="1463"/>
        <item x="260"/>
        <item x="355"/>
        <item x="1485"/>
        <item x="458"/>
        <item x="610"/>
        <item x="345"/>
        <item x="1539"/>
        <item x="440"/>
        <item x="539"/>
        <item x="3"/>
        <item x="1561"/>
        <item x="690"/>
        <item x="430"/>
        <item x="50"/>
        <item x="93"/>
        <item x="521"/>
        <item x="1617"/>
        <item x="34"/>
        <item x="137"/>
        <item x="1638"/>
        <item x="770"/>
        <item x="179"/>
        <item x="83"/>
        <item x="122"/>
        <item x="512"/>
        <item x="222"/>
        <item x="169"/>
        <item x="850"/>
        <item x="602"/>
        <item x="207"/>
        <item x="264"/>
        <item x="700"/>
        <item x="592"/>
        <item x="926"/>
        <item x="254"/>
        <item x="308"/>
        <item x="1001"/>
        <item x="682"/>
        <item x="293"/>
        <item x="349"/>
        <item x="778"/>
        <item x="339"/>
        <item x="392"/>
        <item x="672"/>
        <item x="1078"/>
        <item x="763"/>
        <item x="859"/>
        <item x="378"/>
        <item x="434"/>
        <item x="1154"/>
        <item x="424"/>
        <item x="935"/>
        <item x="842"/>
        <item x="753"/>
        <item x="476"/>
        <item x="1011"/>
        <item x="516"/>
        <item x="918"/>
        <item x="464"/>
        <item x="1231"/>
        <item x="555"/>
        <item x="507"/>
        <item x="832"/>
        <item x="543"/>
        <item x="1307"/>
        <item x="586"/>
        <item x="908"/>
        <item x="1163"/>
        <item x="596"/>
        <item x="1071"/>
        <item x="985"/>
        <item x="637"/>
        <item x="1146"/>
        <item x="625"/>
        <item x="1061"/>
        <item x="676"/>
        <item x="1378"/>
        <item x="667"/>
        <item x="716"/>
        <item x="69"/>
        <item x="1223"/>
        <item x="1457"/>
        <item x="705"/>
        <item x="1136"/>
        <item x="757"/>
        <item x="155"/>
        <item x="747"/>
        <item x="1214"/>
        <item x="795"/>
        <item x="1299"/>
        <item x="836"/>
        <item x="240"/>
        <item x="782"/>
        <item x="1388"/>
        <item x="875"/>
        <item x="912"/>
        <item x="826"/>
        <item x="1289"/>
        <item x="864"/>
        <item x="950"/>
        <item x="989"/>
        <item x="325"/>
        <item x="1371"/>
        <item x="1467"/>
        <item x="903"/>
        <item x="940"/>
        <item x="1026"/>
        <item x="1611"/>
        <item x="1362"/>
        <item x="1449"/>
        <item x="979"/>
        <item x="1016"/>
        <item x="1065"/>
        <item x="410"/>
        <item x="1056"/>
        <item x="1101"/>
        <item x="1140"/>
        <item x="1543"/>
        <item x="1091"/>
        <item x="1439"/>
        <item x="1180"/>
        <item x="494"/>
        <item x="1527"/>
        <item x="1131"/>
        <item x="1169"/>
        <item x="1218"/>
        <item x="1621"/>
        <item x="1517"/>
        <item x="1208"/>
        <item x="1254"/>
        <item x="573"/>
        <item x="1604"/>
        <item x="1243"/>
        <item x="1293"/>
        <item x="1283"/>
        <item x="1330"/>
        <item x="1594"/>
        <item x="1319"/>
        <item x="654"/>
        <item x="1366"/>
        <item x="1356"/>
        <item x="1671"/>
        <item x="1404"/>
        <item x="1443"/>
        <item x="733"/>
        <item x="1393"/>
        <item x="1483"/>
        <item x="1434"/>
        <item x="1473"/>
        <item x="812"/>
        <item x="1511"/>
        <item x="1521"/>
        <item x="891"/>
        <item x="1558"/>
        <item x="967"/>
        <item x="1548"/>
        <item x="1598"/>
        <item x="1043"/>
        <item x="1588"/>
        <item x="1635"/>
        <item x="1626"/>
        <item x="1118"/>
        <item x="1665"/>
        <item x="1196"/>
        <item x="1270"/>
        <item x="64"/>
        <item x="150"/>
        <item x="1345"/>
        <item x="235"/>
        <item x="1602"/>
        <item x="1420"/>
        <item x="321"/>
        <item x="1499"/>
        <item x="405"/>
        <item x="1575"/>
        <item x="489"/>
        <item x="1649"/>
        <item x="568"/>
        <item x="1651"/>
        <item x="649"/>
        <item x="728"/>
        <item x="84"/>
        <item x="58"/>
        <item x="170"/>
        <item x="144"/>
        <item x="807"/>
        <item x="255"/>
        <item x="229"/>
        <item x="887"/>
        <item x="962"/>
        <item x="340"/>
        <item x="315"/>
        <item x="1038"/>
        <item x="425"/>
        <item x="399"/>
        <item x="1113"/>
        <item x="1191"/>
        <item x="508"/>
        <item x="483"/>
        <item x="1265"/>
        <item x="587"/>
        <item x="562"/>
        <item x="1340"/>
        <item x="668"/>
        <item x="643"/>
        <item x="1415"/>
        <item x="748"/>
        <item x="722"/>
        <item x="1494"/>
        <item x="827"/>
        <item x="801"/>
        <item x="7"/>
        <item x="1570"/>
        <item x="904"/>
        <item x="881"/>
        <item x="97"/>
        <item x="980"/>
        <item x="956"/>
        <item x="1646"/>
        <item x="1057"/>
        <item x="182"/>
        <item x="1032"/>
        <item x="1132"/>
        <item x="30"/>
        <item x="268"/>
        <item x="1107"/>
        <item x="1209"/>
        <item x="119"/>
        <item x="1186"/>
        <item x="353"/>
        <item x="204"/>
        <item x="1284"/>
        <item x="1260"/>
        <item x="291"/>
        <item x="438"/>
        <item x="1357"/>
        <item x="1335"/>
        <item x="519"/>
        <item x="376"/>
        <item x="1435"/>
        <item x="1410"/>
        <item x="1512"/>
        <item x="461"/>
        <item x="600"/>
        <item x="1488"/>
        <item x="541"/>
        <item x="680"/>
        <item x="1589"/>
        <item x="1564"/>
        <item x="761"/>
        <item x="622"/>
        <item x="52"/>
        <item x="1666"/>
        <item x="1640"/>
        <item x="840"/>
        <item x="139"/>
        <item x="703"/>
        <item x="916"/>
        <item x="224"/>
        <item x="87"/>
        <item x="67"/>
        <item x="993"/>
        <item x="173"/>
        <item x="153"/>
        <item x="310"/>
        <item x="1069"/>
        <item x="258"/>
        <item x="238"/>
        <item x="1144"/>
        <item x="938"/>
        <item x="394"/>
        <item x="343"/>
        <item x="323"/>
        <item x="1014"/>
        <item x="1221"/>
        <item x="478"/>
        <item x="428"/>
        <item x="408"/>
        <item x="1089"/>
        <item x="1297"/>
        <item x="1166"/>
        <item x="557"/>
        <item x="510"/>
        <item x="492"/>
        <item x="1242"/>
        <item x="1369"/>
        <item x="590"/>
        <item x="571"/>
        <item x="638"/>
        <item x="1447"/>
        <item x="1317"/>
        <item x="717"/>
        <item x="670"/>
        <item x="652"/>
        <item x="1391"/>
        <item x="1525"/>
        <item x="796"/>
        <item x="751"/>
        <item x="731"/>
        <item x="1470"/>
        <item x="876"/>
        <item x="951"/>
        <item x="830"/>
        <item x="810"/>
        <item x="1027"/>
        <item x="1546"/>
        <item x="906"/>
        <item x="889"/>
        <item x="983"/>
        <item x="965"/>
        <item x="1102"/>
        <item x="1624"/>
        <item x="1059"/>
        <item x="1041"/>
        <item x="1181"/>
        <item x="80"/>
        <item x="1134"/>
        <item x="1116"/>
        <item x="1255"/>
        <item x="166"/>
        <item x="1212"/>
        <item x="1194"/>
        <item x="251"/>
        <item x="1331"/>
        <item x="1287"/>
        <item x="1268"/>
        <item x="336"/>
        <item x="1405"/>
        <item x="1360"/>
        <item x="1343"/>
        <item x="421"/>
        <item x="1484"/>
        <item x="1437"/>
        <item x="1418"/>
        <item x="504"/>
        <item x="1515"/>
        <item x="1497"/>
        <item x="1559"/>
        <item x="583"/>
        <item x="1636"/>
        <item x="1592"/>
        <item x="1573"/>
        <item x="664"/>
        <item x="1669"/>
        <item x="744"/>
        <item x="823"/>
        <item x="900"/>
        <item x="32"/>
        <item x="976"/>
        <item x="121"/>
        <item x="1053"/>
        <item x="206"/>
        <item x="1128"/>
        <item x="292"/>
        <item x="1205"/>
        <item x="377"/>
        <item x="1280"/>
        <item x="44"/>
        <item x="1354"/>
        <item x="462"/>
        <item x="132"/>
        <item x="542"/>
        <item x="217"/>
        <item x="1431"/>
        <item x="303"/>
        <item x="1508"/>
        <item x="623"/>
        <item x="387"/>
        <item x="704"/>
        <item x="1585"/>
        <item x="60"/>
        <item x="472"/>
        <item x="781"/>
        <item x="1662"/>
        <item x="146"/>
        <item x="551"/>
        <item x="862"/>
        <item x="38"/>
        <item x="231"/>
        <item x="939"/>
        <item x="126"/>
        <item x="1015"/>
        <item x="317"/>
        <item x="633"/>
        <item x="211"/>
        <item x="1090"/>
        <item x="56"/>
        <item x="401"/>
        <item x="712"/>
        <item x="297"/>
        <item x="1167"/>
        <item x="142"/>
        <item x="790"/>
        <item x="227"/>
        <item x="382"/>
        <item x="485"/>
        <item x="872"/>
        <item x="564"/>
        <item x="313"/>
        <item x="1318"/>
        <item x="946"/>
        <item x="467"/>
        <item x="1023"/>
        <item x="397"/>
        <item x="546"/>
        <item x="645"/>
        <item x="1392"/>
        <item x="1098"/>
        <item x="74"/>
        <item x="1471"/>
        <item x="62"/>
        <item x="1176"/>
        <item x="481"/>
        <item x="724"/>
        <item x="160"/>
        <item x="628"/>
        <item x="148"/>
        <item x="560"/>
        <item x="245"/>
        <item x="1250"/>
        <item x="803"/>
        <item x="233"/>
        <item x="708"/>
        <item x="1547"/>
        <item x="883"/>
        <item x="330"/>
        <item x="1326"/>
        <item x="319"/>
        <item x="641"/>
        <item x="785"/>
        <item x="1625"/>
        <item x="958"/>
        <item x="1034"/>
        <item x="415"/>
        <item x="867"/>
        <item x="403"/>
        <item x="1400"/>
        <item x="720"/>
        <item x="943"/>
        <item x="1109"/>
        <item x="1480"/>
        <item x="1019"/>
        <item x="499"/>
        <item x="799"/>
        <item x="1187"/>
        <item x="487"/>
        <item x="578"/>
        <item x="879"/>
        <item x="1094"/>
        <item x="566"/>
        <item x="1261"/>
        <item x="1554"/>
        <item x="954"/>
        <item x="1172"/>
        <item x="1030"/>
        <item x="1336"/>
        <item x="658"/>
        <item x="1631"/>
        <item x="1246"/>
        <item x="647"/>
        <item x="1105"/>
        <item x="40"/>
        <item x="738"/>
        <item x="1184"/>
        <item x="1322"/>
        <item x="1411"/>
        <item x="128"/>
        <item x="726"/>
        <item x="1490"/>
        <item x="817"/>
        <item x="213"/>
        <item x="1258"/>
        <item x="805"/>
        <item x="1396"/>
        <item x="88"/>
        <item x="82"/>
        <item x="895"/>
        <item x="174"/>
        <item x="299"/>
        <item x="885"/>
        <item x="1333"/>
        <item x="168"/>
        <item x="971"/>
        <item x="1566"/>
        <item x="960"/>
        <item x="259"/>
        <item x="253"/>
        <item x="384"/>
        <item x="1036"/>
        <item x="1408"/>
        <item x="1642"/>
        <item x="1551"/>
        <item x="344"/>
        <item x="338"/>
        <item x="1111"/>
        <item x="1486"/>
        <item x="469"/>
        <item x="1189"/>
        <item x="1628"/>
        <item x="429"/>
        <item x="423"/>
        <item x="548"/>
        <item x="1275"/>
        <item x="1263"/>
        <item x="1562"/>
        <item x="511"/>
        <item x="506"/>
        <item x="1350"/>
        <item x="630"/>
        <item x="1338"/>
        <item x="1639"/>
        <item x="591"/>
        <item x="585"/>
        <item x="709"/>
        <item x="1425"/>
        <item x="1413"/>
        <item x="671"/>
        <item x="1502"/>
        <item x="666"/>
        <item x="787"/>
        <item x="1492"/>
        <item x="752"/>
        <item x="869"/>
        <item x="746"/>
        <item x="1580"/>
        <item x="944"/>
        <item x="1568"/>
        <item x="831"/>
        <item x="1021"/>
        <item x="825"/>
        <item x="1656"/>
        <item x="907"/>
        <item x="1644"/>
        <item x="902"/>
        <item x="1096"/>
        <item x="20"/>
        <item x="984"/>
        <item x="978"/>
        <item x="1174"/>
        <item x="110"/>
        <item x="1060"/>
        <item x="1055"/>
        <item x="195"/>
        <item x="1248"/>
        <item x="1135"/>
        <item x="1130"/>
        <item x="1213"/>
        <item x="281"/>
        <item x="1207"/>
        <item x="1324"/>
        <item x="1288"/>
        <item x="366"/>
        <item x="1282"/>
        <item x="1398"/>
        <item x="1361"/>
        <item x="1355"/>
        <item x="1477"/>
        <item x="451"/>
        <item x="532"/>
        <item x="1438"/>
        <item x="1433"/>
        <item x="1552"/>
        <item x="1516"/>
        <item x="1510"/>
        <item x="613"/>
        <item x="1629"/>
        <item x="1593"/>
        <item x="693"/>
        <item x="1587"/>
        <item x="1670"/>
        <item x="772"/>
        <item x="1664"/>
        <item x="853"/>
        <item x="24"/>
        <item x="928"/>
        <item x="114"/>
        <item x="1004"/>
        <item x="199"/>
        <item x="1081"/>
        <item x="285"/>
        <item x="1156"/>
        <item x="370"/>
        <item x="1234"/>
        <item x="68"/>
        <item x="48"/>
        <item x="154"/>
        <item x="1309"/>
        <item x="455"/>
        <item x="135"/>
        <item x="239"/>
        <item x="28"/>
        <item x="536"/>
        <item x="220"/>
        <item x="117"/>
        <item x="1381"/>
        <item x="324"/>
        <item x="306"/>
        <item x="202"/>
        <item x="1460"/>
        <item x="617"/>
        <item x="409"/>
        <item x="390"/>
        <item x="289"/>
        <item x="697"/>
        <item x="1536"/>
        <item x="493"/>
        <item x="374"/>
        <item x="475"/>
        <item x="776"/>
        <item x="1614"/>
        <item x="572"/>
        <item x="554"/>
        <item x="857"/>
        <item x="459"/>
        <item x="932"/>
        <item x="540"/>
        <item x="653"/>
        <item x="1008"/>
        <item x="636"/>
        <item x="732"/>
        <item x="1084"/>
        <item x="715"/>
        <item x="620"/>
        <item x="70"/>
        <item x="1160"/>
        <item x="156"/>
        <item x="811"/>
        <item x="794"/>
        <item x="701"/>
        <item x="1238"/>
        <item x="42"/>
        <item x="241"/>
        <item x="890"/>
        <item x="874"/>
        <item x="130"/>
        <item x="966"/>
        <item x="779"/>
        <item x="1312"/>
        <item x="949"/>
        <item x="326"/>
        <item x="1042"/>
        <item x="215"/>
        <item x="1025"/>
        <item x="860"/>
        <item x="936"/>
        <item x="411"/>
        <item x="1117"/>
        <item x="1385"/>
        <item x="301"/>
        <item x="1100"/>
        <item x="1012"/>
        <item x="1195"/>
        <item x="1464"/>
        <item x="1179"/>
        <item x="385"/>
        <item x="495"/>
        <item x="1087"/>
        <item x="1269"/>
        <item x="1253"/>
        <item x="1164"/>
        <item x="574"/>
        <item x="1540"/>
        <item x="470"/>
        <item x="1344"/>
        <item x="1329"/>
        <item x="1241"/>
        <item x="549"/>
        <item x="1618"/>
        <item x="655"/>
        <item x="1419"/>
        <item x="1315"/>
        <item x="1403"/>
        <item x="734"/>
        <item x="1498"/>
        <item x="631"/>
        <item x="1482"/>
        <item x="1389"/>
        <item x="36"/>
        <item x="813"/>
        <item x="710"/>
        <item x="1468"/>
        <item x="124"/>
        <item x="1574"/>
        <item x="892"/>
        <item x="1557"/>
        <item x="788"/>
        <item x="209"/>
        <item x="968"/>
        <item x="1650"/>
        <item x="1044"/>
        <item x="1634"/>
        <item x="870"/>
        <item x="1544"/>
        <item x="295"/>
        <item x="945"/>
        <item x="1119"/>
        <item x="1022"/>
        <item x="1622"/>
        <item x="380"/>
        <item x="1197"/>
        <item x="1097"/>
        <item x="1271"/>
        <item x="1175"/>
        <item x="465"/>
        <item x="544"/>
        <item x="1346"/>
        <item x="4"/>
        <item x="1249"/>
        <item x="94"/>
        <item x="1325"/>
        <item x="1421"/>
        <item x="180"/>
        <item x="626"/>
        <item x="1500"/>
        <item x="265"/>
        <item x="1399"/>
        <item x="706"/>
        <item x="1478"/>
        <item x="350"/>
        <item x="783"/>
        <item x="1576"/>
        <item x="72"/>
        <item x="86"/>
        <item x="865"/>
        <item x="158"/>
        <item x="1652"/>
        <item x="172"/>
        <item x="435"/>
        <item x="1553"/>
        <item x="941"/>
        <item x="243"/>
        <item x="1017"/>
        <item x="257"/>
        <item x="517"/>
        <item x="1630"/>
        <item x="328"/>
        <item x="1092"/>
        <item x="342"/>
        <item x="1170"/>
        <item x="597"/>
        <item x="413"/>
        <item x="427"/>
        <item x="1244"/>
        <item x="22"/>
        <item x="677"/>
        <item x="112"/>
        <item x="497"/>
        <item x="509"/>
        <item x="1320"/>
        <item x="758"/>
        <item x="197"/>
        <item x="576"/>
        <item x="589"/>
        <item x="78"/>
        <item x="837"/>
        <item x="164"/>
        <item x="1394"/>
        <item x="283"/>
        <item x="913"/>
        <item x="990"/>
        <item x="249"/>
        <item x="656"/>
        <item x="1474"/>
        <item x="669"/>
        <item x="368"/>
        <item x="1066"/>
        <item x="334"/>
        <item x="736"/>
        <item x="750"/>
        <item x="1141"/>
        <item x="1549"/>
        <item x="453"/>
        <item x="419"/>
        <item x="815"/>
        <item x="829"/>
        <item x="534"/>
        <item x="1219"/>
        <item x="1627"/>
        <item x="893"/>
        <item x="905"/>
        <item x="503"/>
        <item x="969"/>
        <item x="982"/>
        <item x="1294"/>
        <item x="1046"/>
        <item x="615"/>
        <item x="1058"/>
        <item x="582"/>
        <item x="1367"/>
        <item x="1121"/>
        <item x="695"/>
        <item x="1133"/>
        <item x="1199"/>
        <item x="1211"/>
        <item x="1444"/>
        <item x="662"/>
        <item x="0"/>
        <item x="774"/>
        <item x="90"/>
        <item x="1273"/>
        <item x="1286"/>
        <item x="742"/>
        <item x="855"/>
        <item x="1522"/>
        <item x="176"/>
        <item x="930"/>
        <item x="1348"/>
        <item x="1359"/>
        <item x="821"/>
        <item x="1006"/>
        <item x="1599"/>
        <item x="261"/>
        <item x="898"/>
        <item x="1423"/>
        <item x="1083"/>
        <item x="1436"/>
        <item x="975"/>
        <item x="346"/>
        <item x="1158"/>
        <item x="1051"/>
        <item x="1501"/>
        <item x="1514"/>
        <item x="1236"/>
        <item x="1126"/>
        <item x="431"/>
        <item x="1204"/>
        <item x="1578"/>
        <item x="1591"/>
        <item x="513"/>
        <item x="1310"/>
        <item x="66"/>
        <item x="1279"/>
        <item x="1654"/>
        <item x="1668"/>
        <item x="152"/>
        <item x="1383"/>
        <item x="593"/>
        <item x="1353"/>
        <item x="237"/>
        <item x="1462"/>
        <item x="673"/>
        <item x="322"/>
        <item x="1429"/>
        <item x="754"/>
        <item x="1538"/>
        <item x="1506"/>
        <item x="407"/>
        <item x="833"/>
        <item x="1616"/>
        <item x="909"/>
        <item x="491"/>
        <item x="1583"/>
        <item x="986"/>
        <item x="570"/>
        <item x="1660"/>
        <item x="1062"/>
        <item x="1137"/>
        <item x="651"/>
        <item x="1215"/>
        <item x="730"/>
        <item x="1290"/>
        <item x="26"/>
        <item x="809"/>
        <item x="115"/>
        <item x="1363"/>
        <item x="888"/>
        <item x="200"/>
        <item x="964"/>
        <item x="1440"/>
        <item x="1040"/>
        <item x="287"/>
        <item x="46"/>
        <item x="133"/>
        <item x="1115"/>
        <item x="1518"/>
        <item x="372"/>
        <item x="1193"/>
        <item x="218"/>
        <item x="1595"/>
        <item x="457"/>
        <item x="1267"/>
        <item x="304"/>
        <item x="538"/>
        <item x="1342"/>
        <item x="388"/>
        <item x="8"/>
        <item x="98"/>
        <item x="619"/>
        <item x="1417"/>
        <item x="473"/>
        <item x="183"/>
        <item x="1496"/>
        <item x="552"/>
        <item x="699"/>
        <item x="269"/>
        <item x="777"/>
        <item x="1572"/>
        <item x="634"/>
        <item x="354"/>
        <item x="858"/>
        <item x="934"/>
        <item x="1648"/>
        <item x="713"/>
        <item x="1010"/>
        <item x="439"/>
        <item x="792"/>
        <item x="520"/>
        <item x="1086"/>
        <item x="873"/>
        <item x="1162"/>
        <item x="947"/>
        <item x="1024"/>
        <item x="601"/>
        <item x="1240"/>
        <item x="1099"/>
        <item x="681"/>
        <item x="2"/>
        <item x="1314"/>
        <item x="1177"/>
        <item x="92"/>
        <item x="762"/>
        <item x="178"/>
        <item x="1387"/>
        <item x="1251"/>
        <item x="841"/>
        <item x="1466"/>
        <item x="917"/>
        <item x="263"/>
        <item x="1327"/>
        <item x="994"/>
        <item x="348"/>
        <item x="1542"/>
        <item x="1401"/>
        <item x="1070"/>
        <item x="1145"/>
        <item x="1481"/>
        <item x="433"/>
        <item x="1620"/>
        <item x="1222"/>
        <item x="515"/>
        <item x="1555"/>
        <item x="1298"/>
        <item x="595"/>
        <item x="1632"/>
        <item x="1370"/>
        <item x="675"/>
        <item x="1448"/>
        <item x="756"/>
        <item x="835"/>
        <item x="1526"/>
        <item x="911"/>
        <item x="988"/>
        <item x="1603"/>
        <item x="1064"/>
        <item x="1139"/>
        <item x="1217"/>
        <item x="1292"/>
        <item x="1365"/>
        <item x="76"/>
        <item x="1442"/>
        <item x="162"/>
        <item x="247"/>
        <item x="1520"/>
        <item x="332"/>
        <item x="1597"/>
        <item x="417"/>
        <item x="501"/>
        <item x="580"/>
        <item x="660"/>
        <item x="740"/>
        <item x="819"/>
        <item x="896"/>
        <item x="973"/>
        <item x="1049"/>
        <item x="1124"/>
        <item x="1202"/>
        <item x="1277"/>
        <item x="1351"/>
        <item x="1427"/>
        <item x="1504"/>
        <item x="1581"/>
        <item x="1658"/>
        <item x="10"/>
        <item x="100"/>
        <item x="185"/>
        <item x="271"/>
        <item x="356"/>
        <item x="441"/>
        <item x="522"/>
        <item x="14"/>
        <item x="104"/>
        <item x="189"/>
        <item x="603"/>
        <item x="275"/>
        <item x="683"/>
        <item x="360"/>
        <item x="764"/>
        <item x="843"/>
        <item x="18"/>
        <item x="445"/>
        <item x="919"/>
        <item x="108"/>
        <item x="995"/>
        <item x="526"/>
        <item x="193"/>
        <item x="1072"/>
        <item x="1147"/>
        <item x="279"/>
        <item x="607"/>
        <item x="6"/>
        <item x="1224"/>
        <item x="96"/>
        <item x="364"/>
        <item x="687"/>
        <item x="181"/>
        <item x="1300"/>
        <item x="767"/>
        <item x="449"/>
        <item x="267"/>
        <item x="847"/>
        <item x="530"/>
        <item x="1372"/>
        <item x="923"/>
        <item x="352"/>
        <item x="998"/>
        <item x="1450"/>
        <item x="611"/>
        <item x="1075"/>
        <item x="437"/>
        <item x="1151"/>
        <item x="1528"/>
        <item x="691"/>
        <item x="518"/>
        <item x="1228"/>
        <item x="1605"/>
        <item x="771"/>
        <item x="599"/>
        <item x="851"/>
        <item x="1304"/>
        <item x="927"/>
        <item x="679"/>
        <item x="1002"/>
        <item x="1375"/>
        <item x="760"/>
        <item x="1079"/>
        <item x="1454"/>
        <item x="1155"/>
        <item x="839"/>
        <item x="915"/>
        <item x="1232"/>
        <item x="1531"/>
        <item x="992"/>
        <item x="1308"/>
        <item x="1608"/>
        <item x="1068"/>
        <item x="1143"/>
        <item x="1379"/>
        <item x="1220"/>
        <item x="1458"/>
        <item x="1296"/>
        <item x="1534"/>
        <item x="1368"/>
        <item x="1612"/>
        <item x="1446"/>
        <item x="1524"/>
        <item x="1601"/>
        <item x="12"/>
        <item x="102"/>
        <item x="187"/>
        <item x="273"/>
        <item x="358"/>
        <item x="443"/>
        <item x="524"/>
        <item x="605"/>
        <item x="685"/>
        <item x="765"/>
        <item x="845"/>
        <item x="921"/>
        <item x="997"/>
        <item x="1074"/>
        <item x="1149"/>
        <item x="1226"/>
        <item x="1302"/>
        <item x="1373"/>
        <item x="1452"/>
        <item x="1529"/>
        <item x="1606"/>
        <item x="16"/>
        <item x="106"/>
        <item x="191"/>
        <item x="277"/>
        <item x="362"/>
        <item x="447"/>
        <item x="528"/>
        <item x="609"/>
        <item x="689"/>
        <item x="769"/>
        <item x="849"/>
        <item x="925"/>
        <item x="1000"/>
        <item x="1077"/>
        <item x="1153"/>
        <item x="1230"/>
        <item x="1306"/>
        <item x="1377"/>
        <item x="1456"/>
        <item x="1533"/>
        <item x="1610"/>
        <item t="default"/>
      </items>
    </pivotField>
    <pivotField showAll="0"/>
    <pivotField numFmtId="2" showAll="0"/>
    <pivotField showAll="0" defaultSubtotal="0">
      <items count="6">
        <item sd="0" x="0"/>
        <item sd="0" x="1"/>
        <item sd="0" x="2"/>
        <item sd="0" x="3"/>
        <item sd="0" x="4"/>
        <item sd="0" x="5"/>
      </items>
    </pivotField>
    <pivotField axis="axisRow" showAll="0" defaultSubtotal="0">
      <items count="4">
        <item sd="0" x="0"/>
        <item x="1"/>
        <item x="2"/>
        <item sd="0" x="3"/>
      </items>
    </pivotField>
  </pivotFields>
  <rowFields count="2">
    <field x="10"/>
    <field x="0"/>
  </rowFields>
  <rowItems count="24">
    <i>
      <x v="1"/>
    </i>
    <i r="1">
      <x v="1"/>
    </i>
    <i r="1">
      <x v="2"/>
    </i>
    <i r="1">
      <x v="3"/>
    </i>
    <i r="1">
      <x v="4"/>
    </i>
    <i r="1">
      <x v="5"/>
    </i>
    <i r="1">
      <x v="6"/>
    </i>
    <i r="1">
      <x v="7"/>
    </i>
    <i r="1">
      <x v="8"/>
    </i>
    <i r="1">
      <x v="9"/>
    </i>
    <i r="1">
      <x v="10"/>
    </i>
    <i r="1">
      <x v="11"/>
    </i>
    <i r="1">
      <x v="12"/>
    </i>
    <i>
      <x v="2"/>
    </i>
    <i r="1">
      <x v="1"/>
    </i>
    <i r="1">
      <x v="2"/>
    </i>
    <i r="1">
      <x v="3"/>
    </i>
    <i r="1">
      <x v="4"/>
    </i>
    <i r="1">
      <x v="5"/>
    </i>
    <i r="1">
      <x v="6"/>
    </i>
    <i r="1">
      <x v="7"/>
    </i>
    <i r="1">
      <x v="8"/>
    </i>
    <i r="1">
      <x v="9"/>
    </i>
    <i t="grand">
      <x/>
    </i>
  </rowItems>
  <colFields count="1">
    <field x="1"/>
  </colFields>
  <colItems count="4">
    <i>
      <x/>
    </i>
    <i>
      <x v="1"/>
    </i>
    <i>
      <x v="2"/>
    </i>
    <i t="grand">
      <x/>
    </i>
  </colItems>
  <dataFields count="1">
    <dataField name="Soma de Visitantes" fld="5" baseField="0" baseItem="0"/>
  </dataFields>
  <chartFormats count="3">
    <chartFormat chart="8" format="12" series="1">
      <pivotArea type="data" outline="0" fieldPosition="0">
        <references count="1">
          <reference field="1" count="1" selected="0">
            <x v="0"/>
          </reference>
        </references>
      </pivotArea>
    </chartFormat>
    <chartFormat chart="8" format="13" series="1">
      <pivotArea type="data" outline="0" fieldPosition="0">
        <references count="1">
          <reference field="1" count="1" selected="0">
            <x v="1"/>
          </reference>
        </references>
      </pivotArea>
    </chartFormat>
    <chartFormat chart="8" format="14" series="1">
      <pivotArea type="data" outline="0" fieldPosition="0">
        <references count="1">
          <reference field="1" count="1" selected="0">
            <x v="2"/>
          </reference>
        </references>
      </pivotArea>
    </chartFormat>
  </chartFormats>
  <pivotTableStyleInfo name="PivotStyleLight16" showRowHeaders="1" showColHeaders="1" showRowStripes="0" showColStripes="0" showLastColumn="1"/>
  <filters count="1">
    <filter fld="0" type="dateBetween" evalOrder="-1" id="72" name="Mês">
      <autoFilter ref="A1">
        <filterColumn colId="0">
          <customFilters and="1">
            <customFilter operator="greaterThanOrEqual" val="43101"/>
            <customFilter operator="lessThanOrEqual" val="437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abela dinâmica3" cacheId="0" applyNumberFormats="0" applyBorderFormats="0" applyFontFormats="0" applyPatternFormats="0" applyAlignmentFormats="0" applyWidthHeightFormats="1" dataCaption="Valores" updatedVersion="6" minRefreshableVersion="5" useAutoFormatting="1" itemPrintTitles="1" createdVersion="6" indent="0" outline="1" outlineData="1" multipleFieldFilters="0" chartFormat="10">
  <location ref="H19:I21" firstHeaderRow="1" firstDataRow="1" firstDataCol="1"/>
  <pivotFields count="11">
    <pivotField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axis="axisRow" showAll="0">
      <items count="4">
        <item x="0"/>
        <item h="1" x="1"/>
        <item h="1" x="2"/>
        <item t="default"/>
      </items>
    </pivotField>
    <pivotField showAll="0">
      <items count="6">
        <item h="1" x="0"/>
        <item h="1" x="1"/>
        <item h="1" x="2"/>
        <item x="3"/>
        <item h="1" x="4"/>
        <item t="default"/>
      </items>
    </pivotField>
    <pivotField showAll="0">
      <items count="3">
        <item h="1" x="0"/>
        <item x="1"/>
        <item t="default"/>
      </items>
    </pivotField>
    <pivotField dataField="1" showAll="0"/>
    <pivotField showAll="0">
      <items count="1673">
        <item x="45"/>
        <item x="791"/>
        <item x="35"/>
        <item x="123"/>
        <item x="208"/>
        <item x="294"/>
        <item x="379"/>
        <item x="55"/>
        <item x="41"/>
        <item x="129"/>
        <item x="214"/>
        <item x="300"/>
        <item x="49"/>
        <item x="136"/>
        <item x="221"/>
        <item x="307"/>
        <item x="391"/>
        <item x="31"/>
        <item x="120"/>
        <item x="205"/>
        <item x="43"/>
        <item x="131"/>
        <item x="216"/>
        <item x="302"/>
        <item x="386"/>
        <item x="471"/>
        <item x="550"/>
        <item x="632"/>
        <item x="711"/>
        <item x="789"/>
        <item x="871"/>
        <item x="51"/>
        <item x="138"/>
        <item x="223"/>
        <item x="309"/>
        <item x="393"/>
        <item x="477"/>
        <item x="556"/>
        <item x="1479"/>
        <item x="33"/>
        <item x="59"/>
        <item x="145"/>
        <item x="230"/>
        <item x="316"/>
        <item x="400"/>
        <item x="463"/>
        <item x="484"/>
        <item x="563"/>
        <item x="624"/>
        <item x="644"/>
        <item x="723"/>
        <item x="863"/>
        <item x="802"/>
        <item x="882"/>
        <item x="957"/>
        <item x="1033"/>
        <item x="1168"/>
        <item x="1108"/>
        <item x="39"/>
        <item x="127"/>
        <item x="212"/>
        <item x="298"/>
        <item x="1472"/>
        <item x="383"/>
        <item x="1489"/>
        <item x="468"/>
        <item x="1565"/>
        <item x="547"/>
        <item x="1641"/>
        <item x="629"/>
        <item x="47"/>
        <item x="134"/>
        <item x="786"/>
        <item x="219"/>
        <item x="868"/>
        <item x="305"/>
        <item x="1020"/>
        <item x="389"/>
        <item x="1095"/>
        <item x="1173"/>
        <item x="474"/>
        <item x="1247"/>
        <item x="553"/>
        <item x="1323"/>
        <item x="635"/>
        <item x="1397"/>
        <item x="714"/>
        <item x="1476"/>
        <item x="793"/>
        <item x="53"/>
        <item x="140"/>
        <item x="948"/>
        <item x="225"/>
        <item x="311"/>
        <item x="1178"/>
        <item x="395"/>
        <item x="1252"/>
        <item x="479"/>
        <item x="1328"/>
        <item x="558"/>
        <item x="1402"/>
        <item x="639"/>
        <item x="718"/>
        <item x="1556"/>
        <item x="797"/>
        <item x="1633"/>
        <item x="877"/>
        <item x="75"/>
        <item x="952"/>
        <item x="161"/>
        <item x="1028"/>
        <item x="246"/>
        <item x="1103"/>
        <item x="331"/>
        <item x="1182"/>
        <item x="416"/>
        <item x="1256"/>
        <item x="500"/>
        <item x="579"/>
        <item x="1406"/>
        <item x="659"/>
        <item x="739"/>
        <item x="1560"/>
        <item x="818"/>
        <item x="57"/>
        <item x="1637"/>
        <item x="143"/>
        <item x="972"/>
        <item x="228"/>
        <item x="1048"/>
        <item x="314"/>
        <item x="1123"/>
        <item x="1201"/>
        <item x="398"/>
        <item x="1276"/>
        <item x="482"/>
        <item x="561"/>
        <item x="1426"/>
        <item x="642"/>
        <item x="1503"/>
        <item x="721"/>
        <item x="800"/>
        <item x="880"/>
        <item x="1657"/>
        <item x="955"/>
        <item x="1031"/>
        <item x="1106"/>
        <item x="1185"/>
        <item x="1259"/>
        <item x="37"/>
        <item x="125"/>
        <item x="1334"/>
        <item x="210"/>
        <item x="1409"/>
        <item x="296"/>
        <item x="1487"/>
        <item x="381"/>
        <item x="1563"/>
        <item x="466"/>
        <item x="545"/>
        <item x="627"/>
        <item x="707"/>
        <item x="784"/>
        <item x="866"/>
        <item x="942"/>
        <item x="1018"/>
        <item x="1093"/>
        <item x="1171"/>
        <item x="1245"/>
        <item x="1321"/>
        <item x="65"/>
        <item x="1395"/>
        <item x="151"/>
        <item x="1475"/>
        <item x="236"/>
        <item x="71"/>
        <item x="157"/>
        <item x="1550"/>
        <item x="242"/>
        <item x="406"/>
        <item x="327"/>
        <item x="490"/>
        <item x="412"/>
        <item x="569"/>
        <item x="496"/>
        <item x="650"/>
        <item x="575"/>
        <item x="729"/>
        <item x="73"/>
        <item x="15"/>
        <item x="159"/>
        <item x="808"/>
        <item x="105"/>
        <item x="244"/>
        <item x="735"/>
        <item x="190"/>
        <item x="963"/>
        <item x="329"/>
        <item x="814"/>
        <item x="1039"/>
        <item x="276"/>
        <item x="414"/>
        <item x="1114"/>
        <item x="361"/>
        <item x="1192"/>
        <item x="1045"/>
        <item x="498"/>
        <item x="446"/>
        <item x="1266"/>
        <item x="577"/>
        <item x="1120"/>
        <item x="527"/>
        <item x="1198"/>
        <item x="1341"/>
        <item x="657"/>
        <item x="1272"/>
        <item x="608"/>
        <item x="1416"/>
        <item x="737"/>
        <item x="1347"/>
        <item x="1495"/>
        <item x="688"/>
        <item x="816"/>
        <item x="1422"/>
        <item x="768"/>
        <item x="894"/>
        <item x="1571"/>
        <item x="970"/>
        <item x="848"/>
        <item x="1047"/>
        <item x="924"/>
        <item x="1647"/>
        <item x="999"/>
        <item x="1577"/>
        <item x="1122"/>
        <item x="1200"/>
        <item x="1076"/>
        <item x="1653"/>
        <item x="1152"/>
        <item x="1274"/>
        <item x="1229"/>
        <item x="1349"/>
        <item x="1305"/>
        <item x="1424"/>
        <item x="1376"/>
        <item x="1455"/>
        <item x="1579"/>
        <item x="1532"/>
        <item x="1655"/>
        <item x="1609"/>
        <item x="79"/>
        <item x="165"/>
        <item x="250"/>
        <item x="85"/>
        <item x="335"/>
        <item x="171"/>
        <item x="25"/>
        <item x="5"/>
        <item x="256"/>
        <item x="420"/>
        <item x="95"/>
        <item x="29"/>
        <item x="11"/>
        <item x="341"/>
        <item x="118"/>
        <item x="101"/>
        <item x="286"/>
        <item x="203"/>
        <item x="426"/>
        <item x="266"/>
        <item x="186"/>
        <item x="371"/>
        <item x="290"/>
        <item x="351"/>
        <item x="272"/>
        <item x="21"/>
        <item x="663"/>
        <item x="456"/>
        <item x="375"/>
        <item x="588"/>
        <item x="111"/>
        <item x="357"/>
        <item x="436"/>
        <item x="537"/>
        <item x="743"/>
        <item x="196"/>
        <item x="460"/>
        <item x="442"/>
        <item x="822"/>
        <item x="282"/>
        <item x="618"/>
        <item x="523"/>
        <item x="899"/>
        <item x="749"/>
        <item x="598"/>
        <item x="367"/>
        <item x="698"/>
        <item x="621"/>
        <item x="1052"/>
        <item x="828"/>
        <item x="678"/>
        <item x="604"/>
        <item x="452"/>
        <item x="702"/>
        <item x="1127"/>
        <item x="19"/>
        <item x="759"/>
        <item x="684"/>
        <item x="981"/>
        <item x="533"/>
        <item x="109"/>
        <item x="780"/>
        <item x="838"/>
        <item x="933"/>
        <item x="194"/>
        <item x="914"/>
        <item x="1009"/>
        <item x="861"/>
        <item x="614"/>
        <item x="991"/>
        <item x="844"/>
        <item x="937"/>
        <item x="280"/>
        <item x="1210"/>
        <item x="1085"/>
        <item x="920"/>
        <item x="1013"/>
        <item x="694"/>
        <item x="1067"/>
        <item x="1161"/>
        <item x="996"/>
        <item x="365"/>
        <item x="1285"/>
        <item x="1142"/>
        <item x="1088"/>
        <item x="1430"/>
        <item x="773"/>
        <item x="1239"/>
        <item x="1073"/>
        <item x="1165"/>
        <item x="1358"/>
        <item x="1507"/>
        <item x="450"/>
        <item x="1148"/>
        <item x="854"/>
        <item x="1313"/>
        <item x="929"/>
        <item x="531"/>
        <item x="1295"/>
        <item x="1225"/>
        <item x="1005"/>
        <item x="1584"/>
        <item x="1316"/>
        <item x="1386"/>
        <item x="1513"/>
        <item x="1301"/>
        <item x="1082"/>
        <item x="612"/>
        <item x="1661"/>
        <item x="1465"/>
        <item x="1157"/>
        <item x="1390"/>
        <item x="1445"/>
        <item x="692"/>
        <item x="1590"/>
        <item x="1469"/>
        <item x="1235"/>
        <item x="1541"/>
        <item x="1451"/>
        <item x="13"/>
        <item x="61"/>
        <item x="1667"/>
        <item x="1523"/>
        <item x="103"/>
        <item x="147"/>
        <item x="1619"/>
        <item x="852"/>
        <item x="1545"/>
        <item x="188"/>
        <item x="1600"/>
        <item x="232"/>
        <item x="1382"/>
        <item x="1003"/>
        <item x="1623"/>
        <item x="274"/>
        <item x="318"/>
        <item x="1461"/>
        <item x="1080"/>
        <item x="359"/>
        <item x="402"/>
        <item x="1537"/>
        <item x="1233"/>
        <item x="444"/>
        <item x="486"/>
        <item x="1615"/>
        <item x="525"/>
        <item x="565"/>
        <item x="1380"/>
        <item x="606"/>
        <item x="646"/>
        <item x="1459"/>
        <item x="686"/>
        <item x="725"/>
        <item x="766"/>
        <item x="804"/>
        <item x="1535"/>
        <item x="1"/>
        <item x="846"/>
        <item x="884"/>
        <item x="91"/>
        <item x="1613"/>
        <item x="922"/>
        <item x="959"/>
        <item x="177"/>
        <item x="1035"/>
        <item x="262"/>
        <item x="1110"/>
        <item x="1150"/>
        <item x="1188"/>
        <item x="347"/>
        <item x="81"/>
        <item x="1227"/>
        <item x="1262"/>
        <item x="167"/>
        <item x="63"/>
        <item x="432"/>
        <item x="1303"/>
        <item x="149"/>
        <item x="1337"/>
        <item x="252"/>
        <item x="514"/>
        <item x="234"/>
        <item x="337"/>
        <item x="1374"/>
        <item x="1412"/>
        <item x="77"/>
        <item x="320"/>
        <item x="594"/>
        <item x="1453"/>
        <item x="163"/>
        <item x="1491"/>
        <item x="422"/>
        <item x="248"/>
        <item x="404"/>
        <item x="674"/>
        <item x="505"/>
        <item x="1530"/>
        <item x="1567"/>
        <item x="333"/>
        <item x="755"/>
        <item x="488"/>
        <item x="584"/>
        <item x="1607"/>
        <item x="1643"/>
        <item x="834"/>
        <item x="418"/>
        <item x="567"/>
        <item x="910"/>
        <item x="665"/>
        <item x="987"/>
        <item x="502"/>
        <item x="648"/>
        <item x="745"/>
        <item x="1063"/>
        <item x="581"/>
        <item x="1138"/>
        <item x="727"/>
        <item x="824"/>
        <item x="1216"/>
        <item x="661"/>
        <item x="806"/>
        <item x="901"/>
        <item x="977"/>
        <item x="886"/>
        <item x="1291"/>
        <item x="741"/>
        <item x="1054"/>
        <item x="961"/>
        <item x="1037"/>
        <item x="820"/>
        <item x="1129"/>
        <item x="1364"/>
        <item x="1206"/>
        <item x="897"/>
        <item x="1112"/>
        <item x="1441"/>
        <item x="974"/>
        <item x="1190"/>
        <item x="1281"/>
        <item x="23"/>
        <item x="1050"/>
        <item x="54"/>
        <item x="113"/>
        <item x="1264"/>
        <item x="1519"/>
        <item x="141"/>
        <item x="1125"/>
        <item x="198"/>
        <item x="1203"/>
        <item x="1339"/>
        <item x="226"/>
        <item x="1596"/>
        <item x="1432"/>
        <item x="284"/>
        <item x="1278"/>
        <item x="312"/>
        <item x="1414"/>
        <item x="1509"/>
        <item x="369"/>
        <item x="1352"/>
        <item x="1493"/>
        <item x="396"/>
        <item x="1586"/>
        <item x="454"/>
        <item x="1428"/>
        <item x="480"/>
        <item x="1569"/>
        <item x="535"/>
        <item x="1663"/>
        <item x="1505"/>
        <item x="559"/>
        <item x="1645"/>
        <item x="616"/>
        <item x="1582"/>
        <item x="640"/>
        <item x="696"/>
        <item x="1659"/>
        <item x="719"/>
        <item x="775"/>
        <item x="798"/>
        <item x="856"/>
        <item x="878"/>
        <item x="931"/>
        <item x="17"/>
        <item x="953"/>
        <item x="1007"/>
        <item x="107"/>
        <item x="1029"/>
        <item x="192"/>
        <item x="1104"/>
        <item x="1159"/>
        <item x="1183"/>
        <item x="27"/>
        <item x="278"/>
        <item x="116"/>
        <item x="1237"/>
        <item x="9"/>
        <item x="1257"/>
        <item x="363"/>
        <item x="99"/>
        <item x="201"/>
        <item x="1311"/>
        <item x="184"/>
        <item x="1332"/>
        <item x="288"/>
        <item x="448"/>
        <item x="89"/>
        <item x="1384"/>
        <item x="270"/>
        <item x="175"/>
        <item x="529"/>
        <item x="1407"/>
        <item x="373"/>
        <item x="1463"/>
        <item x="260"/>
        <item x="355"/>
        <item x="1485"/>
        <item x="458"/>
        <item x="610"/>
        <item x="345"/>
        <item x="1539"/>
        <item x="440"/>
        <item x="539"/>
        <item x="3"/>
        <item x="1561"/>
        <item x="690"/>
        <item x="430"/>
        <item x="50"/>
        <item x="93"/>
        <item x="521"/>
        <item x="1617"/>
        <item x="34"/>
        <item x="137"/>
        <item x="1638"/>
        <item x="770"/>
        <item x="179"/>
        <item x="83"/>
        <item x="122"/>
        <item x="512"/>
        <item x="222"/>
        <item x="169"/>
        <item x="850"/>
        <item x="602"/>
        <item x="207"/>
        <item x="264"/>
        <item x="700"/>
        <item x="592"/>
        <item x="926"/>
        <item x="254"/>
        <item x="308"/>
        <item x="1001"/>
        <item x="682"/>
        <item x="293"/>
        <item x="349"/>
        <item x="778"/>
        <item x="339"/>
        <item x="392"/>
        <item x="672"/>
        <item x="1078"/>
        <item x="763"/>
        <item x="859"/>
        <item x="378"/>
        <item x="434"/>
        <item x="1154"/>
        <item x="424"/>
        <item x="935"/>
        <item x="842"/>
        <item x="753"/>
        <item x="476"/>
        <item x="1011"/>
        <item x="516"/>
        <item x="918"/>
        <item x="464"/>
        <item x="1231"/>
        <item x="555"/>
        <item x="507"/>
        <item x="832"/>
        <item x="543"/>
        <item x="1307"/>
        <item x="586"/>
        <item x="908"/>
        <item x="1163"/>
        <item x="596"/>
        <item x="1071"/>
        <item x="985"/>
        <item x="637"/>
        <item x="1146"/>
        <item x="625"/>
        <item x="1061"/>
        <item x="676"/>
        <item x="1378"/>
        <item x="667"/>
        <item x="716"/>
        <item x="69"/>
        <item x="1223"/>
        <item x="1457"/>
        <item x="705"/>
        <item x="1136"/>
        <item x="757"/>
        <item x="155"/>
        <item x="747"/>
        <item x="1214"/>
        <item x="795"/>
        <item x="1299"/>
        <item x="836"/>
        <item x="240"/>
        <item x="782"/>
        <item x="1388"/>
        <item x="875"/>
        <item x="912"/>
        <item x="826"/>
        <item x="1289"/>
        <item x="864"/>
        <item x="950"/>
        <item x="989"/>
        <item x="325"/>
        <item x="1371"/>
        <item x="1467"/>
        <item x="903"/>
        <item x="940"/>
        <item x="1026"/>
        <item x="1611"/>
        <item x="1362"/>
        <item x="1449"/>
        <item x="979"/>
        <item x="1016"/>
        <item x="1065"/>
        <item x="410"/>
        <item x="1056"/>
        <item x="1101"/>
        <item x="1140"/>
        <item x="1543"/>
        <item x="1091"/>
        <item x="1439"/>
        <item x="1180"/>
        <item x="494"/>
        <item x="1527"/>
        <item x="1131"/>
        <item x="1169"/>
        <item x="1218"/>
        <item x="1621"/>
        <item x="1517"/>
        <item x="1208"/>
        <item x="1254"/>
        <item x="573"/>
        <item x="1604"/>
        <item x="1243"/>
        <item x="1293"/>
        <item x="1283"/>
        <item x="1330"/>
        <item x="1594"/>
        <item x="1319"/>
        <item x="654"/>
        <item x="1366"/>
        <item x="1356"/>
        <item x="1671"/>
        <item x="1404"/>
        <item x="1443"/>
        <item x="733"/>
        <item x="1393"/>
        <item x="1483"/>
        <item x="1434"/>
        <item x="1473"/>
        <item x="812"/>
        <item x="1511"/>
        <item x="1521"/>
        <item x="891"/>
        <item x="1558"/>
        <item x="967"/>
        <item x="1548"/>
        <item x="1598"/>
        <item x="1043"/>
        <item x="1588"/>
        <item x="1635"/>
        <item x="1626"/>
        <item x="1118"/>
        <item x="1665"/>
        <item x="1196"/>
        <item x="1270"/>
        <item x="64"/>
        <item x="150"/>
        <item x="1345"/>
        <item x="235"/>
        <item x="1602"/>
        <item x="1420"/>
        <item x="321"/>
        <item x="1499"/>
        <item x="405"/>
        <item x="1575"/>
        <item x="489"/>
        <item x="1649"/>
        <item x="568"/>
        <item x="1651"/>
        <item x="649"/>
        <item x="728"/>
        <item x="84"/>
        <item x="58"/>
        <item x="170"/>
        <item x="144"/>
        <item x="807"/>
        <item x="255"/>
        <item x="229"/>
        <item x="887"/>
        <item x="962"/>
        <item x="340"/>
        <item x="315"/>
        <item x="1038"/>
        <item x="425"/>
        <item x="399"/>
        <item x="1113"/>
        <item x="1191"/>
        <item x="508"/>
        <item x="483"/>
        <item x="1265"/>
        <item x="587"/>
        <item x="562"/>
        <item x="1340"/>
        <item x="668"/>
        <item x="643"/>
        <item x="1415"/>
        <item x="748"/>
        <item x="722"/>
        <item x="1494"/>
        <item x="827"/>
        <item x="801"/>
        <item x="7"/>
        <item x="1570"/>
        <item x="904"/>
        <item x="881"/>
        <item x="97"/>
        <item x="980"/>
        <item x="956"/>
        <item x="1646"/>
        <item x="1057"/>
        <item x="182"/>
        <item x="1032"/>
        <item x="1132"/>
        <item x="30"/>
        <item x="268"/>
        <item x="1107"/>
        <item x="1209"/>
        <item x="119"/>
        <item x="1186"/>
        <item x="353"/>
        <item x="204"/>
        <item x="1284"/>
        <item x="1260"/>
        <item x="291"/>
        <item x="438"/>
        <item x="1357"/>
        <item x="1335"/>
        <item x="519"/>
        <item x="376"/>
        <item x="1435"/>
        <item x="1410"/>
        <item x="1512"/>
        <item x="461"/>
        <item x="600"/>
        <item x="1488"/>
        <item x="541"/>
        <item x="680"/>
        <item x="1589"/>
        <item x="1564"/>
        <item x="761"/>
        <item x="622"/>
        <item x="52"/>
        <item x="1666"/>
        <item x="1640"/>
        <item x="840"/>
        <item x="139"/>
        <item x="703"/>
        <item x="916"/>
        <item x="224"/>
        <item x="87"/>
        <item x="67"/>
        <item x="993"/>
        <item x="173"/>
        <item x="153"/>
        <item x="310"/>
        <item x="1069"/>
        <item x="258"/>
        <item x="238"/>
        <item x="1144"/>
        <item x="938"/>
        <item x="394"/>
        <item x="343"/>
        <item x="323"/>
        <item x="1014"/>
        <item x="1221"/>
        <item x="478"/>
        <item x="428"/>
        <item x="408"/>
        <item x="1089"/>
        <item x="1297"/>
        <item x="1166"/>
        <item x="557"/>
        <item x="510"/>
        <item x="492"/>
        <item x="1242"/>
        <item x="1369"/>
        <item x="590"/>
        <item x="571"/>
        <item x="638"/>
        <item x="1447"/>
        <item x="1317"/>
        <item x="717"/>
        <item x="670"/>
        <item x="652"/>
        <item x="1391"/>
        <item x="1525"/>
        <item x="796"/>
        <item x="751"/>
        <item x="731"/>
        <item x="1470"/>
        <item x="876"/>
        <item x="951"/>
        <item x="830"/>
        <item x="810"/>
        <item x="1027"/>
        <item x="1546"/>
        <item x="906"/>
        <item x="889"/>
        <item x="983"/>
        <item x="965"/>
        <item x="1102"/>
        <item x="1624"/>
        <item x="1059"/>
        <item x="1041"/>
        <item x="1181"/>
        <item x="80"/>
        <item x="1134"/>
        <item x="1116"/>
        <item x="1255"/>
        <item x="166"/>
        <item x="1212"/>
        <item x="1194"/>
        <item x="251"/>
        <item x="1331"/>
        <item x="1287"/>
        <item x="1268"/>
        <item x="336"/>
        <item x="1405"/>
        <item x="1360"/>
        <item x="1343"/>
        <item x="421"/>
        <item x="1484"/>
        <item x="1437"/>
        <item x="1418"/>
        <item x="504"/>
        <item x="1515"/>
        <item x="1497"/>
        <item x="1559"/>
        <item x="583"/>
        <item x="1636"/>
        <item x="1592"/>
        <item x="1573"/>
        <item x="664"/>
        <item x="1669"/>
        <item x="744"/>
        <item x="823"/>
        <item x="900"/>
        <item x="32"/>
        <item x="976"/>
        <item x="121"/>
        <item x="1053"/>
        <item x="206"/>
        <item x="1128"/>
        <item x="292"/>
        <item x="1205"/>
        <item x="377"/>
        <item x="1280"/>
        <item x="44"/>
        <item x="1354"/>
        <item x="462"/>
        <item x="132"/>
        <item x="542"/>
        <item x="217"/>
        <item x="1431"/>
        <item x="303"/>
        <item x="1508"/>
        <item x="623"/>
        <item x="387"/>
        <item x="704"/>
        <item x="1585"/>
        <item x="60"/>
        <item x="472"/>
        <item x="781"/>
        <item x="1662"/>
        <item x="146"/>
        <item x="551"/>
        <item x="862"/>
        <item x="38"/>
        <item x="231"/>
        <item x="939"/>
        <item x="126"/>
        <item x="1015"/>
        <item x="317"/>
        <item x="633"/>
        <item x="211"/>
        <item x="1090"/>
        <item x="56"/>
        <item x="401"/>
        <item x="712"/>
        <item x="297"/>
        <item x="1167"/>
        <item x="142"/>
        <item x="790"/>
        <item x="227"/>
        <item x="382"/>
        <item x="485"/>
        <item x="872"/>
        <item x="564"/>
        <item x="313"/>
        <item x="1318"/>
        <item x="946"/>
        <item x="467"/>
        <item x="1023"/>
        <item x="397"/>
        <item x="546"/>
        <item x="645"/>
        <item x="1392"/>
        <item x="1098"/>
        <item x="74"/>
        <item x="1471"/>
        <item x="62"/>
        <item x="1176"/>
        <item x="481"/>
        <item x="724"/>
        <item x="160"/>
        <item x="628"/>
        <item x="148"/>
        <item x="560"/>
        <item x="245"/>
        <item x="1250"/>
        <item x="803"/>
        <item x="233"/>
        <item x="708"/>
        <item x="1547"/>
        <item x="883"/>
        <item x="330"/>
        <item x="1326"/>
        <item x="319"/>
        <item x="641"/>
        <item x="785"/>
        <item x="1625"/>
        <item x="958"/>
        <item x="1034"/>
        <item x="415"/>
        <item x="867"/>
        <item x="403"/>
        <item x="1400"/>
        <item x="720"/>
        <item x="943"/>
        <item x="1109"/>
        <item x="1480"/>
        <item x="1019"/>
        <item x="499"/>
        <item x="799"/>
        <item x="1187"/>
        <item x="487"/>
        <item x="578"/>
        <item x="879"/>
        <item x="1094"/>
        <item x="566"/>
        <item x="1261"/>
        <item x="1554"/>
        <item x="954"/>
        <item x="1172"/>
        <item x="1030"/>
        <item x="1336"/>
        <item x="658"/>
        <item x="1631"/>
        <item x="1246"/>
        <item x="647"/>
        <item x="1105"/>
        <item x="40"/>
        <item x="738"/>
        <item x="1184"/>
        <item x="1322"/>
        <item x="1411"/>
        <item x="128"/>
        <item x="726"/>
        <item x="1490"/>
        <item x="817"/>
        <item x="213"/>
        <item x="1258"/>
        <item x="805"/>
        <item x="1396"/>
        <item x="88"/>
        <item x="82"/>
        <item x="895"/>
        <item x="174"/>
        <item x="299"/>
        <item x="885"/>
        <item x="1333"/>
        <item x="168"/>
        <item x="971"/>
        <item x="1566"/>
        <item x="960"/>
        <item x="259"/>
        <item x="253"/>
        <item x="384"/>
        <item x="1036"/>
        <item x="1408"/>
        <item x="1642"/>
        <item x="1551"/>
        <item x="344"/>
        <item x="338"/>
        <item x="1111"/>
        <item x="1486"/>
        <item x="469"/>
        <item x="1189"/>
        <item x="1628"/>
        <item x="429"/>
        <item x="423"/>
        <item x="548"/>
        <item x="1275"/>
        <item x="1263"/>
        <item x="1562"/>
        <item x="511"/>
        <item x="506"/>
        <item x="1350"/>
        <item x="630"/>
        <item x="1338"/>
        <item x="1639"/>
        <item x="591"/>
        <item x="585"/>
        <item x="709"/>
        <item x="1425"/>
        <item x="1413"/>
        <item x="671"/>
        <item x="1502"/>
        <item x="666"/>
        <item x="787"/>
        <item x="1492"/>
        <item x="752"/>
        <item x="869"/>
        <item x="746"/>
        <item x="1580"/>
        <item x="944"/>
        <item x="1568"/>
        <item x="831"/>
        <item x="1021"/>
        <item x="825"/>
        <item x="1656"/>
        <item x="907"/>
        <item x="1644"/>
        <item x="902"/>
        <item x="1096"/>
        <item x="20"/>
        <item x="984"/>
        <item x="978"/>
        <item x="1174"/>
        <item x="110"/>
        <item x="1060"/>
        <item x="1055"/>
        <item x="195"/>
        <item x="1248"/>
        <item x="1135"/>
        <item x="1130"/>
        <item x="1213"/>
        <item x="281"/>
        <item x="1207"/>
        <item x="1324"/>
        <item x="1288"/>
        <item x="366"/>
        <item x="1282"/>
        <item x="1398"/>
        <item x="1361"/>
        <item x="1355"/>
        <item x="1477"/>
        <item x="451"/>
        <item x="532"/>
        <item x="1438"/>
        <item x="1433"/>
        <item x="1552"/>
        <item x="1516"/>
        <item x="1510"/>
        <item x="613"/>
        <item x="1629"/>
        <item x="1593"/>
        <item x="693"/>
        <item x="1587"/>
        <item x="1670"/>
        <item x="772"/>
        <item x="1664"/>
        <item x="853"/>
        <item x="24"/>
        <item x="928"/>
        <item x="114"/>
        <item x="1004"/>
        <item x="199"/>
        <item x="1081"/>
        <item x="285"/>
        <item x="1156"/>
        <item x="370"/>
        <item x="1234"/>
        <item x="68"/>
        <item x="48"/>
        <item x="154"/>
        <item x="1309"/>
        <item x="455"/>
        <item x="135"/>
        <item x="239"/>
        <item x="28"/>
        <item x="536"/>
        <item x="220"/>
        <item x="117"/>
        <item x="1381"/>
        <item x="324"/>
        <item x="306"/>
        <item x="202"/>
        <item x="1460"/>
        <item x="617"/>
        <item x="409"/>
        <item x="390"/>
        <item x="289"/>
        <item x="697"/>
        <item x="1536"/>
        <item x="493"/>
        <item x="374"/>
        <item x="475"/>
        <item x="776"/>
        <item x="1614"/>
        <item x="572"/>
        <item x="554"/>
        <item x="857"/>
        <item x="459"/>
        <item x="932"/>
        <item x="540"/>
        <item x="653"/>
        <item x="1008"/>
        <item x="636"/>
        <item x="732"/>
        <item x="1084"/>
        <item x="715"/>
        <item x="620"/>
        <item x="70"/>
        <item x="1160"/>
        <item x="156"/>
        <item x="811"/>
        <item x="794"/>
        <item x="701"/>
        <item x="1238"/>
        <item x="42"/>
        <item x="241"/>
        <item x="890"/>
        <item x="874"/>
        <item x="130"/>
        <item x="966"/>
        <item x="779"/>
        <item x="1312"/>
        <item x="949"/>
        <item x="326"/>
        <item x="1042"/>
        <item x="215"/>
        <item x="1025"/>
        <item x="860"/>
        <item x="936"/>
        <item x="411"/>
        <item x="1117"/>
        <item x="1385"/>
        <item x="301"/>
        <item x="1100"/>
        <item x="1012"/>
        <item x="1195"/>
        <item x="1464"/>
        <item x="1179"/>
        <item x="385"/>
        <item x="495"/>
        <item x="1087"/>
        <item x="1269"/>
        <item x="1253"/>
        <item x="1164"/>
        <item x="574"/>
        <item x="1540"/>
        <item x="470"/>
        <item x="1344"/>
        <item x="1329"/>
        <item x="1241"/>
        <item x="549"/>
        <item x="1618"/>
        <item x="655"/>
        <item x="1419"/>
        <item x="1315"/>
        <item x="1403"/>
        <item x="734"/>
        <item x="1498"/>
        <item x="631"/>
        <item x="1482"/>
        <item x="1389"/>
        <item x="36"/>
        <item x="813"/>
        <item x="710"/>
        <item x="1468"/>
        <item x="124"/>
        <item x="1574"/>
        <item x="892"/>
        <item x="1557"/>
        <item x="788"/>
        <item x="209"/>
        <item x="968"/>
        <item x="1650"/>
        <item x="1044"/>
        <item x="1634"/>
        <item x="870"/>
        <item x="1544"/>
        <item x="295"/>
        <item x="945"/>
        <item x="1119"/>
        <item x="1022"/>
        <item x="1622"/>
        <item x="380"/>
        <item x="1197"/>
        <item x="1097"/>
        <item x="1271"/>
        <item x="1175"/>
        <item x="465"/>
        <item x="544"/>
        <item x="1346"/>
        <item x="4"/>
        <item x="1249"/>
        <item x="94"/>
        <item x="1325"/>
        <item x="1421"/>
        <item x="180"/>
        <item x="626"/>
        <item x="1500"/>
        <item x="265"/>
        <item x="1399"/>
        <item x="706"/>
        <item x="1478"/>
        <item x="350"/>
        <item x="783"/>
        <item x="1576"/>
        <item x="72"/>
        <item x="86"/>
        <item x="865"/>
        <item x="158"/>
        <item x="1652"/>
        <item x="172"/>
        <item x="435"/>
        <item x="1553"/>
        <item x="941"/>
        <item x="243"/>
        <item x="1017"/>
        <item x="257"/>
        <item x="517"/>
        <item x="1630"/>
        <item x="328"/>
        <item x="1092"/>
        <item x="342"/>
        <item x="1170"/>
        <item x="597"/>
        <item x="413"/>
        <item x="427"/>
        <item x="1244"/>
        <item x="22"/>
        <item x="677"/>
        <item x="112"/>
        <item x="497"/>
        <item x="509"/>
        <item x="1320"/>
        <item x="758"/>
        <item x="197"/>
        <item x="576"/>
        <item x="589"/>
        <item x="78"/>
        <item x="837"/>
        <item x="164"/>
        <item x="1394"/>
        <item x="283"/>
        <item x="913"/>
        <item x="990"/>
        <item x="249"/>
        <item x="656"/>
        <item x="1474"/>
        <item x="669"/>
        <item x="368"/>
        <item x="1066"/>
        <item x="334"/>
        <item x="736"/>
        <item x="750"/>
        <item x="1141"/>
        <item x="1549"/>
        <item x="453"/>
        <item x="419"/>
        <item x="815"/>
        <item x="829"/>
        <item x="534"/>
        <item x="1219"/>
        <item x="1627"/>
        <item x="893"/>
        <item x="905"/>
        <item x="503"/>
        <item x="969"/>
        <item x="982"/>
        <item x="1294"/>
        <item x="1046"/>
        <item x="615"/>
        <item x="1058"/>
        <item x="582"/>
        <item x="1367"/>
        <item x="1121"/>
        <item x="695"/>
        <item x="1133"/>
        <item x="1199"/>
        <item x="1211"/>
        <item x="1444"/>
        <item x="662"/>
        <item x="0"/>
        <item x="774"/>
        <item x="90"/>
        <item x="1273"/>
        <item x="1286"/>
        <item x="742"/>
        <item x="855"/>
        <item x="1522"/>
        <item x="176"/>
        <item x="930"/>
        <item x="1348"/>
        <item x="1359"/>
        <item x="821"/>
        <item x="1006"/>
        <item x="1599"/>
        <item x="261"/>
        <item x="898"/>
        <item x="1423"/>
        <item x="1083"/>
        <item x="1436"/>
        <item x="975"/>
        <item x="346"/>
        <item x="1158"/>
        <item x="1051"/>
        <item x="1501"/>
        <item x="1514"/>
        <item x="1236"/>
        <item x="1126"/>
        <item x="431"/>
        <item x="1204"/>
        <item x="1578"/>
        <item x="1591"/>
        <item x="513"/>
        <item x="1310"/>
        <item x="66"/>
        <item x="1279"/>
        <item x="1654"/>
        <item x="1668"/>
        <item x="152"/>
        <item x="1383"/>
        <item x="593"/>
        <item x="1353"/>
        <item x="237"/>
        <item x="1462"/>
        <item x="673"/>
        <item x="322"/>
        <item x="1429"/>
        <item x="754"/>
        <item x="1538"/>
        <item x="1506"/>
        <item x="407"/>
        <item x="833"/>
        <item x="1616"/>
        <item x="909"/>
        <item x="491"/>
        <item x="1583"/>
        <item x="986"/>
        <item x="570"/>
        <item x="1660"/>
        <item x="1062"/>
        <item x="1137"/>
        <item x="651"/>
        <item x="1215"/>
        <item x="730"/>
        <item x="1290"/>
        <item x="26"/>
        <item x="809"/>
        <item x="115"/>
        <item x="1363"/>
        <item x="888"/>
        <item x="200"/>
        <item x="964"/>
        <item x="1440"/>
        <item x="1040"/>
        <item x="287"/>
        <item x="46"/>
        <item x="133"/>
        <item x="1115"/>
        <item x="1518"/>
        <item x="372"/>
        <item x="1193"/>
        <item x="218"/>
        <item x="1595"/>
        <item x="457"/>
        <item x="1267"/>
        <item x="304"/>
        <item x="538"/>
        <item x="1342"/>
        <item x="388"/>
        <item x="8"/>
        <item x="98"/>
        <item x="619"/>
        <item x="1417"/>
        <item x="473"/>
        <item x="183"/>
        <item x="1496"/>
        <item x="552"/>
        <item x="699"/>
        <item x="269"/>
        <item x="777"/>
        <item x="1572"/>
        <item x="634"/>
        <item x="354"/>
        <item x="858"/>
        <item x="934"/>
        <item x="1648"/>
        <item x="713"/>
        <item x="1010"/>
        <item x="439"/>
        <item x="792"/>
        <item x="520"/>
        <item x="1086"/>
        <item x="873"/>
        <item x="1162"/>
        <item x="947"/>
        <item x="1024"/>
        <item x="601"/>
        <item x="1240"/>
        <item x="1099"/>
        <item x="681"/>
        <item x="2"/>
        <item x="1314"/>
        <item x="1177"/>
        <item x="92"/>
        <item x="762"/>
        <item x="178"/>
        <item x="1387"/>
        <item x="1251"/>
        <item x="841"/>
        <item x="1466"/>
        <item x="917"/>
        <item x="263"/>
        <item x="1327"/>
        <item x="994"/>
        <item x="348"/>
        <item x="1542"/>
        <item x="1401"/>
        <item x="1070"/>
        <item x="1145"/>
        <item x="1481"/>
        <item x="433"/>
        <item x="1620"/>
        <item x="1222"/>
        <item x="515"/>
        <item x="1555"/>
        <item x="1298"/>
        <item x="595"/>
        <item x="1632"/>
        <item x="1370"/>
        <item x="675"/>
        <item x="1448"/>
        <item x="756"/>
        <item x="835"/>
        <item x="1526"/>
        <item x="911"/>
        <item x="988"/>
        <item x="1603"/>
        <item x="1064"/>
        <item x="1139"/>
        <item x="1217"/>
        <item x="1292"/>
        <item x="1365"/>
        <item x="76"/>
        <item x="1442"/>
        <item x="162"/>
        <item x="247"/>
        <item x="1520"/>
        <item x="332"/>
        <item x="1597"/>
        <item x="417"/>
        <item x="501"/>
        <item x="580"/>
        <item x="660"/>
        <item x="740"/>
        <item x="819"/>
        <item x="896"/>
        <item x="973"/>
        <item x="1049"/>
        <item x="1124"/>
        <item x="1202"/>
        <item x="1277"/>
        <item x="1351"/>
        <item x="1427"/>
        <item x="1504"/>
        <item x="1581"/>
        <item x="1658"/>
        <item x="10"/>
        <item x="100"/>
        <item x="185"/>
        <item x="271"/>
        <item x="356"/>
        <item x="441"/>
        <item x="522"/>
        <item x="14"/>
        <item x="104"/>
        <item x="189"/>
        <item x="603"/>
        <item x="275"/>
        <item x="683"/>
        <item x="360"/>
        <item x="764"/>
        <item x="843"/>
        <item x="18"/>
        <item x="445"/>
        <item x="919"/>
        <item x="108"/>
        <item x="995"/>
        <item x="526"/>
        <item x="193"/>
        <item x="1072"/>
        <item x="1147"/>
        <item x="279"/>
        <item x="607"/>
        <item x="6"/>
        <item x="1224"/>
        <item x="96"/>
        <item x="364"/>
        <item x="687"/>
        <item x="181"/>
        <item x="1300"/>
        <item x="767"/>
        <item x="449"/>
        <item x="267"/>
        <item x="847"/>
        <item x="530"/>
        <item x="1372"/>
        <item x="923"/>
        <item x="352"/>
        <item x="998"/>
        <item x="1450"/>
        <item x="611"/>
        <item x="1075"/>
        <item x="437"/>
        <item x="1151"/>
        <item x="1528"/>
        <item x="691"/>
        <item x="518"/>
        <item x="1228"/>
        <item x="1605"/>
        <item x="771"/>
        <item x="599"/>
        <item x="851"/>
        <item x="1304"/>
        <item x="927"/>
        <item x="679"/>
        <item x="1002"/>
        <item x="1375"/>
        <item x="760"/>
        <item x="1079"/>
        <item x="1454"/>
        <item x="1155"/>
        <item x="839"/>
        <item x="915"/>
        <item x="1232"/>
        <item x="1531"/>
        <item x="992"/>
        <item x="1308"/>
        <item x="1608"/>
        <item x="1068"/>
        <item x="1143"/>
        <item x="1379"/>
        <item x="1220"/>
        <item x="1458"/>
        <item x="1296"/>
        <item x="1534"/>
        <item x="1368"/>
        <item x="1612"/>
        <item x="1446"/>
        <item x="1524"/>
        <item x="1601"/>
        <item x="12"/>
        <item x="102"/>
        <item x="187"/>
        <item x="273"/>
        <item x="358"/>
        <item x="443"/>
        <item x="524"/>
        <item x="605"/>
        <item x="685"/>
        <item x="765"/>
        <item x="845"/>
        <item x="921"/>
        <item x="997"/>
        <item x="1074"/>
        <item x="1149"/>
        <item x="1226"/>
        <item x="1302"/>
        <item x="1373"/>
        <item x="1452"/>
        <item x="1529"/>
        <item x="1606"/>
        <item x="16"/>
        <item x="106"/>
        <item x="191"/>
        <item x="277"/>
        <item x="362"/>
        <item x="447"/>
        <item x="528"/>
        <item x="609"/>
        <item x="689"/>
        <item x="769"/>
        <item x="849"/>
        <item x="925"/>
        <item x="1000"/>
        <item x="1077"/>
        <item x="1153"/>
        <item x="1230"/>
        <item x="1306"/>
        <item x="1377"/>
        <item x="1456"/>
        <item x="1533"/>
        <item x="1610"/>
        <item t="default"/>
      </items>
    </pivotField>
    <pivotField showAll="0"/>
    <pivotField numFmtId="2" showAll="0"/>
    <pivotField showAll="0" defaultSubtotal="0">
      <items count="6">
        <item sd="0" x="0"/>
        <item sd="0" x="1"/>
        <item sd="0" x="2"/>
        <item sd="0" x="3"/>
        <item sd="0" x="4"/>
        <item sd="0" x="5"/>
      </items>
    </pivotField>
    <pivotField showAll="0" defaultSubtotal="0">
      <items count="4">
        <item sd="0" x="0"/>
        <item x="1"/>
        <item x="2"/>
        <item sd="0" x="3"/>
      </items>
    </pivotField>
  </pivotFields>
  <rowFields count="1">
    <field x="2"/>
  </rowFields>
  <rowItems count="2">
    <i>
      <x/>
    </i>
    <i t="grand">
      <x/>
    </i>
  </rowItems>
  <colItems count="1">
    <i/>
  </colItems>
  <dataFields count="1">
    <dataField name="Soma de Visitantes" fld="5" baseField="0" baseItem="0"/>
  </dataFields>
  <chartFormats count="1">
    <chartFormat chart="9" format="7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72" name="Mês">
      <autoFilter ref="A1">
        <filterColumn colId="0">
          <customFilters and="1">
            <customFilter operator="greaterThanOrEqual" val="43101"/>
            <customFilter operator="lessThanOrEqual" val="437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Tabela dinâmica5" cacheId="0" applyNumberFormats="0" applyBorderFormats="0" applyFontFormats="0" applyPatternFormats="0" applyAlignmentFormats="0" applyWidthHeightFormats="1" dataCaption="Valores" updatedVersion="6" minRefreshableVersion="5" useAutoFormatting="1" itemPrintTitles="1" createdVersion="6" indent="0" outline="1" outlineData="1" multipleFieldFilters="0" chartFormat="20">
  <location ref="H33:I35" firstHeaderRow="1" firstDataRow="1" firstDataCol="1"/>
  <pivotFields count="11">
    <pivotField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items count="4">
        <item x="0"/>
        <item h="1" x="1"/>
        <item h="1" x="2"/>
        <item t="default"/>
      </items>
    </pivotField>
    <pivotField axis="axisRow" showAll="0">
      <items count="6">
        <item h="1" x="0"/>
        <item h="1" x="1"/>
        <item h="1" x="2"/>
        <item x="3"/>
        <item h="1" x="4"/>
        <item t="default"/>
      </items>
    </pivotField>
    <pivotField showAll="0">
      <items count="3">
        <item h="1" x="0"/>
        <item x="1"/>
        <item t="default"/>
      </items>
    </pivotField>
    <pivotField dataField="1" showAll="0"/>
    <pivotField showAll="0">
      <items count="1673">
        <item x="45"/>
        <item x="791"/>
        <item x="35"/>
        <item x="123"/>
        <item x="208"/>
        <item x="294"/>
        <item x="379"/>
        <item x="55"/>
        <item x="41"/>
        <item x="129"/>
        <item x="214"/>
        <item x="300"/>
        <item x="49"/>
        <item x="136"/>
        <item x="221"/>
        <item x="307"/>
        <item x="391"/>
        <item x="31"/>
        <item x="120"/>
        <item x="205"/>
        <item x="43"/>
        <item x="131"/>
        <item x="216"/>
        <item x="302"/>
        <item x="386"/>
        <item x="471"/>
        <item x="550"/>
        <item x="632"/>
        <item x="711"/>
        <item x="789"/>
        <item x="871"/>
        <item x="51"/>
        <item x="138"/>
        <item x="223"/>
        <item x="309"/>
        <item x="393"/>
        <item x="477"/>
        <item x="556"/>
        <item x="1479"/>
        <item x="33"/>
        <item x="59"/>
        <item x="145"/>
        <item x="230"/>
        <item x="316"/>
        <item x="400"/>
        <item x="463"/>
        <item x="484"/>
        <item x="563"/>
        <item x="624"/>
        <item x="644"/>
        <item x="723"/>
        <item x="863"/>
        <item x="802"/>
        <item x="882"/>
        <item x="957"/>
        <item x="1033"/>
        <item x="1168"/>
        <item x="1108"/>
        <item x="39"/>
        <item x="127"/>
        <item x="212"/>
        <item x="298"/>
        <item x="1472"/>
        <item x="383"/>
        <item x="1489"/>
        <item x="468"/>
        <item x="1565"/>
        <item x="547"/>
        <item x="1641"/>
        <item x="629"/>
        <item x="47"/>
        <item x="134"/>
        <item x="786"/>
        <item x="219"/>
        <item x="868"/>
        <item x="305"/>
        <item x="1020"/>
        <item x="389"/>
        <item x="1095"/>
        <item x="1173"/>
        <item x="474"/>
        <item x="1247"/>
        <item x="553"/>
        <item x="1323"/>
        <item x="635"/>
        <item x="1397"/>
        <item x="714"/>
        <item x="1476"/>
        <item x="793"/>
        <item x="53"/>
        <item x="140"/>
        <item x="948"/>
        <item x="225"/>
        <item x="311"/>
        <item x="1178"/>
        <item x="395"/>
        <item x="1252"/>
        <item x="479"/>
        <item x="1328"/>
        <item x="558"/>
        <item x="1402"/>
        <item x="639"/>
        <item x="718"/>
        <item x="1556"/>
        <item x="797"/>
        <item x="1633"/>
        <item x="877"/>
        <item x="75"/>
        <item x="952"/>
        <item x="161"/>
        <item x="1028"/>
        <item x="246"/>
        <item x="1103"/>
        <item x="331"/>
        <item x="1182"/>
        <item x="416"/>
        <item x="1256"/>
        <item x="500"/>
        <item x="579"/>
        <item x="1406"/>
        <item x="659"/>
        <item x="739"/>
        <item x="1560"/>
        <item x="818"/>
        <item x="57"/>
        <item x="1637"/>
        <item x="143"/>
        <item x="972"/>
        <item x="228"/>
        <item x="1048"/>
        <item x="314"/>
        <item x="1123"/>
        <item x="1201"/>
        <item x="398"/>
        <item x="1276"/>
        <item x="482"/>
        <item x="561"/>
        <item x="1426"/>
        <item x="642"/>
        <item x="1503"/>
        <item x="721"/>
        <item x="800"/>
        <item x="880"/>
        <item x="1657"/>
        <item x="955"/>
        <item x="1031"/>
        <item x="1106"/>
        <item x="1185"/>
        <item x="1259"/>
        <item x="37"/>
        <item x="125"/>
        <item x="1334"/>
        <item x="210"/>
        <item x="1409"/>
        <item x="296"/>
        <item x="1487"/>
        <item x="381"/>
        <item x="1563"/>
        <item x="466"/>
        <item x="545"/>
        <item x="627"/>
        <item x="707"/>
        <item x="784"/>
        <item x="866"/>
        <item x="942"/>
        <item x="1018"/>
        <item x="1093"/>
        <item x="1171"/>
        <item x="1245"/>
        <item x="1321"/>
        <item x="65"/>
        <item x="1395"/>
        <item x="151"/>
        <item x="1475"/>
        <item x="236"/>
        <item x="71"/>
        <item x="157"/>
        <item x="1550"/>
        <item x="242"/>
        <item x="406"/>
        <item x="327"/>
        <item x="490"/>
        <item x="412"/>
        <item x="569"/>
        <item x="496"/>
        <item x="650"/>
        <item x="575"/>
        <item x="729"/>
        <item x="73"/>
        <item x="15"/>
        <item x="159"/>
        <item x="808"/>
        <item x="105"/>
        <item x="244"/>
        <item x="735"/>
        <item x="190"/>
        <item x="963"/>
        <item x="329"/>
        <item x="814"/>
        <item x="1039"/>
        <item x="276"/>
        <item x="414"/>
        <item x="1114"/>
        <item x="361"/>
        <item x="1192"/>
        <item x="1045"/>
        <item x="498"/>
        <item x="446"/>
        <item x="1266"/>
        <item x="577"/>
        <item x="1120"/>
        <item x="527"/>
        <item x="1198"/>
        <item x="1341"/>
        <item x="657"/>
        <item x="1272"/>
        <item x="608"/>
        <item x="1416"/>
        <item x="737"/>
        <item x="1347"/>
        <item x="1495"/>
        <item x="688"/>
        <item x="816"/>
        <item x="1422"/>
        <item x="768"/>
        <item x="894"/>
        <item x="1571"/>
        <item x="970"/>
        <item x="848"/>
        <item x="1047"/>
        <item x="924"/>
        <item x="1647"/>
        <item x="999"/>
        <item x="1577"/>
        <item x="1122"/>
        <item x="1200"/>
        <item x="1076"/>
        <item x="1653"/>
        <item x="1152"/>
        <item x="1274"/>
        <item x="1229"/>
        <item x="1349"/>
        <item x="1305"/>
        <item x="1424"/>
        <item x="1376"/>
        <item x="1455"/>
        <item x="1579"/>
        <item x="1532"/>
        <item x="1655"/>
        <item x="1609"/>
        <item x="79"/>
        <item x="165"/>
        <item x="250"/>
        <item x="85"/>
        <item x="335"/>
        <item x="171"/>
        <item x="25"/>
        <item x="5"/>
        <item x="256"/>
        <item x="420"/>
        <item x="95"/>
        <item x="29"/>
        <item x="11"/>
        <item x="341"/>
        <item x="118"/>
        <item x="101"/>
        <item x="286"/>
        <item x="203"/>
        <item x="426"/>
        <item x="266"/>
        <item x="186"/>
        <item x="371"/>
        <item x="290"/>
        <item x="351"/>
        <item x="272"/>
        <item x="21"/>
        <item x="663"/>
        <item x="456"/>
        <item x="375"/>
        <item x="588"/>
        <item x="111"/>
        <item x="357"/>
        <item x="436"/>
        <item x="537"/>
        <item x="743"/>
        <item x="196"/>
        <item x="460"/>
        <item x="442"/>
        <item x="822"/>
        <item x="282"/>
        <item x="618"/>
        <item x="523"/>
        <item x="899"/>
        <item x="749"/>
        <item x="598"/>
        <item x="367"/>
        <item x="698"/>
        <item x="621"/>
        <item x="1052"/>
        <item x="828"/>
        <item x="678"/>
        <item x="604"/>
        <item x="452"/>
        <item x="702"/>
        <item x="1127"/>
        <item x="19"/>
        <item x="759"/>
        <item x="684"/>
        <item x="981"/>
        <item x="533"/>
        <item x="109"/>
        <item x="780"/>
        <item x="838"/>
        <item x="933"/>
        <item x="194"/>
        <item x="914"/>
        <item x="1009"/>
        <item x="861"/>
        <item x="614"/>
        <item x="991"/>
        <item x="844"/>
        <item x="937"/>
        <item x="280"/>
        <item x="1210"/>
        <item x="1085"/>
        <item x="920"/>
        <item x="1013"/>
        <item x="694"/>
        <item x="1067"/>
        <item x="1161"/>
        <item x="996"/>
        <item x="365"/>
        <item x="1285"/>
        <item x="1142"/>
        <item x="1088"/>
        <item x="1430"/>
        <item x="773"/>
        <item x="1239"/>
        <item x="1073"/>
        <item x="1165"/>
        <item x="1358"/>
        <item x="1507"/>
        <item x="450"/>
        <item x="1148"/>
        <item x="854"/>
        <item x="1313"/>
        <item x="929"/>
        <item x="531"/>
        <item x="1295"/>
        <item x="1225"/>
        <item x="1005"/>
        <item x="1584"/>
        <item x="1316"/>
        <item x="1386"/>
        <item x="1513"/>
        <item x="1301"/>
        <item x="1082"/>
        <item x="612"/>
        <item x="1661"/>
        <item x="1465"/>
        <item x="1157"/>
        <item x="1390"/>
        <item x="1445"/>
        <item x="692"/>
        <item x="1590"/>
        <item x="1469"/>
        <item x="1235"/>
        <item x="1541"/>
        <item x="1451"/>
        <item x="13"/>
        <item x="61"/>
        <item x="1667"/>
        <item x="1523"/>
        <item x="103"/>
        <item x="147"/>
        <item x="1619"/>
        <item x="852"/>
        <item x="1545"/>
        <item x="188"/>
        <item x="1600"/>
        <item x="232"/>
        <item x="1382"/>
        <item x="1003"/>
        <item x="1623"/>
        <item x="274"/>
        <item x="318"/>
        <item x="1461"/>
        <item x="1080"/>
        <item x="359"/>
        <item x="402"/>
        <item x="1537"/>
        <item x="1233"/>
        <item x="444"/>
        <item x="486"/>
        <item x="1615"/>
        <item x="525"/>
        <item x="565"/>
        <item x="1380"/>
        <item x="606"/>
        <item x="646"/>
        <item x="1459"/>
        <item x="686"/>
        <item x="725"/>
        <item x="766"/>
        <item x="804"/>
        <item x="1535"/>
        <item x="1"/>
        <item x="846"/>
        <item x="884"/>
        <item x="91"/>
        <item x="1613"/>
        <item x="922"/>
        <item x="959"/>
        <item x="177"/>
        <item x="1035"/>
        <item x="262"/>
        <item x="1110"/>
        <item x="1150"/>
        <item x="1188"/>
        <item x="347"/>
        <item x="81"/>
        <item x="1227"/>
        <item x="1262"/>
        <item x="167"/>
        <item x="63"/>
        <item x="432"/>
        <item x="1303"/>
        <item x="149"/>
        <item x="1337"/>
        <item x="252"/>
        <item x="514"/>
        <item x="234"/>
        <item x="337"/>
        <item x="1374"/>
        <item x="1412"/>
        <item x="77"/>
        <item x="320"/>
        <item x="594"/>
        <item x="1453"/>
        <item x="163"/>
        <item x="1491"/>
        <item x="422"/>
        <item x="248"/>
        <item x="404"/>
        <item x="674"/>
        <item x="505"/>
        <item x="1530"/>
        <item x="1567"/>
        <item x="333"/>
        <item x="755"/>
        <item x="488"/>
        <item x="584"/>
        <item x="1607"/>
        <item x="1643"/>
        <item x="834"/>
        <item x="418"/>
        <item x="567"/>
        <item x="910"/>
        <item x="665"/>
        <item x="987"/>
        <item x="502"/>
        <item x="648"/>
        <item x="745"/>
        <item x="1063"/>
        <item x="581"/>
        <item x="1138"/>
        <item x="727"/>
        <item x="824"/>
        <item x="1216"/>
        <item x="661"/>
        <item x="806"/>
        <item x="901"/>
        <item x="977"/>
        <item x="886"/>
        <item x="1291"/>
        <item x="741"/>
        <item x="1054"/>
        <item x="961"/>
        <item x="1037"/>
        <item x="820"/>
        <item x="1129"/>
        <item x="1364"/>
        <item x="1206"/>
        <item x="897"/>
        <item x="1112"/>
        <item x="1441"/>
        <item x="974"/>
        <item x="1190"/>
        <item x="1281"/>
        <item x="23"/>
        <item x="1050"/>
        <item x="54"/>
        <item x="113"/>
        <item x="1264"/>
        <item x="1519"/>
        <item x="141"/>
        <item x="1125"/>
        <item x="198"/>
        <item x="1203"/>
        <item x="1339"/>
        <item x="226"/>
        <item x="1596"/>
        <item x="1432"/>
        <item x="284"/>
        <item x="1278"/>
        <item x="312"/>
        <item x="1414"/>
        <item x="1509"/>
        <item x="369"/>
        <item x="1352"/>
        <item x="1493"/>
        <item x="396"/>
        <item x="1586"/>
        <item x="454"/>
        <item x="1428"/>
        <item x="480"/>
        <item x="1569"/>
        <item x="535"/>
        <item x="1663"/>
        <item x="1505"/>
        <item x="559"/>
        <item x="1645"/>
        <item x="616"/>
        <item x="1582"/>
        <item x="640"/>
        <item x="696"/>
        <item x="1659"/>
        <item x="719"/>
        <item x="775"/>
        <item x="798"/>
        <item x="856"/>
        <item x="878"/>
        <item x="931"/>
        <item x="17"/>
        <item x="953"/>
        <item x="1007"/>
        <item x="107"/>
        <item x="1029"/>
        <item x="192"/>
        <item x="1104"/>
        <item x="1159"/>
        <item x="1183"/>
        <item x="27"/>
        <item x="278"/>
        <item x="116"/>
        <item x="1237"/>
        <item x="9"/>
        <item x="1257"/>
        <item x="363"/>
        <item x="99"/>
        <item x="201"/>
        <item x="1311"/>
        <item x="184"/>
        <item x="1332"/>
        <item x="288"/>
        <item x="448"/>
        <item x="89"/>
        <item x="1384"/>
        <item x="270"/>
        <item x="175"/>
        <item x="529"/>
        <item x="1407"/>
        <item x="373"/>
        <item x="1463"/>
        <item x="260"/>
        <item x="355"/>
        <item x="1485"/>
        <item x="458"/>
        <item x="610"/>
        <item x="345"/>
        <item x="1539"/>
        <item x="440"/>
        <item x="539"/>
        <item x="3"/>
        <item x="1561"/>
        <item x="690"/>
        <item x="430"/>
        <item x="50"/>
        <item x="93"/>
        <item x="521"/>
        <item x="1617"/>
        <item x="34"/>
        <item x="137"/>
        <item x="1638"/>
        <item x="770"/>
        <item x="179"/>
        <item x="83"/>
        <item x="122"/>
        <item x="512"/>
        <item x="222"/>
        <item x="169"/>
        <item x="850"/>
        <item x="602"/>
        <item x="207"/>
        <item x="264"/>
        <item x="700"/>
        <item x="592"/>
        <item x="926"/>
        <item x="254"/>
        <item x="308"/>
        <item x="1001"/>
        <item x="682"/>
        <item x="293"/>
        <item x="349"/>
        <item x="778"/>
        <item x="339"/>
        <item x="392"/>
        <item x="672"/>
        <item x="1078"/>
        <item x="763"/>
        <item x="859"/>
        <item x="378"/>
        <item x="434"/>
        <item x="1154"/>
        <item x="424"/>
        <item x="935"/>
        <item x="842"/>
        <item x="753"/>
        <item x="476"/>
        <item x="1011"/>
        <item x="516"/>
        <item x="918"/>
        <item x="464"/>
        <item x="1231"/>
        <item x="555"/>
        <item x="507"/>
        <item x="832"/>
        <item x="543"/>
        <item x="1307"/>
        <item x="586"/>
        <item x="908"/>
        <item x="1163"/>
        <item x="596"/>
        <item x="1071"/>
        <item x="985"/>
        <item x="637"/>
        <item x="1146"/>
        <item x="625"/>
        <item x="1061"/>
        <item x="676"/>
        <item x="1378"/>
        <item x="667"/>
        <item x="716"/>
        <item x="69"/>
        <item x="1223"/>
        <item x="1457"/>
        <item x="705"/>
        <item x="1136"/>
        <item x="757"/>
        <item x="155"/>
        <item x="747"/>
        <item x="1214"/>
        <item x="795"/>
        <item x="1299"/>
        <item x="836"/>
        <item x="240"/>
        <item x="782"/>
        <item x="1388"/>
        <item x="875"/>
        <item x="912"/>
        <item x="826"/>
        <item x="1289"/>
        <item x="864"/>
        <item x="950"/>
        <item x="989"/>
        <item x="325"/>
        <item x="1371"/>
        <item x="1467"/>
        <item x="903"/>
        <item x="940"/>
        <item x="1026"/>
        <item x="1611"/>
        <item x="1362"/>
        <item x="1449"/>
        <item x="979"/>
        <item x="1016"/>
        <item x="1065"/>
        <item x="410"/>
        <item x="1056"/>
        <item x="1101"/>
        <item x="1140"/>
        <item x="1543"/>
        <item x="1091"/>
        <item x="1439"/>
        <item x="1180"/>
        <item x="494"/>
        <item x="1527"/>
        <item x="1131"/>
        <item x="1169"/>
        <item x="1218"/>
        <item x="1621"/>
        <item x="1517"/>
        <item x="1208"/>
        <item x="1254"/>
        <item x="573"/>
        <item x="1604"/>
        <item x="1243"/>
        <item x="1293"/>
        <item x="1283"/>
        <item x="1330"/>
        <item x="1594"/>
        <item x="1319"/>
        <item x="654"/>
        <item x="1366"/>
        <item x="1356"/>
        <item x="1671"/>
        <item x="1404"/>
        <item x="1443"/>
        <item x="733"/>
        <item x="1393"/>
        <item x="1483"/>
        <item x="1434"/>
        <item x="1473"/>
        <item x="812"/>
        <item x="1511"/>
        <item x="1521"/>
        <item x="891"/>
        <item x="1558"/>
        <item x="967"/>
        <item x="1548"/>
        <item x="1598"/>
        <item x="1043"/>
        <item x="1588"/>
        <item x="1635"/>
        <item x="1626"/>
        <item x="1118"/>
        <item x="1665"/>
        <item x="1196"/>
        <item x="1270"/>
        <item x="64"/>
        <item x="150"/>
        <item x="1345"/>
        <item x="235"/>
        <item x="1602"/>
        <item x="1420"/>
        <item x="321"/>
        <item x="1499"/>
        <item x="405"/>
        <item x="1575"/>
        <item x="489"/>
        <item x="1649"/>
        <item x="568"/>
        <item x="1651"/>
        <item x="649"/>
        <item x="728"/>
        <item x="84"/>
        <item x="58"/>
        <item x="170"/>
        <item x="144"/>
        <item x="807"/>
        <item x="255"/>
        <item x="229"/>
        <item x="887"/>
        <item x="962"/>
        <item x="340"/>
        <item x="315"/>
        <item x="1038"/>
        <item x="425"/>
        <item x="399"/>
        <item x="1113"/>
        <item x="1191"/>
        <item x="508"/>
        <item x="483"/>
        <item x="1265"/>
        <item x="587"/>
        <item x="562"/>
        <item x="1340"/>
        <item x="668"/>
        <item x="643"/>
        <item x="1415"/>
        <item x="748"/>
        <item x="722"/>
        <item x="1494"/>
        <item x="827"/>
        <item x="801"/>
        <item x="7"/>
        <item x="1570"/>
        <item x="904"/>
        <item x="881"/>
        <item x="97"/>
        <item x="980"/>
        <item x="956"/>
        <item x="1646"/>
        <item x="1057"/>
        <item x="182"/>
        <item x="1032"/>
        <item x="1132"/>
        <item x="30"/>
        <item x="268"/>
        <item x="1107"/>
        <item x="1209"/>
        <item x="119"/>
        <item x="1186"/>
        <item x="353"/>
        <item x="204"/>
        <item x="1284"/>
        <item x="1260"/>
        <item x="291"/>
        <item x="438"/>
        <item x="1357"/>
        <item x="1335"/>
        <item x="519"/>
        <item x="376"/>
        <item x="1435"/>
        <item x="1410"/>
        <item x="1512"/>
        <item x="461"/>
        <item x="600"/>
        <item x="1488"/>
        <item x="541"/>
        <item x="680"/>
        <item x="1589"/>
        <item x="1564"/>
        <item x="761"/>
        <item x="622"/>
        <item x="52"/>
        <item x="1666"/>
        <item x="1640"/>
        <item x="840"/>
        <item x="139"/>
        <item x="703"/>
        <item x="916"/>
        <item x="224"/>
        <item x="87"/>
        <item x="67"/>
        <item x="993"/>
        <item x="173"/>
        <item x="153"/>
        <item x="310"/>
        <item x="1069"/>
        <item x="258"/>
        <item x="238"/>
        <item x="1144"/>
        <item x="938"/>
        <item x="394"/>
        <item x="343"/>
        <item x="323"/>
        <item x="1014"/>
        <item x="1221"/>
        <item x="478"/>
        <item x="428"/>
        <item x="408"/>
        <item x="1089"/>
        <item x="1297"/>
        <item x="1166"/>
        <item x="557"/>
        <item x="510"/>
        <item x="492"/>
        <item x="1242"/>
        <item x="1369"/>
        <item x="590"/>
        <item x="571"/>
        <item x="638"/>
        <item x="1447"/>
        <item x="1317"/>
        <item x="717"/>
        <item x="670"/>
        <item x="652"/>
        <item x="1391"/>
        <item x="1525"/>
        <item x="796"/>
        <item x="751"/>
        <item x="731"/>
        <item x="1470"/>
        <item x="876"/>
        <item x="951"/>
        <item x="830"/>
        <item x="810"/>
        <item x="1027"/>
        <item x="1546"/>
        <item x="906"/>
        <item x="889"/>
        <item x="983"/>
        <item x="965"/>
        <item x="1102"/>
        <item x="1624"/>
        <item x="1059"/>
        <item x="1041"/>
        <item x="1181"/>
        <item x="80"/>
        <item x="1134"/>
        <item x="1116"/>
        <item x="1255"/>
        <item x="166"/>
        <item x="1212"/>
        <item x="1194"/>
        <item x="251"/>
        <item x="1331"/>
        <item x="1287"/>
        <item x="1268"/>
        <item x="336"/>
        <item x="1405"/>
        <item x="1360"/>
        <item x="1343"/>
        <item x="421"/>
        <item x="1484"/>
        <item x="1437"/>
        <item x="1418"/>
        <item x="504"/>
        <item x="1515"/>
        <item x="1497"/>
        <item x="1559"/>
        <item x="583"/>
        <item x="1636"/>
        <item x="1592"/>
        <item x="1573"/>
        <item x="664"/>
        <item x="1669"/>
        <item x="744"/>
        <item x="823"/>
        <item x="900"/>
        <item x="32"/>
        <item x="976"/>
        <item x="121"/>
        <item x="1053"/>
        <item x="206"/>
        <item x="1128"/>
        <item x="292"/>
        <item x="1205"/>
        <item x="377"/>
        <item x="1280"/>
        <item x="44"/>
        <item x="1354"/>
        <item x="462"/>
        <item x="132"/>
        <item x="542"/>
        <item x="217"/>
        <item x="1431"/>
        <item x="303"/>
        <item x="1508"/>
        <item x="623"/>
        <item x="387"/>
        <item x="704"/>
        <item x="1585"/>
        <item x="60"/>
        <item x="472"/>
        <item x="781"/>
        <item x="1662"/>
        <item x="146"/>
        <item x="551"/>
        <item x="862"/>
        <item x="38"/>
        <item x="231"/>
        <item x="939"/>
        <item x="126"/>
        <item x="1015"/>
        <item x="317"/>
        <item x="633"/>
        <item x="211"/>
        <item x="1090"/>
        <item x="56"/>
        <item x="401"/>
        <item x="712"/>
        <item x="297"/>
        <item x="1167"/>
        <item x="142"/>
        <item x="790"/>
        <item x="227"/>
        <item x="382"/>
        <item x="485"/>
        <item x="872"/>
        <item x="564"/>
        <item x="313"/>
        <item x="1318"/>
        <item x="946"/>
        <item x="467"/>
        <item x="1023"/>
        <item x="397"/>
        <item x="546"/>
        <item x="645"/>
        <item x="1392"/>
        <item x="1098"/>
        <item x="74"/>
        <item x="1471"/>
        <item x="62"/>
        <item x="1176"/>
        <item x="481"/>
        <item x="724"/>
        <item x="160"/>
        <item x="628"/>
        <item x="148"/>
        <item x="560"/>
        <item x="245"/>
        <item x="1250"/>
        <item x="803"/>
        <item x="233"/>
        <item x="708"/>
        <item x="1547"/>
        <item x="883"/>
        <item x="330"/>
        <item x="1326"/>
        <item x="319"/>
        <item x="641"/>
        <item x="785"/>
        <item x="1625"/>
        <item x="958"/>
        <item x="1034"/>
        <item x="415"/>
        <item x="867"/>
        <item x="403"/>
        <item x="1400"/>
        <item x="720"/>
        <item x="943"/>
        <item x="1109"/>
        <item x="1480"/>
        <item x="1019"/>
        <item x="499"/>
        <item x="799"/>
        <item x="1187"/>
        <item x="487"/>
        <item x="578"/>
        <item x="879"/>
        <item x="1094"/>
        <item x="566"/>
        <item x="1261"/>
        <item x="1554"/>
        <item x="954"/>
        <item x="1172"/>
        <item x="1030"/>
        <item x="1336"/>
        <item x="658"/>
        <item x="1631"/>
        <item x="1246"/>
        <item x="647"/>
        <item x="1105"/>
        <item x="40"/>
        <item x="738"/>
        <item x="1184"/>
        <item x="1322"/>
        <item x="1411"/>
        <item x="128"/>
        <item x="726"/>
        <item x="1490"/>
        <item x="817"/>
        <item x="213"/>
        <item x="1258"/>
        <item x="805"/>
        <item x="1396"/>
        <item x="88"/>
        <item x="82"/>
        <item x="895"/>
        <item x="174"/>
        <item x="299"/>
        <item x="885"/>
        <item x="1333"/>
        <item x="168"/>
        <item x="971"/>
        <item x="1566"/>
        <item x="960"/>
        <item x="259"/>
        <item x="253"/>
        <item x="384"/>
        <item x="1036"/>
        <item x="1408"/>
        <item x="1642"/>
        <item x="1551"/>
        <item x="344"/>
        <item x="338"/>
        <item x="1111"/>
        <item x="1486"/>
        <item x="469"/>
        <item x="1189"/>
        <item x="1628"/>
        <item x="429"/>
        <item x="423"/>
        <item x="548"/>
        <item x="1275"/>
        <item x="1263"/>
        <item x="1562"/>
        <item x="511"/>
        <item x="506"/>
        <item x="1350"/>
        <item x="630"/>
        <item x="1338"/>
        <item x="1639"/>
        <item x="591"/>
        <item x="585"/>
        <item x="709"/>
        <item x="1425"/>
        <item x="1413"/>
        <item x="671"/>
        <item x="1502"/>
        <item x="666"/>
        <item x="787"/>
        <item x="1492"/>
        <item x="752"/>
        <item x="869"/>
        <item x="746"/>
        <item x="1580"/>
        <item x="944"/>
        <item x="1568"/>
        <item x="831"/>
        <item x="1021"/>
        <item x="825"/>
        <item x="1656"/>
        <item x="907"/>
        <item x="1644"/>
        <item x="902"/>
        <item x="1096"/>
        <item x="20"/>
        <item x="984"/>
        <item x="978"/>
        <item x="1174"/>
        <item x="110"/>
        <item x="1060"/>
        <item x="1055"/>
        <item x="195"/>
        <item x="1248"/>
        <item x="1135"/>
        <item x="1130"/>
        <item x="1213"/>
        <item x="281"/>
        <item x="1207"/>
        <item x="1324"/>
        <item x="1288"/>
        <item x="366"/>
        <item x="1282"/>
        <item x="1398"/>
        <item x="1361"/>
        <item x="1355"/>
        <item x="1477"/>
        <item x="451"/>
        <item x="532"/>
        <item x="1438"/>
        <item x="1433"/>
        <item x="1552"/>
        <item x="1516"/>
        <item x="1510"/>
        <item x="613"/>
        <item x="1629"/>
        <item x="1593"/>
        <item x="693"/>
        <item x="1587"/>
        <item x="1670"/>
        <item x="772"/>
        <item x="1664"/>
        <item x="853"/>
        <item x="24"/>
        <item x="928"/>
        <item x="114"/>
        <item x="1004"/>
        <item x="199"/>
        <item x="1081"/>
        <item x="285"/>
        <item x="1156"/>
        <item x="370"/>
        <item x="1234"/>
        <item x="68"/>
        <item x="48"/>
        <item x="154"/>
        <item x="1309"/>
        <item x="455"/>
        <item x="135"/>
        <item x="239"/>
        <item x="28"/>
        <item x="536"/>
        <item x="220"/>
        <item x="117"/>
        <item x="1381"/>
        <item x="324"/>
        <item x="306"/>
        <item x="202"/>
        <item x="1460"/>
        <item x="617"/>
        <item x="409"/>
        <item x="390"/>
        <item x="289"/>
        <item x="697"/>
        <item x="1536"/>
        <item x="493"/>
        <item x="374"/>
        <item x="475"/>
        <item x="776"/>
        <item x="1614"/>
        <item x="572"/>
        <item x="554"/>
        <item x="857"/>
        <item x="459"/>
        <item x="932"/>
        <item x="540"/>
        <item x="653"/>
        <item x="1008"/>
        <item x="636"/>
        <item x="732"/>
        <item x="1084"/>
        <item x="715"/>
        <item x="620"/>
        <item x="70"/>
        <item x="1160"/>
        <item x="156"/>
        <item x="811"/>
        <item x="794"/>
        <item x="701"/>
        <item x="1238"/>
        <item x="42"/>
        <item x="241"/>
        <item x="890"/>
        <item x="874"/>
        <item x="130"/>
        <item x="966"/>
        <item x="779"/>
        <item x="1312"/>
        <item x="949"/>
        <item x="326"/>
        <item x="1042"/>
        <item x="215"/>
        <item x="1025"/>
        <item x="860"/>
        <item x="936"/>
        <item x="411"/>
        <item x="1117"/>
        <item x="1385"/>
        <item x="301"/>
        <item x="1100"/>
        <item x="1012"/>
        <item x="1195"/>
        <item x="1464"/>
        <item x="1179"/>
        <item x="385"/>
        <item x="495"/>
        <item x="1087"/>
        <item x="1269"/>
        <item x="1253"/>
        <item x="1164"/>
        <item x="574"/>
        <item x="1540"/>
        <item x="470"/>
        <item x="1344"/>
        <item x="1329"/>
        <item x="1241"/>
        <item x="549"/>
        <item x="1618"/>
        <item x="655"/>
        <item x="1419"/>
        <item x="1315"/>
        <item x="1403"/>
        <item x="734"/>
        <item x="1498"/>
        <item x="631"/>
        <item x="1482"/>
        <item x="1389"/>
        <item x="36"/>
        <item x="813"/>
        <item x="710"/>
        <item x="1468"/>
        <item x="124"/>
        <item x="1574"/>
        <item x="892"/>
        <item x="1557"/>
        <item x="788"/>
        <item x="209"/>
        <item x="968"/>
        <item x="1650"/>
        <item x="1044"/>
        <item x="1634"/>
        <item x="870"/>
        <item x="1544"/>
        <item x="295"/>
        <item x="945"/>
        <item x="1119"/>
        <item x="1022"/>
        <item x="1622"/>
        <item x="380"/>
        <item x="1197"/>
        <item x="1097"/>
        <item x="1271"/>
        <item x="1175"/>
        <item x="465"/>
        <item x="544"/>
        <item x="1346"/>
        <item x="4"/>
        <item x="1249"/>
        <item x="94"/>
        <item x="1325"/>
        <item x="1421"/>
        <item x="180"/>
        <item x="626"/>
        <item x="1500"/>
        <item x="265"/>
        <item x="1399"/>
        <item x="706"/>
        <item x="1478"/>
        <item x="350"/>
        <item x="783"/>
        <item x="1576"/>
        <item x="72"/>
        <item x="86"/>
        <item x="865"/>
        <item x="158"/>
        <item x="1652"/>
        <item x="172"/>
        <item x="435"/>
        <item x="1553"/>
        <item x="941"/>
        <item x="243"/>
        <item x="1017"/>
        <item x="257"/>
        <item x="517"/>
        <item x="1630"/>
        <item x="328"/>
        <item x="1092"/>
        <item x="342"/>
        <item x="1170"/>
        <item x="597"/>
        <item x="413"/>
        <item x="427"/>
        <item x="1244"/>
        <item x="22"/>
        <item x="677"/>
        <item x="112"/>
        <item x="497"/>
        <item x="509"/>
        <item x="1320"/>
        <item x="758"/>
        <item x="197"/>
        <item x="576"/>
        <item x="589"/>
        <item x="78"/>
        <item x="837"/>
        <item x="164"/>
        <item x="1394"/>
        <item x="283"/>
        <item x="913"/>
        <item x="990"/>
        <item x="249"/>
        <item x="656"/>
        <item x="1474"/>
        <item x="669"/>
        <item x="368"/>
        <item x="1066"/>
        <item x="334"/>
        <item x="736"/>
        <item x="750"/>
        <item x="1141"/>
        <item x="1549"/>
        <item x="453"/>
        <item x="419"/>
        <item x="815"/>
        <item x="829"/>
        <item x="534"/>
        <item x="1219"/>
        <item x="1627"/>
        <item x="893"/>
        <item x="905"/>
        <item x="503"/>
        <item x="969"/>
        <item x="982"/>
        <item x="1294"/>
        <item x="1046"/>
        <item x="615"/>
        <item x="1058"/>
        <item x="582"/>
        <item x="1367"/>
        <item x="1121"/>
        <item x="695"/>
        <item x="1133"/>
        <item x="1199"/>
        <item x="1211"/>
        <item x="1444"/>
        <item x="662"/>
        <item x="0"/>
        <item x="774"/>
        <item x="90"/>
        <item x="1273"/>
        <item x="1286"/>
        <item x="742"/>
        <item x="855"/>
        <item x="1522"/>
        <item x="176"/>
        <item x="930"/>
        <item x="1348"/>
        <item x="1359"/>
        <item x="821"/>
        <item x="1006"/>
        <item x="1599"/>
        <item x="261"/>
        <item x="898"/>
        <item x="1423"/>
        <item x="1083"/>
        <item x="1436"/>
        <item x="975"/>
        <item x="346"/>
        <item x="1158"/>
        <item x="1051"/>
        <item x="1501"/>
        <item x="1514"/>
        <item x="1236"/>
        <item x="1126"/>
        <item x="431"/>
        <item x="1204"/>
        <item x="1578"/>
        <item x="1591"/>
        <item x="513"/>
        <item x="1310"/>
        <item x="66"/>
        <item x="1279"/>
        <item x="1654"/>
        <item x="1668"/>
        <item x="152"/>
        <item x="1383"/>
        <item x="593"/>
        <item x="1353"/>
        <item x="237"/>
        <item x="1462"/>
        <item x="673"/>
        <item x="322"/>
        <item x="1429"/>
        <item x="754"/>
        <item x="1538"/>
        <item x="1506"/>
        <item x="407"/>
        <item x="833"/>
        <item x="1616"/>
        <item x="909"/>
        <item x="491"/>
        <item x="1583"/>
        <item x="986"/>
        <item x="570"/>
        <item x="1660"/>
        <item x="1062"/>
        <item x="1137"/>
        <item x="651"/>
        <item x="1215"/>
        <item x="730"/>
        <item x="1290"/>
        <item x="26"/>
        <item x="809"/>
        <item x="115"/>
        <item x="1363"/>
        <item x="888"/>
        <item x="200"/>
        <item x="964"/>
        <item x="1440"/>
        <item x="1040"/>
        <item x="287"/>
        <item x="46"/>
        <item x="133"/>
        <item x="1115"/>
        <item x="1518"/>
        <item x="372"/>
        <item x="1193"/>
        <item x="218"/>
        <item x="1595"/>
        <item x="457"/>
        <item x="1267"/>
        <item x="304"/>
        <item x="538"/>
        <item x="1342"/>
        <item x="388"/>
        <item x="8"/>
        <item x="98"/>
        <item x="619"/>
        <item x="1417"/>
        <item x="473"/>
        <item x="183"/>
        <item x="1496"/>
        <item x="552"/>
        <item x="699"/>
        <item x="269"/>
        <item x="777"/>
        <item x="1572"/>
        <item x="634"/>
        <item x="354"/>
        <item x="858"/>
        <item x="934"/>
        <item x="1648"/>
        <item x="713"/>
        <item x="1010"/>
        <item x="439"/>
        <item x="792"/>
        <item x="520"/>
        <item x="1086"/>
        <item x="873"/>
        <item x="1162"/>
        <item x="947"/>
        <item x="1024"/>
        <item x="601"/>
        <item x="1240"/>
        <item x="1099"/>
        <item x="681"/>
        <item x="2"/>
        <item x="1314"/>
        <item x="1177"/>
        <item x="92"/>
        <item x="762"/>
        <item x="178"/>
        <item x="1387"/>
        <item x="1251"/>
        <item x="841"/>
        <item x="1466"/>
        <item x="917"/>
        <item x="263"/>
        <item x="1327"/>
        <item x="994"/>
        <item x="348"/>
        <item x="1542"/>
        <item x="1401"/>
        <item x="1070"/>
        <item x="1145"/>
        <item x="1481"/>
        <item x="433"/>
        <item x="1620"/>
        <item x="1222"/>
        <item x="515"/>
        <item x="1555"/>
        <item x="1298"/>
        <item x="595"/>
        <item x="1632"/>
        <item x="1370"/>
        <item x="675"/>
        <item x="1448"/>
        <item x="756"/>
        <item x="835"/>
        <item x="1526"/>
        <item x="911"/>
        <item x="988"/>
        <item x="1603"/>
        <item x="1064"/>
        <item x="1139"/>
        <item x="1217"/>
        <item x="1292"/>
        <item x="1365"/>
        <item x="76"/>
        <item x="1442"/>
        <item x="162"/>
        <item x="247"/>
        <item x="1520"/>
        <item x="332"/>
        <item x="1597"/>
        <item x="417"/>
        <item x="501"/>
        <item x="580"/>
        <item x="660"/>
        <item x="740"/>
        <item x="819"/>
        <item x="896"/>
        <item x="973"/>
        <item x="1049"/>
        <item x="1124"/>
        <item x="1202"/>
        <item x="1277"/>
        <item x="1351"/>
        <item x="1427"/>
        <item x="1504"/>
        <item x="1581"/>
        <item x="1658"/>
        <item x="10"/>
        <item x="100"/>
        <item x="185"/>
        <item x="271"/>
        <item x="356"/>
        <item x="441"/>
        <item x="522"/>
        <item x="14"/>
        <item x="104"/>
        <item x="189"/>
        <item x="603"/>
        <item x="275"/>
        <item x="683"/>
        <item x="360"/>
        <item x="764"/>
        <item x="843"/>
        <item x="18"/>
        <item x="445"/>
        <item x="919"/>
        <item x="108"/>
        <item x="995"/>
        <item x="526"/>
        <item x="193"/>
        <item x="1072"/>
        <item x="1147"/>
        <item x="279"/>
        <item x="607"/>
        <item x="6"/>
        <item x="1224"/>
        <item x="96"/>
        <item x="364"/>
        <item x="687"/>
        <item x="181"/>
        <item x="1300"/>
        <item x="767"/>
        <item x="449"/>
        <item x="267"/>
        <item x="847"/>
        <item x="530"/>
        <item x="1372"/>
        <item x="923"/>
        <item x="352"/>
        <item x="998"/>
        <item x="1450"/>
        <item x="611"/>
        <item x="1075"/>
        <item x="437"/>
        <item x="1151"/>
        <item x="1528"/>
        <item x="691"/>
        <item x="518"/>
        <item x="1228"/>
        <item x="1605"/>
        <item x="771"/>
        <item x="599"/>
        <item x="851"/>
        <item x="1304"/>
        <item x="927"/>
        <item x="679"/>
        <item x="1002"/>
        <item x="1375"/>
        <item x="760"/>
        <item x="1079"/>
        <item x="1454"/>
        <item x="1155"/>
        <item x="839"/>
        <item x="915"/>
        <item x="1232"/>
        <item x="1531"/>
        <item x="992"/>
        <item x="1308"/>
        <item x="1608"/>
        <item x="1068"/>
        <item x="1143"/>
        <item x="1379"/>
        <item x="1220"/>
        <item x="1458"/>
        <item x="1296"/>
        <item x="1534"/>
        <item x="1368"/>
        <item x="1612"/>
        <item x="1446"/>
        <item x="1524"/>
        <item x="1601"/>
        <item x="12"/>
        <item x="102"/>
        <item x="187"/>
        <item x="273"/>
        <item x="358"/>
        <item x="443"/>
        <item x="524"/>
        <item x="605"/>
        <item x="685"/>
        <item x="765"/>
        <item x="845"/>
        <item x="921"/>
        <item x="997"/>
        <item x="1074"/>
        <item x="1149"/>
        <item x="1226"/>
        <item x="1302"/>
        <item x="1373"/>
        <item x="1452"/>
        <item x="1529"/>
        <item x="1606"/>
        <item x="16"/>
        <item x="106"/>
        <item x="191"/>
        <item x="277"/>
        <item x="362"/>
        <item x="447"/>
        <item x="528"/>
        <item x="609"/>
        <item x="689"/>
        <item x="769"/>
        <item x="849"/>
        <item x="925"/>
        <item x="1000"/>
        <item x="1077"/>
        <item x="1153"/>
        <item x="1230"/>
        <item x="1306"/>
        <item x="1377"/>
        <item x="1456"/>
        <item x="1533"/>
        <item x="1610"/>
        <item t="default"/>
      </items>
    </pivotField>
    <pivotField showAll="0"/>
    <pivotField numFmtId="2" showAll="0"/>
    <pivotField showAll="0" defaultSubtotal="0">
      <items count="6">
        <item sd="0" x="0"/>
        <item sd="0" x="1"/>
        <item sd="0" x="2"/>
        <item sd="0" x="3"/>
        <item sd="0" x="4"/>
        <item sd="0" x="5"/>
      </items>
    </pivotField>
    <pivotField showAll="0" defaultSubtotal="0">
      <items count="4">
        <item sd="0" x="0"/>
        <item x="1"/>
        <item x="2"/>
        <item sd="0" x="3"/>
      </items>
    </pivotField>
  </pivotFields>
  <rowFields count="1">
    <field x="3"/>
  </rowFields>
  <rowItems count="2">
    <i>
      <x v="3"/>
    </i>
    <i t="grand">
      <x/>
    </i>
  </rowItems>
  <colItems count="1">
    <i/>
  </colItems>
  <dataFields count="1">
    <dataField name="Soma de Visitantes" fld="5" baseField="0" baseItem="0"/>
  </dataFields>
  <chartFormats count="1">
    <chartFormat chart="19" format="7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72" name="Mês">
      <autoFilter ref="A1">
        <filterColumn colId="0">
          <customFilters and="1">
            <customFilter operator="greaterThanOrEqual" val="43101"/>
            <customFilter operator="lessThanOrEqual" val="437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Tabela dinâmica8" cacheId="0" applyNumberFormats="0" applyBorderFormats="0" applyFontFormats="0" applyPatternFormats="0" applyAlignmentFormats="0" applyWidthHeightFormats="1" dataCaption="Valores" updatedVersion="6" minRefreshableVersion="5" useAutoFormatting="1" itemPrintTitles="1" createdVersion="6" indent="0" outline="1" outlineData="1" multipleFieldFilters="0" chartFormat="12">
  <location ref="V11:X36" firstHeaderRow="1" firstDataRow="2" firstDataCol="1"/>
  <pivotFields count="11">
    <pivotField axis="axisRow"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axis="axisCol" showAll="0">
      <items count="4">
        <item x="0"/>
        <item h="1" x="1"/>
        <item h="1" x="2"/>
        <item t="default"/>
      </items>
    </pivotField>
    <pivotField showAll="0">
      <items count="6">
        <item h="1" x="0"/>
        <item h="1" x="1"/>
        <item h="1" x="2"/>
        <item x="3"/>
        <item h="1" x="4"/>
        <item t="default"/>
      </items>
    </pivotField>
    <pivotField showAll="0">
      <items count="3">
        <item h="1" x="0"/>
        <item x="1"/>
        <item t="default"/>
      </items>
    </pivotField>
    <pivotField dataField="1" showAll="0">
      <items count="1827">
        <item x="35"/>
        <item x="123"/>
        <item x="211"/>
        <item x="299"/>
        <item x="387"/>
        <item x="474"/>
        <item x="562"/>
        <item x="650"/>
        <item x="735"/>
        <item x="822"/>
        <item x="907"/>
        <item x="991"/>
        <item x="1078"/>
        <item x="1164"/>
        <item x="1251"/>
        <item x="1338"/>
        <item x="1426"/>
        <item x="1513"/>
        <item x="1599"/>
        <item x="1685"/>
        <item x="1773"/>
        <item x="25"/>
        <item x="113"/>
        <item x="201"/>
        <item x="289"/>
        <item x="377"/>
        <item x="45"/>
        <item x="133"/>
        <item x="552"/>
        <item x="221"/>
        <item x="640"/>
        <item x="309"/>
        <item x="725"/>
        <item x="397"/>
        <item x="812"/>
        <item x="484"/>
        <item x="897"/>
        <item x="572"/>
        <item x="660"/>
        <item x="983"/>
        <item x="745"/>
        <item x="1069"/>
        <item x="831"/>
        <item x="1155"/>
        <item x="1241"/>
        <item x="916"/>
        <item x="21"/>
        <item x="109"/>
        <item x="1329"/>
        <item x="1416"/>
        <item x="197"/>
        <item x="1001"/>
        <item x="285"/>
        <item x="1503"/>
        <item x="1088"/>
        <item x="373"/>
        <item x="1174"/>
        <item x="1590"/>
        <item x="1261"/>
        <item x="461"/>
        <item x="1676"/>
        <item x="1348"/>
        <item x="548"/>
        <item x="1763"/>
        <item x="1435"/>
        <item x="636"/>
        <item x="1522"/>
        <item x="721"/>
        <item x="1609"/>
        <item x="808"/>
        <item x="1695"/>
        <item x="893"/>
        <item x="1783"/>
        <item x="979"/>
        <item x="1065"/>
        <item x="1151"/>
        <item x="1237"/>
        <item x="1325"/>
        <item x="1412"/>
        <item x="1499"/>
        <item x="31"/>
        <item x="1586"/>
        <item x="119"/>
        <item x="1672"/>
        <item x="207"/>
        <item x="1759"/>
        <item x="295"/>
        <item x="383"/>
        <item x="470"/>
        <item x="558"/>
        <item x="646"/>
        <item x="51"/>
        <item x="139"/>
        <item x="731"/>
        <item x="818"/>
        <item x="227"/>
        <item x="315"/>
        <item x="903"/>
        <item x="403"/>
        <item x="490"/>
        <item x="1074"/>
        <item x="578"/>
        <item x="1160"/>
        <item x="665"/>
        <item x="1247"/>
        <item x="751"/>
        <item x="1334"/>
        <item x="836"/>
        <item x="1422"/>
        <item x="922"/>
        <item x="1509"/>
        <item x="41"/>
        <item x="1595"/>
        <item x="129"/>
        <item x="1007"/>
        <item x="1681"/>
        <item x="217"/>
        <item x="1093"/>
        <item x="1769"/>
        <item x="305"/>
        <item x="1179"/>
        <item x="1267"/>
        <item x="393"/>
        <item x="1354"/>
        <item x="480"/>
        <item x="1441"/>
        <item x="568"/>
        <item x="1528"/>
        <item x="656"/>
        <item x="29"/>
        <item x="741"/>
        <item x="117"/>
        <item x="23"/>
        <item x="1701"/>
        <item x="111"/>
        <item x="205"/>
        <item x="1789"/>
        <item x="49"/>
        <item x="199"/>
        <item x="293"/>
        <item x="137"/>
        <item x="287"/>
        <item x="381"/>
        <item x="225"/>
        <item x="997"/>
        <item x="375"/>
        <item x="468"/>
        <item x="313"/>
        <item x="1084"/>
        <item x="463"/>
        <item x="401"/>
        <item x="556"/>
        <item x="1170"/>
        <item x="550"/>
        <item x="1257"/>
        <item x="488"/>
        <item x="644"/>
        <item x="1344"/>
        <item x="638"/>
        <item x="729"/>
        <item x="576"/>
        <item x="1431"/>
        <item x="723"/>
        <item x="816"/>
        <item x="39"/>
        <item x="810"/>
        <item x="1518"/>
        <item x="127"/>
        <item x="901"/>
        <item x="749"/>
        <item x="895"/>
        <item x="1605"/>
        <item x="215"/>
        <item x="303"/>
        <item x="1691"/>
        <item x="920"/>
        <item x="981"/>
        <item x="391"/>
        <item x="1779"/>
        <item x="1067"/>
        <item x="33"/>
        <item x="478"/>
        <item x="1005"/>
        <item x="121"/>
        <item x="1245"/>
        <item x="1153"/>
        <item x="566"/>
        <item x="1239"/>
        <item x="209"/>
        <item x="1327"/>
        <item x="654"/>
        <item x="1420"/>
        <item x="297"/>
        <item x="1265"/>
        <item x="1414"/>
        <item x="739"/>
        <item x="1507"/>
        <item x="385"/>
        <item x="1352"/>
        <item x="826"/>
        <item x="1501"/>
        <item x="472"/>
        <item x="1439"/>
        <item x="911"/>
        <item x="1588"/>
        <item x="1526"/>
        <item x="560"/>
        <item x="1674"/>
        <item x="1767"/>
        <item x="648"/>
        <item x="1613"/>
        <item x="995"/>
        <item x="1761"/>
        <item x="733"/>
        <item x="1699"/>
        <item x="1082"/>
        <item x="820"/>
        <item x="1787"/>
        <item x="1168"/>
        <item x="905"/>
        <item x="1255"/>
        <item x="1342"/>
        <item x="989"/>
        <item x="43"/>
        <item x="131"/>
        <item x="1076"/>
        <item x="1162"/>
        <item x="219"/>
        <item x="1603"/>
        <item x="1249"/>
        <item x="307"/>
        <item x="1689"/>
        <item x="1336"/>
        <item x="395"/>
        <item x="1777"/>
        <item x="1424"/>
        <item x="482"/>
        <item x="53"/>
        <item x="1511"/>
        <item x="141"/>
        <item x="570"/>
        <item x="1597"/>
        <item x="229"/>
        <item x="658"/>
        <item x="1683"/>
        <item x="317"/>
        <item x="743"/>
        <item x="1771"/>
        <item x="405"/>
        <item x="829"/>
        <item x="492"/>
        <item x="914"/>
        <item x="580"/>
        <item x="999"/>
        <item x="667"/>
        <item x="1086"/>
        <item x="753"/>
        <item x="838"/>
        <item x="1172"/>
        <item x="1259"/>
        <item x="924"/>
        <item x="1346"/>
        <item x="1433"/>
        <item x="1009"/>
        <item x="1520"/>
        <item x="1095"/>
        <item x="1607"/>
        <item x="1181"/>
        <item x="1269"/>
        <item x="1693"/>
        <item x="1356"/>
        <item x="1781"/>
        <item x="1443"/>
        <item x="1530"/>
        <item x="1616"/>
        <item x="1703"/>
        <item x="1791"/>
        <item x="56"/>
        <item x="144"/>
        <item x="5"/>
        <item x="232"/>
        <item x="93"/>
        <item x="320"/>
        <item x="73"/>
        <item x="161"/>
        <item x="181"/>
        <item x="408"/>
        <item x="269"/>
        <item x="249"/>
        <item x="495"/>
        <item x="357"/>
        <item x="337"/>
        <item x="583"/>
        <item x="445"/>
        <item x="425"/>
        <item x="670"/>
        <item x="63"/>
        <item x="512"/>
        <item x="532"/>
        <item x="151"/>
        <item x="756"/>
        <item x="620"/>
        <item x="600"/>
        <item x="841"/>
        <item x="239"/>
        <item x="705"/>
        <item x="327"/>
        <item x="927"/>
        <item x="792"/>
        <item x="415"/>
        <item x="877"/>
        <item x="857"/>
        <item x="502"/>
        <item x="1012"/>
        <item x="37"/>
        <item x="943"/>
        <item x="125"/>
        <item x="1098"/>
        <item x="590"/>
        <item x="963"/>
        <item x="1184"/>
        <item x="213"/>
        <item x="1272"/>
        <item x="1049"/>
        <item x="1029"/>
        <item x="301"/>
        <item x="763"/>
        <item x="1359"/>
        <item x="1135"/>
        <item x="1115"/>
        <item x="389"/>
        <item x="1221"/>
        <item x="1446"/>
        <item x="1201"/>
        <item x="1309"/>
        <item x="476"/>
        <item x="1289"/>
        <item x="1533"/>
        <item x="1396"/>
        <item x="1376"/>
        <item x="564"/>
        <item x="1619"/>
        <item x="1483"/>
        <item x="1019"/>
        <item x="1463"/>
        <item x="652"/>
        <item x="1706"/>
        <item x="1105"/>
        <item x="1550"/>
        <item x="1570"/>
        <item x="737"/>
        <item x="1794"/>
        <item x="1191"/>
        <item x="824"/>
        <item x="1656"/>
        <item x="1636"/>
        <item x="1279"/>
        <item x="909"/>
        <item x="1743"/>
        <item x="1366"/>
        <item x="1723"/>
        <item x="1453"/>
        <item x="1811"/>
        <item x="993"/>
        <item x="1540"/>
        <item x="1"/>
        <item x="1080"/>
        <item x="89"/>
        <item x="1626"/>
        <item x="1166"/>
        <item x="177"/>
        <item x="1253"/>
        <item x="1713"/>
        <item x="265"/>
        <item x="1340"/>
        <item x="1801"/>
        <item x="353"/>
        <item x="1428"/>
        <item x="441"/>
        <item x="1515"/>
        <item x="528"/>
        <item x="1601"/>
        <item x="616"/>
        <item x="1687"/>
        <item x="701"/>
        <item x="1775"/>
        <item x="83"/>
        <item x="788"/>
        <item x="171"/>
        <item x="873"/>
        <item x="259"/>
        <item x="347"/>
        <item x="959"/>
        <item x="435"/>
        <item x="1045"/>
        <item x="522"/>
        <item x="1131"/>
        <item x="610"/>
        <item x="1217"/>
        <item x="1305"/>
        <item x="695"/>
        <item x="1392"/>
        <item x="782"/>
        <item x="867"/>
        <item x="1479"/>
        <item x="953"/>
        <item x="1566"/>
        <item x="1652"/>
        <item x="1039"/>
        <item x="1739"/>
        <item x="1125"/>
        <item x="1211"/>
        <item x="9"/>
        <item x="1299"/>
        <item x="97"/>
        <item x="1386"/>
        <item x="185"/>
        <item x="1473"/>
        <item x="273"/>
        <item x="1560"/>
        <item x="69"/>
        <item x="361"/>
        <item x="157"/>
        <item x="3"/>
        <item x="1646"/>
        <item x="449"/>
        <item x="91"/>
        <item x="245"/>
        <item x="1733"/>
        <item x="536"/>
        <item x="333"/>
        <item x="179"/>
        <item x="1821"/>
        <item x="267"/>
        <item x="624"/>
        <item x="421"/>
        <item x="355"/>
        <item x="709"/>
        <item x="508"/>
        <item x="796"/>
        <item x="443"/>
        <item x="596"/>
        <item x="881"/>
        <item x="530"/>
        <item x="682"/>
        <item x="618"/>
        <item x="769"/>
        <item x="967"/>
        <item x="853"/>
        <item x="703"/>
        <item x="1053"/>
        <item x="790"/>
        <item x="939"/>
        <item x="1139"/>
        <item x="875"/>
        <item x="1225"/>
        <item x="1313"/>
        <item x="1025"/>
        <item x="961"/>
        <item x="1400"/>
        <item x="1111"/>
        <item x="79"/>
        <item x="167"/>
        <item x="71"/>
        <item x="1047"/>
        <item x="1487"/>
        <item x="1197"/>
        <item x="159"/>
        <item x="1285"/>
        <item x="255"/>
        <item x="1133"/>
        <item x="1574"/>
        <item x="1372"/>
        <item x="1219"/>
        <item x="247"/>
        <item x="343"/>
        <item x="1307"/>
        <item x="1660"/>
        <item x="335"/>
        <item x="1459"/>
        <item x="431"/>
        <item x="1394"/>
        <item x="1747"/>
        <item x="423"/>
        <item x="1546"/>
        <item x="518"/>
        <item x="1481"/>
        <item x="510"/>
        <item x="1632"/>
        <item x="606"/>
        <item x="1568"/>
        <item x="59"/>
        <item x="598"/>
        <item x="1719"/>
        <item x="691"/>
        <item x="147"/>
        <item x="1654"/>
        <item x="684"/>
        <item x="1807"/>
        <item x="778"/>
        <item x="235"/>
        <item x="1741"/>
        <item x="771"/>
        <item x="863"/>
        <item x="323"/>
        <item x="855"/>
        <item x="949"/>
        <item x="411"/>
        <item x="941"/>
        <item x="498"/>
        <item x="1035"/>
        <item x="586"/>
        <item x="1027"/>
        <item x="1121"/>
        <item x="673"/>
        <item x="1113"/>
        <item x="1207"/>
        <item x="1295"/>
        <item x="759"/>
        <item x="1199"/>
        <item x="1287"/>
        <item x="1382"/>
        <item x="844"/>
        <item x="1374"/>
        <item x="1469"/>
        <item x="930"/>
        <item x="61"/>
        <item x="1461"/>
        <item x="149"/>
        <item x="1556"/>
        <item x="1548"/>
        <item x="237"/>
        <item x="1015"/>
        <item x="1642"/>
        <item x="325"/>
        <item x="1634"/>
        <item x="1101"/>
        <item x="1729"/>
        <item x="413"/>
        <item x="1721"/>
        <item x="1187"/>
        <item x="1817"/>
        <item x="1275"/>
        <item x="500"/>
        <item x="1809"/>
        <item x="1362"/>
        <item x="588"/>
        <item x="1449"/>
        <item x="675"/>
        <item x="1536"/>
        <item x="761"/>
        <item x="1622"/>
        <item x="846"/>
        <item x="1709"/>
        <item x="932"/>
        <item x="1797"/>
        <item x="1017"/>
        <item x="87"/>
        <item x="175"/>
        <item x="1103"/>
        <item x="1189"/>
        <item x="263"/>
        <item x="1277"/>
        <item x="351"/>
        <item x="77"/>
        <item x="1364"/>
        <item x="165"/>
        <item x="439"/>
        <item x="1451"/>
        <item x="253"/>
        <item x="526"/>
        <item x="47"/>
        <item x="1538"/>
        <item x="341"/>
        <item x="135"/>
        <item x="614"/>
        <item x="81"/>
        <item x="429"/>
        <item x="1624"/>
        <item x="223"/>
        <item x="169"/>
        <item x="699"/>
        <item x="516"/>
        <item x="311"/>
        <item x="1711"/>
        <item x="786"/>
        <item x="257"/>
        <item x="15"/>
        <item x="399"/>
        <item x="1799"/>
        <item x="604"/>
        <item x="871"/>
        <item x="103"/>
        <item x="345"/>
        <item x="486"/>
        <item x="689"/>
        <item x="957"/>
        <item x="433"/>
        <item x="191"/>
        <item x="776"/>
        <item x="574"/>
        <item x="279"/>
        <item x="520"/>
        <item x="861"/>
        <item x="662"/>
        <item x="1043"/>
        <item x="367"/>
        <item x="608"/>
        <item x="947"/>
        <item x="747"/>
        <item x="1129"/>
        <item x="455"/>
        <item x="693"/>
        <item x="833"/>
        <item x="1215"/>
        <item x="542"/>
        <item x="780"/>
        <item x="1303"/>
        <item x="1033"/>
        <item x="918"/>
        <item x="67"/>
        <item x="865"/>
        <item x="1390"/>
        <item x="630"/>
        <item x="155"/>
        <item x="1119"/>
        <item x="951"/>
        <item x="1477"/>
        <item x="715"/>
        <item x="1205"/>
        <item x="1003"/>
        <item x="243"/>
        <item x="802"/>
        <item x="1293"/>
        <item x="1564"/>
        <item x="331"/>
        <item x="1090"/>
        <item x="1380"/>
        <item x="1037"/>
        <item x="887"/>
        <item x="419"/>
        <item x="1650"/>
        <item x="1176"/>
        <item x="1467"/>
        <item x="1123"/>
        <item x="1263"/>
        <item x="506"/>
        <item x="1737"/>
        <item x="1554"/>
        <item x="1350"/>
        <item x="973"/>
        <item x="1209"/>
        <item x="1825"/>
        <item x="1297"/>
        <item x="594"/>
        <item x="1437"/>
        <item x="1059"/>
        <item x="1640"/>
        <item x="1384"/>
        <item x="680"/>
        <item x="1524"/>
        <item x="1145"/>
        <item x="11"/>
        <item x="1727"/>
        <item x="1471"/>
        <item x="1231"/>
        <item x="99"/>
        <item x="767"/>
        <item x="1815"/>
        <item x="1611"/>
        <item x="1319"/>
        <item x="1558"/>
        <item x="851"/>
        <item x="187"/>
        <item x="1697"/>
        <item x="1406"/>
        <item x="937"/>
        <item x="1644"/>
        <item x="275"/>
        <item x="1785"/>
        <item x="1493"/>
        <item x="1731"/>
        <item x="363"/>
        <item x="1023"/>
        <item x="1580"/>
        <item x="1819"/>
        <item x="451"/>
        <item x="1109"/>
        <item x="1666"/>
        <item x="538"/>
        <item x="1195"/>
        <item x="1753"/>
        <item x="626"/>
        <item x="1283"/>
        <item x="1370"/>
        <item x="711"/>
        <item x="798"/>
        <item x="1457"/>
        <item x="883"/>
        <item x="1544"/>
        <item x="1630"/>
        <item x="969"/>
        <item x="1717"/>
        <item x="1055"/>
        <item x="1805"/>
        <item x="1141"/>
        <item x="1227"/>
        <item x="1315"/>
        <item x="1402"/>
        <item x="1489"/>
        <item x="1576"/>
        <item x="1662"/>
        <item x="1749"/>
        <item x="85"/>
        <item x="173"/>
        <item x="19"/>
        <item x="107"/>
        <item x="261"/>
        <item x="195"/>
        <item x="349"/>
        <item x="283"/>
        <item x="437"/>
        <item x="371"/>
        <item x="524"/>
        <item x="459"/>
        <item x="13"/>
        <item x="612"/>
        <item x="101"/>
        <item x="546"/>
        <item x="697"/>
        <item x="189"/>
        <item x="634"/>
        <item x="784"/>
        <item x="277"/>
        <item x="719"/>
        <item x="869"/>
        <item x="365"/>
        <item x="806"/>
        <item x="65"/>
        <item x="955"/>
        <item x="453"/>
        <item x="153"/>
        <item x="891"/>
        <item x="540"/>
        <item x="241"/>
        <item x="1041"/>
        <item x="329"/>
        <item x="628"/>
        <item x="977"/>
        <item x="1127"/>
        <item x="417"/>
        <item x="713"/>
        <item x="1063"/>
        <item x="1213"/>
        <item x="800"/>
        <item x="504"/>
        <item x="1301"/>
        <item x="1149"/>
        <item x="1235"/>
        <item x="1388"/>
        <item x="885"/>
        <item x="592"/>
        <item x="1323"/>
        <item x="1475"/>
        <item x="678"/>
        <item x="1410"/>
        <item x="1562"/>
        <item x="971"/>
        <item x="765"/>
        <item x="1497"/>
        <item x="1057"/>
        <item x="849"/>
        <item x="1648"/>
        <item x="1584"/>
        <item x="1143"/>
        <item x="935"/>
        <item x="1735"/>
        <item x="1229"/>
        <item x="1670"/>
        <item x="1823"/>
        <item x="1317"/>
        <item x="1757"/>
        <item x="1021"/>
        <item x="1404"/>
        <item x="1107"/>
        <item x="1491"/>
        <item x="1193"/>
        <item x="1578"/>
        <item x="1281"/>
        <item x="1368"/>
        <item x="20"/>
        <item x="1664"/>
        <item x="108"/>
        <item x="1455"/>
        <item x="1751"/>
        <item x="196"/>
        <item x="1542"/>
        <item x="284"/>
        <item x="1628"/>
        <item x="372"/>
        <item x="1715"/>
        <item x="460"/>
        <item x="1803"/>
        <item x="547"/>
        <item x="635"/>
        <item x="24"/>
        <item x="720"/>
        <item x="112"/>
        <item x="807"/>
        <item x="200"/>
        <item x="892"/>
        <item x="288"/>
        <item x="376"/>
        <item x="978"/>
        <item x="464"/>
        <item x="1064"/>
        <item x="27"/>
        <item x="551"/>
        <item x="115"/>
        <item x="1150"/>
        <item x="1236"/>
        <item x="639"/>
        <item x="203"/>
        <item x="1324"/>
        <item x="724"/>
        <item x="291"/>
        <item x="1411"/>
        <item x="811"/>
        <item x="379"/>
        <item x="1498"/>
        <item x="896"/>
        <item x="466"/>
        <item x="1585"/>
        <item x="554"/>
        <item x="982"/>
        <item x="1671"/>
        <item x="642"/>
        <item x="1068"/>
        <item x="1758"/>
        <item x="727"/>
        <item x="1154"/>
        <item x="814"/>
        <item x="1240"/>
        <item x="1328"/>
        <item x="899"/>
        <item x="1415"/>
        <item x="1502"/>
        <item x="985"/>
        <item x="1071"/>
        <item x="1589"/>
        <item x="1157"/>
        <item x="1675"/>
        <item x="1243"/>
        <item x="1762"/>
        <item x="1331"/>
        <item x="1418"/>
        <item x="1505"/>
        <item x="1592"/>
        <item x="1678"/>
        <item x="1765"/>
        <item x="28"/>
        <item x="116"/>
        <item x="204"/>
        <item x="292"/>
        <item x="380"/>
        <item x="467"/>
        <item x="7"/>
        <item x="555"/>
        <item x="95"/>
        <item x="643"/>
        <item x="183"/>
        <item x="728"/>
        <item x="271"/>
        <item x="815"/>
        <item x="359"/>
        <item x="900"/>
        <item x="447"/>
        <item x="534"/>
        <item x="986"/>
        <item x="22"/>
        <item x="622"/>
        <item x="1072"/>
        <item x="110"/>
        <item x="707"/>
        <item x="1158"/>
        <item x="1244"/>
        <item x="198"/>
        <item x="794"/>
        <item x="82"/>
        <item x="1332"/>
        <item x="286"/>
        <item x="879"/>
        <item x="170"/>
        <item x="1419"/>
        <item x="374"/>
        <item x="258"/>
        <item x="1506"/>
        <item x="462"/>
        <item x="965"/>
        <item x="346"/>
        <item x="1593"/>
        <item x="549"/>
        <item x="1051"/>
        <item x="434"/>
        <item x="1679"/>
        <item x="637"/>
        <item x="1137"/>
        <item x="521"/>
        <item x="1223"/>
        <item x="1766"/>
        <item x="722"/>
        <item x="1311"/>
        <item x="609"/>
        <item x="809"/>
        <item x="1398"/>
        <item x="694"/>
        <item x="894"/>
        <item x="1485"/>
        <item x="781"/>
        <item x="866"/>
        <item x="1572"/>
        <item x="980"/>
        <item x="952"/>
        <item x="1658"/>
        <item x="1066"/>
        <item x="1745"/>
        <item x="1152"/>
        <item x="1038"/>
        <item x="1238"/>
        <item x="1326"/>
        <item x="1124"/>
        <item x="1413"/>
        <item x="1210"/>
        <item x="1298"/>
        <item x="1500"/>
        <item x="1385"/>
        <item x="1587"/>
        <item x="1472"/>
        <item x="1673"/>
        <item x="1559"/>
        <item x="1760"/>
        <item x="1645"/>
        <item x="1732"/>
        <item x="1820"/>
        <item x="54"/>
        <item x="142"/>
        <item x="230"/>
        <item x="318"/>
        <item x="406"/>
        <item x="493"/>
        <item x="581"/>
        <item x="668"/>
        <item x="78"/>
        <item x="754"/>
        <item x="62"/>
        <item x="166"/>
        <item x="150"/>
        <item x="839"/>
        <item x="254"/>
        <item x="925"/>
        <item x="238"/>
        <item x="75"/>
        <item x="342"/>
        <item x="163"/>
        <item x="326"/>
        <item x="430"/>
        <item x="414"/>
        <item x="251"/>
        <item x="1010"/>
        <item x="517"/>
        <item x="339"/>
        <item x="501"/>
        <item x="1096"/>
        <item x="605"/>
        <item x="427"/>
        <item x="1182"/>
        <item x="589"/>
        <item x="1270"/>
        <item x="690"/>
        <item x="514"/>
        <item x="676"/>
        <item x="1357"/>
        <item x="777"/>
        <item x="602"/>
        <item x="762"/>
        <item x="1444"/>
        <item x="862"/>
        <item x="847"/>
        <item x="687"/>
        <item x="1531"/>
        <item x="948"/>
        <item x="933"/>
        <item x="774"/>
        <item x="1617"/>
        <item x="859"/>
        <item x="1034"/>
        <item x="1704"/>
        <item x="945"/>
        <item x="1018"/>
        <item x="1120"/>
        <item x="1792"/>
        <item x="1104"/>
        <item x="1206"/>
        <item x="1031"/>
        <item x="1190"/>
        <item x="1294"/>
        <item x="1278"/>
        <item x="1381"/>
        <item x="1117"/>
        <item x="1365"/>
        <item x="1468"/>
        <item x="1203"/>
        <item x="1452"/>
        <item x="1291"/>
        <item x="1555"/>
        <item x="1378"/>
        <item x="1539"/>
        <item x="50"/>
        <item x="138"/>
        <item x="1641"/>
        <item x="1465"/>
        <item x="1625"/>
        <item x="1728"/>
        <item x="1552"/>
        <item x="226"/>
        <item x="1712"/>
        <item x="314"/>
        <item x="1816"/>
        <item x="1638"/>
        <item x="1800"/>
        <item x="402"/>
        <item x="1725"/>
        <item x="489"/>
        <item x="1813"/>
        <item x="72"/>
        <item x="577"/>
        <item x="160"/>
        <item x="17"/>
        <item x="664"/>
        <item x="248"/>
        <item x="105"/>
        <item x="750"/>
        <item x="336"/>
        <item x="193"/>
        <item x="835"/>
        <item x="424"/>
        <item x="281"/>
        <item x="921"/>
        <item x="511"/>
        <item x="369"/>
        <item x="86"/>
        <item x="174"/>
        <item x="599"/>
        <item x="457"/>
        <item x="1006"/>
        <item x="262"/>
        <item x="685"/>
        <item x="80"/>
        <item x="544"/>
        <item x="1092"/>
        <item x="168"/>
        <item x="350"/>
        <item x="772"/>
        <item x="632"/>
        <item x="1178"/>
        <item x="438"/>
        <item x="856"/>
        <item x="256"/>
        <item x="1266"/>
        <item x="34"/>
        <item x="717"/>
        <item x="122"/>
        <item x="344"/>
        <item x="525"/>
        <item x="1353"/>
        <item x="942"/>
        <item x="804"/>
        <item x="432"/>
        <item x="1440"/>
        <item x="210"/>
        <item x="613"/>
        <item x="889"/>
        <item x="298"/>
        <item x="519"/>
        <item x="1527"/>
        <item x="1028"/>
        <item x="698"/>
        <item x="386"/>
        <item x="1114"/>
        <item x="607"/>
        <item x="785"/>
        <item x="1614"/>
        <item x="975"/>
        <item x="473"/>
        <item x="870"/>
        <item x="1200"/>
        <item x="692"/>
        <item x="1700"/>
        <item x="1061"/>
        <item x="1288"/>
        <item x="0"/>
        <item x="956"/>
        <item x="561"/>
        <item x="779"/>
        <item x="1788"/>
        <item x="1375"/>
        <item x="1147"/>
        <item x="88"/>
        <item x="4"/>
        <item x="1233"/>
        <item x="92"/>
        <item x="864"/>
        <item x="649"/>
        <item x="1462"/>
        <item x="1321"/>
        <item x="176"/>
        <item x="950"/>
        <item x="1042"/>
        <item x="734"/>
        <item x="180"/>
        <item x="1549"/>
        <item x="264"/>
        <item x="1408"/>
        <item x="821"/>
        <item x="268"/>
        <item x="1128"/>
        <item x="352"/>
        <item x="1635"/>
        <item x="1495"/>
        <item x="906"/>
        <item x="356"/>
        <item x="1036"/>
        <item x="1214"/>
        <item x="440"/>
        <item x="1302"/>
        <item x="1722"/>
        <item x="1582"/>
        <item x="444"/>
        <item x="1122"/>
        <item x="1389"/>
        <item x="1810"/>
        <item x="527"/>
        <item x="1668"/>
        <item x="990"/>
        <item x="1208"/>
        <item x="531"/>
        <item x="1476"/>
        <item x="1296"/>
        <item x="57"/>
        <item x="615"/>
        <item x="1755"/>
        <item x="1077"/>
        <item x="145"/>
        <item x="619"/>
        <item x="1383"/>
        <item x="1563"/>
        <item x="700"/>
        <item x="1163"/>
        <item x="704"/>
        <item x="1470"/>
        <item x="233"/>
        <item x="1250"/>
        <item x="787"/>
        <item x="1649"/>
        <item x="58"/>
        <item x="791"/>
        <item x="321"/>
        <item x="146"/>
        <item x="1337"/>
        <item x="1557"/>
        <item x="872"/>
        <item x="1736"/>
        <item x="876"/>
        <item x="409"/>
        <item x="1425"/>
        <item x="234"/>
        <item x="1643"/>
        <item x="1824"/>
        <item x="496"/>
        <item x="322"/>
        <item x="1512"/>
        <item x="958"/>
        <item x="1730"/>
        <item x="962"/>
        <item x="410"/>
        <item x="584"/>
        <item x="1044"/>
        <item x="1598"/>
        <item x="1818"/>
        <item x="1048"/>
        <item x="497"/>
        <item x="671"/>
        <item x="1130"/>
        <item x="1684"/>
        <item x="1216"/>
        <item x="1134"/>
        <item x="44"/>
        <item x="757"/>
        <item x="585"/>
        <item x="1772"/>
        <item x="1220"/>
        <item x="1304"/>
        <item x="132"/>
        <item x="842"/>
        <item x="1308"/>
        <item x="672"/>
        <item x="1391"/>
        <item x="220"/>
        <item x="928"/>
        <item x="1395"/>
        <item x="758"/>
        <item x="68"/>
        <item x="1478"/>
        <item x="308"/>
        <item x="156"/>
        <item x="843"/>
        <item x="1482"/>
        <item x="396"/>
        <item x="1565"/>
        <item x="1013"/>
        <item x="929"/>
        <item x="244"/>
        <item x="1569"/>
        <item x="483"/>
        <item x="1651"/>
        <item x="1099"/>
        <item x="332"/>
        <item x="1655"/>
        <item x="1738"/>
        <item x="571"/>
        <item x="1185"/>
        <item x="420"/>
        <item x="1014"/>
        <item x="1742"/>
        <item x="1273"/>
        <item x="659"/>
        <item x="507"/>
        <item x="1100"/>
        <item x="1360"/>
        <item x="8"/>
        <item x="744"/>
        <item x="1186"/>
        <item x="96"/>
        <item x="1447"/>
        <item x="595"/>
        <item x="1274"/>
        <item x="830"/>
        <item x="1534"/>
        <item x="681"/>
        <item x="1361"/>
        <item x="184"/>
        <item x="52"/>
        <item x="915"/>
        <item x="140"/>
        <item x="272"/>
        <item x="768"/>
        <item x="1448"/>
        <item x="1620"/>
        <item x="852"/>
        <item x="360"/>
        <item x="228"/>
        <item x="1535"/>
        <item x="1707"/>
        <item x="1000"/>
        <item x="938"/>
        <item x="316"/>
        <item x="448"/>
        <item x="1795"/>
        <item x="1621"/>
        <item x="1087"/>
        <item x="404"/>
        <item x="535"/>
        <item x="1708"/>
        <item x="1173"/>
        <item x="1024"/>
        <item x="491"/>
        <item x="1260"/>
        <item x="623"/>
        <item x="1796"/>
        <item x="1347"/>
        <item x="1110"/>
        <item x="579"/>
        <item x="708"/>
        <item x="1434"/>
        <item x="1196"/>
        <item x="795"/>
        <item x="666"/>
        <item x="60"/>
        <item x="1284"/>
        <item x="148"/>
        <item x="1521"/>
        <item x="880"/>
        <item x="1371"/>
        <item x="752"/>
        <item x="837"/>
        <item x="236"/>
        <item x="1608"/>
        <item x="1458"/>
        <item x="324"/>
        <item x="923"/>
        <item x="966"/>
        <item x="1694"/>
        <item x="1545"/>
        <item x="412"/>
        <item x="1052"/>
        <item x="1782"/>
        <item x="30"/>
        <item x="1631"/>
        <item x="499"/>
        <item x="118"/>
        <item x="1008"/>
        <item x="1138"/>
        <item x="66"/>
        <item x="1718"/>
        <item x="1224"/>
        <item x="154"/>
        <item x="1094"/>
        <item x="587"/>
        <item x="206"/>
        <item x="1312"/>
        <item x="1806"/>
        <item x="294"/>
        <item x="1180"/>
        <item x="674"/>
        <item x="242"/>
        <item x="1399"/>
        <item x="1268"/>
        <item x="382"/>
        <item x="330"/>
        <item x="760"/>
        <item x="1355"/>
        <item x="1486"/>
        <item x="845"/>
        <item x="469"/>
        <item x="418"/>
        <item x="1442"/>
        <item x="70"/>
        <item x="1573"/>
        <item x="158"/>
        <item x="931"/>
        <item x="505"/>
        <item x="40"/>
        <item x="557"/>
        <item x="1529"/>
        <item x="128"/>
        <item x="1659"/>
        <item x="246"/>
        <item x="645"/>
        <item x="593"/>
        <item x="1615"/>
        <item x="1746"/>
        <item x="334"/>
        <item x="1016"/>
        <item x="216"/>
        <item x="730"/>
        <item x="679"/>
        <item x="1702"/>
        <item x="304"/>
        <item x="422"/>
        <item x="1102"/>
        <item x="817"/>
        <item x="766"/>
        <item x="1790"/>
        <item x="392"/>
        <item x="509"/>
        <item x="1188"/>
        <item x="902"/>
        <item x="850"/>
        <item x="1276"/>
        <item x="479"/>
        <item x="84"/>
        <item x="936"/>
        <item x="597"/>
        <item x="1363"/>
        <item x="172"/>
        <item x="567"/>
        <item x="987"/>
        <item x="683"/>
        <item x="1450"/>
        <item x="2"/>
        <item x="260"/>
        <item x="90"/>
        <item x="655"/>
        <item x="76"/>
        <item x="1073"/>
        <item x="1022"/>
        <item x="770"/>
        <item x="1537"/>
        <item x="348"/>
        <item x="164"/>
        <item x="854"/>
        <item x="740"/>
        <item x="1159"/>
        <item x="1108"/>
        <item x="178"/>
        <item x="1623"/>
        <item x="436"/>
        <item x="1246"/>
        <item x="827"/>
        <item x="252"/>
        <item x="266"/>
        <item x="940"/>
        <item x="1194"/>
        <item x="1333"/>
        <item x="1710"/>
        <item x="523"/>
        <item x="340"/>
        <item x="1282"/>
        <item x="912"/>
        <item x="354"/>
        <item x="1421"/>
        <item x="1369"/>
        <item x="1798"/>
        <item x="428"/>
        <item x="611"/>
        <item x="1026"/>
        <item x="442"/>
        <item x="1508"/>
        <item x="1456"/>
        <item x="515"/>
        <item x="696"/>
        <item x="996"/>
        <item x="1112"/>
        <item x="529"/>
        <item x="1543"/>
        <item x="1594"/>
        <item x="783"/>
        <item x="1083"/>
        <item x="603"/>
        <item x="1198"/>
        <item x="617"/>
        <item x="1286"/>
        <item x="868"/>
        <item x="1680"/>
        <item x="1629"/>
        <item x="1169"/>
        <item x="688"/>
        <item x="1373"/>
        <item x="702"/>
        <item x="1256"/>
        <item x="954"/>
        <item x="1768"/>
        <item x="1716"/>
        <item x="775"/>
        <item x="789"/>
        <item x="1343"/>
        <item x="1460"/>
        <item x="860"/>
        <item x="1804"/>
        <item x="874"/>
        <item x="1430"/>
        <item x="1547"/>
        <item x="1040"/>
        <item x="38"/>
        <item x="946"/>
        <item x="1517"/>
        <item x="126"/>
        <item x="1633"/>
        <item x="1126"/>
        <item x="960"/>
        <item x="1604"/>
        <item x="214"/>
        <item x="1720"/>
        <item x="1212"/>
        <item x="1032"/>
        <item x="1046"/>
        <item x="1300"/>
        <item x="302"/>
        <item x="1690"/>
        <item x="1808"/>
        <item x="1118"/>
        <item x="1387"/>
        <item x="1132"/>
        <item x="390"/>
        <item x="1778"/>
        <item x="1218"/>
        <item x="1204"/>
        <item x="1474"/>
        <item x="1292"/>
        <item x="477"/>
        <item x="1306"/>
        <item x="1561"/>
        <item x="1379"/>
        <item x="1393"/>
        <item x="565"/>
        <item x="48"/>
        <item x="1466"/>
        <item x="136"/>
        <item x="1647"/>
        <item x="1480"/>
        <item x="653"/>
        <item x="1553"/>
        <item x="1734"/>
        <item x="224"/>
        <item x="738"/>
        <item x="1567"/>
        <item x="32"/>
        <item x="312"/>
        <item x="1822"/>
        <item x="1639"/>
        <item x="825"/>
        <item x="120"/>
        <item x="1653"/>
        <item x="400"/>
        <item x="1726"/>
        <item x="910"/>
        <item x="208"/>
        <item x="1740"/>
        <item x="55"/>
        <item x="487"/>
        <item x="143"/>
        <item x="1814"/>
        <item x="296"/>
        <item x="994"/>
        <item x="384"/>
        <item x="575"/>
        <item x="231"/>
        <item x="319"/>
        <item x="1081"/>
        <item x="471"/>
        <item x="663"/>
        <item x="407"/>
        <item x="1167"/>
        <item x="748"/>
        <item x="559"/>
        <item x="1254"/>
        <item x="834"/>
        <item x="494"/>
        <item x="1341"/>
        <item x="647"/>
        <item x="919"/>
        <item x="582"/>
        <item x="1429"/>
        <item x="732"/>
        <item x="42"/>
        <item x="130"/>
        <item x="819"/>
        <item x="669"/>
        <item x="1516"/>
        <item x="1004"/>
        <item x="904"/>
        <item x="755"/>
        <item x="218"/>
        <item x="1602"/>
        <item x="1091"/>
        <item x="840"/>
        <item x="306"/>
        <item x="1688"/>
        <item x="1177"/>
        <item x="926"/>
        <item x="394"/>
        <item x="988"/>
        <item x="1264"/>
        <item x="1776"/>
        <item x="481"/>
        <item x="1075"/>
        <item x="1351"/>
        <item x="1011"/>
        <item x="1161"/>
        <item x="1438"/>
        <item x="569"/>
        <item x="1248"/>
        <item x="1097"/>
        <item x="1525"/>
        <item x="657"/>
        <item x="1335"/>
        <item x="1183"/>
        <item x="742"/>
        <item x="1423"/>
        <item x="1612"/>
        <item x="1271"/>
        <item x="828"/>
        <item x="1358"/>
        <item x="1510"/>
        <item x="1698"/>
        <item x="913"/>
        <item x="1445"/>
        <item x="1786"/>
        <item x="1596"/>
        <item x="1532"/>
        <item x="1682"/>
        <item x="998"/>
        <item x="1618"/>
        <item x="1770"/>
        <item x="1085"/>
        <item x="1705"/>
        <item x="1171"/>
        <item x="1793"/>
        <item x="1258"/>
        <item x="1345"/>
        <item x="1432"/>
        <item x="1519"/>
        <item x="10"/>
        <item x="98"/>
        <item x="1606"/>
        <item x="186"/>
        <item x="1692"/>
        <item x="64"/>
        <item x="274"/>
        <item x="1780"/>
        <item x="152"/>
        <item x="362"/>
        <item x="240"/>
        <item x="450"/>
        <item x="328"/>
        <item x="537"/>
        <item x="416"/>
        <item x="625"/>
        <item x="503"/>
        <item x="710"/>
        <item x="14"/>
        <item x="591"/>
        <item x="102"/>
        <item x="797"/>
        <item x="677"/>
        <item x="882"/>
        <item x="190"/>
        <item x="764"/>
        <item x="278"/>
        <item x="848"/>
        <item x="366"/>
        <item x="968"/>
        <item x="934"/>
        <item x="454"/>
        <item x="1054"/>
        <item x="1140"/>
        <item x="541"/>
        <item x="1020"/>
        <item x="1226"/>
        <item x="629"/>
        <item x="1314"/>
        <item x="1106"/>
        <item x="714"/>
        <item x="1401"/>
        <item x="1192"/>
        <item x="801"/>
        <item x="1280"/>
        <item x="1488"/>
        <item x="1367"/>
        <item x="886"/>
        <item x="18"/>
        <item x="1575"/>
        <item x="1454"/>
        <item x="106"/>
        <item x="1661"/>
        <item x="1541"/>
        <item x="972"/>
        <item x="194"/>
        <item x="1748"/>
        <item x="1058"/>
        <item x="282"/>
        <item x="1627"/>
        <item x="1144"/>
        <item x="370"/>
        <item x="1714"/>
        <item x="1230"/>
        <item x="458"/>
        <item x="1802"/>
        <item x="1318"/>
        <item x="545"/>
        <item x="1405"/>
        <item x="633"/>
        <item x="1492"/>
        <item x="36"/>
        <item x="718"/>
        <item x="124"/>
        <item x="1579"/>
        <item x="805"/>
        <item x="1665"/>
        <item x="212"/>
        <item x="890"/>
        <item x="300"/>
        <item x="1752"/>
        <item x="388"/>
        <item x="976"/>
        <item x="475"/>
        <item x="1062"/>
        <item x="563"/>
        <item x="1148"/>
        <item x="1234"/>
        <item x="651"/>
        <item x="1322"/>
        <item x="736"/>
        <item x="1409"/>
        <item x="823"/>
        <item x="1496"/>
        <item x="908"/>
        <item x="1583"/>
        <item x="992"/>
        <item x="1669"/>
        <item x="1079"/>
        <item x="1756"/>
        <item x="1165"/>
        <item x="1252"/>
        <item x="1339"/>
        <item x="1427"/>
        <item x="1514"/>
        <item x="1600"/>
        <item x="12"/>
        <item x="100"/>
        <item x="26"/>
        <item x="1686"/>
        <item x="114"/>
        <item x="188"/>
        <item x="1774"/>
        <item x="202"/>
        <item x="276"/>
        <item x="290"/>
        <item x="364"/>
        <item x="378"/>
        <item x="452"/>
        <item x="465"/>
        <item x="539"/>
        <item x="553"/>
        <item x="627"/>
        <item x="641"/>
        <item x="712"/>
        <item x="726"/>
        <item x="799"/>
        <item x="813"/>
        <item x="884"/>
        <item x="898"/>
        <item x="970"/>
        <item x="984"/>
        <item x="1056"/>
        <item x="1070"/>
        <item x="1142"/>
        <item x="1228"/>
        <item x="1156"/>
        <item x="1242"/>
        <item x="1316"/>
        <item x="1330"/>
        <item x="1403"/>
        <item x="74"/>
        <item x="1417"/>
        <item x="1490"/>
        <item x="162"/>
        <item x="46"/>
        <item x="1504"/>
        <item x="134"/>
        <item x="1577"/>
        <item x="250"/>
        <item x="1591"/>
        <item x="338"/>
        <item x="1663"/>
        <item x="222"/>
        <item x="1677"/>
        <item x="426"/>
        <item x="310"/>
        <item x="1750"/>
        <item x="1764"/>
        <item x="513"/>
        <item x="398"/>
        <item x="485"/>
        <item x="601"/>
        <item x="686"/>
        <item x="573"/>
        <item x="773"/>
        <item x="661"/>
        <item x="858"/>
        <item x="746"/>
        <item x="944"/>
        <item x="832"/>
        <item x="917"/>
        <item x="1030"/>
        <item x="1116"/>
        <item x="1002"/>
        <item x="1202"/>
        <item x="1089"/>
        <item x="1290"/>
        <item x="1175"/>
        <item x="1377"/>
        <item x="1262"/>
        <item x="1464"/>
        <item x="1349"/>
        <item x="1551"/>
        <item x="1436"/>
        <item x="1523"/>
        <item x="1637"/>
        <item x="1724"/>
        <item x="1610"/>
        <item x="1812"/>
        <item x="1696"/>
        <item x="1784"/>
        <item x="6"/>
        <item x="94"/>
        <item x="182"/>
        <item x="270"/>
        <item x="358"/>
        <item x="446"/>
        <item x="533"/>
        <item x="621"/>
        <item x="706"/>
        <item x="793"/>
        <item x="878"/>
        <item x="964"/>
        <item x="1050"/>
        <item x="1136"/>
        <item x="1222"/>
        <item x="1310"/>
        <item x="1397"/>
        <item x="1484"/>
        <item x="1571"/>
        <item x="1657"/>
        <item x="1744"/>
        <item x="16"/>
        <item x="104"/>
        <item x="192"/>
        <item x="280"/>
        <item x="368"/>
        <item x="456"/>
        <item x="543"/>
        <item x="631"/>
        <item x="716"/>
        <item x="803"/>
        <item x="888"/>
        <item x="974"/>
        <item x="1060"/>
        <item x="1146"/>
        <item x="1232"/>
        <item x="1320"/>
        <item x="1407"/>
        <item x="1494"/>
        <item x="1581"/>
        <item x="1667"/>
        <item x="1754"/>
        <item t="default"/>
      </items>
    </pivotField>
    <pivotField showAll="0">
      <items count="1673">
        <item x="45"/>
        <item x="791"/>
        <item x="35"/>
        <item x="123"/>
        <item x="208"/>
        <item x="294"/>
        <item x="379"/>
        <item x="55"/>
        <item x="41"/>
        <item x="129"/>
        <item x="214"/>
        <item x="300"/>
        <item x="49"/>
        <item x="136"/>
        <item x="221"/>
        <item x="307"/>
        <item x="391"/>
        <item x="31"/>
        <item x="120"/>
        <item x="205"/>
        <item x="43"/>
        <item x="131"/>
        <item x="216"/>
        <item x="302"/>
        <item x="386"/>
        <item x="471"/>
        <item x="550"/>
        <item x="632"/>
        <item x="711"/>
        <item x="789"/>
        <item x="871"/>
        <item x="51"/>
        <item x="138"/>
        <item x="223"/>
        <item x="309"/>
        <item x="393"/>
        <item x="477"/>
        <item x="556"/>
        <item x="1479"/>
        <item x="33"/>
        <item x="59"/>
        <item x="145"/>
        <item x="230"/>
        <item x="316"/>
        <item x="400"/>
        <item x="463"/>
        <item x="484"/>
        <item x="563"/>
        <item x="624"/>
        <item x="644"/>
        <item x="723"/>
        <item x="863"/>
        <item x="802"/>
        <item x="882"/>
        <item x="957"/>
        <item x="1033"/>
        <item x="1168"/>
        <item x="1108"/>
        <item x="39"/>
        <item x="127"/>
        <item x="212"/>
        <item x="298"/>
        <item x="1472"/>
        <item x="383"/>
        <item x="1489"/>
        <item x="468"/>
        <item x="1565"/>
        <item x="547"/>
        <item x="1641"/>
        <item x="629"/>
        <item x="47"/>
        <item x="134"/>
        <item x="786"/>
        <item x="219"/>
        <item x="868"/>
        <item x="305"/>
        <item x="1020"/>
        <item x="389"/>
        <item x="1095"/>
        <item x="1173"/>
        <item x="474"/>
        <item x="1247"/>
        <item x="553"/>
        <item x="1323"/>
        <item x="635"/>
        <item x="1397"/>
        <item x="714"/>
        <item x="1476"/>
        <item x="793"/>
        <item x="53"/>
        <item x="140"/>
        <item x="948"/>
        <item x="225"/>
        <item x="311"/>
        <item x="1178"/>
        <item x="395"/>
        <item x="1252"/>
        <item x="479"/>
        <item x="1328"/>
        <item x="558"/>
        <item x="1402"/>
        <item x="639"/>
        <item x="718"/>
        <item x="1556"/>
        <item x="797"/>
        <item x="1633"/>
        <item x="877"/>
        <item x="75"/>
        <item x="952"/>
        <item x="161"/>
        <item x="1028"/>
        <item x="246"/>
        <item x="1103"/>
        <item x="331"/>
        <item x="1182"/>
        <item x="416"/>
        <item x="1256"/>
        <item x="500"/>
        <item x="579"/>
        <item x="1406"/>
        <item x="659"/>
        <item x="739"/>
        <item x="1560"/>
        <item x="818"/>
        <item x="57"/>
        <item x="1637"/>
        <item x="143"/>
        <item x="972"/>
        <item x="228"/>
        <item x="1048"/>
        <item x="314"/>
        <item x="1123"/>
        <item x="1201"/>
        <item x="398"/>
        <item x="1276"/>
        <item x="482"/>
        <item x="561"/>
        <item x="1426"/>
        <item x="642"/>
        <item x="1503"/>
        <item x="721"/>
        <item x="800"/>
        <item x="880"/>
        <item x="1657"/>
        <item x="955"/>
        <item x="1031"/>
        <item x="1106"/>
        <item x="1185"/>
        <item x="1259"/>
        <item x="37"/>
        <item x="125"/>
        <item x="1334"/>
        <item x="210"/>
        <item x="1409"/>
        <item x="296"/>
        <item x="1487"/>
        <item x="381"/>
        <item x="1563"/>
        <item x="466"/>
        <item x="545"/>
        <item x="627"/>
        <item x="707"/>
        <item x="784"/>
        <item x="866"/>
        <item x="942"/>
        <item x="1018"/>
        <item x="1093"/>
        <item x="1171"/>
        <item x="1245"/>
        <item x="1321"/>
        <item x="65"/>
        <item x="1395"/>
        <item x="151"/>
        <item x="1475"/>
        <item x="236"/>
        <item x="71"/>
        <item x="157"/>
        <item x="1550"/>
        <item x="242"/>
        <item x="406"/>
        <item x="327"/>
        <item x="490"/>
        <item x="412"/>
        <item x="569"/>
        <item x="496"/>
        <item x="650"/>
        <item x="575"/>
        <item x="729"/>
        <item x="73"/>
        <item x="15"/>
        <item x="159"/>
        <item x="808"/>
        <item x="105"/>
        <item x="244"/>
        <item x="735"/>
        <item x="190"/>
        <item x="963"/>
        <item x="329"/>
        <item x="814"/>
        <item x="1039"/>
        <item x="276"/>
        <item x="414"/>
        <item x="1114"/>
        <item x="361"/>
        <item x="1192"/>
        <item x="1045"/>
        <item x="498"/>
        <item x="446"/>
        <item x="1266"/>
        <item x="577"/>
        <item x="1120"/>
        <item x="527"/>
        <item x="1198"/>
        <item x="1341"/>
        <item x="657"/>
        <item x="1272"/>
        <item x="608"/>
        <item x="1416"/>
        <item x="737"/>
        <item x="1347"/>
        <item x="1495"/>
        <item x="688"/>
        <item x="816"/>
        <item x="1422"/>
        <item x="768"/>
        <item x="894"/>
        <item x="1571"/>
        <item x="970"/>
        <item x="848"/>
        <item x="1047"/>
        <item x="924"/>
        <item x="1647"/>
        <item x="999"/>
        <item x="1577"/>
        <item x="1122"/>
        <item x="1200"/>
        <item x="1076"/>
        <item x="1653"/>
        <item x="1152"/>
        <item x="1274"/>
        <item x="1229"/>
        <item x="1349"/>
        <item x="1305"/>
        <item x="1424"/>
        <item x="1376"/>
        <item x="1455"/>
        <item x="1579"/>
        <item x="1532"/>
        <item x="1655"/>
        <item x="1609"/>
        <item x="79"/>
        <item x="165"/>
        <item x="250"/>
        <item x="85"/>
        <item x="335"/>
        <item x="171"/>
        <item x="25"/>
        <item x="5"/>
        <item x="256"/>
        <item x="420"/>
        <item x="95"/>
        <item x="29"/>
        <item x="11"/>
        <item x="341"/>
        <item x="118"/>
        <item x="101"/>
        <item x="286"/>
        <item x="203"/>
        <item x="426"/>
        <item x="266"/>
        <item x="186"/>
        <item x="371"/>
        <item x="290"/>
        <item x="351"/>
        <item x="272"/>
        <item x="21"/>
        <item x="663"/>
        <item x="456"/>
        <item x="375"/>
        <item x="588"/>
        <item x="111"/>
        <item x="357"/>
        <item x="436"/>
        <item x="537"/>
        <item x="743"/>
        <item x="196"/>
        <item x="460"/>
        <item x="442"/>
        <item x="822"/>
        <item x="282"/>
        <item x="618"/>
        <item x="523"/>
        <item x="899"/>
        <item x="749"/>
        <item x="598"/>
        <item x="367"/>
        <item x="698"/>
        <item x="621"/>
        <item x="1052"/>
        <item x="828"/>
        <item x="678"/>
        <item x="604"/>
        <item x="452"/>
        <item x="702"/>
        <item x="1127"/>
        <item x="19"/>
        <item x="759"/>
        <item x="684"/>
        <item x="981"/>
        <item x="533"/>
        <item x="109"/>
        <item x="780"/>
        <item x="838"/>
        <item x="933"/>
        <item x="194"/>
        <item x="914"/>
        <item x="1009"/>
        <item x="861"/>
        <item x="614"/>
        <item x="991"/>
        <item x="844"/>
        <item x="937"/>
        <item x="280"/>
        <item x="1210"/>
        <item x="1085"/>
        <item x="920"/>
        <item x="1013"/>
        <item x="694"/>
        <item x="1067"/>
        <item x="1161"/>
        <item x="996"/>
        <item x="365"/>
        <item x="1285"/>
        <item x="1142"/>
        <item x="1088"/>
        <item x="1430"/>
        <item x="773"/>
        <item x="1239"/>
        <item x="1073"/>
        <item x="1165"/>
        <item x="1358"/>
        <item x="1507"/>
        <item x="450"/>
        <item x="1148"/>
        <item x="854"/>
        <item x="1313"/>
        <item x="929"/>
        <item x="531"/>
        <item x="1295"/>
        <item x="1225"/>
        <item x="1005"/>
        <item x="1584"/>
        <item x="1316"/>
        <item x="1386"/>
        <item x="1513"/>
        <item x="1301"/>
        <item x="1082"/>
        <item x="612"/>
        <item x="1661"/>
        <item x="1465"/>
        <item x="1157"/>
        <item x="1390"/>
        <item x="1445"/>
        <item x="692"/>
        <item x="1590"/>
        <item x="1469"/>
        <item x="1235"/>
        <item x="1541"/>
        <item x="1451"/>
        <item x="13"/>
        <item x="61"/>
        <item x="1667"/>
        <item x="1523"/>
        <item x="103"/>
        <item x="147"/>
        <item x="1619"/>
        <item x="852"/>
        <item x="1545"/>
        <item x="188"/>
        <item x="1600"/>
        <item x="232"/>
        <item x="1382"/>
        <item x="1003"/>
        <item x="1623"/>
        <item x="274"/>
        <item x="318"/>
        <item x="1461"/>
        <item x="1080"/>
        <item x="359"/>
        <item x="402"/>
        <item x="1537"/>
        <item x="1233"/>
        <item x="444"/>
        <item x="486"/>
        <item x="1615"/>
        <item x="525"/>
        <item x="565"/>
        <item x="1380"/>
        <item x="606"/>
        <item x="646"/>
        <item x="1459"/>
        <item x="686"/>
        <item x="725"/>
        <item x="766"/>
        <item x="804"/>
        <item x="1535"/>
        <item x="1"/>
        <item x="846"/>
        <item x="884"/>
        <item x="91"/>
        <item x="1613"/>
        <item x="922"/>
        <item x="959"/>
        <item x="177"/>
        <item x="1035"/>
        <item x="262"/>
        <item x="1110"/>
        <item x="1150"/>
        <item x="1188"/>
        <item x="347"/>
        <item x="81"/>
        <item x="1227"/>
        <item x="1262"/>
        <item x="167"/>
        <item x="63"/>
        <item x="432"/>
        <item x="1303"/>
        <item x="149"/>
        <item x="1337"/>
        <item x="252"/>
        <item x="514"/>
        <item x="234"/>
        <item x="337"/>
        <item x="1374"/>
        <item x="1412"/>
        <item x="77"/>
        <item x="320"/>
        <item x="594"/>
        <item x="1453"/>
        <item x="163"/>
        <item x="1491"/>
        <item x="422"/>
        <item x="248"/>
        <item x="404"/>
        <item x="674"/>
        <item x="505"/>
        <item x="1530"/>
        <item x="1567"/>
        <item x="333"/>
        <item x="755"/>
        <item x="488"/>
        <item x="584"/>
        <item x="1607"/>
        <item x="1643"/>
        <item x="834"/>
        <item x="418"/>
        <item x="567"/>
        <item x="910"/>
        <item x="665"/>
        <item x="987"/>
        <item x="502"/>
        <item x="648"/>
        <item x="745"/>
        <item x="1063"/>
        <item x="581"/>
        <item x="1138"/>
        <item x="727"/>
        <item x="824"/>
        <item x="1216"/>
        <item x="661"/>
        <item x="806"/>
        <item x="901"/>
        <item x="977"/>
        <item x="886"/>
        <item x="1291"/>
        <item x="741"/>
        <item x="1054"/>
        <item x="961"/>
        <item x="1037"/>
        <item x="820"/>
        <item x="1129"/>
        <item x="1364"/>
        <item x="1206"/>
        <item x="897"/>
        <item x="1112"/>
        <item x="1441"/>
        <item x="974"/>
        <item x="1190"/>
        <item x="1281"/>
        <item x="23"/>
        <item x="1050"/>
        <item x="54"/>
        <item x="113"/>
        <item x="1264"/>
        <item x="1519"/>
        <item x="141"/>
        <item x="1125"/>
        <item x="198"/>
        <item x="1203"/>
        <item x="1339"/>
        <item x="226"/>
        <item x="1596"/>
        <item x="1432"/>
        <item x="284"/>
        <item x="1278"/>
        <item x="312"/>
        <item x="1414"/>
        <item x="1509"/>
        <item x="369"/>
        <item x="1352"/>
        <item x="1493"/>
        <item x="396"/>
        <item x="1586"/>
        <item x="454"/>
        <item x="1428"/>
        <item x="480"/>
        <item x="1569"/>
        <item x="535"/>
        <item x="1663"/>
        <item x="1505"/>
        <item x="559"/>
        <item x="1645"/>
        <item x="616"/>
        <item x="1582"/>
        <item x="640"/>
        <item x="696"/>
        <item x="1659"/>
        <item x="719"/>
        <item x="775"/>
        <item x="798"/>
        <item x="856"/>
        <item x="878"/>
        <item x="931"/>
        <item x="17"/>
        <item x="953"/>
        <item x="1007"/>
        <item x="107"/>
        <item x="1029"/>
        <item x="192"/>
        <item x="1104"/>
        <item x="1159"/>
        <item x="1183"/>
        <item x="27"/>
        <item x="278"/>
        <item x="116"/>
        <item x="1237"/>
        <item x="9"/>
        <item x="1257"/>
        <item x="363"/>
        <item x="99"/>
        <item x="201"/>
        <item x="1311"/>
        <item x="184"/>
        <item x="1332"/>
        <item x="288"/>
        <item x="448"/>
        <item x="89"/>
        <item x="1384"/>
        <item x="270"/>
        <item x="175"/>
        <item x="529"/>
        <item x="1407"/>
        <item x="373"/>
        <item x="1463"/>
        <item x="260"/>
        <item x="355"/>
        <item x="1485"/>
        <item x="458"/>
        <item x="610"/>
        <item x="345"/>
        <item x="1539"/>
        <item x="440"/>
        <item x="539"/>
        <item x="3"/>
        <item x="1561"/>
        <item x="690"/>
        <item x="430"/>
        <item x="50"/>
        <item x="93"/>
        <item x="521"/>
        <item x="1617"/>
        <item x="34"/>
        <item x="137"/>
        <item x="1638"/>
        <item x="770"/>
        <item x="179"/>
        <item x="83"/>
        <item x="122"/>
        <item x="512"/>
        <item x="222"/>
        <item x="169"/>
        <item x="850"/>
        <item x="602"/>
        <item x="207"/>
        <item x="264"/>
        <item x="700"/>
        <item x="592"/>
        <item x="926"/>
        <item x="254"/>
        <item x="308"/>
        <item x="1001"/>
        <item x="682"/>
        <item x="293"/>
        <item x="349"/>
        <item x="778"/>
        <item x="339"/>
        <item x="392"/>
        <item x="672"/>
        <item x="1078"/>
        <item x="763"/>
        <item x="859"/>
        <item x="378"/>
        <item x="434"/>
        <item x="1154"/>
        <item x="424"/>
        <item x="935"/>
        <item x="842"/>
        <item x="753"/>
        <item x="476"/>
        <item x="1011"/>
        <item x="516"/>
        <item x="918"/>
        <item x="464"/>
        <item x="1231"/>
        <item x="555"/>
        <item x="507"/>
        <item x="832"/>
        <item x="543"/>
        <item x="1307"/>
        <item x="586"/>
        <item x="908"/>
        <item x="1163"/>
        <item x="596"/>
        <item x="1071"/>
        <item x="985"/>
        <item x="637"/>
        <item x="1146"/>
        <item x="625"/>
        <item x="1061"/>
        <item x="676"/>
        <item x="1378"/>
        <item x="667"/>
        <item x="716"/>
        <item x="69"/>
        <item x="1223"/>
        <item x="1457"/>
        <item x="705"/>
        <item x="1136"/>
        <item x="757"/>
        <item x="155"/>
        <item x="747"/>
        <item x="1214"/>
        <item x="795"/>
        <item x="1299"/>
        <item x="836"/>
        <item x="240"/>
        <item x="782"/>
        <item x="1388"/>
        <item x="875"/>
        <item x="912"/>
        <item x="826"/>
        <item x="1289"/>
        <item x="864"/>
        <item x="950"/>
        <item x="989"/>
        <item x="325"/>
        <item x="1371"/>
        <item x="1467"/>
        <item x="903"/>
        <item x="940"/>
        <item x="1026"/>
        <item x="1611"/>
        <item x="1362"/>
        <item x="1449"/>
        <item x="979"/>
        <item x="1016"/>
        <item x="1065"/>
        <item x="410"/>
        <item x="1056"/>
        <item x="1101"/>
        <item x="1140"/>
        <item x="1543"/>
        <item x="1091"/>
        <item x="1439"/>
        <item x="1180"/>
        <item x="494"/>
        <item x="1527"/>
        <item x="1131"/>
        <item x="1169"/>
        <item x="1218"/>
        <item x="1621"/>
        <item x="1517"/>
        <item x="1208"/>
        <item x="1254"/>
        <item x="573"/>
        <item x="1604"/>
        <item x="1243"/>
        <item x="1293"/>
        <item x="1283"/>
        <item x="1330"/>
        <item x="1594"/>
        <item x="1319"/>
        <item x="654"/>
        <item x="1366"/>
        <item x="1356"/>
        <item x="1671"/>
        <item x="1404"/>
        <item x="1443"/>
        <item x="733"/>
        <item x="1393"/>
        <item x="1483"/>
        <item x="1434"/>
        <item x="1473"/>
        <item x="812"/>
        <item x="1511"/>
        <item x="1521"/>
        <item x="891"/>
        <item x="1558"/>
        <item x="967"/>
        <item x="1548"/>
        <item x="1598"/>
        <item x="1043"/>
        <item x="1588"/>
        <item x="1635"/>
        <item x="1626"/>
        <item x="1118"/>
        <item x="1665"/>
        <item x="1196"/>
        <item x="1270"/>
        <item x="64"/>
        <item x="150"/>
        <item x="1345"/>
        <item x="235"/>
        <item x="1602"/>
        <item x="1420"/>
        <item x="321"/>
        <item x="1499"/>
        <item x="405"/>
        <item x="1575"/>
        <item x="489"/>
        <item x="1649"/>
        <item x="568"/>
        <item x="1651"/>
        <item x="649"/>
        <item x="728"/>
        <item x="84"/>
        <item x="58"/>
        <item x="170"/>
        <item x="144"/>
        <item x="807"/>
        <item x="255"/>
        <item x="229"/>
        <item x="887"/>
        <item x="962"/>
        <item x="340"/>
        <item x="315"/>
        <item x="1038"/>
        <item x="425"/>
        <item x="399"/>
        <item x="1113"/>
        <item x="1191"/>
        <item x="508"/>
        <item x="483"/>
        <item x="1265"/>
        <item x="587"/>
        <item x="562"/>
        <item x="1340"/>
        <item x="668"/>
        <item x="643"/>
        <item x="1415"/>
        <item x="748"/>
        <item x="722"/>
        <item x="1494"/>
        <item x="827"/>
        <item x="801"/>
        <item x="7"/>
        <item x="1570"/>
        <item x="904"/>
        <item x="881"/>
        <item x="97"/>
        <item x="980"/>
        <item x="956"/>
        <item x="1646"/>
        <item x="1057"/>
        <item x="182"/>
        <item x="1032"/>
        <item x="1132"/>
        <item x="30"/>
        <item x="268"/>
        <item x="1107"/>
        <item x="1209"/>
        <item x="119"/>
        <item x="1186"/>
        <item x="353"/>
        <item x="204"/>
        <item x="1284"/>
        <item x="1260"/>
        <item x="291"/>
        <item x="438"/>
        <item x="1357"/>
        <item x="1335"/>
        <item x="519"/>
        <item x="376"/>
        <item x="1435"/>
        <item x="1410"/>
        <item x="1512"/>
        <item x="461"/>
        <item x="600"/>
        <item x="1488"/>
        <item x="541"/>
        <item x="680"/>
        <item x="1589"/>
        <item x="1564"/>
        <item x="761"/>
        <item x="622"/>
        <item x="52"/>
        <item x="1666"/>
        <item x="1640"/>
        <item x="840"/>
        <item x="139"/>
        <item x="703"/>
        <item x="916"/>
        <item x="224"/>
        <item x="87"/>
        <item x="67"/>
        <item x="993"/>
        <item x="173"/>
        <item x="153"/>
        <item x="310"/>
        <item x="1069"/>
        <item x="258"/>
        <item x="238"/>
        <item x="1144"/>
        <item x="938"/>
        <item x="394"/>
        <item x="343"/>
        <item x="323"/>
        <item x="1014"/>
        <item x="1221"/>
        <item x="478"/>
        <item x="428"/>
        <item x="408"/>
        <item x="1089"/>
        <item x="1297"/>
        <item x="1166"/>
        <item x="557"/>
        <item x="510"/>
        <item x="492"/>
        <item x="1242"/>
        <item x="1369"/>
        <item x="590"/>
        <item x="571"/>
        <item x="638"/>
        <item x="1447"/>
        <item x="1317"/>
        <item x="717"/>
        <item x="670"/>
        <item x="652"/>
        <item x="1391"/>
        <item x="1525"/>
        <item x="796"/>
        <item x="751"/>
        <item x="731"/>
        <item x="1470"/>
        <item x="876"/>
        <item x="951"/>
        <item x="830"/>
        <item x="810"/>
        <item x="1027"/>
        <item x="1546"/>
        <item x="906"/>
        <item x="889"/>
        <item x="983"/>
        <item x="965"/>
        <item x="1102"/>
        <item x="1624"/>
        <item x="1059"/>
        <item x="1041"/>
        <item x="1181"/>
        <item x="80"/>
        <item x="1134"/>
        <item x="1116"/>
        <item x="1255"/>
        <item x="166"/>
        <item x="1212"/>
        <item x="1194"/>
        <item x="251"/>
        <item x="1331"/>
        <item x="1287"/>
        <item x="1268"/>
        <item x="336"/>
        <item x="1405"/>
        <item x="1360"/>
        <item x="1343"/>
        <item x="421"/>
        <item x="1484"/>
        <item x="1437"/>
        <item x="1418"/>
        <item x="504"/>
        <item x="1515"/>
        <item x="1497"/>
        <item x="1559"/>
        <item x="583"/>
        <item x="1636"/>
        <item x="1592"/>
        <item x="1573"/>
        <item x="664"/>
        <item x="1669"/>
        <item x="744"/>
        <item x="823"/>
        <item x="900"/>
        <item x="32"/>
        <item x="976"/>
        <item x="121"/>
        <item x="1053"/>
        <item x="206"/>
        <item x="1128"/>
        <item x="292"/>
        <item x="1205"/>
        <item x="377"/>
        <item x="1280"/>
        <item x="44"/>
        <item x="1354"/>
        <item x="462"/>
        <item x="132"/>
        <item x="542"/>
        <item x="217"/>
        <item x="1431"/>
        <item x="303"/>
        <item x="1508"/>
        <item x="623"/>
        <item x="387"/>
        <item x="704"/>
        <item x="1585"/>
        <item x="60"/>
        <item x="472"/>
        <item x="781"/>
        <item x="1662"/>
        <item x="146"/>
        <item x="551"/>
        <item x="862"/>
        <item x="38"/>
        <item x="231"/>
        <item x="939"/>
        <item x="126"/>
        <item x="1015"/>
        <item x="317"/>
        <item x="633"/>
        <item x="211"/>
        <item x="1090"/>
        <item x="56"/>
        <item x="401"/>
        <item x="712"/>
        <item x="297"/>
        <item x="1167"/>
        <item x="142"/>
        <item x="790"/>
        <item x="227"/>
        <item x="382"/>
        <item x="485"/>
        <item x="872"/>
        <item x="564"/>
        <item x="313"/>
        <item x="1318"/>
        <item x="946"/>
        <item x="467"/>
        <item x="1023"/>
        <item x="397"/>
        <item x="546"/>
        <item x="645"/>
        <item x="1392"/>
        <item x="1098"/>
        <item x="74"/>
        <item x="1471"/>
        <item x="62"/>
        <item x="1176"/>
        <item x="481"/>
        <item x="724"/>
        <item x="160"/>
        <item x="628"/>
        <item x="148"/>
        <item x="560"/>
        <item x="245"/>
        <item x="1250"/>
        <item x="803"/>
        <item x="233"/>
        <item x="708"/>
        <item x="1547"/>
        <item x="883"/>
        <item x="330"/>
        <item x="1326"/>
        <item x="319"/>
        <item x="641"/>
        <item x="785"/>
        <item x="1625"/>
        <item x="958"/>
        <item x="1034"/>
        <item x="415"/>
        <item x="867"/>
        <item x="403"/>
        <item x="1400"/>
        <item x="720"/>
        <item x="943"/>
        <item x="1109"/>
        <item x="1480"/>
        <item x="1019"/>
        <item x="499"/>
        <item x="799"/>
        <item x="1187"/>
        <item x="487"/>
        <item x="578"/>
        <item x="879"/>
        <item x="1094"/>
        <item x="566"/>
        <item x="1261"/>
        <item x="1554"/>
        <item x="954"/>
        <item x="1172"/>
        <item x="1030"/>
        <item x="1336"/>
        <item x="658"/>
        <item x="1631"/>
        <item x="1246"/>
        <item x="647"/>
        <item x="1105"/>
        <item x="40"/>
        <item x="738"/>
        <item x="1184"/>
        <item x="1322"/>
        <item x="1411"/>
        <item x="128"/>
        <item x="726"/>
        <item x="1490"/>
        <item x="817"/>
        <item x="213"/>
        <item x="1258"/>
        <item x="805"/>
        <item x="1396"/>
        <item x="88"/>
        <item x="82"/>
        <item x="895"/>
        <item x="174"/>
        <item x="299"/>
        <item x="885"/>
        <item x="1333"/>
        <item x="168"/>
        <item x="971"/>
        <item x="1566"/>
        <item x="960"/>
        <item x="259"/>
        <item x="253"/>
        <item x="384"/>
        <item x="1036"/>
        <item x="1408"/>
        <item x="1642"/>
        <item x="1551"/>
        <item x="344"/>
        <item x="338"/>
        <item x="1111"/>
        <item x="1486"/>
        <item x="469"/>
        <item x="1189"/>
        <item x="1628"/>
        <item x="429"/>
        <item x="423"/>
        <item x="548"/>
        <item x="1275"/>
        <item x="1263"/>
        <item x="1562"/>
        <item x="511"/>
        <item x="506"/>
        <item x="1350"/>
        <item x="630"/>
        <item x="1338"/>
        <item x="1639"/>
        <item x="591"/>
        <item x="585"/>
        <item x="709"/>
        <item x="1425"/>
        <item x="1413"/>
        <item x="671"/>
        <item x="1502"/>
        <item x="666"/>
        <item x="787"/>
        <item x="1492"/>
        <item x="752"/>
        <item x="869"/>
        <item x="746"/>
        <item x="1580"/>
        <item x="944"/>
        <item x="1568"/>
        <item x="831"/>
        <item x="1021"/>
        <item x="825"/>
        <item x="1656"/>
        <item x="907"/>
        <item x="1644"/>
        <item x="902"/>
        <item x="1096"/>
        <item x="20"/>
        <item x="984"/>
        <item x="978"/>
        <item x="1174"/>
        <item x="110"/>
        <item x="1060"/>
        <item x="1055"/>
        <item x="195"/>
        <item x="1248"/>
        <item x="1135"/>
        <item x="1130"/>
        <item x="1213"/>
        <item x="281"/>
        <item x="1207"/>
        <item x="1324"/>
        <item x="1288"/>
        <item x="366"/>
        <item x="1282"/>
        <item x="1398"/>
        <item x="1361"/>
        <item x="1355"/>
        <item x="1477"/>
        <item x="451"/>
        <item x="532"/>
        <item x="1438"/>
        <item x="1433"/>
        <item x="1552"/>
        <item x="1516"/>
        <item x="1510"/>
        <item x="613"/>
        <item x="1629"/>
        <item x="1593"/>
        <item x="693"/>
        <item x="1587"/>
        <item x="1670"/>
        <item x="772"/>
        <item x="1664"/>
        <item x="853"/>
        <item x="24"/>
        <item x="928"/>
        <item x="114"/>
        <item x="1004"/>
        <item x="199"/>
        <item x="1081"/>
        <item x="285"/>
        <item x="1156"/>
        <item x="370"/>
        <item x="1234"/>
        <item x="68"/>
        <item x="48"/>
        <item x="154"/>
        <item x="1309"/>
        <item x="455"/>
        <item x="135"/>
        <item x="239"/>
        <item x="28"/>
        <item x="536"/>
        <item x="220"/>
        <item x="117"/>
        <item x="1381"/>
        <item x="324"/>
        <item x="306"/>
        <item x="202"/>
        <item x="1460"/>
        <item x="617"/>
        <item x="409"/>
        <item x="390"/>
        <item x="289"/>
        <item x="697"/>
        <item x="1536"/>
        <item x="493"/>
        <item x="374"/>
        <item x="475"/>
        <item x="776"/>
        <item x="1614"/>
        <item x="572"/>
        <item x="554"/>
        <item x="857"/>
        <item x="459"/>
        <item x="932"/>
        <item x="540"/>
        <item x="653"/>
        <item x="1008"/>
        <item x="636"/>
        <item x="732"/>
        <item x="1084"/>
        <item x="715"/>
        <item x="620"/>
        <item x="70"/>
        <item x="1160"/>
        <item x="156"/>
        <item x="811"/>
        <item x="794"/>
        <item x="701"/>
        <item x="1238"/>
        <item x="42"/>
        <item x="241"/>
        <item x="890"/>
        <item x="874"/>
        <item x="130"/>
        <item x="966"/>
        <item x="779"/>
        <item x="1312"/>
        <item x="949"/>
        <item x="326"/>
        <item x="1042"/>
        <item x="215"/>
        <item x="1025"/>
        <item x="860"/>
        <item x="936"/>
        <item x="411"/>
        <item x="1117"/>
        <item x="1385"/>
        <item x="301"/>
        <item x="1100"/>
        <item x="1012"/>
        <item x="1195"/>
        <item x="1464"/>
        <item x="1179"/>
        <item x="385"/>
        <item x="495"/>
        <item x="1087"/>
        <item x="1269"/>
        <item x="1253"/>
        <item x="1164"/>
        <item x="574"/>
        <item x="1540"/>
        <item x="470"/>
        <item x="1344"/>
        <item x="1329"/>
        <item x="1241"/>
        <item x="549"/>
        <item x="1618"/>
        <item x="655"/>
        <item x="1419"/>
        <item x="1315"/>
        <item x="1403"/>
        <item x="734"/>
        <item x="1498"/>
        <item x="631"/>
        <item x="1482"/>
        <item x="1389"/>
        <item x="36"/>
        <item x="813"/>
        <item x="710"/>
        <item x="1468"/>
        <item x="124"/>
        <item x="1574"/>
        <item x="892"/>
        <item x="1557"/>
        <item x="788"/>
        <item x="209"/>
        <item x="968"/>
        <item x="1650"/>
        <item x="1044"/>
        <item x="1634"/>
        <item x="870"/>
        <item x="1544"/>
        <item x="295"/>
        <item x="945"/>
        <item x="1119"/>
        <item x="1022"/>
        <item x="1622"/>
        <item x="380"/>
        <item x="1197"/>
        <item x="1097"/>
        <item x="1271"/>
        <item x="1175"/>
        <item x="465"/>
        <item x="544"/>
        <item x="1346"/>
        <item x="4"/>
        <item x="1249"/>
        <item x="94"/>
        <item x="1325"/>
        <item x="1421"/>
        <item x="180"/>
        <item x="626"/>
        <item x="1500"/>
        <item x="265"/>
        <item x="1399"/>
        <item x="706"/>
        <item x="1478"/>
        <item x="350"/>
        <item x="783"/>
        <item x="1576"/>
        <item x="72"/>
        <item x="86"/>
        <item x="865"/>
        <item x="158"/>
        <item x="1652"/>
        <item x="172"/>
        <item x="435"/>
        <item x="1553"/>
        <item x="941"/>
        <item x="243"/>
        <item x="1017"/>
        <item x="257"/>
        <item x="517"/>
        <item x="1630"/>
        <item x="328"/>
        <item x="1092"/>
        <item x="342"/>
        <item x="1170"/>
        <item x="597"/>
        <item x="413"/>
        <item x="427"/>
        <item x="1244"/>
        <item x="22"/>
        <item x="677"/>
        <item x="112"/>
        <item x="497"/>
        <item x="509"/>
        <item x="1320"/>
        <item x="758"/>
        <item x="197"/>
        <item x="576"/>
        <item x="589"/>
        <item x="78"/>
        <item x="837"/>
        <item x="164"/>
        <item x="1394"/>
        <item x="283"/>
        <item x="913"/>
        <item x="990"/>
        <item x="249"/>
        <item x="656"/>
        <item x="1474"/>
        <item x="669"/>
        <item x="368"/>
        <item x="1066"/>
        <item x="334"/>
        <item x="736"/>
        <item x="750"/>
        <item x="1141"/>
        <item x="1549"/>
        <item x="453"/>
        <item x="419"/>
        <item x="815"/>
        <item x="829"/>
        <item x="534"/>
        <item x="1219"/>
        <item x="1627"/>
        <item x="893"/>
        <item x="905"/>
        <item x="503"/>
        <item x="969"/>
        <item x="982"/>
        <item x="1294"/>
        <item x="1046"/>
        <item x="615"/>
        <item x="1058"/>
        <item x="582"/>
        <item x="1367"/>
        <item x="1121"/>
        <item x="695"/>
        <item x="1133"/>
        <item x="1199"/>
        <item x="1211"/>
        <item x="1444"/>
        <item x="662"/>
        <item x="0"/>
        <item x="774"/>
        <item x="90"/>
        <item x="1273"/>
        <item x="1286"/>
        <item x="742"/>
        <item x="855"/>
        <item x="1522"/>
        <item x="176"/>
        <item x="930"/>
        <item x="1348"/>
        <item x="1359"/>
        <item x="821"/>
        <item x="1006"/>
        <item x="1599"/>
        <item x="261"/>
        <item x="898"/>
        <item x="1423"/>
        <item x="1083"/>
        <item x="1436"/>
        <item x="975"/>
        <item x="346"/>
        <item x="1158"/>
        <item x="1051"/>
        <item x="1501"/>
        <item x="1514"/>
        <item x="1236"/>
        <item x="1126"/>
        <item x="431"/>
        <item x="1204"/>
        <item x="1578"/>
        <item x="1591"/>
        <item x="513"/>
        <item x="1310"/>
        <item x="66"/>
        <item x="1279"/>
        <item x="1654"/>
        <item x="1668"/>
        <item x="152"/>
        <item x="1383"/>
        <item x="593"/>
        <item x="1353"/>
        <item x="237"/>
        <item x="1462"/>
        <item x="673"/>
        <item x="322"/>
        <item x="1429"/>
        <item x="754"/>
        <item x="1538"/>
        <item x="1506"/>
        <item x="407"/>
        <item x="833"/>
        <item x="1616"/>
        <item x="909"/>
        <item x="491"/>
        <item x="1583"/>
        <item x="986"/>
        <item x="570"/>
        <item x="1660"/>
        <item x="1062"/>
        <item x="1137"/>
        <item x="651"/>
        <item x="1215"/>
        <item x="730"/>
        <item x="1290"/>
        <item x="26"/>
        <item x="809"/>
        <item x="115"/>
        <item x="1363"/>
        <item x="888"/>
        <item x="200"/>
        <item x="964"/>
        <item x="1440"/>
        <item x="1040"/>
        <item x="287"/>
        <item x="46"/>
        <item x="133"/>
        <item x="1115"/>
        <item x="1518"/>
        <item x="372"/>
        <item x="1193"/>
        <item x="218"/>
        <item x="1595"/>
        <item x="457"/>
        <item x="1267"/>
        <item x="304"/>
        <item x="538"/>
        <item x="1342"/>
        <item x="388"/>
        <item x="8"/>
        <item x="98"/>
        <item x="619"/>
        <item x="1417"/>
        <item x="473"/>
        <item x="183"/>
        <item x="1496"/>
        <item x="552"/>
        <item x="699"/>
        <item x="269"/>
        <item x="777"/>
        <item x="1572"/>
        <item x="634"/>
        <item x="354"/>
        <item x="858"/>
        <item x="934"/>
        <item x="1648"/>
        <item x="713"/>
        <item x="1010"/>
        <item x="439"/>
        <item x="792"/>
        <item x="520"/>
        <item x="1086"/>
        <item x="873"/>
        <item x="1162"/>
        <item x="947"/>
        <item x="1024"/>
        <item x="601"/>
        <item x="1240"/>
        <item x="1099"/>
        <item x="681"/>
        <item x="2"/>
        <item x="1314"/>
        <item x="1177"/>
        <item x="92"/>
        <item x="762"/>
        <item x="178"/>
        <item x="1387"/>
        <item x="1251"/>
        <item x="841"/>
        <item x="1466"/>
        <item x="917"/>
        <item x="263"/>
        <item x="1327"/>
        <item x="994"/>
        <item x="348"/>
        <item x="1542"/>
        <item x="1401"/>
        <item x="1070"/>
        <item x="1145"/>
        <item x="1481"/>
        <item x="433"/>
        <item x="1620"/>
        <item x="1222"/>
        <item x="515"/>
        <item x="1555"/>
        <item x="1298"/>
        <item x="595"/>
        <item x="1632"/>
        <item x="1370"/>
        <item x="675"/>
        <item x="1448"/>
        <item x="756"/>
        <item x="835"/>
        <item x="1526"/>
        <item x="911"/>
        <item x="988"/>
        <item x="1603"/>
        <item x="1064"/>
        <item x="1139"/>
        <item x="1217"/>
        <item x="1292"/>
        <item x="1365"/>
        <item x="76"/>
        <item x="1442"/>
        <item x="162"/>
        <item x="247"/>
        <item x="1520"/>
        <item x="332"/>
        <item x="1597"/>
        <item x="417"/>
        <item x="501"/>
        <item x="580"/>
        <item x="660"/>
        <item x="740"/>
        <item x="819"/>
        <item x="896"/>
        <item x="973"/>
        <item x="1049"/>
        <item x="1124"/>
        <item x="1202"/>
        <item x="1277"/>
        <item x="1351"/>
        <item x="1427"/>
        <item x="1504"/>
        <item x="1581"/>
        <item x="1658"/>
        <item x="10"/>
        <item x="100"/>
        <item x="185"/>
        <item x="271"/>
        <item x="356"/>
        <item x="441"/>
        <item x="522"/>
        <item x="14"/>
        <item x="104"/>
        <item x="189"/>
        <item x="603"/>
        <item x="275"/>
        <item x="683"/>
        <item x="360"/>
        <item x="764"/>
        <item x="843"/>
        <item x="18"/>
        <item x="445"/>
        <item x="919"/>
        <item x="108"/>
        <item x="995"/>
        <item x="526"/>
        <item x="193"/>
        <item x="1072"/>
        <item x="1147"/>
        <item x="279"/>
        <item x="607"/>
        <item x="6"/>
        <item x="1224"/>
        <item x="96"/>
        <item x="364"/>
        <item x="687"/>
        <item x="181"/>
        <item x="1300"/>
        <item x="767"/>
        <item x="449"/>
        <item x="267"/>
        <item x="847"/>
        <item x="530"/>
        <item x="1372"/>
        <item x="923"/>
        <item x="352"/>
        <item x="998"/>
        <item x="1450"/>
        <item x="611"/>
        <item x="1075"/>
        <item x="437"/>
        <item x="1151"/>
        <item x="1528"/>
        <item x="691"/>
        <item x="518"/>
        <item x="1228"/>
        <item x="1605"/>
        <item x="771"/>
        <item x="599"/>
        <item x="851"/>
        <item x="1304"/>
        <item x="927"/>
        <item x="679"/>
        <item x="1002"/>
        <item x="1375"/>
        <item x="760"/>
        <item x="1079"/>
        <item x="1454"/>
        <item x="1155"/>
        <item x="839"/>
        <item x="915"/>
        <item x="1232"/>
        <item x="1531"/>
        <item x="992"/>
        <item x="1308"/>
        <item x="1608"/>
        <item x="1068"/>
        <item x="1143"/>
        <item x="1379"/>
        <item x="1220"/>
        <item x="1458"/>
        <item x="1296"/>
        <item x="1534"/>
        <item x="1368"/>
        <item x="1612"/>
        <item x="1446"/>
        <item x="1524"/>
        <item x="1601"/>
        <item x="12"/>
        <item x="102"/>
        <item x="187"/>
        <item x="273"/>
        <item x="358"/>
        <item x="443"/>
        <item x="524"/>
        <item x="605"/>
        <item x="685"/>
        <item x="765"/>
        <item x="845"/>
        <item x="921"/>
        <item x="997"/>
        <item x="1074"/>
        <item x="1149"/>
        <item x="1226"/>
        <item x="1302"/>
        <item x="1373"/>
        <item x="1452"/>
        <item x="1529"/>
        <item x="1606"/>
        <item x="16"/>
        <item x="106"/>
        <item x="191"/>
        <item x="277"/>
        <item x="362"/>
        <item x="447"/>
        <item x="528"/>
        <item x="609"/>
        <item x="689"/>
        <item x="769"/>
        <item x="849"/>
        <item x="925"/>
        <item x="1000"/>
        <item x="1077"/>
        <item x="1153"/>
        <item x="1230"/>
        <item x="1306"/>
        <item x="1377"/>
        <item x="1456"/>
        <item x="1533"/>
        <item x="1610"/>
        <item t="default"/>
      </items>
    </pivotField>
    <pivotField showAll="0"/>
    <pivotField numFmtId="2" showAll="0"/>
    <pivotField showAll="0" defaultSubtotal="0">
      <items count="6">
        <item sd="0" x="0"/>
        <item sd="0" x="1"/>
        <item sd="0" x="2"/>
        <item sd="0" x="3"/>
        <item sd="0" x="4"/>
        <item sd="0" x="5"/>
      </items>
    </pivotField>
    <pivotField axis="axisRow" showAll="0" defaultSubtotal="0">
      <items count="4">
        <item sd="0" x="0"/>
        <item x="1"/>
        <item x="2"/>
        <item sd="0" x="3"/>
      </items>
    </pivotField>
  </pivotFields>
  <rowFields count="2">
    <field x="10"/>
    <field x="0"/>
  </rowFields>
  <rowItems count="24">
    <i>
      <x v="1"/>
    </i>
    <i r="1">
      <x v="1"/>
    </i>
    <i r="1">
      <x v="2"/>
    </i>
    <i r="1">
      <x v="3"/>
    </i>
    <i r="1">
      <x v="4"/>
    </i>
    <i r="1">
      <x v="5"/>
    </i>
    <i r="1">
      <x v="6"/>
    </i>
    <i r="1">
      <x v="7"/>
    </i>
    <i r="1">
      <x v="8"/>
    </i>
    <i r="1">
      <x v="9"/>
    </i>
    <i r="1">
      <x v="10"/>
    </i>
    <i r="1">
      <x v="11"/>
    </i>
    <i r="1">
      <x v="12"/>
    </i>
    <i>
      <x v="2"/>
    </i>
    <i r="1">
      <x v="1"/>
    </i>
    <i r="1">
      <x v="2"/>
    </i>
    <i r="1">
      <x v="3"/>
    </i>
    <i r="1">
      <x v="4"/>
    </i>
    <i r="1">
      <x v="5"/>
    </i>
    <i r="1">
      <x v="6"/>
    </i>
    <i r="1">
      <x v="7"/>
    </i>
    <i r="1">
      <x v="8"/>
    </i>
    <i r="1">
      <x v="9"/>
    </i>
    <i t="grand">
      <x/>
    </i>
  </rowItems>
  <colFields count="1">
    <field x="2"/>
  </colFields>
  <colItems count="2">
    <i>
      <x/>
    </i>
    <i t="grand">
      <x/>
    </i>
  </colItems>
  <dataFields count="1">
    <dataField name="Soma de Visitantes" fld="5" baseField="0" baseItem="0"/>
  </dataFields>
  <chartFormats count="3">
    <chartFormat chart="11" format="9" series="1">
      <pivotArea type="data" outline="0" fieldPosition="0">
        <references count="1">
          <reference field="2" count="1" selected="0">
            <x v="0"/>
          </reference>
        </references>
      </pivotArea>
    </chartFormat>
    <chartFormat chart="11" format="10" series="1">
      <pivotArea type="data" outline="0" fieldPosition="0">
        <references count="1">
          <reference field="2" count="1" selected="0">
            <x v="1"/>
          </reference>
        </references>
      </pivotArea>
    </chartFormat>
    <chartFormat chart="11" format="11" series="1">
      <pivotArea type="data" outline="0" fieldPosition="0">
        <references count="1">
          <reference field="2" count="1" selected="0">
            <x v="2"/>
          </reference>
        </references>
      </pivotArea>
    </chartFormat>
  </chartFormats>
  <pivotTableStyleInfo name="PivotStyleLight16" showRowHeaders="1" showColHeaders="1" showRowStripes="0" showColStripes="0" showLastColumn="1"/>
  <filters count="1">
    <filter fld="0" type="dateBetween" evalOrder="-1" id="72" name="Mês">
      <autoFilter ref="A1">
        <filterColumn colId="0">
          <customFilters and="1">
            <customFilter operator="greaterThanOrEqual" val="43101"/>
            <customFilter operator="lessThanOrEqual" val="437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Plataforma" sourceName="Plataforma">
  <pivotTables>
    <pivotTable tabId="6" name="Tabela dinâmica1"/>
    <pivotTable tabId="6" name="Tabela dinâmica2"/>
    <pivotTable tabId="6" name="Tabela dinâmica3"/>
    <pivotTable tabId="6" name="Tabela dinâmica4"/>
    <pivotTable tabId="6" name="Tabela dinâmica5"/>
    <pivotTable tabId="6" name="Tabela dinâmica7"/>
    <pivotTable tabId="6" name="Tabela dinâmica8"/>
    <pivotTable tabId="6" name="Tabela dinâmica9"/>
    <pivotTable tabId="6" name="Tabela dinâmica10"/>
  </pivotTables>
  <data>
    <tabular pivotCacheId="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Vertical" sourceName="Vertical">
  <pivotTables>
    <pivotTable tabId="6" name="Tabela dinâmica1"/>
    <pivotTable tabId="6" name="Tabela dinâmica2"/>
    <pivotTable tabId="6" name="Tabela dinâmica3"/>
    <pivotTable tabId="6" name="Tabela dinâmica4"/>
    <pivotTable tabId="6" name="Tabela dinâmica5"/>
    <pivotTable tabId="6" name="Tabela dinâmica7"/>
    <pivotTable tabId="6" name="Tabela dinâmica8"/>
    <pivotTable tabId="6" name="Tabela dinâmica9"/>
    <pivotTable tabId="6" name="Tabela dinâmica10"/>
  </pivotTables>
  <data>
    <tabular pivotCacheId="1">
      <items count="3">
        <i x="0" s="1"/>
        <i x="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Região" sourceName="Região">
  <pivotTables>
    <pivotTable tabId="6" name="Tabela dinâmica1"/>
    <pivotTable tabId="6" name="Tabela dinâmica2"/>
    <pivotTable tabId="6" name="Tabela dinâmica3"/>
    <pivotTable tabId="6" name="Tabela dinâmica4"/>
    <pivotTable tabId="6" name="Tabela dinâmica5"/>
    <pivotTable tabId="6" name="Tabela dinâmica7"/>
    <pivotTable tabId="6" name="Tabela dinâmica8"/>
    <pivotTable tabId="6" name="Tabela dinâmica9"/>
    <pivotTable tabId="6" name="Tabela dinâmica10"/>
  </pivotTables>
  <data>
    <tabular pivotCacheId="1">
      <items count="5">
        <i x="0"/>
        <i x="1"/>
        <i x="2"/>
        <i x="3" s="1"/>
        <i x="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Usuário" sourceName="Usuário">
  <pivotTables>
    <pivotTable tabId="6" name="Tabela dinâmica1"/>
    <pivotTable tabId="6" name="Tabela dinâmica2"/>
    <pivotTable tabId="6" name="Tabela dinâmica3"/>
    <pivotTable tabId="6" name="Tabela dinâmica4"/>
    <pivotTable tabId="6" name="Tabela dinâmica5"/>
    <pivotTable tabId="6" name="Tabela dinâmica7"/>
    <pivotTable tabId="6" name="Tabela dinâmica8"/>
    <pivotTable tabId="6" name="Tabela dinâmica9"/>
    <pivotTable tabId="6" name="Tabela dinâmica10"/>
  </pivotTables>
  <data>
    <tabular pivotCacheId="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lataforma" cache="SegmentaçãodeDados_Plataforma" caption="Plataforma" rowHeight="225425"/>
  <slicer name="Vertical" cache="SegmentaçãodeDados_Vertical" caption="Vertical" rowHeight="225425"/>
  <slicer name="Região" cache="SegmentaçãodeDados_Região" caption="Região" startItem="1" rowHeight="225425"/>
  <slicer name="Usuário" cache="SegmentaçãodeDados_Usuário" caption="Usuário" rowHeight="225425"/>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Mês" sourceName="Mês">
  <pivotTables>
    <pivotTable tabId="6" name="Tabela dinâmica1"/>
    <pivotTable tabId="6" name="Tabela dinâmica2"/>
    <pivotTable tabId="6" name="Tabela dinâmica3"/>
    <pivotTable tabId="6" name="Tabela dinâmica4"/>
    <pivotTable tabId="6" name="Tabela dinâmica5"/>
    <pivotTable tabId="6" name="Tabela dinâmica7"/>
    <pivotTable tabId="6" name="Tabela dinâmica8"/>
    <pivotTable tabId="6" name="Tabela dinâmica9"/>
    <pivotTable tabId="6" name="Tabela dinâmica10"/>
  </pivotTables>
  <state minimalRefreshVersion="6" lastRefreshVersion="6" pivotCacheId="1" filterType="dateBetween">
    <selection startDate="2018-01-01T00:00:00" endDate="2019-09-30T00:00:00"/>
    <bounds startDate="2018-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Mês" cache="NativeTimeline_Mês" caption="Mês" level="2" selectionLevel="1" scrollPosition="2018-01-01T00:00:00"/>
</timeline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11/relationships/timeline" Target="../timelines/timeline1.xml"/><Relationship Id="rId5" Type="http://schemas.openxmlformats.org/officeDocument/2006/relationships/pivotTable" Target="../pivotTables/pivotTable5.xml"/><Relationship Id="rId10" Type="http://schemas.openxmlformats.org/officeDocument/2006/relationships/drawing" Target="../drawings/drawing4.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tabColor rgb="FFC9DAF8"/>
    <outlinePr summaryBelow="0" summaryRight="0"/>
  </sheetPr>
  <dimension ref="A1:Z1891"/>
  <sheetViews>
    <sheetView showGridLines="0" workbookViewId="0">
      <pane ySplit="1" topLeftCell="A2" activePane="bottomLeft" state="frozen"/>
      <selection pane="bottomLeft"/>
    </sheetView>
  </sheetViews>
  <sheetFormatPr defaultColWidth="14.42578125" defaultRowHeight="15.75" customHeight="1"/>
  <cols>
    <col min="8" max="8" width="19.5703125" bestFit="1" customWidth="1"/>
  </cols>
  <sheetData>
    <row r="1" spans="1:26">
      <c r="A1" s="1" t="s">
        <v>0</v>
      </c>
      <c r="B1" s="2" t="s">
        <v>1</v>
      </c>
      <c r="C1" s="2" t="s">
        <v>2</v>
      </c>
      <c r="D1" s="2" t="s">
        <v>3</v>
      </c>
      <c r="E1" s="2" t="s">
        <v>4</v>
      </c>
      <c r="F1" s="2" t="s">
        <v>5</v>
      </c>
      <c r="G1" s="2" t="s">
        <v>6</v>
      </c>
      <c r="H1" s="2" t="s">
        <v>7</v>
      </c>
      <c r="I1" s="3" t="s">
        <v>8</v>
      </c>
      <c r="J1" s="4"/>
      <c r="K1" s="4"/>
      <c r="L1" s="4"/>
      <c r="M1" s="4"/>
      <c r="N1" s="4"/>
      <c r="O1" s="4"/>
      <c r="P1" s="4"/>
      <c r="Q1" s="4"/>
      <c r="R1" s="4"/>
      <c r="S1" s="4"/>
      <c r="T1" s="4"/>
      <c r="U1" s="4"/>
      <c r="V1" s="4"/>
      <c r="W1" s="4"/>
      <c r="X1" s="4"/>
      <c r="Y1" s="4"/>
      <c r="Z1" s="4"/>
    </row>
    <row r="2" spans="1:26">
      <c r="A2" s="5">
        <v>43101</v>
      </c>
      <c r="B2" s="4" t="s">
        <v>9</v>
      </c>
      <c r="C2" s="4" t="s">
        <v>10</v>
      </c>
      <c r="D2" s="4" t="s">
        <v>11</v>
      </c>
      <c r="E2" s="4" t="s">
        <v>12</v>
      </c>
      <c r="F2" s="4">
        <v>988282</v>
      </c>
      <c r="G2" s="4">
        <v>45798</v>
      </c>
      <c r="H2" s="4">
        <v>54396</v>
      </c>
      <c r="I2" s="6">
        <v>40847.487610599572</v>
      </c>
      <c r="J2" s="4"/>
      <c r="K2" s="4"/>
      <c r="L2" s="4"/>
      <c r="M2" s="4"/>
      <c r="N2" s="4"/>
      <c r="O2" s="4"/>
      <c r="P2" s="4"/>
      <c r="Q2" s="4"/>
      <c r="R2" s="4"/>
      <c r="S2" s="4"/>
      <c r="T2" s="4"/>
      <c r="U2" s="4"/>
      <c r="V2" s="4"/>
      <c r="W2" s="4"/>
      <c r="X2" s="4"/>
      <c r="Y2" s="4"/>
      <c r="Z2" s="4"/>
    </row>
    <row r="3" spans="1:26">
      <c r="A3" s="5">
        <v>43101</v>
      </c>
      <c r="B3" s="4" t="s">
        <v>9</v>
      </c>
      <c r="C3" s="4" t="s">
        <v>10</v>
      </c>
      <c r="D3" s="4" t="s">
        <v>11</v>
      </c>
      <c r="E3" s="4" t="s">
        <v>13</v>
      </c>
      <c r="F3" s="4">
        <v>5882</v>
      </c>
      <c r="G3" s="4">
        <v>1008</v>
      </c>
      <c r="H3" s="4">
        <v>5944</v>
      </c>
      <c r="I3" s="6">
        <v>206369.85862616188</v>
      </c>
      <c r="J3" s="4"/>
      <c r="K3" s="4"/>
      <c r="L3" s="4"/>
      <c r="M3" s="4"/>
      <c r="N3" s="4"/>
      <c r="O3" s="4"/>
      <c r="P3" s="4"/>
      <c r="Q3" s="4"/>
      <c r="R3" s="4"/>
      <c r="S3" s="4"/>
      <c r="T3" s="4"/>
      <c r="U3" s="4"/>
      <c r="V3" s="4"/>
      <c r="W3" s="4"/>
      <c r="X3" s="4"/>
      <c r="Y3" s="4"/>
      <c r="Z3" s="4"/>
    </row>
    <row r="4" spans="1:26">
      <c r="A4" s="5">
        <v>43101</v>
      </c>
      <c r="B4" s="4" t="s">
        <v>9</v>
      </c>
      <c r="C4" s="4" t="s">
        <v>10</v>
      </c>
      <c r="D4" s="4" t="s">
        <v>14</v>
      </c>
      <c r="E4" s="4" t="s">
        <v>12</v>
      </c>
      <c r="F4" s="4">
        <v>2474397</v>
      </c>
      <c r="G4" s="4">
        <v>80125</v>
      </c>
      <c r="H4" s="4">
        <v>94709</v>
      </c>
      <c r="I4" s="6">
        <v>68830.121880633218</v>
      </c>
      <c r="J4" s="4"/>
      <c r="K4" s="4"/>
      <c r="L4" s="4"/>
      <c r="M4" s="4"/>
      <c r="N4" s="4"/>
      <c r="O4" s="4"/>
      <c r="P4" s="4"/>
      <c r="Q4" s="4"/>
      <c r="R4" s="4"/>
      <c r="S4" s="4"/>
      <c r="T4" s="4"/>
      <c r="U4" s="4"/>
      <c r="V4" s="4"/>
      <c r="W4" s="4"/>
      <c r="X4" s="4"/>
      <c r="Y4" s="4"/>
      <c r="Z4" s="4"/>
    </row>
    <row r="5" spans="1:26">
      <c r="A5" s="5">
        <v>43101</v>
      </c>
      <c r="B5" s="4" t="s">
        <v>9</v>
      </c>
      <c r="C5" s="4" t="s">
        <v>10</v>
      </c>
      <c r="D5" s="4" t="s">
        <v>14</v>
      </c>
      <c r="E5" s="4" t="s">
        <v>13</v>
      </c>
      <c r="F5" s="4">
        <v>9861</v>
      </c>
      <c r="G5" s="4">
        <v>2027</v>
      </c>
      <c r="H5" s="4">
        <v>14849</v>
      </c>
      <c r="I5" s="6">
        <v>319140.25844632764</v>
      </c>
      <c r="J5" s="4"/>
      <c r="K5" s="4"/>
      <c r="L5" s="4"/>
      <c r="M5" s="4"/>
      <c r="N5" s="4"/>
      <c r="O5" s="4"/>
      <c r="P5" s="4"/>
      <c r="Q5" s="4"/>
      <c r="R5" s="4"/>
      <c r="S5" s="4"/>
      <c r="T5" s="4"/>
      <c r="U5" s="4"/>
      <c r="V5" s="4"/>
      <c r="W5" s="4"/>
      <c r="X5" s="4"/>
      <c r="Y5" s="4"/>
      <c r="Z5" s="4"/>
    </row>
    <row r="6" spans="1:26">
      <c r="A6" s="5">
        <v>43101</v>
      </c>
      <c r="B6" s="4" t="s">
        <v>9</v>
      </c>
      <c r="C6" s="4" t="s">
        <v>10</v>
      </c>
      <c r="D6" s="4" t="s">
        <v>15</v>
      </c>
      <c r="E6" s="4" t="s">
        <v>12</v>
      </c>
      <c r="F6" s="4">
        <v>999385</v>
      </c>
      <c r="G6" s="4">
        <v>33142</v>
      </c>
      <c r="H6" s="4">
        <v>42596</v>
      </c>
      <c r="I6" s="6">
        <v>31956.023798873768</v>
      </c>
      <c r="J6" s="4"/>
      <c r="K6" s="4"/>
      <c r="L6" s="4"/>
      <c r="M6" s="4"/>
      <c r="N6" s="4"/>
      <c r="O6" s="4"/>
      <c r="P6" s="4"/>
      <c r="Q6" s="4"/>
      <c r="R6" s="4"/>
      <c r="S6" s="4"/>
      <c r="T6" s="4"/>
      <c r="U6" s="4"/>
      <c r="V6" s="4"/>
      <c r="W6" s="4"/>
      <c r="X6" s="4"/>
      <c r="Y6" s="4"/>
      <c r="Z6" s="4"/>
    </row>
    <row r="7" spans="1:26">
      <c r="A7" s="5">
        <v>43101</v>
      </c>
      <c r="B7" s="4" t="s">
        <v>9</v>
      </c>
      <c r="C7" s="4" t="s">
        <v>10</v>
      </c>
      <c r="D7" s="4" t="s">
        <v>15</v>
      </c>
      <c r="E7" s="4" t="s">
        <v>13</v>
      </c>
      <c r="F7" s="4">
        <v>3771</v>
      </c>
      <c r="G7" s="4">
        <v>586</v>
      </c>
      <c r="H7" s="4">
        <v>4864</v>
      </c>
      <c r="I7" s="6">
        <v>79356.748602860273</v>
      </c>
      <c r="J7" s="4"/>
      <c r="K7" s="4"/>
      <c r="L7" s="4"/>
      <c r="M7" s="4"/>
      <c r="N7" s="4"/>
      <c r="O7" s="4"/>
      <c r="P7" s="4"/>
      <c r="Q7" s="4"/>
      <c r="R7" s="4"/>
      <c r="S7" s="4"/>
      <c r="T7" s="4"/>
      <c r="U7" s="4"/>
      <c r="V7" s="4"/>
      <c r="W7" s="4"/>
      <c r="X7" s="4"/>
      <c r="Y7" s="4"/>
      <c r="Z7" s="4"/>
    </row>
    <row r="8" spans="1:26">
      <c r="A8" s="5">
        <v>43101</v>
      </c>
      <c r="B8" s="4" t="s">
        <v>9</v>
      </c>
      <c r="C8" s="4" t="s">
        <v>10</v>
      </c>
      <c r="D8" s="4" t="s">
        <v>16</v>
      </c>
      <c r="E8" s="4" t="s">
        <v>12</v>
      </c>
      <c r="F8" s="4">
        <v>30797841</v>
      </c>
      <c r="G8" s="4">
        <v>206988</v>
      </c>
      <c r="H8" s="4">
        <v>233185</v>
      </c>
      <c r="I8" s="6">
        <v>177066.73244169677</v>
      </c>
      <c r="J8" s="4"/>
      <c r="K8" s="4"/>
      <c r="L8" s="4"/>
      <c r="M8" s="4"/>
      <c r="N8" s="4"/>
      <c r="O8" s="4"/>
      <c r="P8" s="4"/>
      <c r="Q8" s="4"/>
      <c r="R8" s="4"/>
      <c r="S8" s="4"/>
      <c r="T8" s="4"/>
      <c r="U8" s="4"/>
      <c r="V8" s="4"/>
      <c r="W8" s="4"/>
      <c r="X8" s="4"/>
      <c r="Y8" s="4"/>
      <c r="Z8" s="4"/>
    </row>
    <row r="9" spans="1:26">
      <c r="A9" s="5">
        <v>43101</v>
      </c>
      <c r="B9" s="4" t="s">
        <v>9</v>
      </c>
      <c r="C9" s="4" t="s">
        <v>10</v>
      </c>
      <c r="D9" s="4" t="s">
        <v>16</v>
      </c>
      <c r="E9" s="4" t="s">
        <v>13</v>
      </c>
      <c r="F9" s="4">
        <v>216280</v>
      </c>
      <c r="G9" s="4">
        <v>4400</v>
      </c>
      <c r="H9" s="4">
        <v>28726</v>
      </c>
      <c r="I9" s="6">
        <v>964869.8627550056</v>
      </c>
      <c r="J9" s="4"/>
      <c r="K9" s="4"/>
      <c r="L9" s="4"/>
      <c r="M9" s="4"/>
      <c r="N9" s="4"/>
      <c r="O9" s="4"/>
      <c r="P9" s="4"/>
      <c r="Q9" s="4"/>
      <c r="R9" s="4"/>
      <c r="S9" s="4"/>
      <c r="T9" s="4"/>
      <c r="U9" s="4"/>
      <c r="V9" s="4"/>
      <c r="W9" s="4"/>
      <c r="X9" s="4"/>
      <c r="Y9" s="4"/>
      <c r="Z9" s="4"/>
    </row>
    <row r="10" spans="1:26">
      <c r="A10" s="5">
        <v>43101</v>
      </c>
      <c r="B10" s="4" t="s">
        <v>9</v>
      </c>
      <c r="C10" s="4" t="s">
        <v>10</v>
      </c>
      <c r="D10" s="4" t="s">
        <v>17</v>
      </c>
      <c r="E10" s="4" t="s">
        <v>12</v>
      </c>
      <c r="F10" s="4">
        <v>1520272</v>
      </c>
      <c r="G10" s="4">
        <v>68676</v>
      </c>
      <c r="H10" s="4">
        <v>78158</v>
      </c>
      <c r="I10" s="6">
        <v>76498.381951601259</v>
      </c>
      <c r="J10" s="4"/>
      <c r="K10" s="4"/>
      <c r="L10" s="4"/>
      <c r="M10" s="4"/>
      <c r="N10" s="4"/>
      <c r="O10" s="4"/>
      <c r="P10" s="4"/>
      <c r="Q10" s="4"/>
      <c r="R10" s="4"/>
      <c r="S10" s="4"/>
      <c r="T10" s="4"/>
      <c r="U10" s="4"/>
      <c r="V10" s="4"/>
      <c r="W10" s="4"/>
      <c r="X10" s="4"/>
      <c r="Y10" s="4"/>
      <c r="Z10" s="4"/>
    </row>
    <row r="11" spans="1:26">
      <c r="A11" s="5">
        <v>43101</v>
      </c>
      <c r="B11" s="4" t="s">
        <v>9</v>
      </c>
      <c r="C11" s="4" t="s">
        <v>10</v>
      </c>
      <c r="D11" s="4" t="s">
        <v>17</v>
      </c>
      <c r="E11" s="4" t="s">
        <v>13</v>
      </c>
      <c r="F11" s="4">
        <v>9066</v>
      </c>
      <c r="G11" s="4">
        <v>1846</v>
      </c>
      <c r="H11" s="4">
        <v>10836</v>
      </c>
      <c r="I11" s="6">
        <v>365189.39312359545</v>
      </c>
      <c r="J11" s="4"/>
      <c r="K11" s="4"/>
      <c r="L11" s="4"/>
      <c r="M11" s="4"/>
      <c r="N11" s="4"/>
      <c r="O11" s="4"/>
      <c r="P11" s="4"/>
      <c r="Q11" s="4"/>
      <c r="R11" s="4"/>
      <c r="S11" s="4"/>
      <c r="T11" s="4"/>
      <c r="U11" s="4"/>
      <c r="V11" s="4"/>
      <c r="W11" s="4"/>
      <c r="X11" s="4"/>
      <c r="Y11" s="4"/>
      <c r="Z11" s="4"/>
    </row>
    <row r="12" spans="1:26">
      <c r="A12" s="5">
        <v>43101</v>
      </c>
      <c r="B12" s="4" t="s">
        <v>9</v>
      </c>
      <c r="C12" s="4" t="s">
        <v>18</v>
      </c>
      <c r="D12" s="4" t="s">
        <v>11</v>
      </c>
      <c r="E12" s="4" t="s">
        <v>12</v>
      </c>
      <c r="F12" s="4">
        <v>5815734</v>
      </c>
      <c r="G12" s="4">
        <v>161561</v>
      </c>
      <c r="H12" s="4">
        <v>498445</v>
      </c>
      <c r="I12" s="6">
        <v>122184.90311515222</v>
      </c>
      <c r="J12" s="4"/>
      <c r="K12" s="4"/>
      <c r="L12" s="4"/>
      <c r="M12" s="4"/>
      <c r="N12" s="4"/>
      <c r="O12" s="4"/>
      <c r="P12" s="4"/>
      <c r="Q12" s="4"/>
      <c r="R12" s="4"/>
      <c r="S12" s="4"/>
      <c r="T12" s="4"/>
      <c r="U12" s="4"/>
      <c r="V12" s="4"/>
      <c r="W12" s="4"/>
      <c r="X12" s="4"/>
      <c r="Y12" s="4"/>
      <c r="Z12" s="4"/>
    </row>
    <row r="13" spans="1:26">
      <c r="A13" s="5">
        <v>43101</v>
      </c>
      <c r="B13" s="4" t="s">
        <v>9</v>
      </c>
      <c r="C13" s="4" t="s">
        <v>18</v>
      </c>
      <c r="D13" s="4" t="s">
        <v>11</v>
      </c>
      <c r="E13" s="4" t="s">
        <v>13</v>
      </c>
      <c r="F13" s="4">
        <v>33022</v>
      </c>
      <c r="G13" s="4">
        <v>599</v>
      </c>
      <c r="H13" s="4">
        <v>16626</v>
      </c>
      <c r="I13" s="6">
        <v>12203.951131505855</v>
      </c>
      <c r="J13" s="4"/>
      <c r="K13" s="4"/>
      <c r="L13" s="4"/>
      <c r="M13" s="4"/>
      <c r="N13" s="4"/>
      <c r="O13" s="4"/>
      <c r="P13" s="4"/>
      <c r="Q13" s="4"/>
      <c r="R13" s="4"/>
      <c r="S13" s="4"/>
      <c r="T13" s="4"/>
      <c r="U13" s="4"/>
      <c r="V13" s="4"/>
      <c r="W13" s="4"/>
      <c r="X13" s="4"/>
      <c r="Y13" s="4"/>
      <c r="Z13" s="4"/>
    </row>
    <row r="14" spans="1:26">
      <c r="A14" s="5">
        <v>43101</v>
      </c>
      <c r="B14" s="4" t="s">
        <v>9</v>
      </c>
      <c r="C14" s="4" t="s">
        <v>18</v>
      </c>
      <c r="D14" s="4" t="s">
        <v>14</v>
      </c>
      <c r="E14" s="4" t="s">
        <v>12</v>
      </c>
      <c r="F14" s="4">
        <v>13668125</v>
      </c>
      <c r="G14" s="4">
        <v>333799</v>
      </c>
      <c r="H14" s="4">
        <v>1006155</v>
      </c>
      <c r="I14" s="6">
        <v>162249.99167936124</v>
      </c>
      <c r="J14" s="4"/>
      <c r="K14" s="4"/>
      <c r="L14" s="4"/>
      <c r="M14" s="4"/>
      <c r="N14" s="4"/>
      <c r="O14" s="4"/>
      <c r="P14" s="4"/>
      <c r="Q14" s="4"/>
      <c r="R14" s="4"/>
      <c r="S14" s="4"/>
      <c r="T14" s="4"/>
      <c r="U14" s="4"/>
      <c r="V14" s="4"/>
      <c r="W14" s="4"/>
      <c r="X14" s="4"/>
      <c r="Y14" s="4"/>
      <c r="Z14" s="4"/>
    </row>
    <row r="15" spans="1:26">
      <c r="A15" s="5">
        <v>43101</v>
      </c>
      <c r="B15" s="4" t="s">
        <v>9</v>
      </c>
      <c r="C15" s="4" t="s">
        <v>18</v>
      </c>
      <c r="D15" s="4" t="s">
        <v>14</v>
      </c>
      <c r="E15" s="4" t="s">
        <v>13</v>
      </c>
      <c r="F15" s="4">
        <v>69217</v>
      </c>
      <c r="G15" s="4">
        <v>835</v>
      </c>
      <c r="H15" s="4">
        <v>12385</v>
      </c>
      <c r="I15" s="6">
        <v>14246.154579779433</v>
      </c>
      <c r="J15" s="4"/>
      <c r="K15" s="4"/>
      <c r="L15" s="4"/>
      <c r="M15" s="4"/>
      <c r="N15" s="4"/>
      <c r="O15" s="4"/>
      <c r="P15" s="4"/>
      <c r="Q15" s="4"/>
      <c r="R15" s="4"/>
      <c r="S15" s="4"/>
      <c r="T15" s="4"/>
      <c r="U15" s="4"/>
      <c r="V15" s="4"/>
      <c r="W15" s="4"/>
      <c r="X15" s="4"/>
      <c r="Y15" s="4"/>
      <c r="Z15" s="4"/>
    </row>
    <row r="16" spans="1:26">
      <c r="A16" s="5">
        <v>43101</v>
      </c>
      <c r="B16" s="4" t="s">
        <v>9</v>
      </c>
      <c r="C16" s="4" t="s">
        <v>18</v>
      </c>
      <c r="D16" s="4" t="s">
        <v>15</v>
      </c>
      <c r="E16" s="4" t="s">
        <v>12</v>
      </c>
      <c r="F16" s="4">
        <v>6782058</v>
      </c>
      <c r="G16" s="4">
        <v>179662</v>
      </c>
      <c r="H16" s="4">
        <v>591975</v>
      </c>
      <c r="I16" s="6">
        <v>65352.896769924962</v>
      </c>
      <c r="J16" s="4"/>
      <c r="K16" s="4"/>
      <c r="L16" s="4"/>
      <c r="M16" s="4"/>
      <c r="N16" s="4"/>
      <c r="O16" s="4"/>
      <c r="P16" s="4"/>
      <c r="Q16" s="4"/>
      <c r="R16" s="4"/>
      <c r="S16" s="4"/>
      <c r="T16" s="4"/>
      <c r="U16" s="4"/>
      <c r="V16" s="4"/>
      <c r="W16" s="4"/>
      <c r="X16" s="4"/>
      <c r="Y16" s="4"/>
      <c r="Z16" s="4"/>
    </row>
    <row r="17" spans="1:26">
      <c r="A17" s="5">
        <v>43101</v>
      </c>
      <c r="B17" s="4" t="s">
        <v>9</v>
      </c>
      <c r="C17" s="4" t="s">
        <v>18</v>
      </c>
      <c r="D17" s="4" t="s">
        <v>15</v>
      </c>
      <c r="E17" s="4" t="s">
        <v>13</v>
      </c>
      <c r="F17" s="4">
        <v>25264</v>
      </c>
      <c r="G17" s="4">
        <v>331</v>
      </c>
      <c r="H17" s="4">
        <v>4710</v>
      </c>
      <c r="I17" s="6">
        <v>6113.655604055195</v>
      </c>
      <c r="J17" s="4"/>
      <c r="K17" s="4"/>
      <c r="L17" s="4"/>
      <c r="M17" s="4"/>
      <c r="N17" s="4"/>
      <c r="O17" s="4"/>
      <c r="P17" s="4"/>
      <c r="Q17" s="4"/>
      <c r="R17" s="4"/>
      <c r="S17" s="4"/>
      <c r="T17" s="4"/>
      <c r="U17" s="4"/>
      <c r="V17" s="4"/>
      <c r="W17" s="4"/>
      <c r="X17" s="4"/>
      <c r="Y17" s="4"/>
      <c r="Z17" s="4"/>
    </row>
    <row r="18" spans="1:26">
      <c r="A18" s="5">
        <v>43101</v>
      </c>
      <c r="B18" s="4" t="s">
        <v>9</v>
      </c>
      <c r="C18" s="4" t="s">
        <v>18</v>
      </c>
      <c r="D18" s="4" t="s">
        <v>16</v>
      </c>
      <c r="E18" s="4" t="s">
        <v>12</v>
      </c>
      <c r="F18" s="4">
        <v>87309842</v>
      </c>
      <c r="G18" s="4">
        <v>610219</v>
      </c>
      <c r="H18" s="4">
        <v>1747777</v>
      </c>
      <c r="I18" s="6">
        <v>421258.88095478382</v>
      </c>
      <c r="J18" s="4"/>
      <c r="K18" s="4"/>
      <c r="L18" s="4"/>
      <c r="M18" s="4"/>
      <c r="N18" s="4"/>
      <c r="O18" s="4"/>
      <c r="P18" s="4"/>
      <c r="Q18" s="4"/>
      <c r="R18" s="4"/>
      <c r="S18" s="4"/>
      <c r="T18" s="4"/>
      <c r="U18" s="4"/>
      <c r="V18" s="4"/>
      <c r="W18" s="4"/>
      <c r="X18" s="4"/>
      <c r="Y18" s="4"/>
      <c r="Z18" s="4"/>
    </row>
    <row r="19" spans="1:26">
      <c r="A19" s="5">
        <v>43101</v>
      </c>
      <c r="B19" s="4" t="s">
        <v>9</v>
      </c>
      <c r="C19" s="4" t="s">
        <v>18</v>
      </c>
      <c r="D19" s="4" t="s">
        <v>16</v>
      </c>
      <c r="E19" s="4" t="s">
        <v>13</v>
      </c>
      <c r="F19" s="4">
        <v>763158</v>
      </c>
      <c r="G19" s="4">
        <v>1744</v>
      </c>
      <c r="H19" s="4">
        <v>42939</v>
      </c>
      <c r="I19" s="6">
        <v>27605.363342257362</v>
      </c>
      <c r="J19" s="4"/>
      <c r="K19" s="4"/>
      <c r="L19" s="4"/>
      <c r="M19" s="4"/>
      <c r="N19" s="4"/>
      <c r="O19" s="4"/>
      <c r="P19" s="4"/>
      <c r="Q19" s="4"/>
      <c r="R19" s="4"/>
      <c r="S19" s="4"/>
      <c r="T19" s="4"/>
      <c r="U19" s="4"/>
      <c r="V19" s="4"/>
      <c r="W19" s="4"/>
      <c r="X19" s="4"/>
      <c r="Y19" s="4"/>
      <c r="Z19" s="4"/>
    </row>
    <row r="20" spans="1:26">
      <c r="A20" s="5">
        <v>43101</v>
      </c>
      <c r="B20" s="4" t="s">
        <v>9</v>
      </c>
      <c r="C20" s="4" t="s">
        <v>18</v>
      </c>
      <c r="D20" s="4" t="s">
        <v>17</v>
      </c>
      <c r="E20" s="4" t="s">
        <v>12</v>
      </c>
      <c r="F20" s="4">
        <v>8265048</v>
      </c>
      <c r="G20" s="4">
        <v>196159</v>
      </c>
      <c r="H20" s="4">
        <v>559233</v>
      </c>
      <c r="I20" s="6">
        <v>143062.66799282431</v>
      </c>
      <c r="J20" s="4"/>
      <c r="K20" s="4"/>
      <c r="L20" s="4"/>
      <c r="M20" s="4"/>
      <c r="N20" s="4"/>
      <c r="O20" s="4"/>
      <c r="P20" s="4"/>
      <c r="Q20" s="4"/>
      <c r="R20" s="4"/>
      <c r="S20" s="4"/>
      <c r="T20" s="4"/>
      <c r="U20" s="4"/>
      <c r="V20" s="4"/>
      <c r="W20" s="4"/>
      <c r="X20" s="4"/>
      <c r="Y20" s="4"/>
      <c r="Z20" s="4"/>
    </row>
    <row r="21" spans="1:26">
      <c r="A21" s="5">
        <v>43101</v>
      </c>
      <c r="B21" s="4" t="s">
        <v>9</v>
      </c>
      <c r="C21" s="4" t="s">
        <v>18</v>
      </c>
      <c r="D21" s="4" t="s">
        <v>17</v>
      </c>
      <c r="E21" s="4" t="s">
        <v>13</v>
      </c>
      <c r="F21" s="4">
        <v>63107</v>
      </c>
      <c r="G21" s="4">
        <v>700</v>
      </c>
      <c r="H21" s="4">
        <v>15474</v>
      </c>
      <c r="I21" s="6">
        <v>11099.529662141649</v>
      </c>
      <c r="J21" s="4"/>
      <c r="K21" s="4"/>
      <c r="L21" s="4"/>
      <c r="M21" s="4"/>
      <c r="N21" s="4"/>
      <c r="O21" s="4"/>
      <c r="P21" s="4"/>
      <c r="Q21" s="4"/>
      <c r="R21" s="4"/>
      <c r="S21" s="4"/>
      <c r="T21" s="4"/>
      <c r="U21" s="4"/>
      <c r="V21" s="4"/>
      <c r="W21" s="4"/>
      <c r="X21" s="4"/>
      <c r="Y21" s="4"/>
      <c r="Z21" s="4"/>
    </row>
    <row r="22" spans="1:26">
      <c r="A22" s="5">
        <v>43101</v>
      </c>
      <c r="B22" s="4" t="s">
        <v>9</v>
      </c>
      <c r="C22" s="4" t="s">
        <v>19</v>
      </c>
      <c r="D22" s="4" t="s">
        <v>11</v>
      </c>
      <c r="E22" s="4" t="s">
        <v>12</v>
      </c>
      <c r="F22" s="4">
        <v>100655</v>
      </c>
      <c r="G22" s="4">
        <v>16372</v>
      </c>
      <c r="H22" s="4">
        <v>17244</v>
      </c>
      <c r="I22" s="6">
        <v>87183.714412448302</v>
      </c>
      <c r="J22" s="4"/>
      <c r="K22" s="4"/>
      <c r="L22" s="4"/>
      <c r="M22" s="4"/>
      <c r="N22" s="4"/>
      <c r="O22" s="4"/>
      <c r="P22" s="4"/>
      <c r="Q22" s="4"/>
      <c r="R22" s="4"/>
      <c r="S22" s="4"/>
      <c r="T22" s="4"/>
      <c r="U22" s="4"/>
      <c r="V22" s="4"/>
      <c r="W22" s="4"/>
      <c r="X22" s="4"/>
      <c r="Y22" s="4"/>
      <c r="Z22" s="4"/>
    </row>
    <row r="23" spans="1:26">
      <c r="A23" s="5">
        <v>43101</v>
      </c>
      <c r="B23" s="4" t="s">
        <v>9</v>
      </c>
      <c r="C23" s="4" t="s">
        <v>19</v>
      </c>
      <c r="D23" s="4" t="s">
        <v>11</v>
      </c>
      <c r="E23" s="4" t="s">
        <v>13</v>
      </c>
      <c r="F23" s="4">
        <v>549</v>
      </c>
      <c r="G23" s="4">
        <v>633</v>
      </c>
      <c r="H23" s="4">
        <v>6613</v>
      </c>
      <c r="I23" s="6">
        <v>14825.605193963334</v>
      </c>
      <c r="J23" s="4"/>
      <c r="K23" s="4"/>
      <c r="L23" s="4"/>
      <c r="M23" s="4"/>
      <c r="N23" s="4"/>
      <c r="O23" s="4"/>
      <c r="P23" s="4"/>
      <c r="Q23" s="4"/>
      <c r="R23" s="4"/>
      <c r="S23" s="4"/>
      <c r="T23" s="4"/>
      <c r="U23" s="4"/>
      <c r="V23" s="4"/>
      <c r="W23" s="4"/>
      <c r="X23" s="4"/>
      <c r="Y23" s="4"/>
      <c r="Z23" s="4"/>
    </row>
    <row r="24" spans="1:26">
      <c r="A24" s="5">
        <v>43101</v>
      </c>
      <c r="B24" s="4" t="s">
        <v>9</v>
      </c>
      <c r="C24" s="4" t="s">
        <v>19</v>
      </c>
      <c r="D24" s="4" t="s">
        <v>14</v>
      </c>
      <c r="E24" s="4" t="s">
        <v>12</v>
      </c>
      <c r="F24" s="4">
        <v>246965</v>
      </c>
      <c r="G24" s="4">
        <v>38609</v>
      </c>
      <c r="H24" s="4">
        <v>40581</v>
      </c>
      <c r="I24" s="6">
        <v>155386.97039955793</v>
      </c>
      <c r="J24" s="4"/>
      <c r="K24" s="4"/>
      <c r="L24" s="4"/>
      <c r="M24" s="4"/>
      <c r="N24" s="4"/>
      <c r="O24" s="4"/>
      <c r="P24" s="4"/>
      <c r="Q24" s="4"/>
      <c r="R24" s="4"/>
      <c r="S24" s="4"/>
      <c r="T24" s="4"/>
      <c r="U24" s="4"/>
      <c r="V24" s="4"/>
      <c r="W24" s="4"/>
      <c r="X24" s="4"/>
      <c r="Y24" s="4"/>
      <c r="Z24" s="4"/>
    </row>
    <row r="25" spans="1:26">
      <c r="A25" s="5">
        <v>43101</v>
      </c>
      <c r="B25" s="4" t="s">
        <v>9</v>
      </c>
      <c r="C25" s="4" t="s">
        <v>19</v>
      </c>
      <c r="D25" s="4" t="s">
        <v>14</v>
      </c>
      <c r="E25" s="4" t="s">
        <v>13</v>
      </c>
      <c r="F25" s="4">
        <v>1323</v>
      </c>
      <c r="G25" s="4">
        <v>1417</v>
      </c>
      <c r="H25" s="4">
        <v>35993</v>
      </c>
      <c r="I25" s="6">
        <v>24639.87138687363</v>
      </c>
      <c r="J25" s="4"/>
      <c r="K25" s="4"/>
      <c r="L25" s="4"/>
      <c r="M25" s="4"/>
      <c r="N25" s="4"/>
      <c r="O25" s="4"/>
      <c r="P25" s="4"/>
      <c r="Q25" s="4"/>
      <c r="R25" s="4"/>
      <c r="S25" s="4"/>
      <c r="T25" s="4"/>
      <c r="U25" s="4"/>
      <c r="V25" s="4"/>
      <c r="W25" s="4"/>
      <c r="X25" s="4"/>
      <c r="Y25" s="4"/>
      <c r="Z25" s="4"/>
    </row>
    <row r="26" spans="1:26">
      <c r="A26" s="5">
        <v>43101</v>
      </c>
      <c r="B26" s="4" t="s">
        <v>9</v>
      </c>
      <c r="C26" s="4" t="s">
        <v>19</v>
      </c>
      <c r="D26" s="4" t="s">
        <v>15</v>
      </c>
      <c r="E26" s="4" t="s">
        <v>12</v>
      </c>
      <c r="F26" s="4">
        <v>116534</v>
      </c>
      <c r="G26" s="4">
        <v>19812</v>
      </c>
      <c r="H26" s="4">
        <v>20530</v>
      </c>
      <c r="I26" s="6">
        <v>57442.039090578153</v>
      </c>
      <c r="J26" s="4"/>
      <c r="K26" s="4"/>
      <c r="L26" s="4"/>
      <c r="M26" s="4"/>
      <c r="N26" s="4"/>
      <c r="O26" s="4"/>
      <c r="P26" s="4"/>
      <c r="Q26" s="4"/>
      <c r="R26" s="4"/>
      <c r="S26" s="4"/>
      <c r="T26" s="4"/>
      <c r="U26" s="4"/>
      <c r="V26" s="4"/>
      <c r="W26" s="4"/>
      <c r="X26" s="4"/>
      <c r="Y26" s="4"/>
      <c r="Z26" s="4"/>
    </row>
    <row r="27" spans="1:26">
      <c r="A27" s="5">
        <v>43101</v>
      </c>
      <c r="B27" s="4" t="s">
        <v>9</v>
      </c>
      <c r="C27" s="4" t="s">
        <v>19</v>
      </c>
      <c r="D27" s="4" t="s">
        <v>15</v>
      </c>
      <c r="E27" s="4" t="s">
        <v>13</v>
      </c>
      <c r="F27" s="4">
        <v>408</v>
      </c>
      <c r="G27" s="4">
        <v>580</v>
      </c>
      <c r="H27" s="4">
        <v>19330</v>
      </c>
      <c r="I27" s="6">
        <v>10721.154821051174</v>
      </c>
      <c r="J27" s="4"/>
      <c r="K27" s="4"/>
      <c r="L27" s="4"/>
      <c r="M27" s="4"/>
      <c r="N27" s="4"/>
      <c r="O27" s="4"/>
      <c r="P27" s="4"/>
      <c r="Q27" s="4"/>
      <c r="R27" s="4"/>
      <c r="S27" s="4"/>
      <c r="T27" s="4"/>
      <c r="U27" s="4"/>
      <c r="V27" s="4"/>
      <c r="W27" s="4"/>
      <c r="X27" s="4"/>
      <c r="Y27" s="4"/>
      <c r="Z27" s="4"/>
    </row>
    <row r="28" spans="1:26">
      <c r="A28" s="5">
        <v>43101</v>
      </c>
      <c r="B28" s="4" t="s">
        <v>9</v>
      </c>
      <c r="C28" s="4" t="s">
        <v>19</v>
      </c>
      <c r="D28" s="4" t="s">
        <v>16</v>
      </c>
      <c r="E28" s="4" t="s">
        <v>12</v>
      </c>
      <c r="F28" s="4">
        <v>13868816</v>
      </c>
      <c r="G28" s="4">
        <v>60759</v>
      </c>
      <c r="H28" s="4">
        <v>62290</v>
      </c>
      <c r="I28" s="6">
        <v>358372.54171121825</v>
      </c>
      <c r="J28" s="4"/>
      <c r="K28" s="4"/>
      <c r="L28" s="4"/>
      <c r="M28" s="4"/>
      <c r="N28" s="4"/>
      <c r="O28" s="4"/>
      <c r="P28" s="4"/>
      <c r="Q28" s="4"/>
      <c r="R28" s="4"/>
      <c r="S28" s="4"/>
      <c r="T28" s="4"/>
      <c r="U28" s="4"/>
      <c r="V28" s="4"/>
      <c r="W28" s="4"/>
      <c r="X28" s="4"/>
      <c r="Y28" s="4"/>
      <c r="Z28" s="4"/>
    </row>
    <row r="29" spans="1:26">
      <c r="A29" s="5">
        <v>43101</v>
      </c>
      <c r="B29" s="4" t="s">
        <v>9</v>
      </c>
      <c r="C29" s="4" t="s">
        <v>19</v>
      </c>
      <c r="D29" s="4" t="s">
        <v>16</v>
      </c>
      <c r="E29" s="4" t="s">
        <v>13</v>
      </c>
      <c r="F29" s="4">
        <v>129607</v>
      </c>
      <c r="G29" s="4">
        <v>1822</v>
      </c>
      <c r="H29" s="4">
        <v>31348</v>
      </c>
      <c r="I29" s="6">
        <v>48554.935737903048</v>
      </c>
      <c r="J29" s="4"/>
      <c r="K29" s="4"/>
      <c r="L29" s="4"/>
      <c r="M29" s="4"/>
      <c r="N29" s="4"/>
      <c r="O29" s="4"/>
      <c r="P29" s="4"/>
      <c r="Q29" s="4"/>
      <c r="R29" s="4"/>
      <c r="S29" s="4"/>
      <c r="T29" s="4"/>
      <c r="U29" s="4"/>
      <c r="V29" s="4"/>
      <c r="W29" s="4"/>
      <c r="X29" s="4"/>
      <c r="Y29" s="4"/>
      <c r="Z29" s="4"/>
    </row>
    <row r="30" spans="1:26">
      <c r="A30" s="5">
        <v>43101</v>
      </c>
      <c r="B30" s="4" t="s">
        <v>9</v>
      </c>
      <c r="C30" s="4" t="s">
        <v>19</v>
      </c>
      <c r="D30" s="4" t="s">
        <v>17</v>
      </c>
      <c r="E30" s="4" t="s">
        <v>12</v>
      </c>
      <c r="F30" s="4">
        <v>193439</v>
      </c>
      <c r="G30" s="4">
        <v>21921</v>
      </c>
      <c r="H30" s="4">
        <v>22633</v>
      </c>
      <c r="I30" s="6">
        <v>132880.49392987933</v>
      </c>
      <c r="J30" s="4"/>
      <c r="K30" s="4"/>
      <c r="L30" s="4"/>
      <c r="M30" s="4"/>
      <c r="N30" s="4"/>
      <c r="O30" s="4"/>
      <c r="P30" s="4"/>
      <c r="Q30" s="4"/>
      <c r="R30" s="4"/>
      <c r="S30" s="4"/>
      <c r="T30" s="4"/>
      <c r="U30" s="4"/>
      <c r="V30" s="4"/>
      <c r="W30" s="4"/>
      <c r="X30" s="4"/>
      <c r="Y30" s="4"/>
      <c r="Z30" s="4"/>
    </row>
    <row r="31" spans="1:26">
      <c r="A31" s="5">
        <v>43101</v>
      </c>
      <c r="B31" s="4" t="s">
        <v>9</v>
      </c>
      <c r="C31" s="4" t="s">
        <v>19</v>
      </c>
      <c r="D31" s="4" t="s">
        <v>17</v>
      </c>
      <c r="E31" s="4" t="s">
        <v>13</v>
      </c>
      <c r="F31" s="4">
        <v>1305</v>
      </c>
      <c r="G31" s="4">
        <v>595</v>
      </c>
      <c r="H31" s="4">
        <v>5994</v>
      </c>
      <c r="I31" s="6">
        <v>16359.293534019698</v>
      </c>
      <c r="J31" s="4"/>
      <c r="K31" s="4"/>
      <c r="L31" s="4"/>
      <c r="M31" s="4"/>
      <c r="N31" s="4"/>
      <c r="O31" s="4"/>
      <c r="P31" s="4"/>
      <c r="Q31" s="4"/>
      <c r="R31" s="4"/>
      <c r="S31" s="4"/>
      <c r="T31" s="4"/>
      <c r="U31" s="4"/>
      <c r="V31" s="4"/>
      <c r="W31" s="4"/>
      <c r="X31" s="4"/>
      <c r="Y31" s="4"/>
      <c r="Z31" s="4"/>
    </row>
    <row r="32" spans="1:26">
      <c r="A32" s="5">
        <v>43101</v>
      </c>
      <c r="B32" s="4" t="s">
        <v>20</v>
      </c>
      <c r="C32" s="4" t="s">
        <v>10</v>
      </c>
      <c r="D32" s="4" t="s">
        <v>11</v>
      </c>
      <c r="E32" s="4" t="s">
        <v>12</v>
      </c>
      <c r="F32" s="4">
        <v>1958862</v>
      </c>
      <c r="G32" s="4">
        <v>4600</v>
      </c>
      <c r="H32" s="4">
        <v>5213</v>
      </c>
      <c r="I32" s="6">
        <v>1226.8048072729639</v>
      </c>
      <c r="J32" s="4"/>
      <c r="K32" s="4"/>
      <c r="L32" s="4"/>
      <c r="M32" s="4"/>
      <c r="N32" s="4"/>
      <c r="O32" s="4"/>
      <c r="P32" s="4"/>
      <c r="Q32" s="4"/>
      <c r="R32" s="4"/>
      <c r="S32" s="4"/>
      <c r="T32" s="4"/>
      <c r="U32" s="4"/>
      <c r="V32" s="4"/>
      <c r="W32" s="4"/>
      <c r="X32" s="4"/>
      <c r="Y32" s="4"/>
      <c r="Z32" s="4"/>
    </row>
    <row r="33" spans="1:26">
      <c r="A33" s="5">
        <v>43101</v>
      </c>
      <c r="B33" s="4" t="s">
        <v>20</v>
      </c>
      <c r="C33" s="4" t="s">
        <v>10</v>
      </c>
      <c r="D33" s="4" t="s">
        <v>11</v>
      </c>
      <c r="E33" s="4" t="s">
        <v>13</v>
      </c>
      <c r="F33" s="4">
        <v>789</v>
      </c>
      <c r="G33" s="4">
        <v>17</v>
      </c>
      <c r="H33" s="4">
        <v>43</v>
      </c>
      <c r="I33" s="6">
        <v>9561.423535353535</v>
      </c>
      <c r="J33" s="4"/>
      <c r="K33" s="4"/>
      <c r="L33" s="4"/>
      <c r="M33" s="4"/>
      <c r="N33" s="4"/>
      <c r="O33" s="4"/>
      <c r="P33" s="4"/>
      <c r="Q33" s="4"/>
      <c r="R33" s="4"/>
      <c r="S33" s="4"/>
      <c r="T33" s="4"/>
      <c r="U33" s="4"/>
      <c r="V33" s="4"/>
      <c r="W33" s="4"/>
      <c r="X33" s="4"/>
      <c r="Y33" s="4"/>
      <c r="Z33" s="4"/>
    </row>
    <row r="34" spans="1:26">
      <c r="A34" s="5">
        <v>43101</v>
      </c>
      <c r="B34" s="4" t="s">
        <v>20</v>
      </c>
      <c r="C34" s="4" t="s">
        <v>10</v>
      </c>
      <c r="D34" s="4" t="s">
        <v>14</v>
      </c>
      <c r="E34" s="4" t="s">
        <v>12</v>
      </c>
      <c r="F34" s="4">
        <v>3547451</v>
      </c>
      <c r="G34" s="4">
        <v>8188</v>
      </c>
      <c r="H34" s="4">
        <v>8894</v>
      </c>
      <c r="I34" s="6">
        <v>1117.4780293655035</v>
      </c>
      <c r="J34" s="4"/>
      <c r="K34" s="4"/>
      <c r="L34" s="4"/>
      <c r="M34" s="4"/>
      <c r="N34" s="4"/>
      <c r="O34" s="4"/>
      <c r="P34" s="4"/>
      <c r="Q34" s="4"/>
      <c r="R34" s="4"/>
      <c r="S34" s="4"/>
      <c r="T34" s="4"/>
      <c r="U34" s="4"/>
      <c r="V34" s="4"/>
      <c r="W34" s="4"/>
      <c r="X34" s="4"/>
      <c r="Y34" s="4"/>
      <c r="Z34" s="4"/>
    </row>
    <row r="35" spans="1:26">
      <c r="A35" s="5">
        <v>43101</v>
      </c>
      <c r="B35" s="4" t="s">
        <v>20</v>
      </c>
      <c r="C35" s="4" t="s">
        <v>10</v>
      </c>
      <c r="D35" s="4" t="s">
        <v>14</v>
      </c>
      <c r="E35" s="4" t="s">
        <v>13</v>
      </c>
      <c r="F35" s="4">
        <v>1703</v>
      </c>
      <c r="G35" s="4">
        <v>39</v>
      </c>
      <c r="H35" s="4">
        <v>163</v>
      </c>
      <c r="I35" s="6">
        <v>18258.316286206897</v>
      </c>
      <c r="J35" s="4"/>
      <c r="K35" s="4"/>
      <c r="L35" s="4"/>
      <c r="M35" s="4"/>
      <c r="N35" s="4"/>
      <c r="O35" s="4"/>
      <c r="P35" s="4"/>
      <c r="Q35" s="4"/>
      <c r="R35" s="4"/>
      <c r="S35" s="4"/>
      <c r="T35" s="4"/>
      <c r="U35" s="4"/>
      <c r="V35" s="4"/>
      <c r="W35" s="4"/>
      <c r="X35" s="4"/>
      <c r="Y35" s="4"/>
      <c r="Z35" s="4"/>
    </row>
    <row r="36" spans="1:26">
      <c r="A36" s="5">
        <v>43101</v>
      </c>
      <c r="B36" s="4" t="s">
        <v>20</v>
      </c>
      <c r="C36" s="4" t="s">
        <v>10</v>
      </c>
      <c r="D36" s="4" t="s">
        <v>15</v>
      </c>
      <c r="E36" s="4" t="s">
        <v>12</v>
      </c>
      <c r="F36" s="4">
        <v>886582</v>
      </c>
      <c r="G36" s="4">
        <v>2065</v>
      </c>
      <c r="H36" s="4">
        <v>2240</v>
      </c>
      <c r="I36" s="6">
        <v>357.31689332124512</v>
      </c>
      <c r="J36" s="4"/>
      <c r="K36" s="4"/>
      <c r="L36" s="4"/>
      <c r="M36" s="4"/>
      <c r="N36" s="4"/>
      <c r="O36" s="4"/>
      <c r="P36" s="4"/>
      <c r="Q36" s="4"/>
      <c r="R36" s="4"/>
      <c r="S36" s="4"/>
      <c r="T36" s="4"/>
      <c r="U36" s="4"/>
      <c r="V36" s="4"/>
      <c r="W36" s="4"/>
      <c r="X36" s="4"/>
      <c r="Y36" s="4"/>
      <c r="Z36" s="4"/>
    </row>
    <row r="37" spans="1:26">
      <c r="A37" s="5">
        <v>43101</v>
      </c>
      <c r="B37" s="4" t="s">
        <v>20</v>
      </c>
      <c r="C37" s="4" t="s">
        <v>10</v>
      </c>
      <c r="D37" s="4" t="s">
        <v>15</v>
      </c>
      <c r="E37" s="4" t="s">
        <v>13</v>
      </c>
      <c r="F37" s="4">
        <v>230</v>
      </c>
      <c r="G37" s="4">
        <v>2</v>
      </c>
      <c r="H37" s="4">
        <v>6</v>
      </c>
      <c r="I37" s="6">
        <v>730.23126760563378</v>
      </c>
      <c r="J37" s="4"/>
      <c r="K37" s="4"/>
      <c r="L37" s="4"/>
      <c r="M37" s="4"/>
      <c r="N37" s="4"/>
      <c r="O37" s="4"/>
      <c r="P37" s="4"/>
      <c r="Q37" s="4"/>
      <c r="R37" s="4"/>
      <c r="S37" s="4"/>
      <c r="T37" s="4"/>
      <c r="U37" s="4"/>
      <c r="V37" s="4"/>
      <c r="W37" s="4"/>
      <c r="X37" s="4"/>
      <c r="Y37" s="4"/>
      <c r="Z37" s="4"/>
    </row>
    <row r="38" spans="1:26">
      <c r="A38" s="5">
        <v>43101</v>
      </c>
      <c r="B38" s="4" t="s">
        <v>20</v>
      </c>
      <c r="C38" s="4" t="s">
        <v>10</v>
      </c>
      <c r="D38" s="4" t="s">
        <v>16</v>
      </c>
      <c r="E38" s="4" t="s">
        <v>12</v>
      </c>
      <c r="F38" s="4">
        <v>9541042</v>
      </c>
      <c r="G38" s="4">
        <v>29832</v>
      </c>
      <c r="H38" s="4">
        <v>31331</v>
      </c>
      <c r="I38" s="6">
        <v>5283.8205313091003</v>
      </c>
      <c r="J38" s="4"/>
      <c r="K38" s="4"/>
      <c r="L38" s="4"/>
      <c r="M38" s="4"/>
      <c r="N38" s="4"/>
      <c r="O38" s="4"/>
      <c r="P38" s="4"/>
      <c r="Q38" s="4"/>
      <c r="R38" s="4"/>
      <c r="S38" s="4"/>
      <c r="T38" s="4"/>
      <c r="U38" s="4"/>
      <c r="V38" s="4"/>
      <c r="W38" s="4"/>
      <c r="X38" s="4"/>
      <c r="Y38" s="4"/>
      <c r="Z38" s="4"/>
    </row>
    <row r="39" spans="1:26">
      <c r="A39" s="5">
        <v>43101</v>
      </c>
      <c r="B39" s="4" t="s">
        <v>20</v>
      </c>
      <c r="C39" s="4" t="s">
        <v>10</v>
      </c>
      <c r="D39" s="4" t="s">
        <v>16</v>
      </c>
      <c r="E39" s="4" t="s">
        <v>13</v>
      </c>
      <c r="F39" s="4">
        <v>4628</v>
      </c>
      <c r="G39" s="4">
        <v>198</v>
      </c>
      <c r="H39" s="4">
        <v>534</v>
      </c>
      <c r="I39" s="6">
        <v>87398.963985330061</v>
      </c>
      <c r="J39" s="4"/>
      <c r="K39" s="4"/>
      <c r="L39" s="4"/>
      <c r="M39" s="4"/>
      <c r="N39" s="4"/>
      <c r="O39" s="4"/>
      <c r="P39" s="4"/>
      <c r="Q39" s="4"/>
      <c r="R39" s="4"/>
      <c r="S39" s="4"/>
      <c r="T39" s="4"/>
      <c r="U39" s="4"/>
      <c r="V39" s="4"/>
      <c r="W39" s="4"/>
      <c r="X39" s="4"/>
      <c r="Y39" s="4"/>
      <c r="Z39" s="4"/>
    </row>
    <row r="40" spans="1:26">
      <c r="A40" s="5">
        <v>43101</v>
      </c>
      <c r="B40" s="4" t="s">
        <v>20</v>
      </c>
      <c r="C40" s="4" t="s">
        <v>10</v>
      </c>
      <c r="D40" s="4" t="s">
        <v>17</v>
      </c>
      <c r="E40" s="4" t="s">
        <v>12</v>
      </c>
      <c r="F40" s="4">
        <v>3022844</v>
      </c>
      <c r="G40" s="4">
        <v>9925</v>
      </c>
      <c r="H40" s="4">
        <v>10530</v>
      </c>
      <c r="I40" s="6">
        <v>1602.4886776523704</v>
      </c>
      <c r="J40" s="4"/>
      <c r="K40" s="4"/>
      <c r="L40" s="4"/>
      <c r="M40" s="4"/>
      <c r="N40" s="4"/>
      <c r="O40" s="4"/>
      <c r="P40" s="4"/>
      <c r="Q40" s="4"/>
      <c r="R40" s="4"/>
      <c r="S40" s="4"/>
      <c r="T40" s="4"/>
      <c r="U40" s="4"/>
      <c r="V40" s="4"/>
      <c r="W40" s="4"/>
      <c r="X40" s="4"/>
      <c r="Y40" s="4"/>
      <c r="Z40" s="4"/>
    </row>
    <row r="41" spans="1:26">
      <c r="A41" s="5">
        <v>43101</v>
      </c>
      <c r="B41" s="4" t="s">
        <v>20</v>
      </c>
      <c r="C41" s="4" t="s">
        <v>10</v>
      </c>
      <c r="D41" s="4" t="s">
        <v>17</v>
      </c>
      <c r="E41" s="4" t="s">
        <v>13</v>
      </c>
      <c r="F41" s="4">
        <v>1563</v>
      </c>
      <c r="G41" s="4">
        <v>58</v>
      </c>
      <c r="H41" s="4">
        <v>183</v>
      </c>
      <c r="I41" s="6">
        <v>27829.364903225804</v>
      </c>
      <c r="J41" s="4"/>
      <c r="K41" s="4"/>
      <c r="L41" s="4"/>
      <c r="M41" s="4"/>
      <c r="N41" s="4"/>
      <c r="O41" s="4"/>
      <c r="P41" s="4"/>
      <c r="Q41" s="4"/>
      <c r="R41" s="4"/>
      <c r="S41" s="4"/>
      <c r="T41" s="4"/>
      <c r="U41" s="4"/>
      <c r="V41" s="4"/>
      <c r="W41" s="4"/>
      <c r="X41" s="4"/>
      <c r="Y41" s="4"/>
      <c r="Z41" s="4"/>
    </row>
    <row r="42" spans="1:26">
      <c r="A42" s="5">
        <v>43101</v>
      </c>
      <c r="B42" s="4" t="s">
        <v>20</v>
      </c>
      <c r="C42" s="4" t="s">
        <v>18</v>
      </c>
      <c r="D42" s="4" t="s">
        <v>11</v>
      </c>
      <c r="E42" s="4" t="s">
        <v>12</v>
      </c>
      <c r="F42" s="4">
        <v>2191509</v>
      </c>
      <c r="G42" s="4">
        <v>13012</v>
      </c>
      <c r="H42" s="4">
        <v>25075</v>
      </c>
      <c r="I42" s="6">
        <v>7713.5049294439486</v>
      </c>
      <c r="J42" s="4"/>
      <c r="K42" s="4"/>
      <c r="L42" s="4"/>
      <c r="M42" s="4"/>
      <c r="N42" s="4"/>
      <c r="O42" s="4"/>
      <c r="P42" s="4"/>
      <c r="Q42" s="4"/>
      <c r="R42" s="4"/>
      <c r="S42" s="4"/>
      <c r="T42" s="4"/>
      <c r="U42" s="4"/>
      <c r="V42" s="4"/>
      <c r="W42" s="4"/>
      <c r="X42" s="4"/>
      <c r="Y42" s="4"/>
      <c r="Z42" s="4"/>
    </row>
    <row r="43" spans="1:26">
      <c r="A43" s="5">
        <v>43101</v>
      </c>
      <c r="B43" s="4" t="s">
        <v>20</v>
      </c>
      <c r="C43" s="4" t="s">
        <v>18</v>
      </c>
      <c r="D43" s="4" t="s">
        <v>11</v>
      </c>
      <c r="E43" s="4" t="s">
        <v>13</v>
      </c>
      <c r="F43" s="4">
        <v>1126</v>
      </c>
      <c r="G43" s="4">
        <v>8</v>
      </c>
      <c r="H43" s="4">
        <v>13</v>
      </c>
      <c r="I43" s="6">
        <v>67.841800000000006</v>
      </c>
      <c r="J43" s="4"/>
      <c r="K43" s="4"/>
      <c r="L43" s="4"/>
      <c r="M43" s="4"/>
      <c r="N43" s="4"/>
      <c r="O43" s="4"/>
      <c r="P43" s="4"/>
      <c r="Q43" s="4"/>
      <c r="R43" s="4"/>
      <c r="S43" s="4"/>
      <c r="T43" s="4"/>
      <c r="U43" s="4"/>
      <c r="V43" s="4"/>
      <c r="W43" s="4"/>
      <c r="X43" s="4"/>
      <c r="Y43" s="4"/>
      <c r="Z43" s="4"/>
    </row>
    <row r="44" spans="1:26">
      <c r="A44" s="5">
        <v>43101</v>
      </c>
      <c r="B44" s="4" t="s">
        <v>20</v>
      </c>
      <c r="C44" s="4" t="s">
        <v>18</v>
      </c>
      <c r="D44" s="4" t="s">
        <v>14</v>
      </c>
      <c r="E44" s="4" t="s">
        <v>12</v>
      </c>
      <c r="F44" s="4">
        <v>4151711</v>
      </c>
      <c r="G44" s="4">
        <v>25684</v>
      </c>
      <c r="H44" s="4">
        <v>48016</v>
      </c>
      <c r="I44" s="6">
        <v>9799.7822736663366</v>
      </c>
      <c r="J44" s="4"/>
      <c r="K44" s="4"/>
      <c r="L44" s="4"/>
      <c r="M44" s="4"/>
      <c r="N44" s="4"/>
      <c r="O44" s="4"/>
      <c r="P44" s="4"/>
      <c r="Q44" s="4"/>
      <c r="R44" s="4"/>
      <c r="S44" s="4"/>
      <c r="T44" s="4"/>
      <c r="U44" s="4"/>
      <c r="V44" s="4"/>
      <c r="W44" s="4"/>
      <c r="X44" s="4"/>
      <c r="Y44" s="4"/>
      <c r="Z44" s="4"/>
    </row>
    <row r="45" spans="1:26">
      <c r="A45" s="5">
        <v>43101</v>
      </c>
      <c r="B45" s="4" t="s">
        <v>20</v>
      </c>
      <c r="C45" s="4" t="s">
        <v>18</v>
      </c>
      <c r="D45" s="4" t="s">
        <v>14</v>
      </c>
      <c r="E45" s="4" t="s">
        <v>13</v>
      </c>
      <c r="F45" s="4">
        <v>2159</v>
      </c>
      <c r="G45" s="4">
        <v>20</v>
      </c>
      <c r="H45" s="4">
        <v>115</v>
      </c>
      <c r="I45" s="6">
        <v>193.32831528925618</v>
      </c>
      <c r="J45" s="4"/>
      <c r="K45" s="4"/>
      <c r="L45" s="4"/>
      <c r="M45" s="4"/>
      <c r="N45" s="4"/>
      <c r="O45" s="4"/>
      <c r="P45" s="4"/>
      <c r="Q45" s="4"/>
      <c r="R45" s="4"/>
      <c r="S45" s="4"/>
      <c r="T45" s="4"/>
      <c r="U45" s="4"/>
      <c r="V45" s="4"/>
      <c r="W45" s="4"/>
      <c r="X45" s="4"/>
      <c r="Y45" s="4"/>
      <c r="Z45" s="4"/>
    </row>
    <row r="46" spans="1:26">
      <c r="A46" s="5">
        <v>43101</v>
      </c>
      <c r="B46" s="4" t="s">
        <v>20</v>
      </c>
      <c r="C46" s="4" t="s">
        <v>18</v>
      </c>
      <c r="D46" s="4" t="s">
        <v>15</v>
      </c>
      <c r="E46" s="4" t="s">
        <v>12</v>
      </c>
      <c r="F46" s="4">
        <v>1310488</v>
      </c>
      <c r="G46" s="4">
        <v>8888</v>
      </c>
      <c r="H46" s="4">
        <v>16684</v>
      </c>
      <c r="I46" s="6">
        <v>2719.9150588139528</v>
      </c>
      <c r="J46" s="4"/>
      <c r="K46" s="4"/>
      <c r="L46" s="4"/>
      <c r="M46" s="4"/>
      <c r="N46" s="4"/>
      <c r="O46" s="4"/>
      <c r="P46" s="4"/>
      <c r="Q46" s="4"/>
      <c r="R46" s="4"/>
      <c r="S46" s="4"/>
      <c r="T46" s="4"/>
      <c r="U46" s="4"/>
      <c r="V46" s="4"/>
      <c r="W46" s="4"/>
      <c r="X46" s="4"/>
      <c r="Y46" s="4"/>
      <c r="Z46" s="4"/>
    </row>
    <row r="47" spans="1:26">
      <c r="A47" s="5">
        <v>43101</v>
      </c>
      <c r="B47" s="4" t="s">
        <v>20</v>
      </c>
      <c r="C47" s="4" t="s">
        <v>18</v>
      </c>
      <c r="D47" s="4" t="s">
        <v>15</v>
      </c>
      <c r="E47" s="4" t="s">
        <v>13</v>
      </c>
      <c r="F47" s="4">
        <v>449</v>
      </c>
      <c r="G47" s="4">
        <v>0</v>
      </c>
      <c r="H47" s="4">
        <v>0</v>
      </c>
      <c r="I47" s="6">
        <v>0</v>
      </c>
      <c r="J47" s="4"/>
      <c r="K47" s="4"/>
      <c r="L47" s="4"/>
      <c r="M47" s="4"/>
      <c r="N47" s="4"/>
      <c r="O47" s="4"/>
      <c r="P47" s="4"/>
      <c r="Q47" s="4"/>
      <c r="R47" s="4"/>
      <c r="S47" s="4"/>
      <c r="T47" s="4"/>
      <c r="U47" s="4"/>
      <c r="V47" s="4"/>
      <c r="W47" s="4"/>
      <c r="X47" s="4"/>
      <c r="Y47" s="4"/>
      <c r="Z47" s="4"/>
    </row>
    <row r="48" spans="1:26">
      <c r="A48" s="5">
        <v>43101</v>
      </c>
      <c r="B48" s="4" t="s">
        <v>20</v>
      </c>
      <c r="C48" s="4" t="s">
        <v>18</v>
      </c>
      <c r="D48" s="4" t="s">
        <v>16</v>
      </c>
      <c r="E48" s="4" t="s">
        <v>12</v>
      </c>
      <c r="F48" s="4">
        <v>19272851</v>
      </c>
      <c r="G48" s="4">
        <v>63589</v>
      </c>
      <c r="H48" s="4">
        <v>118439</v>
      </c>
      <c r="I48" s="6">
        <v>39081.050505190186</v>
      </c>
      <c r="J48" s="4"/>
      <c r="K48" s="4"/>
      <c r="L48" s="4"/>
      <c r="M48" s="4"/>
      <c r="N48" s="4"/>
      <c r="O48" s="4"/>
      <c r="P48" s="4"/>
      <c r="Q48" s="4"/>
      <c r="R48" s="4"/>
      <c r="S48" s="4"/>
      <c r="T48" s="4"/>
      <c r="U48" s="4"/>
      <c r="V48" s="4"/>
      <c r="W48" s="4"/>
      <c r="X48" s="4"/>
      <c r="Y48" s="4"/>
      <c r="Z48" s="4"/>
    </row>
    <row r="49" spans="1:26">
      <c r="A49" s="5">
        <v>43101</v>
      </c>
      <c r="B49" s="4" t="s">
        <v>20</v>
      </c>
      <c r="C49" s="4" t="s">
        <v>18</v>
      </c>
      <c r="D49" s="4" t="s">
        <v>16</v>
      </c>
      <c r="E49" s="4" t="s">
        <v>13</v>
      </c>
      <c r="F49" s="4">
        <v>23609</v>
      </c>
      <c r="G49" s="4">
        <v>73</v>
      </c>
      <c r="H49" s="4">
        <v>796</v>
      </c>
      <c r="I49" s="6">
        <v>1066.6216024653313</v>
      </c>
      <c r="J49" s="4"/>
      <c r="K49" s="4"/>
      <c r="L49" s="4"/>
      <c r="M49" s="4"/>
      <c r="N49" s="4"/>
      <c r="O49" s="4"/>
      <c r="P49" s="4"/>
      <c r="Q49" s="4"/>
      <c r="R49" s="4"/>
      <c r="S49" s="4"/>
      <c r="T49" s="4"/>
      <c r="U49" s="4"/>
      <c r="V49" s="4"/>
      <c r="W49" s="4"/>
      <c r="X49" s="4"/>
      <c r="Y49" s="4"/>
      <c r="Z49" s="4"/>
    </row>
    <row r="50" spans="1:26">
      <c r="A50" s="5">
        <v>43101</v>
      </c>
      <c r="B50" s="4" t="s">
        <v>20</v>
      </c>
      <c r="C50" s="4" t="s">
        <v>18</v>
      </c>
      <c r="D50" s="4" t="s">
        <v>17</v>
      </c>
      <c r="E50" s="4" t="s">
        <v>12</v>
      </c>
      <c r="F50" s="4">
        <v>3395690</v>
      </c>
      <c r="G50" s="4">
        <v>21464</v>
      </c>
      <c r="H50" s="4">
        <v>37705</v>
      </c>
      <c r="I50" s="6">
        <v>12852.074283732161</v>
      </c>
      <c r="J50" s="4"/>
      <c r="K50" s="4"/>
      <c r="L50" s="4"/>
      <c r="M50" s="4"/>
      <c r="N50" s="4"/>
      <c r="O50" s="4"/>
      <c r="P50" s="4"/>
      <c r="Q50" s="4"/>
      <c r="R50" s="4"/>
      <c r="S50" s="4"/>
      <c r="T50" s="4"/>
      <c r="U50" s="4"/>
      <c r="V50" s="4"/>
      <c r="W50" s="4"/>
      <c r="X50" s="4"/>
      <c r="Y50" s="4"/>
      <c r="Z50" s="4"/>
    </row>
    <row r="51" spans="1:26">
      <c r="A51" s="5">
        <v>43101</v>
      </c>
      <c r="B51" s="4" t="s">
        <v>20</v>
      </c>
      <c r="C51" s="4" t="s">
        <v>18</v>
      </c>
      <c r="D51" s="4" t="s">
        <v>17</v>
      </c>
      <c r="E51" s="4" t="s">
        <v>13</v>
      </c>
      <c r="F51" s="4">
        <v>1364</v>
      </c>
      <c r="G51" s="4">
        <v>12</v>
      </c>
      <c r="H51" s="4">
        <v>66</v>
      </c>
      <c r="I51" s="6">
        <v>41.232065217391309</v>
      </c>
      <c r="J51" s="4"/>
      <c r="K51" s="4"/>
      <c r="L51" s="4"/>
      <c r="M51" s="4"/>
      <c r="N51" s="4"/>
      <c r="O51" s="4"/>
      <c r="P51" s="4"/>
      <c r="Q51" s="4"/>
      <c r="R51" s="4"/>
      <c r="S51" s="4"/>
      <c r="T51" s="4"/>
      <c r="U51" s="4"/>
      <c r="V51" s="4"/>
      <c r="W51" s="4"/>
      <c r="X51" s="4"/>
      <c r="Y51" s="4"/>
      <c r="Z51" s="4"/>
    </row>
    <row r="52" spans="1:26">
      <c r="A52" s="5">
        <v>43101</v>
      </c>
      <c r="B52" s="4" t="s">
        <v>20</v>
      </c>
      <c r="C52" s="4" t="s">
        <v>19</v>
      </c>
      <c r="D52" s="4" t="s">
        <v>11</v>
      </c>
      <c r="E52" s="4" t="s">
        <v>12</v>
      </c>
      <c r="F52" s="4">
        <v>670432</v>
      </c>
      <c r="G52" s="4">
        <v>2047</v>
      </c>
      <c r="H52" s="4">
        <v>2201</v>
      </c>
      <c r="I52" s="6">
        <v>7707.3892901044865</v>
      </c>
      <c r="J52" s="4"/>
      <c r="K52" s="4"/>
      <c r="L52" s="4"/>
      <c r="M52" s="4"/>
      <c r="N52" s="4"/>
      <c r="O52" s="4"/>
      <c r="P52" s="4"/>
      <c r="Q52" s="4"/>
      <c r="R52" s="4"/>
      <c r="S52" s="4"/>
      <c r="T52" s="4"/>
      <c r="U52" s="4"/>
      <c r="V52" s="4"/>
      <c r="W52" s="4"/>
      <c r="X52" s="4"/>
      <c r="Y52" s="4"/>
      <c r="Z52" s="4"/>
    </row>
    <row r="53" spans="1:26">
      <c r="A53" s="5">
        <v>43101</v>
      </c>
      <c r="B53" s="4" t="s">
        <v>20</v>
      </c>
      <c r="C53" s="4" t="s">
        <v>19</v>
      </c>
      <c r="D53" s="4" t="s">
        <v>11</v>
      </c>
      <c r="E53" s="4" t="s">
        <v>13</v>
      </c>
      <c r="F53" s="4">
        <v>907</v>
      </c>
      <c r="G53" s="4">
        <v>31</v>
      </c>
      <c r="H53" s="4">
        <v>182</v>
      </c>
      <c r="I53" s="6">
        <v>857.29041666666672</v>
      </c>
      <c r="J53" s="4"/>
      <c r="K53" s="4"/>
      <c r="L53" s="4"/>
      <c r="M53" s="4"/>
      <c r="N53" s="4"/>
      <c r="O53" s="4"/>
      <c r="P53" s="4"/>
      <c r="Q53" s="4"/>
      <c r="R53" s="4"/>
      <c r="S53" s="4"/>
      <c r="T53" s="4"/>
      <c r="U53" s="4"/>
      <c r="V53" s="4"/>
      <c r="W53" s="4"/>
      <c r="X53" s="4"/>
      <c r="Y53" s="4"/>
      <c r="Z53" s="4"/>
    </row>
    <row r="54" spans="1:26">
      <c r="A54" s="5">
        <v>43101</v>
      </c>
      <c r="B54" s="4" t="s">
        <v>20</v>
      </c>
      <c r="C54" s="4" t="s">
        <v>19</v>
      </c>
      <c r="D54" s="4" t="s">
        <v>14</v>
      </c>
      <c r="E54" s="4" t="s">
        <v>12</v>
      </c>
      <c r="F54" s="4">
        <v>1577477</v>
      </c>
      <c r="G54" s="4">
        <v>5270</v>
      </c>
      <c r="H54" s="4">
        <v>5324</v>
      </c>
      <c r="I54" s="6">
        <v>16362.795305212185</v>
      </c>
      <c r="J54" s="4"/>
      <c r="K54" s="4"/>
      <c r="L54" s="4"/>
      <c r="M54" s="4"/>
      <c r="N54" s="4"/>
      <c r="O54" s="4"/>
      <c r="P54" s="4"/>
      <c r="Q54" s="4"/>
      <c r="R54" s="4"/>
      <c r="S54" s="4"/>
      <c r="T54" s="4"/>
      <c r="U54" s="4"/>
      <c r="V54" s="4"/>
      <c r="W54" s="4"/>
      <c r="X54" s="4"/>
      <c r="Y54" s="4"/>
      <c r="Z54" s="4"/>
    </row>
    <row r="55" spans="1:26">
      <c r="A55" s="5">
        <v>43101</v>
      </c>
      <c r="B55" s="4" t="s">
        <v>20</v>
      </c>
      <c r="C55" s="4" t="s">
        <v>19</v>
      </c>
      <c r="D55" s="4" t="s">
        <v>14</v>
      </c>
      <c r="E55" s="4" t="s">
        <v>13</v>
      </c>
      <c r="F55" s="4">
        <v>2378</v>
      </c>
      <c r="G55" s="4">
        <v>93</v>
      </c>
      <c r="H55" s="4">
        <v>385</v>
      </c>
      <c r="I55" s="6">
        <v>1818.8402733118969</v>
      </c>
      <c r="J55" s="4"/>
      <c r="K55" s="4"/>
      <c r="L55" s="4"/>
      <c r="M55" s="4"/>
      <c r="N55" s="4"/>
      <c r="O55" s="4"/>
      <c r="P55" s="4"/>
      <c r="Q55" s="4"/>
      <c r="R55" s="4"/>
      <c r="S55" s="4"/>
      <c r="T55" s="4"/>
      <c r="U55" s="4"/>
      <c r="V55" s="4"/>
      <c r="W55" s="4"/>
      <c r="X55" s="4"/>
      <c r="Y55" s="4"/>
      <c r="Z55" s="4"/>
    </row>
    <row r="56" spans="1:26">
      <c r="A56" s="5">
        <v>43101</v>
      </c>
      <c r="B56" s="4" t="s">
        <v>20</v>
      </c>
      <c r="C56" s="4" t="s">
        <v>19</v>
      </c>
      <c r="D56" s="4" t="s">
        <v>15</v>
      </c>
      <c r="E56" s="4" t="s">
        <v>12</v>
      </c>
      <c r="F56" s="4">
        <v>410108</v>
      </c>
      <c r="G56" s="4">
        <v>1428</v>
      </c>
      <c r="H56" s="4">
        <v>1446</v>
      </c>
      <c r="I56" s="6">
        <v>5242.7549160447761</v>
      </c>
      <c r="J56" s="4"/>
      <c r="K56" s="4"/>
      <c r="L56" s="4"/>
      <c r="M56" s="4"/>
      <c r="N56" s="4"/>
      <c r="O56" s="4"/>
      <c r="P56" s="4"/>
      <c r="Q56" s="4"/>
      <c r="R56" s="4"/>
      <c r="S56" s="4"/>
      <c r="T56" s="4"/>
      <c r="U56" s="4"/>
      <c r="V56" s="4"/>
      <c r="W56" s="4"/>
      <c r="X56" s="4"/>
      <c r="Y56" s="4"/>
      <c r="Z56" s="4"/>
    </row>
    <row r="57" spans="1:26">
      <c r="A57" s="5">
        <v>43101</v>
      </c>
      <c r="B57" s="4" t="s">
        <v>20</v>
      </c>
      <c r="C57" s="4" t="s">
        <v>19</v>
      </c>
      <c r="D57" s="4" t="s">
        <v>15</v>
      </c>
      <c r="E57" s="4" t="s">
        <v>13</v>
      </c>
      <c r="F57" s="4">
        <v>408</v>
      </c>
      <c r="G57" s="4">
        <v>7</v>
      </c>
      <c r="H57" s="4">
        <v>71</v>
      </c>
      <c r="I57" s="6">
        <v>97.890315789473689</v>
      </c>
      <c r="J57" s="4"/>
      <c r="K57" s="4"/>
      <c r="L57" s="4"/>
      <c r="M57" s="4"/>
      <c r="N57" s="4"/>
      <c r="O57" s="4"/>
      <c r="P57" s="4"/>
      <c r="Q57" s="4"/>
      <c r="R57" s="4"/>
      <c r="S57" s="4"/>
      <c r="T57" s="4"/>
      <c r="U57" s="4"/>
      <c r="V57" s="4"/>
      <c r="W57" s="4"/>
      <c r="X57" s="4"/>
      <c r="Y57" s="4"/>
      <c r="Z57" s="4"/>
    </row>
    <row r="58" spans="1:26">
      <c r="A58" s="5">
        <v>43101</v>
      </c>
      <c r="B58" s="4" t="s">
        <v>20</v>
      </c>
      <c r="C58" s="4" t="s">
        <v>19</v>
      </c>
      <c r="D58" s="4" t="s">
        <v>16</v>
      </c>
      <c r="E58" s="4" t="s">
        <v>12</v>
      </c>
      <c r="F58" s="4">
        <v>3683173</v>
      </c>
      <c r="G58" s="4">
        <v>10326</v>
      </c>
      <c r="H58" s="4">
        <v>10587</v>
      </c>
      <c r="I58" s="6">
        <v>49156.604354352428</v>
      </c>
      <c r="J58" s="4"/>
      <c r="K58" s="4"/>
      <c r="L58" s="4"/>
      <c r="M58" s="4"/>
      <c r="N58" s="4"/>
      <c r="O58" s="4"/>
      <c r="P58" s="4"/>
      <c r="Q58" s="4"/>
      <c r="R58" s="4"/>
      <c r="S58" s="4"/>
      <c r="T58" s="4"/>
      <c r="U58" s="4"/>
      <c r="V58" s="4"/>
      <c r="W58" s="4"/>
      <c r="X58" s="4"/>
      <c r="Y58" s="4"/>
      <c r="Z58" s="4"/>
    </row>
    <row r="59" spans="1:26">
      <c r="A59" s="5">
        <v>43101</v>
      </c>
      <c r="B59" s="4" t="s">
        <v>20</v>
      </c>
      <c r="C59" s="4" t="s">
        <v>19</v>
      </c>
      <c r="D59" s="4" t="s">
        <v>16</v>
      </c>
      <c r="E59" s="4" t="s">
        <v>13</v>
      </c>
      <c r="F59" s="4">
        <v>3656</v>
      </c>
      <c r="G59" s="4">
        <v>146</v>
      </c>
      <c r="H59" s="4">
        <v>748</v>
      </c>
      <c r="I59" s="6">
        <v>4518.6494439692042</v>
      </c>
      <c r="J59" s="4"/>
      <c r="K59" s="4"/>
      <c r="L59" s="4"/>
      <c r="M59" s="4"/>
      <c r="N59" s="4"/>
      <c r="O59" s="4"/>
      <c r="P59" s="4"/>
      <c r="Q59" s="4"/>
      <c r="R59" s="4"/>
      <c r="S59" s="4"/>
      <c r="T59" s="4"/>
      <c r="U59" s="4"/>
      <c r="V59" s="4"/>
      <c r="W59" s="4"/>
      <c r="X59" s="4"/>
      <c r="Y59" s="4"/>
      <c r="Z59" s="4"/>
    </row>
    <row r="60" spans="1:26">
      <c r="A60" s="5">
        <v>43101</v>
      </c>
      <c r="B60" s="4" t="s">
        <v>20</v>
      </c>
      <c r="C60" s="4" t="s">
        <v>19</v>
      </c>
      <c r="D60" s="4" t="s">
        <v>17</v>
      </c>
      <c r="E60" s="4" t="s">
        <v>12</v>
      </c>
      <c r="F60" s="4">
        <v>1125936</v>
      </c>
      <c r="G60" s="4">
        <v>3659</v>
      </c>
      <c r="H60" s="4">
        <v>3694</v>
      </c>
      <c r="I60" s="6">
        <v>14620.491345200955</v>
      </c>
      <c r="J60" s="4"/>
      <c r="K60" s="4"/>
      <c r="L60" s="4"/>
      <c r="M60" s="4"/>
      <c r="N60" s="4"/>
      <c r="O60" s="4"/>
      <c r="P60" s="4"/>
      <c r="Q60" s="4"/>
      <c r="R60" s="4"/>
      <c r="S60" s="4"/>
      <c r="T60" s="4"/>
      <c r="U60" s="4"/>
      <c r="V60" s="4"/>
      <c r="W60" s="4"/>
      <c r="X60" s="4"/>
      <c r="Y60" s="4"/>
      <c r="Z60" s="4"/>
    </row>
    <row r="61" spans="1:26">
      <c r="A61" s="5">
        <v>43101</v>
      </c>
      <c r="B61" s="4" t="s">
        <v>20</v>
      </c>
      <c r="C61" s="4" t="s">
        <v>19</v>
      </c>
      <c r="D61" s="4" t="s">
        <v>17</v>
      </c>
      <c r="E61" s="4" t="s">
        <v>13</v>
      </c>
      <c r="F61" s="4">
        <v>1305</v>
      </c>
      <c r="G61" s="4">
        <v>40</v>
      </c>
      <c r="H61" s="4">
        <v>472</v>
      </c>
      <c r="I61" s="6">
        <v>1027.0697497020262</v>
      </c>
      <c r="J61" s="4"/>
      <c r="K61" s="4"/>
      <c r="L61" s="4"/>
      <c r="M61" s="4"/>
      <c r="N61" s="4"/>
      <c r="O61" s="4"/>
      <c r="P61" s="4"/>
      <c r="Q61" s="4"/>
      <c r="R61" s="4"/>
      <c r="S61" s="4"/>
      <c r="T61" s="4"/>
      <c r="U61" s="4"/>
      <c r="V61" s="4"/>
      <c r="W61" s="4"/>
      <c r="X61" s="4"/>
      <c r="Y61" s="4"/>
      <c r="Z61" s="4"/>
    </row>
    <row r="62" spans="1:26">
      <c r="A62" s="5">
        <v>43101</v>
      </c>
      <c r="B62" s="4" t="s">
        <v>21</v>
      </c>
      <c r="C62" s="4" t="s">
        <v>10</v>
      </c>
      <c r="D62" s="4" t="s">
        <v>11</v>
      </c>
      <c r="E62" s="4" t="s">
        <v>12</v>
      </c>
      <c r="F62" s="4">
        <v>1174088</v>
      </c>
      <c r="G62" s="4">
        <v>9695</v>
      </c>
      <c r="H62" s="4">
        <v>12162</v>
      </c>
      <c r="I62" s="6">
        <v>18097.511752373506</v>
      </c>
      <c r="J62" s="4"/>
      <c r="K62" s="4"/>
      <c r="L62" s="4"/>
      <c r="M62" s="4"/>
      <c r="N62" s="4"/>
      <c r="O62" s="4"/>
      <c r="P62" s="4"/>
      <c r="Q62" s="4"/>
      <c r="R62" s="4"/>
      <c r="S62" s="4"/>
      <c r="T62" s="4"/>
      <c r="U62" s="4"/>
      <c r="V62" s="4"/>
      <c r="W62" s="4"/>
      <c r="X62" s="4"/>
      <c r="Y62" s="4"/>
      <c r="Z62" s="4"/>
    </row>
    <row r="63" spans="1:26">
      <c r="A63" s="5">
        <v>43101</v>
      </c>
      <c r="B63" s="4" t="s">
        <v>21</v>
      </c>
      <c r="C63" s="4" t="s">
        <v>10</v>
      </c>
      <c r="D63" s="4" t="s">
        <v>11</v>
      </c>
      <c r="E63" s="4" t="s">
        <v>13</v>
      </c>
      <c r="F63" s="4">
        <v>14099</v>
      </c>
      <c r="G63" s="4">
        <v>837</v>
      </c>
      <c r="H63" s="4">
        <v>14085</v>
      </c>
      <c r="I63" s="6">
        <v>77875.341960447127</v>
      </c>
      <c r="J63" s="4"/>
      <c r="K63" s="4"/>
      <c r="L63" s="4"/>
      <c r="M63" s="4"/>
      <c r="N63" s="4"/>
      <c r="O63" s="4"/>
      <c r="P63" s="4"/>
      <c r="Q63" s="4"/>
      <c r="R63" s="4"/>
      <c r="S63" s="4"/>
      <c r="T63" s="4"/>
      <c r="U63" s="4"/>
      <c r="V63" s="4"/>
      <c r="W63" s="4"/>
      <c r="X63" s="4"/>
      <c r="Y63" s="4"/>
      <c r="Z63" s="4"/>
    </row>
    <row r="64" spans="1:26">
      <c r="A64" s="5">
        <v>43101</v>
      </c>
      <c r="B64" s="4" t="s">
        <v>21</v>
      </c>
      <c r="C64" s="4" t="s">
        <v>10</v>
      </c>
      <c r="D64" s="4" t="s">
        <v>14</v>
      </c>
      <c r="E64" s="4" t="s">
        <v>12</v>
      </c>
      <c r="F64" s="4">
        <v>1804374</v>
      </c>
      <c r="G64" s="4">
        <v>11272</v>
      </c>
      <c r="H64" s="4">
        <v>12845</v>
      </c>
      <c r="I64" s="6">
        <v>27294.63337034687</v>
      </c>
      <c r="J64" s="4"/>
      <c r="K64" s="4"/>
      <c r="L64" s="4"/>
      <c r="M64" s="4"/>
      <c r="N64" s="4"/>
      <c r="O64" s="4"/>
      <c r="P64" s="4"/>
      <c r="Q64" s="4"/>
      <c r="R64" s="4"/>
      <c r="S64" s="4"/>
      <c r="T64" s="4"/>
      <c r="U64" s="4"/>
      <c r="V64" s="4"/>
      <c r="W64" s="4"/>
      <c r="X64" s="4"/>
      <c r="Y64" s="4"/>
      <c r="Z64" s="4"/>
    </row>
    <row r="65" spans="1:26">
      <c r="A65" s="5">
        <v>43101</v>
      </c>
      <c r="B65" s="4" t="s">
        <v>21</v>
      </c>
      <c r="C65" s="4" t="s">
        <v>10</v>
      </c>
      <c r="D65" s="4" t="s">
        <v>14</v>
      </c>
      <c r="E65" s="4" t="s">
        <v>13</v>
      </c>
      <c r="F65" s="4">
        <v>17064</v>
      </c>
      <c r="G65" s="4">
        <v>1101</v>
      </c>
      <c r="H65" s="4">
        <v>15132</v>
      </c>
      <c r="I65" s="6">
        <v>92205.182452578141</v>
      </c>
      <c r="J65" s="4"/>
      <c r="K65" s="4"/>
      <c r="L65" s="4"/>
      <c r="M65" s="4"/>
      <c r="N65" s="4"/>
      <c r="O65" s="4"/>
      <c r="P65" s="4"/>
      <c r="Q65" s="4"/>
      <c r="R65" s="4"/>
      <c r="S65" s="4"/>
      <c r="T65" s="4"/>
      <c r="U65" s="4"/>
      <c r="V65" s="4"/>
      <c r="W65" s="4"/>
      <c r="X65" s="4"/>
      <c r="Y65" s="4"/>
      <c r="Z65" s="4"/>
    </row>
    <row r="66" spans="1:26">
      <c r="A66" s="5">
        <v>43101</v>
      </c>
      <c r="B66" s="4" t="s">
        <v>21</v>
      </c>
      <c r="C66" s="4" t="s">
        <v>10</v>
      </c>
      <c r="D66" s="4" t="s">
        <v>15</v>
      </c>
      <c r="E66" s="4" t="s">
        <v>12</v>
      </c>
      <c r="F66" s="4">
        <v>479232</v>
      </c>
      <c r="G66" s="4">
        <v>3107</v>
      </c>
      <c r="H66" s="4">
        <v>3647</v>
      </c>
      <c r="I66" s="6">
        <v>6714.9659048680787</v>
      </c>
      <c r="J66" s="4"/>
      <c r="K66" s="4"/>
      <c r="L66" s="4"/>
      <c r="M66" s="4"/>
      <c r="N66" s="4"/>
      <c r="O66" s="4"/>
      <c r="P66" s="4"/>
      <c r="Q66" s="4"/>
      <c r="R66" s="4"/>
      <c r="S66" s="4"/>
      <c r="T66" s="4"/>
      <c r="U66" s="4"/>
      <c r="V66" s="4"/>
      <c r="W66" s="4"/>
      <c r="X66" s="4"/>
      <c r="Y66" s="4"/>
      <c r="Z66" s="4"/>
    </row>
    <row r="67" spans="1:26">
      <c r="A67" s="5">
        <v>43101</v>
      </c>
      <c r="B67" s="4" t="s">
        <v>21</v>
      </c>
      <c r="C67" s="4" t="s">
        <v>10</v>
      </c>
      <c r="D67" s="4" t="s">
        <v>15</v>
      </c>
      <c r="E67" s="4" t="s">
        <v>13</v>
      </c>
      <c r="F67" s="4">
        <v>4190</v>
      </c>
      <c r="G67" s="4">
        <v>276</v>
      </c>
      <c r="H67" s="4">
        <v>3004</v>
      </c>
      <c r="I67" s="6">
        <v>22042.885691734271</v>
      </c>
      <c r="J67" s="4"/>
      <c r="K67" s="4"/>
      <c r="L67" s="4"/>
      <c r="M67" s="4"/>
      <c r="N67" s="4"/>
      <c r="O67" s="4"/>
      <c r="P67" s="4"/>
      <c r="Q67" s="4"/>
      <c r="R67" s="4"/>
      <c r="S67" s="4"/>
      <c r="T67" s="4"/>
      <c r="U67" s="4"/>
      <c r="V67" s="4"/>
      <c r="W67" s="4"/>
      <c r="X67" s="4"/>
      <c r="Y67" s="4"/>
      <c r="Z67" s="4"/>
    </row>
    <row r="68" spans="1:26">
      <c r="A68" s="5">
        <v>43101</v>
      </c>
      <c r="B68" s="4" t="s">
        <v>21</v>
      </c>
      <c r="C68" s="4" t="s">
        <v>10</v>
      </c>
      <c r="D68" s="4" t="s">
        <v>16</v>
      </c>
      <c r="E68" s="4" t="s">
        <v>12</v>
      </c>
      <c r="F68" s="4">
        <v>6111017</v>
      </c>
      <c r="G68" s="4">
        <v>51374</v>
      </c>
      <c r="H68" s="4">
        <v>56898</v>
      </c>
      <c r="I68" s="6">
        <v>139730.15148446738</v>
      </c>
      <c r="J68" s="4"/>
      <c r="K68" s="4"/>
      <c r="L68" s="4"/>
      <c r="M68" s="4"/>
      <c r="N68" s="4"/>
      <c r="O68" s="4"/>
      <c r="P68" s="4"/>
      <c r="Q68" s="4"/>
      <c r="R68" s="4"/>
      <c r="S68" s="4"/>
      <c r="T68" s="4"/>
      <c r="U68" s="4"/>
      <c r="V68" s="4"/>
      <c r="W68" s="4"/>
      <c r="X68" s="4"/>
      <c r="Y68" s="4"/>
      <c r="Z68" s="4"/>
    </row>
    <row r="69" spans="1:26">
      <c r="A69" s="5">
        <v>43101</v>
      </c>
      <c r="B69" s="4" t="s">
        <v>21</v>
      </c>
      <c r="C69" s="4" t="s">
        <v>10</v>
      </c>
      <c r="D69" s="4" t="s">
        <v>16</v>
      </c>
      <c r="E69" s="4" t="s">
        <v>13</v>
      </c>
      <c r="F69" s="4">
        <v>75026</v>
      </c>
      <c r="G69" s="4">
        <v>5420</v>
      </c>
      <c r="H69" s="4">
        <v>78085</v>
      </c>
      <c r="I69" s="6">
        <v>439136.10204157</v>
      </c>
      <c r="J69" s="4"/>
      <c r="K69" s="4"/>
      <c r="L69" s="4"/>
      <c r="M69" s="4"/>
      <c r="N69" s="4"/>
      <c r="O69" s="4"/>
      <c r="P69" s="4"/>
      <c r="Q69" s="4"/>
      <c r="R69" s="4"/>
      <c r="S69" s="4"/>
      <c r="T69" s="4"/>
      <c r="U69" s="4"/>
      <c r="V69" s="4"/>
      <c r="W69" s="4"/>
      <c r="X69" s="4"/>
      <c r="Y69" s="4"/>
      <c r="Z69" s="4"/>
    </row>
    <row r="70" spans="1:26">
      <c r="A70" s="5">
        <v>43101</v>
      </c>
      <c r="B70" s="4" t="s">
        <v>21</v>
      </c>
      <c r="C70" s="4" t="s">
        <v>10</v>
      </c>
      <c r="D70" s="4" t="s">
        <v>17</v>
      </c>
      <c r="E70" s="4" t="s">
        <v>12</v>
      </c>
      <c r="F70" s="4">
        <v>1998897</v>
      </c>
      <c r="G70" s="4">
        <v>21325</v>
      </c>
      <c r="H70" s="4">
        <v>23282</v>
      </c>
      <c r="I70" s="6">
        <v>57602.034993142493</v>
      </c>
      <c r="J70" s="4"/>
      <c r="K70" s="4"/>
      <c r="L70" s="4"/>
      <c r="M70" s="4"/>
      <c r="N70" s="4"/>
      <c r="O70" s="4"/>
      <c r="P70" s="4"/>
      <c r="Q70" s="4"/>
      <c r="R70" s="4"/>
      <c r="S70" s="4"/>
      <c r="T70" s="4"/>
      <c r="U70" s="4"/>
      <c r="V70" s="4"/>
      <c r="W70" s="4"/>
      <c r="X70" s="4"/>
      <c r="Y70" s="4"/>
      <c r="Z70" s="4"/>
    </row>
    <row r="71" spans="1:26">
      <c r="A71" s="5">
        <v>43101</v>
      </c>
      <c r="B71" s="4" t="s">
        <v>21</v>
      </c>
      <c r="C71" s="4" t="s">
        <v>10</v>
      </c>
      <c r="D71" s="4" t="s">
        <v>17</v>
      </c>
      <c r="E71" s="4" t="s">
        <v>13</v>
      </c>
      <c r="F71" s="4">
        <v>28663</v>
      </c>
      <c r="G71" s="4">
        <v>2395</v>
      </c>
      <c r="H71" s="4">
        <v>34620</v>
      </c>
      <c r="I71" s="6">
        <v>189579.12</v>
      </c>
      <c r="J71" s="4"/>
      <c r="K71" s="4"/>
      <c r="L71" s="4"/>
      <c r="M71" s="4"/>
      <c r="N71" s="4"/>
      <c r="O71" s="4"/>
      <c r="P71" s="4"/>
      <c r="Q71" s="4"/>
      <c r="R71" s="4"/>
      <c r="S71" s="4"/>
      <c r="T71" s="4"/>
      <c r="U71" s="4"/>
      <c r="V71" s="4"/>
      <c r="W71" s="4"/>
      <c r="X71" s="4"/>
      <c r="Y71" s="4"/>
      <c r="Z71" s="4"/>
    </row>
    <row r="72" spans="1:26">
      <c r="A72" s="5">
        <v>43101</v>
      </c>
      <c r="B72" s="4" t="s">
        <v>21</v>
      </c>
      <c r="C72" s="4" t="s">
        <v>18</v>
      </c>
      <c r="D72" s="4" t="s">
        <v>11</v>
      </c>
      <c r="E72" s="4" t="s">
        <v>12</v>
      </c>
      <c r="F72" s="4">
        <v>1372691</v>
      </c>
      <c r="G72" s="4">
        <v>25089</v>
      </c>
      <c r="H72" s="4">
        <v>109148</v>
      </c>
      <c r="I72" s="6">
        <v>58166.632050400927</v>
      </c>
      <c r="J72" s="4"/>
      <c r="K72" s="4"/>
      <c r="L72" s="4"/>
      <c r="M72" s="4"/>
      <c r="N72" s="4"/>
      <c r="O72" s="4"/>
      <c r="P72" s="4"/>
      <c r="Q72" s="4"/>
      <c r="R72" s="4"/>
      <c r="S72" s="4"/>
      <c r="T72" s="4"/>
      <c r="U72" s="4"/>
      <c r="V72" s="4"/>
      <c r="W72" s="4"/>
      <c r="X72" s="4"/>
      <c r="Y72" s="4"/>
      <c r="Z72" s="4"/>
    </row>
    <row r="73" spans="1:26">
      <c r="A73" s="5">
        <v>43101</v>
      </c>
      <c r="B73" s="4" t="s">
        <v>21</v>
      </c>
      <c r="C73" s="4" t="s">
        <v>18</v>
      </c>
      <c r="D73" s="4" t="s">
        <v>11</v>
      </c>
      <c r="E73" s="4" t="s">
        <v>13</v>
      </c>
      <c r="F73" s="4">
        <v>9681</v>
      </c>
      <c r="G73" s="4">
        <v>287</v>
      </c>
      <c r="H73" s="4">
        <v>12723</v>
      </c>
      <c r="I73" s="6">
        <v>10057.881628813471</v>
      </c>
      <c r="J73" s="4"/>
      <c r="K73" s="4"/>
      <c r="L73" s="4"/>
      <c r="M73" s="4"/>
      <c r="N73" s="4"/>
      <c r="O73" s="4"/>
      <c r="P73" s="4"/>
      <c r="Q73" s="4"/>
      <c r="R73" s="4"/>
      <c r="S73" s="4"/>
      <c r="T73" s="4"/>
      <c r="U73" s="4"/>
      <c r="V73" s="4"/>
      <c r="W73" s="4"/>
      <c r="X73" s="4"/>
      <c r="Y73" s="4"/>
      <c r="Z73" s="4"/>
    </row>
    <row r="74" spans="1:26">
      <c r="A74" s="5">
        <v>43101</v>
      </c>
      <c r="B74" s="4" t="s">
        <v>21</v>
      </c>
      <c r="C74" s="4" t="s">
        <v>18</v>
      </c>
      <c r="D74" s="4" t="s">
        <v>14</v>
      </c>
      <c r="E74" s="4" t="s">
        <v>12</v>
      </c>
      <c r="F74" s="4">
        <v>2154598</v>
      </c>
      <c r="G74" s="4">
        <v>35763</v>
      </c>
      <c r="H74" s="4">
        <v>133934</v>
      </c>
      <c r="I74" s="6">
        <v>64226.804264599188</v>
      </c>
      <c r="J74" s="4"/>
      <c r="K74" s="4"/>
      <c r="L74" s="4"/>
      <c r="M74" s="4"/>
      <c r="N74" s="4"/>
      <c r="O74" s="4"/>
      <c r="P74" s="4"/>
      <c r="Q74" s="4"/>
      <c r="R74" s="4"/>
      <c r="S74" s="4"/>
      <c r="T74" s="4"/>
      <c r="U74" s="4"/>
      <c r="V74" s="4"/>
      <c r="W74" s="4"/>
      <c r="X74" s="4"/>
      <c r="Y74" s="4"/>
      <c r="Z74" s="4"/>
    </row>
    <row r="75" spans="1:26">
      <c r="A75" s="5">
        <v>43101</v>
      </c>
      <c r="B75" s="4" t="s">
        <v>21</v>
      </c>
      <c r="C75" s="4" t="s">
        <v>18</v>
      </c>
      <c r="D75" s="4" t="s">
        <v>14</v>
      </c>
      <c r="E75" s="4" t="s">
        <v>13</v>
      </c>
      <c r="F75" s="4">
        <v>12588</v>
      </c>
      <c r="G75" s="4">
        <v>328</v>
      </c>
      <c r="H75" s="4">
        <v>7880</v>
      </c>
      <c r="I75" s="6">
        <v>9934</v>
      </c>
      <c r="J75" s="4"/>
      <c r="K75" s="4"/>
      <c r="L75" s="4"/>
      <c r="M75" s="4"/>
      <c r="N75" s="4"/>
      <c r="O75" s="4"/>
      <c r="P75" s="4"/>
      <c r="Q75" s="4"/>
      <c r="R75" s="4"/>
      <c r="S75" s="4"/>
      <c r="T75" s="4"/>
      <c r="U75" s="4"/>
      <c r="V75" s="4"/>
      <c r="W75" s="4"/>
      <c r="X75" s="4"/>
      <c r="Y75" s="4"/>
      <c r="Z75" s="4"/>
    </row>
    <row r="76" spans="1:26">
      <c r="A76" s="5">
        <v>43101</v>
      </c>
      <c r="B76" s="4" t="s">
        <v>21</v>
      </c>
      <c r="C76" s="4" t="s">
        <v>18</v>
      </c>
      <c r="D76" s="4" t="s">
        <v>15</v>
      </c>
      <c r="E76" s="4" t="s">
        <v>12</v>
      </c>
      <c r="F76" s="4">
        <v>744232</v>
      </c>
      <c r="G76" s="4">
        <v>11212</v>
      </c>
      <c r="H76" s="4">
        <v>53562</v>
      </c>
      <c r="I76" s="6">
        <v>17067.341445471488</v>
      </c>
      <c r="J76" s="4"/>
      <c r="K76" s="4"/>
      <c r="L76" s="4"/>
      <c r="M76" s="4"/>
      <c r="N76" s="4"/>
      <c r="O76" s="4"/>
      <c r="P76" s="4"/>
      <c r="Q76" s="4"/>
      <c r="R76" s="4"/>
      <c r="S76" s="4"/>
      <c r="T76" s="4"/>
      <c r="U76" s="4"/>
      <c r="V76" s="4"/>
      <c r="W76" s="4"/>
      <c r="X76" s="4"/>
      <c r="Y76" s="4"/>
      <c r="Z76" s="4"/>
    </row>
    <row r="77" spans="1:26">
      <c r="A77" s="5">
        <v>43101</v>
      </c>
      <c r="B77" s="4" t="s">
        <v>21</v>
      </c>
      <c r="C77" s="4" t="s">
        <v>18</v>
      </c>
      <c r="D77" s="4" t="s">
        <v>15</v>
      </c>
      <c r="E77" s="4" t="s">
        <v>13</v>
      </c>
      <c r="F77" s="4">
        <v>3850</v>
      </c>
      <c r="G77" s="4">
        <v>118</v>
      </c>
      <c r="H77" s="4">
        <v>3074</v>
      </c>
      <c r="I77" s="6">
        <v>1678.3424948958759</v>
      </c>
      <c r="J77" s="4"/>
      <c r="K77" s="4"/>
      <c r="L77" s="4"/>
      <c r="M77" s="4"/>
      <c r="N77" s="4"/>
      <c r="O77" s="4"/>
      <c r="P77" s="4"/>
      <c r="Q77" s="4"/>
      <c r="R77" s="4"/>
      <c r="S77" s="4"/>
      <c r="T77" s="4"/>
      <c r="U77" s="4"/>
      <c r="V77" s="4"/>
      <c r="W77" s="4"/>
      <c r="X77" s="4"/>
      <c r="Y77" s="4"/>
      <c r="Z77" s="4"/>
    </row>
    <row r="78" spans="1:26">
      <c r="A78" s="5">
        <v>43101</v>
      </c>
      <c r="B78" s="4" t="s">
        <v>21</v>
      </c>
      <c r="C78" s="4" t="s">
        <v>18</v>
      </c>
      <c r="D78" s="4" t="s">
        <v>16</v>
      </c>
      <c r="E78" s="4" t="s">
        <v>12</v>
      </c>
      <c r="F78" s="4">
        <v>18872068</v>
      </c>
      <c r="G78" s="4">
        <v>109190</v>
      </c>
      <c r="H78" s="4">
        <v>390297</v>
      </c>
      <c r="I78" s="6">
        <v>247203.80029098925</v>
      </c>
      <c r="J78" s="4"/>
      <c r="K78" s="4"/>
      <c r="L78" s="4"/>
      <c r="M78" s="4"/>
      <c r="N78" s="4"/>
      <c r="O78" s="4"/>
      <c r="P78" s="4"/>
      <c r="Q78" s="4"/>
      <c r="R78" s="4"/>
      <c r="S78" s="4"/>
      <c r="T78" s="4"/>
      <c r="U78" s="4"/>
      <c r="V78" s="4"/>
      <c r="W78" s="4"/>
      <c r="X78" s="4"/>
      <c r="Y78" s="4"/>
      <c r="Z78" s="4"/>
    </row>
    <row r="79" spans="1:26">
      <c r="A79" s="5">
        <v>43101</v>
      </c>
      <c r="B79" s="4" t="s">
        <v>21</v>
      </c>
      <c r="C79" s="4" t="s">
        <v>18</v>
      </c>
      <c r="D79" s="4" t="s">
        <v>16</v>
      </c>
      <c r="E79" s="4" t="s">
        <v>13</v>
      </c>
      <c r="F79" s="4">
        <v>497021</v>
      </c>
      <c r="G79" s="4">
        <v>1146</v>
      </c>
      <c r="H79" s="4">
        <v>40149</v>
      </c>
      <c r="I79" s="6">
        <v>29755.668452936632</v>
      </c>
      <c r="J79" s="4"/>
      <c r="K79" s="4"/>
      <c r="L79" s="4"/>
      <c r="M79" s="4"/>
      <c r="N79" s="4"/>
      <c r="O79" s="4"/>
      <c r="P79" s="4"/>
      <c r="Q79" s="4"/>
      <c r="R79" s="4"/>
      <c r="S79" s="4"/>
      <c r="T79" s="4"/>
      <c r="U79" s="4"/>
      <c r="V79" s="4"/>
      <c r="W79" s="4"/>
      <c r="X79" s="4"/>
      <c r="Y79" s="4"/>
      <c r="Z79" s="4"/>
    </row>
    <row r="80" spans="1:26">
      <c r="A80" s="5">
        <v>43101</v>
      </c>
      <c r="B80" s="4" t="s">
        <v>21</v>
      </c>
      <c r="C80" s="4" t="s">
        <v>18</v>
      </c>
      <c r="D80" s="4" t="s">
        <v>17</v>
      </c>
      <c r="E80" s="4" t="s">
        <v>12</v>
      </c>
      <c r="F80" s="4">
        <v>2505000</v>
      </c>
      <c r="G80" s="4">
        <v>39858</v>
      </c>
      <c r="H80" s="4">
        <v>131394</v>
      </c>
      <c r="I80" s="6">
        <v>93720.699978898047</v>
      </c>
      <c r="J80" s="4"/>
      <c r="K80" s="4"/>
      <c r="L80" s="4"/>
      <c r="M80" s="4"/>
      <c r="N80" s="4"/>
      <c r="O80" s="4"/>
      <c r="P80" s="4"/>
      <c r="Q80" s="4"/>
      <c r="R80" s="4"/>
      <c r="S80" s="4"/>
      <c r="T80" s="4"/>
      <c r="U80" s="4"/>
      <c r="V80" s="4"/>
      <c r="W80" s="4"/>
      <c r="X80" s="4"/>
      <c r="Y80" s="4"/>
      <c r="Z80" s="4"/>
    </row>
    <row r="81" spans="1:26">
      <c r="A81" s="5">
        <v>43101</v>
      </c>
      <c r="B81" s="4" t="s">
        <v>21</v>
      </c>
      <c r="C81" s="4" t="s">
        <v>18</v>
      </c>
      <c r="D81" s="4" t="s">
        <v>17</v>
      </c>
      <c r="E81" s="4" t="s">
        <v>13</v>
      </c>
      <c r="F81" s="4">
        <v>22676</v>
      </c>
      <c r="G81" s="4">
        <v>551</v>
      </c>
      <c r="H81" s="4">
        <v>20705</v>
      </c>
      <c r="I81" s="6">
        <v>16632.525110880895</v>
      </c>
      <c r="J81" s="4"/>
      <c r="K81" s="4"/>
      <c r="L81" s="4"/>
      <c r="M81" s="4"/>
      <c r="N81" s="4"/>
      <c r="O81" s="4"/>
      <c r="P81" s="4"/>
      <c r="Q81" s="4"/>
      <c r="R81" s="4"/>
      <c r="S81" s="4"/>
      <c r="T81" s="4"/>
      <c r="U81" s="4"/>
      <c r="V81" s="4"/>
      <c r="W81" s="4"/>
      <c r="X81" s="4"/>
      <c r="Y81" s="4"/>
      <c r="Z81" s="4"/>
    </row>
    <row r="82" spans="1:26">
      <c r="A82" s="5">
        <v>43101</v>
      </c>
      <c r="B82" s="4" t="s">
        <v>21</v>
      </c>
      <c r="C82" s="4" t="s">
        <v>19</v>
      </c>
      <c r="D82" s="4" t="s">
        <v>11</v>
      </c>
      <c r="E82" s="4" t="s">
        <v>12</v>
      </c>
      <c r="F82" s="4">
        <v>474915</v>
      </c>
      <c r="G82" s="4">
        <v>6770</v>
      </c>
      <c r="H82" s="4">
        <v>7015</v>
      </c>
      <c r="I82" s="6">
        <v>74350.689547038332</v>
      </c>
      <c r="J82" s="4"/>
      <c r="K82" s="4"/>
      <c r="L82" s="4"/>
      <c r="M82" s="4"/>
      <c r="N82" s="4"/>
      <c r="O82" s="4"/>
      <c r="P82" s="4"/>
      <c r="Q82" s="4"/>
      <c r="R82" s="4"/>
      <c r="S82" s="4"/>
      <c r="T82" s="4"/>
      <c r="U82" s="4"/>
      <c r="V82" s="4"/>
      <c r="W82" s="4"/>
      <c r="X82" s="4"/>
      <c r="Y82" s="4"/>
      <c r="Z82" s="4"/>
    </row>
    <row r="83" spans="1:26">
      <c r="A83" s="5">
        <v>43101</v>
      </c>
      <c r="B83" s="4" t="s">
        <v>21</v>
      </c>
      <c r="C83" s="4" t="s">
        <v>19</v>
      </c>
      <c r="D83" s="4" t="s">
        <v>11</v>
      </c>
      <c r="E83" s="4" t="s">
        <v>13</v>
      </c>
      <c r="F83" s="4">
        <v>12426</v>
      </c>
      <c r="G83" s="4">
        <v>1087</v>
      </c>
      <c r="H83" s="4">
        <v>31985</v>
      </c>
      <c r="I83" s="6">
        <v>18247.49172429059</v>
      </c>
      <c r="J83" s="4"/>
      <c r="K83" s="4"/>
      <c r="L83" s="4"/>
      <c r="M83" s="4"/>
      <c r="N83" s="4"/>
      <c r="O83" s="4"/>
      <c r="P83" s="4"/>
      <c r="Q83" s="4"/>
      <c r="R83" s="4"/>
      <c r="S83" s="4"/>
      <c r="T83" s="4"/>
      <c r="U83" s="4"/>
      <c r="V83" s="4"/>
      <c r="W83" s="4"/>
      <c r="X83" s="4"/>
      <c r="Y83" s="4"/>
      <c r="Z83" s="4"/>
    </row>
    <row r="84" spans="1:26">
      <c r="A84" s="5">
        <v>43101</v>
      </c>
      <c r="B84" s="4" t="s">
        <v>21</v>
      </c>
      <c r="C84" s="4" t="s">
        <v>19</v>
      </c>
      <c r="D84" s="4" t="s">
        <v>14</v>
      </c>
      <c r="E84" s="4" t="s">
        <v>12</v>
      </c>
      <c r="F84" s="4">
        <v>853412</v>
      </c>
      <c r="G84" s="4">
        <v>13513</v>
      </c>
      <c r="H84" s="4">
        <v>14561</v>
      </c>
      <c r="I84" s="6">
        <v>135391.954961045</v>
      </c>
      <c r="J84" s="4"/>
      <c r="K84" s="4"/>
      <c r="L84" s="4"/>
      <c r="M84" s="4"/>
      <c r="N84" s="4"/>
      <c r="O84" s="4"/>
      <c r="P84" s="4"/>
      <c r="Q84" s="4"/>
      <c r="R84" s="4"/>
      <c r="S84" s="4"/>
      <c r="T84" s="4"/>
      <c r="U84" s="4"/>
      <c r="V84" s="4"/>
      <c r="W84" s="4"/>
      <c r="X84" s="4"/>
      <c r="Y84" s="4"/>
      <c r="Z84" s="4"/>
    </row>
    <row r="85" spans="1:26">
      <c r="A85" s="5">
        <v>43101</v>
      </c>
      <c r="B85" s="4" t="s">
        <v>21</v>
      </c>
      <c r="C85" s="4" t="s">
        <v>19</v>
      </c>
      <c r="D85" s="4" t="s">
        <v>14</v>
      </c>
      <c r="E85" s="4" t="s">
        <v>13</v>
      </c>
      <c r="F85" s="4">
        <v>24288</v>
      </c>
      <c r="G85" s="4">
        <v>2084</v>
      </c>
      <c r="H85" s="4">
        <v>98051</v>
      </c>
      <c r="I85" s="6">
        <v>30722.583515488608</v>
      </c>
      <c r="J85" s="4"/>
      <c r="K85" s="4"/>
      <c r="L85" s="4"/>
      <c r="M85" s="4"/>
      <c r="N85" s="4"/>
      <c r="O85" s="4"/>
      <c r="P85" s="4"/>
      <c r="Q85" s="4"/>
      <c r="R85" s="4"/>
      <c r="S85" s="4"/>
      <c r="T85" s="4"/>
      <c r="U85" s="4"/>
      <c r="V85" s="4"/>
      <c r="W85" s="4"/>
      <c r="X85" s="4"/>
      <c r="Y85" s="4"/>
      <c r="Z85" s="4"/>
    </row>
    <row r="86" spans="1:26">
      <c r="A86" s="5">
        <v>43101</v>
      </c>
      <c r="B86" s="4" t="s">
        <v>21</v>
      </c>
      <c r="C86" s="4" t="s">
        <v>19</v>
      </c>
      <c r="D86" s="4" t="s">
        <v>15</v>
      </c>
      <c r="E86" s="4" t="s">
        <v>12</v>
      </c>
      <c r="F86" s="4">
        <v>258605</v>
      </c>
      <c r="G86" s="4">
        <v>3654</v>
      </c>
      <c r="H86" s="4">
        <v>3934</v>
      </c>
      <c r="I86" s="6">
        <v>37201.762475862073</v>
      </c>
      <c r="J86" s="4"/>
      <c r="K86" s="4"/>
      <c r="L86" s="4"/>
      <c r="M86" s="4"/>
      <c r="N86" s="4"/>
      <c r="O86" s="4"/>
      <c r="P86" s="4"/>
      <c r="Q86" s="4"/>
      <c r="R86" s="4"/>
      <c r="S86" s="4"/>
      <c r="T86" s="4"/>
      <c r="U86" s="4"/>
      <c r="V86" s="4"/>
      <c r="W86" s="4"/>
      <c r="X86" s="4"/>
      <c r="Y86" s="4"/>
      <c r="Z86" s="4"/>
    </row>
    <row r="87" spans="1:26">
      <c r="A87" s="5">
        <v>43101</v>
      </c>
      <c r="B87" s="4" t="s">
        <v>21</v>
      </c>
      <c r="C87" s="4" t="s">
        <v>19</v>
      </c>
      <c r="D87" s="4" t="s">
        <v>15</v>
      </c>
      <c r="E87" s="4" t="s">
        <v>13</v>
      </c>
      <c r="F87" s="4">
        <v>6913</v>
      </c>
      <c r="G87" s="4">
        <v>573</v>
      </c>
      <c r="H87" s="4">
        <v>25938</v>
      </c>
      <c r="I87" s="6">
        <v>8470.0664990698642</v>
      </c>
      <c r="J87" s="4"/>
      <c r="K87" s="4"/>
      <c r="L87" s="4"/>
      <c r="M87" s="4"/>
      <c r="N87" s="4"/>
      <c r="O87" s="4"/>
      <c r="P87" s="4"/>
      <c r="Q87" s="4"/>
      <c r="R87" s="4"/>
      <c r="S87" s="4"/>
      <c r="T87" s="4"/>
      <c r="U87" s="4"/>
      <c r="V87" s="4"/>
      <c r="W87" s="4"/>
      <c r="X87" s="4"/>
      <c r="Y87" s="4"/>
      <c r="Z87" s="4"/>
    </row>
    <row r="88" spans="1:26">
      <c r="A88" s="5">
        <v>43101</v>
      </c>
      <c r="B88" s="4" t="s">
        <v>21</v>
      </c>
      <c r="C88" s="4" t="s">
        <v>19</v>
      </c>
      <c r="D88" s="4" t="s">
        <v>16</v>
      </c>
      <c r="E88" s="4" t="s">
        <v>12</v>
      </c>
      <c r="F88" s="4">
        <v>2403799</v>
      </c>
      <c r="G88" s="4">
        <v>35858</v>
      </c>
      <c r="H88" s="4">
        <v>36564</v>
      </c>
      <c r="I88" s="6">
        <v>407799.63268226502</v>
      </c>
      <c r="J88" s="4"/>
      <c r="K88" s="4"/>
      <c r="L88" s="4"/>
      <c r="M88" s="4"/>
      <c r="N88" s="4"/>
      <c r="O88" s="4"/>
      <c r="P88" s="4"/>
      <c r="Q88" s="4"/>
      <c r="R88" s="4"/>
      <c r="S88" s="4"/>
      <c r="T88" s="4"/>
      <c r="U88" s="4"/>
      <c r="V88" s="4"/>
      <c r="W88" s="4"/>
      <c r="X88" s="4"/>
      <c r="Y88" s="4"/>
      <c r="Z88" s="4"/>
    </row>
    <row r="89" spans="1:26">
      <c r="A89" s="5">
        <v>43101</v>
      </c>
      <c r="B89" s="4" t="s">
        <v>21</v>
      </c>
      <c r="C89" s="4" t="s">
        <v>19</v>
      </c>
      <c r="D89" s="4" t="s">
        <v>16</v>
      </c>
      <c r="E89" s="4" t="s">
        <v>13</v>
      </c>
      <c r="F89" s="4">
        <v>62332</v>
      </c>
      <c r="G89" s="4">
        <v>5418</v>
      </c>
      <c r="H89" s="4">
        <v>359009</v>
      </c>
      <c r="I89" s="6">
        <v>82882.264804666178</v>
      </c>
      <c r="J89" s="4"/>
      <c r="K89" s="4"/>
      <c r="L89" s="4"/>
      <c r="M89" s="4"/>
      <c r="N89" s="4"/>
      <c r="O89" s="4"/>
      <c r="P89" s="4"/>
      <c r="Q89" s="4"/>
      <c r="R89" s="4"/>
      <c r="S89" s="4"/>
      <c r="T89" s="4"/>
      <c r="U89" s="4"/>
      <c r="V89" s="4"/>
      <c r="W89" s="4"/>
      <c r="X89" s="4"/>
      <c r="Y89" s="4"/>
      <c r="Z89" s="4"/>
    </row>
    <row r="90" spans="1:26">
      <c r="A90" s="5">
        <v>43101</v>
      </c>
      <c r="B90" s="4" t="s">
        <v>21</v>
      </c>
      <c r="C90" s="4" t="s">
        <v>19</v>
      </c>
      <c r="D90" s="4" t="s">
        <v>17</v>
      </c>
      <c r="E90" s="4" t="s">
        <v>12</v>
      </c>
      <c r="F90" s="4">
        <v>820699</v>
      </c>
      <c r="G90" s="4">
        <v>13471</v>
      </c>
      <c r="H90" s="4">
        <v>14864</v>
      </c>
      <c r="I90" s="6">
        <v>139185.35763114606</v>
      </c>
      <c r="J90" s="4"/>
      <c r="K90" s="4"/>
      <c r="L90" s="4"/>
      <c r="M90" s="4"/>
      <c r="N90" s="4"/>
      <c r="O90" s="4"/>
      <c r="P90" s="4"/>
      <c r="Q90" s="4"/>
      <c r="R90" s="4"/>
      <c r="S90" s="4"/>
      <c r="T90" s="4"/>
      <c r="U90" s="4"/>
      <c r="V90" s="4"/>
      <c r="W90" s="4"/>
      <c r="X90" s="4"/>
      <c r="Y90" s="4"/>
      <c r="Z90" s="4"/>
    </row>
    <row r="91" spans="1:26">
      <c r="A91" s="5">
        <v>43101</v>
      </c>
      <c r="B91" s="4" t="s">
        <v>21</v>
      </c>
      <c r="C91" s="4" t="s">
        <v>19</v>
      </c>
      <c r="D91" s="4" t="s">
        <v>17</v>
      </c>
      <c r="E91" s="4" t="s">
        <v>13</v>
      </c>
      <c r="F91" s="4">
        <v>21543</v>
      </c>
      <c r="G91" s="4">
        <v>1914</v>
      </c>
      <c r="H91" s="4">
        <v>81603</v>
      </c>
      <c r="I91" s="6">
        <v>33587.303324775137</v>
      </c>
      <c r="J91" s="4"/>
      <c r="K91" s="4"/>
      <c r="L91" s="4"/>
      <c r="M91" s="4"/>
      <c r="N91" s="4"/>
      <c r="O91" s="4"/>
      <c r="P91" s="4"/>
      <c r="Q91" s="4"/>
      <c r="R91" s="4"/>
      <c r="S91" s="4"/>
      <c r="T91" s="4"/>
      <c r="U91" s="4"/>
      <c r="V91" s="4"/>
      <c r="W91" s="4"/>
      <c r="X91" s="4"/>
      <c r="Y91" s="4"/>
      <c r="Z91" s="4"/>
    </row>
    <row r="92" spans="1:26">
      <c r="A92" s="5">
        <v>43132</v>
      </c>
      <c r="B92" s="4" t="s">
        <v>9</v>
      </c>
      <c r="C92" s="4" t="s">
        <v>10</v>
      </c>
      <c r="D92" s="4" t="s">
        <v>11</v>
      </c>
      <c r="E92" s="4" t="s">
        <v>12</v>
      </c>
      <c r="F92" s="4">
        <v>998165</v>
      </c>
      <c r="G92" s="4">
        <v>46256</v>
      </c>
      <c r="H92" s="4">
        <v>54940</v>
      </c>
      <c r="I92" s="6">
        <v>41255.992523831541</v>
      </c>
      <c r="J92" s="4"/>
      <c r="K92" s="4"/>
      <c r="L92" s="4"/>
      <c r="M92" s="4"/>
      <c r="N92" s="4"/>
      <c r="O92" s="4"/>
      <c r="P92" s="4"/>
      <c r="Q92" s="4"/>
      <c r="R92" s="4"/>
      <c r="S92" s="4"/>
      <c r="T92" s="4"/>
      <c r="U92" s="4"/>
      <c r="V92" s="4"/>
      <c r="W92" s="4"/>
      <c r="X92" s="4"/>
      <c r="Y92" s="4"/>
      <c r="Z92" s="4"/>
    </row>
    <row r="93" spans="1:26">
      <c r="A93" s="5">
        <v>43132</v>
      </c>
      <c r="B93" s="4" t="s">
        <v>9</v>
      </c>
      <c r="C93" s="4" t="s">
        <v>10</v>
      </c>
      <c r="D93" s="4" t="s">
        <v>11</v>
      </c>
      <c r="E93" s="4" t="s">
        <v>13</v>
      </c>
      <c r="F93" s="4">
        <v>5941</v>
      </c>
      <c r="G93" s="4">
        <v>1019</v>
      </c>
      <c r="H93" s="4">
        <v>6009</v>
      </c>
      <c r="I93" s="6">
        <v>208626.59496712763</v>
      </c>
      <c r="J93" s="4"/>
      <c r="K93" s="4"/>
      <c r="L93" s="4"/>
      <c r="M93" s="4"/>
      <c r="N93" s="4"/>
      <c r="O93" s="4"/>
      <c r="P93" s="4"/>
      <c r="Q93" s="4"/>
      <c r="R93" s="4"/>
      <c r="S93" s="4"/>
      <c r="T93" s="4"/>
      <c r="U93" s="4"/>
      <c r="V93" s="4"/>
      <c r="W93" s="4"/>
      <c r="X93" s="4"/>
      <c r="Y93" s="4"/>
      <c r="Z93" s="4"/>
    </row>
    <row r="94" spans="1:26">
      <c r="A94" s="5">
        <v>43132</v>
      </c>
      <c r="B94" s="4" t="s">
        <v>9</v>
      </c>
      <c r="C94" s="4" t="s">
        <v>10</v>
      </c>
      <c r="D94" s="4" t="s">
        <v>14</v>
      </c>
      <c r="E94" s="4" t="s">
        <v>12</v>
      </c>
      <c r="F94" s="4">
        <v>2499141</v>
      </c>
      <c r="G94" s="4">
        <v>80927</v>
      </c>
      <c r="H94" s="4">
        <v>95657</v>
      </c>
      <c r="I94" s="6">
        <v>69519.084445361383</v>
      </c>
      <c r="J94" s="4"/>
      <c r="K94" s="4"/>
      <c r="L94" s="4"/>
      <c r="M94" s="4"/>
      <c r="N94" s="4"/>
      <c r="O94" s="4"/>
      <c r="P94" s="4"/>
      <c r="Q94" s="4"/>
      <c r="R94" s="4"/>
      <c r="S94" s="4"/>
      <c r="T94" s="4"/>
      <c r="U94" s="4"/>
      <c r="V94" s="4"/>
      <c r="W94" s="4"/>
      <c r="X94" s="4"/>
      <c r="Y94" s="4"/>
      <c r="Z94" s="4"/>
    </row>
    <row r="95" spans="1:26">
      <c r="A95" s="5">
        <v>43132</v>
      </c>
      <c r="B95" s="4" t="s">
        <v>9</v>
      </c>
      <c r="C95" s="4" t="s">
        <v>10</v>
      </c>
      <c r="D95" s="4" t="s">
        <v>14</v>
      </c>
      <c r="E95" s="4" t="s">
        <v>13</v>
      </c>
      <c r="F95" s="4">
        <v>9960</v>
      </c>
      <c r="G95" s="4">
        <v>2048</v>
      </c>
      <c r="H95" s="4">
        <v>15003</v>
      </c>
      <c r="I95" s="6">
        <v>322450.08401038818</v>
      </c>
      <c r="J95" s="4"/>
      <c r="K95" s="4"/>
      <c r="L95" s="4"/>
      <c r="M95" s="4"/>
      <c r="N95" s="4"/>
      <c r="O95" s="4"/>
      <c r="P95" s="4"/>
      <c r="Q95" s="4"/>
      <c r="R95" s="4"/>
      <c r="S95" s="4"/>
      <c r="T95" s="4"/>
      <c r="U95" s="4"/>
      <c r="V95" s="4"/>
      <c r="W95" s="4"/>
      <c r="X95" s="4"/>
      <c r="Y95" s="4"/>
      <c r="Z95" s="4"/>
    </row>
    <row r="96" spans="1:26">
      <c r="A96" s="5">
        <v>43132</v>
      </c>
      <c r="B96" s="4" t="s">
        <v>9</v>
      </c>
      <c r="C96" s="4" t="s">
        <v>10</v>
      </c>
      <c r="D96" s="4" t="s">
        <v>15</v>
      </c>
      <c r="E96" s="4" t="s">
        <v>12</v>
      </c>
      <c r="F96" s="4">
        <v>1009379</v>
      </c>
      <c r="G96" s="4">
        <v>33474</v>
      </c>
      <c r="H96" s="4">
        <v>43023</v>
      </c>
      <c r="I96" s="6">
        <v>32276.364257182508</v>
      </c>
      <c r="J96" s="4"/>
      <c r="K96" s="4"/>
      <c r="L96" s="4"/>
      <c r="M96" s="4"/>
      <c r="N96" s="4"/>
      <c r="O96" s="4"/>
      <c r="P96" s="4"/>
      <c r="Q96" s="4"/>
      <c r="R96" s="4"/>
      <c r="S96" s="4"/>
      <c r="T96" s="4"/>
      <c r="U96" s="4"/>
      <c r="V96" s="4"/>
      <c r="W96" s="4"/>
      <c r="X96" s="4"/>
      <c r="Y96" s="4"/>
      <c r="Z96" s="4"/>
    </row>
    <row r="97" spans="1:26">
      <c r="A97" s="5">
        <v>43132</v>
      </c>
      <c r="B97" s="4" t="s">
        <v>9</v>
      </c>
      <c r="C97" s="4" t="s">
        <v>10</v>
      </c>
      <c r="D97" s="4" t="s">
        <v>15</v>
      </c>
      <c r="E97" s="4" t="s">
        <v>13</v>
      </c>
      <c r="F97" s="4">
        <v>3809</v>
      </c>
      <c r="G97" s="4">
        <v>592</v>
      </c>
      <c r="H97" s="4">
        <v>4914</v>
      </c>
      <c r="I97" s="6">
        <v>80172.504653465337</v>
      </c>
      <c r="J97" s="4"/>
      <c r="K97" s="4"/>
      <c r="L97" s="4"/>
      <c r="M97" s="4"/>
      <c r="N97" s="4"/>
      <c r="O97" s="4"/>
      <c r="P97" s="4"/>
      <c r="Q97" s="4"/>
      <c r="R97" s="4"/>
      <c r="S97" s="4"/>
      <c r="T97" s="4"/>
      <c r="U97" s="4"/>
      <c r="V97" s="4"/>
      <c r="W97" s="4"/>
      <c r="X97" s="4"/>
      <c r="Y97" s="4"/>
      <c r="Z97" s="4"/>
    </row>
    <row r="98" spans="1:26">
      <c r="A98" s="5">
        <v>43132</v>
      </c>
      <c r="B98" s="4" t="s">
        <v>9</v>
      </c>
      <c r="C98" s="4" t="s">
        <v>10</v>
      </c>
      <c r="D98" s="4" t="s">
        <v>16</v>
      </c>
      <c r="E98" s="4" t="s">
        <v>12</v>
      </c>
      <c r="F98" s="4">
        <v>31105820</v>
      </c>
      <c r="G98" s="4">
        <v>209058</v>
      </c>
      <c r="H98" s="4">
        <v>235517</v>
      </c>
      <c r="I98" s="6">
        <v>178837.51366713597</v>
      </c>
      <c r="J98" s="4"/>
      <c r="K98" s="4"/>
      <c r="L98" s="4"/>
      <c r="M98" s="4"/>
      <c r="N98" s="4"/>
      <c r="O98" s="4"/>
      <c r="P98" s="4"/>
      <c r="Q98" s="4"/>
      <c r="R98" s="4"/>
      <c r="S98" s="4"/>
      <c r="T98" s="4"/>
      <c r="U98" s="4"/>
      <c r="V98" s="4"/>
      <c r="W98" s="4"/>
      <c r="X98" s="4"/>
      <c r="Y98" s="4"/>
      <c r="Z98" s="4"/>
    </row>
    <row r="99" spans="1:26">
      <c r="A99" s="5">
        <v>43132</v>
      </c>
      <c r="B99" s="4" t="s">
        <v>9</v>
      </c>
      <c r="C99" s="4" t="s">
        <v>10</v>
      </c>
      <c r="D99" s="4" t="s">
        <v>16</v>
      </c>
      <c r="E99" s="4" t="s">
        <v>13</v>
      </c>
      <c r="F99" s="4">
        <v>218443</v>
      </c>
      <c r="G99" s="4">
        <v>4444</v>
      </c>
      <c r="H99" s="4">
        <v>29013</v>
      </c>
      <c r="I99" s="6">
        <v>974509.82831271249</v>
      </c>
      <c r="J99" s="4"/>
      <c r="K99" s="4"/>
      <c r="L99" s="4"/>
      <c r="M99" s="4"/>
      <c r="N99" s="4"/>
      <c r="O99" s="4"/>
      <c r="P99" s="4"/>
      <c r="Q99" s="4"/>
      <c r="R99" s="4"/>
      <c r="S99" s="4"/>
      <c r="T99" s="4"/>
      <c r="U99" s="4"/>
      <c r="V99" s="4"/>
      <c r="W99" s="4"/>
      <c r="X99" s="4"/>
      <c r="Y99" s="4"/>
      <c r="Z99" s="4"/>
    </row>
    <row r="100" spans="1:26">
      <c r="A100" s="5">
        <v>43132</v>
      </c>
      <c r="B100" s="4" t="s">
        <v>9</v>
      </c>
      <c r="C100" s="4" t="s">
        <v>10</v>
      </c>
      <c r="D100" s="4" t="s">
        <v>17</v>
      </c>
      <c r="E100" s="4" t="s">
        <v>12</v>
      </c>
      <c r="F100" s="4">
        <v>1535475</v>
      </c>
      <c r="G100" s="4">
        <v>69363</v>
      </c>
      <c r="H100" s="4">
        <v>78939</v>
      </c>
      <c r="I100" s="6">
        <v>77262.798086919473</v>
      </c>
      <c r="J100" s="4"/>
      <c r="K100" s="4"/>
      <c r="L100" s="4"/>
      <c r="M100" s="4"/>
      <c r="N100" s="4"/>
      <c r="O100" s="4"/>
      <c r="P100" s="4"/>
      <c r="Q100" s="4"/>
      <c r="R100" s="4"/>
      <c r="S100" s="4"/>
      <c r="T100" s="4"/>
      <c r="U100" s="4"/>
      <c r="V100" s="4"/>
      <c r="W100" s="4"/>
      <c r="X100" s="4"/>
      <c r="Y100" s="4"/>
      <c r="Z100" s="4"/>
    </row>
    <row r="101" spans="1:26">
      <c r="A101" s="5">
        <v>43132</v>
      </c>
      <c r="B101" s="4" t="s">
        <v>9</v>
      </c>
      <c r="C101" s="4" t="s">
        <v>10</v>
      </c>
      <c r="D101" s="4" t="s">
        <v>17</v>
      </c>
      <c r="E101" s="4" t="s">
        <v>13</v>
      </c>
      <c r="F101" s="4">
        <v>9157</v>
      </c>
      <c r="G101" s="4">
        <v>1865</v>
      </c>
      <c r="H101" s="4">
        <v>10948</v>
      </c>
      <c r="I101" s="6">
        <v>368963.96049438196</v>
      </c>
      <c r="J101" s="4"/>
      <c r="K101" s="4"/>
      <c r="L101" s="4"/>
      <c r="M101" s="4"/>
      <c r="N101" s="4"/>
      <c r="O101" s="4"/>
      <c r="P101" s="4"/>
      <c r="Q101" s="4"/>
      <c r="R101" s="4"/>
      <c r="S101" s="4"/>
      <c r="T101" s="4"/>
      <c r="U101" s="4"/>
      <c r="V101" s="4"/>
      <c r="W101" s="4"/>
      <c r="X101" s="4"/>
      <c r="Y101" s="4"/>
      <c r="Z101" s="4"/>
    </row>
    <row r="102" spans="1:26">
      <c r="A102" s="5">
        <v>43132</v>
      </c>
      <c r="B102" s="4" t="s">
        <v>9</v>
      </c>
      <c r="C102" s="4" t="s">
        <v>18</v>
      </c>
      <c r="D102" s="4" t="s">
        <v>11</v>
      </c>
      <c r="E102" s="4" t="s">
        <v>12</v>
      </c>
      <c r="F102" s="4">
        <v>5873892</v>
      </c>
      <c r="G102" s="4">
        <v>163177</v>
      </c>
      <c r="H102" s="4">
        <v>503430</v>
      </c>
      <c r="I102" s="6">
        <v>123406.88696899575</v>
      </c>
      <c r="J102" s="4"/>
      <c r="K102" s="4"/>
      <c r="L102" s="4"/>
      <c r="M102" s="4"/>
      <c r="N102" s="4"/>
      <c r="O102" s="4"/>
      <c r="P102" s="4"/>
      <c r="Q102" s="4"/>
      <c r="R102" s="4"/>
      <c r="S102" s="4"/>
      <c r="T102" s="4"/>
      <c r="U102" s="4"/>
      <c r="V102" s="4"/>
      <c r="W102" s="4"/>
      <c r="X102" s="4"/>
      <c r="Y102" s="4"/>
      <c r="Z102" s="4"/>
    </row>
    <row r="103" spans="1:26">
      <c r="A103" s="5">
        <v>43132</v>
      </c>
      <c r="B103" s="4" t="s">
        <v>9</v>
      </c>
      <c r="C103" s="4" t="s">
        <v>18</v>
      </c>
      <c r="D103" s="4" t="s">
        <v>11</v>
      </c>
      <c r="E103" s="4" t="s">
        <v>13</v>
      </c>
      <c r="F103" s="4">
        <v>33353</v>
      </c>
      <c r="G103" s="4">
        <v>605</v>
      </c>
      <c r="H103" s="4">
        <v>16793</v>
      </c>
      <c r="I103" s="6">
        <v>12326.533823612284</v>
      </c>
      <c r="J103" s="4"/>
      <c r="K103" s="4"/>
      <c r="L103" s="4"/>
      <c r="M103" s="4"/>
      <c r="N103" s="4"/>
      <c r="O103" s="4"/>
      <c r="P103" s="4"/>
      <c r="Q103" s="4"/>
      <c r="R103" s="4"/>
      <c r="S103" s="4"/>
      <c r="T103" s="4"/>
      <c r="U103" s="4"/>
      <c r="V103" s="4"/>
      <c r="W103" s="4"/>
      <c r="X103" s="4"/>
      <c r="Y103" s="4"/>
      <c r="Z103" s="4"/>
    </row>
    <row r="104" spans="1:26">
      <c r="A104" s="5">
        <v>43132</v>
      </c>
      <c r="B104" s="4" t="s">
        <v>9</v>
      </c>
      <c r="C104" s="4" t="s">
        <v>18</v>
      </c>
      <c r="D104" s="4" t="s">
        <v>14</v>
      </c>
      <c r="E104" s="4" t="s">
        <v>12</v>
      </c>
      <c r="F104" s="4">
        <v>13804807</v>
      </c>
      <c r="G104" s="4">
        <v>337137</v>
      </c>
      <c r="H104" s="4">
        <v>1016217</v>
      </c>
      <c r="I104" s="6">
        <v>163872.56416200826</v>
      </c>
      <c r="J104" s="4"/>
      <c r="K104" s="4"/>
      <c r="L104" s="4"/>
      <c r="M104" s="4"/>
      <c r="N104" s="4"/>
      <c r="O104" s="4"/>
      <c r="P104" s="4"/>
      <c r="Q104" s="4"/>
      <c r="R104" s="4"/>
      <c r="S104" s="4"/>
      <c r="T104" s="4"/>
      <c r="U104" s="4"/>
      <c r="V104" s="4"/>
      <c r="W104" s="4"/>
      <c r="X104" s="4"/>
      <c r="Y104" s="4"/>
      <c r="Z104" s="4"/>
    </row>
    <row r="105" spans="1:26">
      <c r="A105" s="5">
        <v>43132</v>
      </c>
      <c r="B105" s="4" t="s">
        <v>9</v>
      </c>
      <c r="C105" s="4" t="s">
        <v>18</v>
      </c>
      <c r="D105" s="4" t="s">
        <v>14</v>
      </c>
      <c r="E105" s="4" t="s">
        <v>13</v>
      </c>
      <c r="F105" s="4">
        <v>69910</v>
      </c>
      <c r="G105" s="4">
        <v>844</v>
      </c>
      <c r="H105" s="4">
        <v>12518</v>
      </c>
      <c r="I105" s="6">
        <v>14399.141140870322</v>
      </c>
      <c r="J105" s="4"/>
      <c r="K105" s="4"/>
      <c r="L105" s="4"/>
      <c r="M105" s="4"/>
      <c r="N105" s="4"/>
      <c r="O105" s="4"/>
      <c r="P105" s="4"/>
      <c r="Q105" s="4"/>
      <c r="R105" s="4"/>
      <c r="S105" s="4"/>
      <c r="T105" s="4"/>
      <c r="U105" s="4"/>
      <c r="V105" s="4"/>
      <c r="W105" s="4"/>
      <c r="X105" s="4"/>
      <c r="Y105" s="4"/>
      <c r="Z105" s="4"/>
    </row>
    <row r="106" spans="1:26">
      <c r="A106" s="5">
        <v>43132</v>
      </c>
      <c r="B106" s="4" t="s">
        <v>9</v>
      </c>
      <c r="C106" s="4" t="s">
        <v>18</v>
      </c>
      <c r="D106" s="4" t="s">
        <v>15</v>
      </c>
      <c r="E106" s="4" t="s">
        <v>12</v>
      </c>
      <c r="F106" s="4">
        <v>6849879</v>
      </c>
      <c r="G106" s="4">
        <v>181459</v>
      </c>
      <c r="H106" s="4">
        <v>597896</v>
      </c>
      <c r="I106" s="6">
        <v>66006.563735210191</v>
      </c>
      <c r="J106" s="4"/>
      <c r="K106" s="4"/>
      <c r="L106" s="4"/>
      <c r="M106" s="4"/>
      <c r="N106" s="4"/>
      <c r="O106" s="4"/>
      <c r="P106" s="4"/>
      <c r="Q106" s="4"/>
      <c r="R106" s="4"/>
      <c r="S106" s="4"/>
      <c r="T106" s="4"/>
      <c r="U106" s="4"/>
      <c r="V106" s="4"/>
      <c r="W106" s="4"/>
      <c r="X106" s="4"/>
      <c r="Y106" s="4"/>
      <c r="Z106" s="4"/>
    </row>
    <row r="107" spans="1:26">
      <c r="A107" s="5">
        <v>43132</v>
      </c>
      <c r="B107" s="4" t="s">
        <v>9</v>
      </c>
      <c r="C107" s="4" t="s">
        <v>18</v>
      </c>
      <c r="D107" s="4" t="s">
        <v>15</v>
      </c>
      <c r="E107" s="4" t="s">
        <v>13</v>
      </c>
      <c r="F107" s="4">
        <v>25517</v>
      </c>
      <c r="G107" s="4">
        <v>335</v>
      </c>
      <c r="H107" s="4">
        <v>4767</v>
      </c>
      <c r="I107" s="6">
        <v>6187.6425190087293</v>
      </c>
      <c r="J107" s="4"/>
      <c r="K107" s="4"/>
      <c r="L107" s="4"/>
      <c r="M107" s="4"/>
      <c r="N107" s="4"/>
      <c r="O107" s="4"/>
      <c r="P107" s="4"/>
      <c r="Q107" s="4"/>
      <c r="R107" s="4"/>
      <c r="S107" s="4"/>
      <c r="T107" s="4"/>
      <c r="U107" s="4"/>
      <c r="V107" s="4"/>
      <c r="W107" s="4"/>
      <c r="X107" s="4"/>
      <c r="Y107" s="4"/>
      <c r="Z107" s="4"/>
    </row>
    <row r="108" spans="1:26">
      <c r="A108" s="5">
        <v>43132</v>
      </c>
      <c r="B108" s="4" t="s">
        <v>9</v>
      </c>
      <c r="C108" s="4" t="s">
        <v>18</v>
      </c>
      <c r="D108" s="4" t="s">
        <v>16</v>
      </c>
      <c r="E108" s="4" t="s">
        <v>12</v>
      </c>
      <c r="F108" s="4">
        <v>88182941</v>
      </c>
      <c r="G108" s="4">
        <v>616322</v>
      </c>
      <c r="H108" s="4">
        <v>1765257</v>
      </c>
      <c r="I108" s="6">
        <v>425472.00725126761</v>
      </c>
      <c r="J108" s="4"/>
      <c r="K108" s="4"/>
      <c r="L108" s="4"/>
      <c r="M108" s="4"/>
      <c r="N108" s="4"/>
      <c r="O108" s="4"/>
      <c r="P108" s="4"/>
      <c r="Q108" s="4"/>
      <c r="R108" s="4"/>
      <c r="S108" s="4"/>
      <c r="T108" s="4"/>
      <c r="U108" s="4"/>
      <c r="V108" s="4"/>
      <c r="W108" s="4"/>
      <c r="X108" s="4"/>
      <c r="Y108" s="4"/>
      <c r="Z108" s="4"/>
    </row>
    <row r="109" spans="1:26">
      <c r="A109" s="5">
        <v>43132</v>
      </c>
      <c r="B109" s="4" t="s">
        <v>9</v>
      </c>
      <c r="C109" s="4" t="s">
        <v>18</v>
      </c>
      <c r="D109" s="4" t="s">
        <v>16</v>
      </c>
      <c r="E109" s="4" t="s">
        <v>13</v>
      </c>
      <c r="F109" s="4">
        <v>770790</v>
      </c>
      <c r="G109" s="4">
        <v>1762</v>
      </c>
      <c r="H109" s="4">
        <v>43383</v>
      </c>
      <c r="I109" s="6">
        <v>27890.809703932347</v>
      </c>
      <c r="J109" s="4"/>
      <c r="K109" s="4"/>
      <c r="L109" s="4"/>
      <c r="M109" s="4"/>
      <c r="N109" s="4"/>
      <c r="O109" s="4"/>
      <c r="P109" s="4"/>
      <c r="Q109" s="4"/>
      <c r="R109" s="4"/>
      <c r="S109" s="4"/>
      <c r="T109" s="4"/>
      <c r="U109" s="4"/>
      <c r="V109" s="4"/>
      <c r="W109" s="4"/>
      <c r="X109" s="4"/>
      <c r="Y109" s="4"/>
      <c r="Z109" s="4"/>
    </row>
    <row r="110" spans="1:26">
      <c r="A110" s="5">
        <v>43132</v>
      </c>
      <c r="B110" s="4" t="s">
        <v>9</v>
      </c>
      <c r="C110" s="4" t="s">
        <v>18</v>
      </c>
      <c r="D110" s="4" t="s">
        <v>17</v>
      </c>
      <c r="E110" s="4" t="s">
        <v>12</v>
      </c>
      <c r="F110" s="4">
        <v>8347699</v>
      </c>
      <c r="G110" s="4">
        <v>198121</v>
      </c>
      <c r="H110" s="4">
        <v>564826</v>
      </c>
      <c r="I110" s="6">
        <v>144493.46607177149</v>
      </c>
      <c r="J110" s="4"/>
      <c r="K110" s="4"/>
      <c r="L110" s="4"/>
      <c r="M110" s="4"/>
      <c r="N110" s="4"/>
      <c r="O110" s="4"/>
      <c r="P110" s="4"/>
      <c r="Q110" s="4"/>
      <c r="R110" s="4"/>
      <c r="S110" s="4"/>
      <c r="T110" s="4"/>
      <c r="U110" s="4"/>
      <c r="V110" s="4"/>
      <c r="W110" s="4"/>
      <c r="X110" s="4"/>
      <c r="Y110" s="4"/>
      <c r="Z110" s="4"/>
    </row>
    <row r="111" spans="1:26">
      <c r="A111" s="5">
        <v>43132</v>
      </c>
      <c r="B111" s="4" t="s">
        <v>9</v>
      </c>
      <c r="C111" s="4" t="s">
        <v>18</v>
      </c>
      <c r="D111" s="4" t="s">
        <v>17</v>
      </c>
      <c r="E111" s="4" t="s">
        <v>13</v>
      </c>
      <c r="F111" s="4">
        <v>63739</v>
      </c>
      <c r="G111" s="4">
        <v>707</v>
      </c>
      <c r="H111" s="4">
        <v>15629</v>
      </c>
      <c r="I111" s="6">
        <v>11210.711457258099</v>
      </c>
      <c r="J111" s="4"/>
      <c r="K111" s="4"/>
      <c r="L111" s="4"/>
      <c r="M111" s="4"/>
      <c r="N111" s="4"/>
      <c r="O111" s="4"/>
      <c r="P111" s="4"/>
      <c r="Q111" s="4"/>
      <c r="R111" s="4"/>
      <c r="S111" s="4"/>
      <c r="T111" s="4"/>
      <c r="U111" s="4"/>
      <c r="V111" s="4"/>
      <c r="W111" s="4"/>
      <c r="X111" s="4"/>
      <c r="Y111" s="4"/>
      <c r="Z111" s="4"/>
    </row>
    <row r="112" spans="1:26">
      <c r="A112" s="5">
        <v>43132</v>
      </c>
      <c r="B112" s="4" t="s">
        <v>9</v>
      </c>
      <c r="C112" s="4" t="s">
        <v>19</v>
      </c>
      <c r="D112" s="4" t="s">
        <v>11</v>
      </c>
      <c r="E112" s="4" t="s">
        <v>12</v>
      </c>
      <c r="F112" s="4">
        <v>101662</v>
      </c>
      <c r="G112" s="4">
        <v>16536</v>
      </c>
      <c r="H112" s="4">
        <v>17417</v>
      </c>
      <c r="I112" s="6">
        <v>88058.382853259813</v>
      </c>
      <c r="J112" s="4"/>
      <c r="K112" s="4"/>
      <c r="L112" s="4"/>
      <c r="M112" s="4"/>
      <c r="N112" s="4"/>
      <c r="O112" s="4"/>
      <c r="P112" s="4"/>
      <c r="Q112" s="4"/>
      <c r="R112" s="4"/>
      <c r="S112" s="4"/>
      <c r="T112" s="4"/>
      <c r="U112" s="4"/>
      <c r="V112" s="4"/>
      <c r="W112" s="4"/>
      <c r="X112" s="4"/>
      <c r="Y112" s="4"/>
      <c r="Z112" s="4"/>
    </row>
    <row r="113" spans="1:26">
      <c r="A113" s="5">
        <v>43132</v>
      </c>
      <c r="B113" s="4" t="s">
        <v>9</v>
      </c>
      <c r="C113" s="4" t="s">
        <v>19</v>
      </c>
      <c r="D113" s="4" t="s">
        <v>11</v>
      </c>
      <c r="E113" s="4" t="s">
        <v>13</v>
      </c>
      <c r="F113" s="4">
        <v>555</v>
      </c>
      <c r="G113" s="4">
        <v>640</v>
      </c>
      <c r="H113" s="4">
        <v>6686</v>
      </c>
      <c r="I113" s="6">
        <v>14989.263016307099</v>
      </c>
      <c r="J113" s="4"/>
      <c r="K113" s="4"/>
      <c r="L113" s="4"/>
      <c r="M113" s="4"/>
      <c r="N113" s="4"/>
      <c r="O113" s="4"/>
      <c r="P113" s="4"/>
      <c r="Q113" s="4"/>
      <c r="R113" s="4"/>
      <c r="S113" s="4"/>
      <c r="T113" s="4"/>
      <c r="U113" s="4"/>
      <c r="V113" s="4"/>
      <c r="W113" s="4"/>
      <c r="X113" s="4"/>
      <c r="Y113" s="4"/>
      <c r="Z113" s="4"/>
    </row>
    <row r="114" spans="1:26">
      <c r="A114" s="5">
        <v>43132</v>
      </c>
      <c r="B114" s="4" t="s">
        <v>9</v>
      </c>
      <c r="C114" s="4" t="s">
        <v>19</v>
      </c>
      <c r="D114" s="4" t="s">
        <v>14</v>
      </c>
      <c r="E114" s="4" t="s">
        <v>12</v>
      </c>
      <c r="F114" s="4">
        <v>249435</v>
      </c>
      <c r="G114" s="4">
        <v>38996</v>
      </c>
      <c r="H114" s="4">
        <v>40987</v>
      </c>
      <c r="I114" s="6">
        <v>156941.56762442229</v>
      </c>
      <c r="J114" s="4"/>
      <c r="K114" s="4"/>
      <c r="L114" s="4"/>
      <c r="M114" s="4"/>
      <c r="N114" s="4"/>
      <c r="O114" s="4"/>
      <c r="P114" s="4"/>
      <c r="Q114" s="4"/>
      <c r="R114" s="4"/>
      <c r="S114" s="4"/>
      <c r="T114" s="4"/>
      <c r="U114" s="4"/>
      <c r="V114" s="4"/>
      <c r="W114" s="4"/>
      <c r="X114" s="4"/>
      <c r="Y114" s="4"/>
      <c r="Z114" s="4"/>
    </row>
    <row r="115" spans="1:26">
      <c r="A115" s="5">
        <v>43132</v>
      </c>
      <c r="B115" s="4" t="s">
        <v>9</v>
      </c>
      <c r="C115" s="4" t="s">
        <v>19</v>
      </c>
      <c r="D115" s="4" t="s">
        <v>14</v>
      </c>
      <c r="E115" s="4" t="s">
        <v>13</v>
      </c>
      <c r="F115" s="4">
        <v>1337</v>
      </c>
      <c r="G115" s="4">
        <v>1432</v>
      </c>
      <c r="H115" s="4">
        <v>36374</v>
      </c>
      <c r="I115" s="6">
        <v>24900.694074573985</v>
      </c>
      <c r="J115" s="4"/>
      <c r="K115" s="4"/>
      <c r="L115" s="4"/>
      <c r="M115" s="4"/>
      <c r="N115" s="4"/>
      <c r="O115" s="4"/>
      <c r="P115" s="4"/>
      <c r="Q115" s="4"/>
      <c r="R115" s="4"/>
      <c r="S115" s="4"/>
      <c r="T115" s="4"/>
      <c r="U115" s="4"/>
      <c r="V115" s="4"/>
      <c r="W115" s="4"/>
      <c r="X115" s="4"/>
      <c r="Y115" s="4"/>
      <c r="Z115" s="4"/>
    </row>
    <row r="116" spans="1:26">
      <c r="A116" s="5">
        <v>43132</v>
      </c>
      <c r="B116" s="4" t="s">
        <v>9</v>
      </c>
      <c r="C116" s="4" t="s">
        <v>19</v>
      </c>
      <c r="D116" s="4" t="s">
        <v>15</v>
      </c>
      <c r="E116" s="4" t="s">
        <v>12</v>
      </c>
      <c r="F116" s="4">
        <v>117700</v>
      </c>
      <c r="G116" s="4">
        <v>20011</v>
      </c>
      <c r="H116" s="4">
        <v>20736</v>
      </c>
      <c r="I116" s="6">
        <v>58018.418050766129</v>
      </c>
      <c r="J116" s="4"/>
      <c r="K116" s="4"/>
      <c r="L116" s="4"/>
      <c r="M116" s="4"/>
      <c r="N116" s="4"/>
      <c r="O116" s="4"/>
      <c r="P116" s="4"/>
      <c r="Q116" s="4"/>
      <c r="R116" s="4"/>
      <c r="S116" s="4"/>
      <c r="T116" s="4"/>
      <c r="U116" s="4"/>
      <c r="V116" s="4"/>
      <c r="W116" s="4"/>
      <c r="X116" s="4"/>
      <c r="Y116" s="4"/>
      <c r="Z116" s="4"/>
    </row>
    <row r="117" spans="1:26">
      <c r="A117" s="5">
        <v>43132</v>
      </c>
      <c r="B117" s="4" t="s">
        <v>9</v>
      </c>
      <c r="C117" s="4" t="s">
        <v>19</v>
      </c>
      <c r="D117" s="4" t="s">
        <v>15</v>
      </c>
      <c r="E117" s="4" t="s">
        <v>13</v>
      </c>
      <c r="F117" s="4">
        <v>413</v>
      </c>
      <c r="G117" s="4">
        <v>586</v>
      </c>
      <c r="H117" s="4">
        <v>19530</v>
      </c>
      <c r="I117" s="6">
        <v>10832.082444652324</v>
      </c>
      <c r="J117" s="4"/>
      <c r="K117" s="4"/>
      <c r="L117" s="4"/>
      <c r="M117" s="4"/>
      <c r="N117" s="4"/>
      <c r="O117" s="4"/>
      <c r="P117" s="4"/>
      <c r="Q117" s="4"/>
      <c r="R117" s="4"/>
      <c r="S117" s="4"/>
      <c r="T117" s="4"/>
      <c r="U117" s="4"/>
      <c r="V117" s="4"/>
      <c r="W117" s="4"/>
      <c r="X117" s="4"/>
      <c r="Y117" s="4"/>
      <c r="Z117" s="4"/>
    </row>
    <row r="118" spans="1:26">
      <c r="A118" s="5">
        <v>43132</v>
      </c>
      <c r="B118" s="4" t="s">
        <v>9</v>
      </c>
      <c r="C118" s="4" t="s">
        <v>19</v>
      </c>
      <c r="D118" s="4" t="s">
        <v>16</v>
      </c>
      <c r="E118" s="4" t="s">
        <v>12</v>
      </c>
      <c r="F118" s="4">
        <v>14007505</v>
      </c>
      <c r="G118" s="4">
        <v>61367</v>
      </c>
      <c r="H118" s="4">
        <v>62914</v>
      </c>
      <c r="I118" s="6">
        <v>361962.59574923076</v>
      </c>
      <c r="J118" s="4"/>
      <c r="K118" s="4"/>
      <c r="L118" s="4"/>
      <c r="M118" s="4"/>
      <c r="N118" s="4"/>
      <c r="O118" s="4"/>
      <c r="P118" s="4"/>
      <c r="Q118" s="4"/>
      <c r="R118" s="4"/>
      <c r="S118" s="4"/>
      <c r="T118" s="4"/>
      <c r="U118" s="4"/>
      <c r="V118" s="4"/>
      <c r="W118" s="4"/>
      <c r="X118" s="4"/>
      <c r="Y118" s="4"/>
      <c r="Z118" s="4"/>
    </row>
    <row r="119" spans="1:26">
      <c r="A119" s="5">
        <v>43132</v>
      </c>
      <c r="B119" s="4" t="s">
        <v>9</v>
      </c>
      <c r="C119" s="4" t="s">
        <v>19</v>
      </c>
      <c r="D119" s="4" t="s">
        <v>16</v>
      </c>
      <c r="E119" s="4" t="s">
        <v>13</v>
      </c>
      <c r="F119" s="4">
        <v>130904</v>
      </c>
      <c r="G119" s="4">
        <v>1841</v>
      </c>
      <c r="H119" s="4">
        <v>31675</v>
      </c>
      <c r="I119" s="6">
        <v>49061.426231277241</v>
      </c>
      <c r="J119" s="4"/>
      <c r="K119" s="4"/>
      <c r="L119" s="4"/>
      <c r="M119" s="4"/>
      <c r="N119" s="4"/>
      <c r="O119" s="4"/>
      <c r="P119" s="4"/>
      <c r="Q119" s="4"/>
      <c r="R119" s="4"/>
      <c r="S119" s="4"/>
      <c r="T119" s="4"/>
      <c r="U119" s="4"/>
      <c r="V119" s="4"/>
      <c r="W119" s="4"/>
      <c r="X119" s="4"/>
      <c r="Y119" s="4"/>
      <c r="Z119" s="4"/>
    </row>
    <row r="120" spans="1:26">
      <c r="A120" s="5">
        <v>43132</v>
      </c>
      <c r="B120" s="4" t="s">
        <v>9</v>
      </c>
      <c r="C120" s="4" t="s">
        <v>19</v>
      </c>
      <c r="D120" s="4" t="s">
        <v>17</v>
      </c>
      <c r="E120" s="4" t="s">
        <v>12</v>
      </c>
      <c r="F120" s="4">
        <v>195374</v>
      </c>
      <c r="G120" s="4">
        <v>22141</v>
      </c>
      <c r="H120" s="4">
        <v>22860</v>
      </c>
      <c r="I120" s="6">
        <v>134213.23250285166</v>
      </c>
      <c r="J120" s="4"/>
      <c r="K120" s="4"/>
      <c r="L120" s="4"/>
      <c r="M120" s="4"/>
      <c r="N120" s="4"/>
      <c r="O120" s="4"/>
      <c r="P120" s="4"/>
      <c r="Q120" s="4"/>
      <c r="R120" s="4"/>
      <c r="S120" s="4"/>
      <c r="T120" s="4"/>
      <c r="U120" s="4"/>
      <c r="V120" s="4"/>
      <c r="W120" s="4"/>
      <c r="X120" s="4"/>
      <c r="Y120" s="4"/>
      <c r="Z120" s="4"/>
    </row>
    <row r="121" spans="1:26">
      <c r="A121" s="5">
        <v>43132</v>
      </c>
      <c r="B121" s="4" t="s">
        <v>9</v>
      </c>
      <c r="C121" s="4" t="s">
        <v>19</v>
      </c>
      <c r="D121" s="4" t="s">
        <v>17</v>
      </c>
      <c r="E121" s="4" t="s">
        <v>13</v>
      </c>
      <c r="F121" s="4">
        <v>1319</v>
      </c>
      <c r="G121" s="4">
        <v>601</v>
      </c>
      <c r="H121" s="4">
        <v>6054</v>
      </c>
      <c r="I121" s="6">
        <v>16523.050226051928</v>
      </c>
      <c r="J121" s="4"/>
      <c r="K121" s="4"/>
      <c r="L121" s="4"/>
      <c r="M121" s="4"/>
      <c r="N121" s="4"/>
      <c r="O121" s="4"/>
      <c r="P121" s="4"/>
      <c r="Q121" s="4"/>
      <c r="R121" s="4"/>
      <c r="S121" s="4"/>
      <c r="T121" s="4"/>
      <c r="U121" s="4"/>
      <c r="V121" s="4"/>
      <c r="W121" s="4"/>
      <c r="X121" s="4"/>
      <c r="Y121" s="4"/>
      <c r="Z121" s="4"/>
    </row>
    <row r="122" spans="1:26">
      <c r="A122" s="5">
        <v>43132</v>
      </c>
      <c r="B122" s="4" t="s">
        <v>20</v>
      </c>
      <c r="C122" s="4" t="s">
        <v>10</v>
      </c>
      <c r="D122" s="4" t="s">
        <v>11</v>
      </c>
      <c r="E122" s="4" t="s">
        <v>12</v>
      </c>
      <c r="F122" s="4">
        <v>1978451</v>
      </c>
      <c r="G122" s="4">
        <v>4646</v>
      </c>
      <c r="H122" s="4">
        <v>5266</v>
      </c>
      <c r="I122" s="6">
        <v>1239.2775973718449</v>
      </c>
      <c r="J122" s="4"/>
      <c r="K122" s="4"/>
      <c r="L122" s="4"/>
      <c r="M122" s="4"/>
      <c r="N122" s="4"/>
      <c r="O122" s="4"/>
      <c r="P122" s="4"/>
      <c r="Q122" s="4"/>
      <c r="R122" s="4"/>
      <c r="S122" s="4"/>
      <c r="T122" s="4"/>
      <c r="U122" s="4"/>
      <c r="V122" s="4"/>
      <c r="W122" s="4"/>
      <c r="X122" s="4"/>
      <c r="Y122" s="4"/>
      <c r="Z122" s="4"/>
    </row>
    <row r="123" spans="1:26">
      <c r="A123" s="5">
        <v>43132</v>
      </c>
      <c r="B123" s="4" t="s">
        <v>20</v>
      </c>
      <c r="C123" s="4" t="s">
        <v>10</v>
      </c>
      <c r="D123" s="4" t="s">
        <v>11</v>
      </c>
      <c r="E123" s="4" t="s">
        <v>13</v>
      </c>
      <c r="F123" s="4">
        <v>797</v>
      </c>
      <c r="G123" s="4">
        <v>18</v>
      </c>
      <c r="H123" s="4">
        <v>45</v>
      </c>
      <c r="I123" s="6">
        <v>10006.140909090907</v>
      </c>
      <c r="J123" s="4"/>
      <c r="K123" s="4"/>
      <c r="L123" s="4"/>
      <c r="M123" s="4"/>
      <c r="N123" s="4"/>
      <c r="O123" s="4"/>
      <c r="P123" s="4"/>
      <c r="Q123" s="4"/>
      <c r="R123" s="4"/>
      <c r="S123" s="4"/>
      <c r="T123" s="4"/>
      <c r="U123" s="4"/>
      <c r="V123" s="4"/>
      <c r="W123" s="4"/>
      <c r="X123" s="4"/>
      <c r="Y123" s="4"/>
      <c r="Z123" s="4"/>
    </row>
    <row r="124" spans="1:26">
      <c r="A124" s="5">
        <v>43132</v>
      </c>
      <c r="B124" s="4" t="s">
        <v>20</v>
      </c>
      <c r="C124" s="4" t="s">
        <v>10</v>
      </c>
      <c r="D124" s="4" t="s">
        <v>14</v>
      </c>
      <c r="E124" s="4" t="s">
        <v>12</v>
      </c>
      <c r="F124" s="4">
        <v>3582926</v>
      </c>
      <c r="G124" s="4">
        <v>8270</v>
      </c>
      <c r="H124" s="4">
        <v>8983</v>
      </c>
      <c r="I124" s="6">
        <v>1128.6603483011374</v>
      </c>
      <c r="J124" s="4"/>
      <c r="K124" s="4"/>
      <c r="L124" s="4"/>
      <c r="M124" s="4"/>
      <c r="N124" s="4"/>
      <c r="O124" s="4"/>
      <c r="P124" s="4"/>
      <c r="Q124" s="4"/>
      <c r="R124" s="4"/>
      <c r="S124" s="4"/>
      <c r="T124" s="4"/>
      <c r="U124" s="4"/>
      <c r="V124" s="4"/>
      <c r="W124" s="4"/>
      <c r="X124" s="4"/>
      <c r="Y124" s="4"/>
      <c r="Z124" s="4"/>
    </row>
    <row r="125" spans="1:26">
      <c r="A125" s="5">
        <v>43132</v>
      </c>
      <c r="B125" s="4" t="s">
        <v>20</v>
      </c>
      <c r="C125" s="4" t="s">
        <v>10</v>
      </c>
      <c r="D125" s="4" t="s">
        <v>14</v>
      </c>
      <c r="E125" s="4" t="s">
        <v>13</v>
      </c>
      <c r="F125" s="4">
        <v>1721</v>
      </c>
      <c r="G125" s="4">
        <v>40</v>
      </c>
      <c r="H125" s="4">
        <v>168</v>
      </c>
      <c r="I125" s="6">
        <v>18818.387337931035</v>
      </c>
      <c r="J125" s="4"/>
      <c r="K125" s="4"/>
      <c r="L125" s="4"/>
      <c r="M125" s="4"/>
      <c r="N125" s="4"/>
      <c r="O125" s="4"/>
      <c r="P125" s="4"/>
      <c r="Q125" s="4"/>
      <c r="R125" s="4"/>
      <c r="S125" s="4"/>
      <c r="T125" s="4"/>
      <c r="U125" s="4"/>
      <c r="V125" s="4"/>
      <c r="W125" s="4"/>
      <c r="X125" s="4"/>
      <c r="Y125" s="4"/>
      <c r="Z125" s="4"/>
    </row>
    <row r="126" spans="1:26">
      <c r="A126" s="5">
        <v>43132</v>
      </c>
      <c r="B126" s="4" t="s">
        <v>20</v>
      </c>
      <c r="C126" s="4" t="s">
        <v>10</v>
      </c>
      <c r="D126" s="4" t="s">
        <v>15</v>
      </c>
      <c r="E126" s="4" t="s">
        <v>12</v>
      </c>
      <c r="F126" s="4">
        <v>895448</v>
      </c>
      <c r="G126" s="4">
        <v>2086</v>
      </c>
      <c r="H126" s="4">
        <v>2263</v>
      </c>
      <c r="I126" s="6">
        <v>360.98577213659718</v>
      </c>
      <c r="J126" s="4"/>
      <c r="K126" s="4"/>
      <c r="L126" s="4"/>
      <c r="M126" s="4"/>
      <c r="N126" s="4"/>
      <c r="O126" s="4"/>
      <c r="P126" s="4"/>
      <c r="Q126" s="4"/>
      <c r="R126" s="4"/>
      <c r="S126" s="4"/>
      <c r="T126" s="4"/>
      <c r="U126" s="4"/>
      <c r="V126" s="4"/>
      <c r="W126" s="4"/>
      <c r="X126" s="4"/>
      <c r="Y126" s="4"/>
      <c r="Z126" s="4"/>
    </row>
    <row r="127" spans="1:26">
      <c r="A127" s="5">
        <v>43132</v>
      </c>
      <c r="B127" s="4" t="s">
        <v>20</v>
      </c>
      <c r="C127" s="4" t="s">
        <v>10</v>
      </c>
      <c r="D127" s="4" t="s">
        <v>15</v>
      </c>
      <c r="E127" s="4" t="s">
        <v>13</v>
      </c>
      <c r="F127" s="4">
        <v>233</v>
      </c>
      <c r="G127" s="4">
        <v>3</v>
      </c>
      <c r="H127" s="4">
        <v>9</v>
      </c>
      <c r="I127" s="6">
        <v>1095.3469014084508</v>
      </c>
      <c r="J127" s="4"/>
      <c r="K127" s="4"/>
      <c r="L127" s="4"/>
      <c r="M127" s="4"/>
      <c r="N127" s="4"/>
      <c r="O127" s="4"/>
      <c r="P127" s="4"/>
      <c r="Q127" s="4"/>
      <c r="R127" s="4"/>
      <c r="S127" s="4"/>
      <c r="T127" s="4"/>
      <c r="U127" s="4"/>
      <c r="V127" s="4"/>
      <c r="W127" s="4"/>
      <c r="X127" s="4"/>
      <c r="Y127" s="4"/>
      <c r="Z127" s="4"/>
    </row>
    <row r="128" spans="1:26">
      <c r="A128" s="5">
        <v>43132</v>
      </c>
      <c r="B128" s="4" t="s">
        <v>20</v>
      </c>
      <c r="C128" s="4" t="s">
        <v>10</v>
      </c>
      <c r="D128" s="4" t="s">
        <v>16</v>
      </c>
      <c r="E128" s="4" t="s">
        <v>12</v>
      </c>
      <c r="F128" s="4">
        <v>9636453</v>
      </c>
      <c r="G128" s="4">
        <v>30131</v>
      </c>
      <c r="H128" s="4">
        <v>31645</v>
      </c>
      <c r="I128" s="6">
        <v>5336.7751017610826</v>
      </c>
      <c r="J128" s="4"/>
      <c r="K128" s="4"/>
      <c r="L128" s="4"/>
      <c r="M128" s="4"/>
      <c r="N128" s="4"/>
      <c r="O128" s="4"/>
      <c r="P128" s="4"/>
      <c r="Q128" s="4"/>
      <c r="R128" s="4"/>
      <c r="S128" s="4"/>
      <c r="T128" s="4"/>
      <c r="U128" s="4"/>
      <c r="V128" s="4"/>
      <c r="W128" s="4"/>
      <c r="X128" s="4"/>
      <c r="Y128" s="4"/>
      <c r="Z128" s="4"/>
    </row>
    <row r="129" spans="1:26">
      <c r="A129" s="5">
        <v>43132</v>
      </c>
      <c r="B129" s="4" t="s">
        <v>20</v>
      </c>
      <c r="C129" s="4" t="s">
        <v>10</v>
      </c>
      <c r="D129" s="4" t="s">
        <v>16</v>
      </c>
      <c r="E129" s="4" t="s">
        <v>13</v>
      </c>
      <c r="F129" s="4">
        <v>4675</v>
      </c>
      <c r="G129" s="4">
        <v>200</v>
      </c>
      <c r="H129" s="4">
        <v>539</v>
      </c>
      <c r="I129" s="6">
        <v>88217.306344743265</v>
      </c>
      <c r="J129" s="4"/>
      <c r="K129" s="4"/>
      <c r="L129" s="4"/>
      <c r="M129" s="4"/>
      <c r="N129" s="4"/>
      <c r="O129" s="4"/>
      <c r="P129" s="4"/>
      <c r="Q129" s="4"/>
      <c r="R129" s="4"/>
      <c r="S129" s="4"/>
      <c r="T129" s="4"/>
      <c r="U129" s="4"/>
      <c r="V129" s="4"/>
      <c r="W129" s="4"/>
      <c r="X129" s="4"/>
      <c r="Y129" s="4"/>
      <c r="Z129" s="4"/>
    </row>
    <row r="130" spans="1:26">
      <c r="A130" s="5">
        <v>43132</v>
      </c>
      <c r="B130" s="4" t="s">
        <v>20</v>
      </c>
      <c r="C130" s="4" t="s">
        <v>10</v>
      </c>
      <c r="D130" s="4" t="s">
        <v>17</v>
      </c>
      <c r="E130" s="4" t="s">
        <v>12</v>
      </c>
      <c r="F130" s="4">
        <v>3053073</v>
      </c>
      <c r="G130" s="4">
        <v>10025</v>
      </c>
      <c r="H130" s="4">
        <v>10636</v>
      </c>
      <c r="I130" s="6">
        <v>1618.6200926410838</v>
      </c>
      <c r="J130" s="4"/>
      <c r="K130" s="4"/>
      <c r="L130" s="4"/>
      <c r="M130" s="4"/>
      <c r="N130" s="4"/>
      <c r="O130" s="4"/>
      <c r="P130" s="4"/>
      <c r="Q130" s="4"/>
      <c r="R130" s="4"/>
      <c r="S130" s="4"/>
      <c r="T130" s="4"/>
      <c r="U130" s="4"/>
      <c r="V130" s="4"/>
      <c r="W130" s="4"/>
      <c r="X130" s="4"/>
      <c r="Y130" s="4"/>
      <c r="Z130" s="4"/>
    </row>
    <row r="131" spans="1:26">
      <c r="A131" s="5">
        <v>43132</v>
      </c>
      <c r="B131" s="4" t="s">
        <v>20</v>
      </c>
      <c r="C131" s="4" t="s">
        <v>10</v>
      </c>
      <c r="D131" s="4" t="s">
        <v>17</v>
      </c>
      <c r="E131" s="4" t="s">
        <v>13</v>
      </c>
      <c r="F131" s="4">
        <v>1579</v>
      </c>
      <c r="G131" s="4">
        <v>59</v>
      </c>
      <c r="H131" s="4">
        <v>186</v>
      </c>
      <c r="I131" s="6">
        <v>28285.583999999999</v>
      </c>
      <c r="J131" s="4"/>
      <c r="K131" s="4"/>
      <c r="L131" s="4"/>
      <c r="M131" s="4"/>
      <c r="N131" s="4"/>
      <c r="O131" s="4"/>
      <c r="P131" s="4"/>
      <c r="Q131" s="4"/>
      <c r="R131" s="4"/>
      <c r="S131" s="4"/>
      <c r="T131" s="4"/>
      <c r="U131" s="4"/>
      <c r="V131" s="4"/>
      <c r="W131" s="4"/>
      <c r="X131" s="4"/>
      <c r="Y131" s="4"/>
      <c r="Z131" s="4"/>
    </row>
    <row r="132" spans="1:26">
      <c r="A132" s="5">
        <v>43132</v>
      </c>
      <c r="B132" s="4" t="s">
        <v>20</v>
      </c>
      <c r="C132" s="4" t="s">
        <v>18</v>
      </c>
      <c r="D132" s="4" t="s">
        <v>11</v>
      </c>
      <c r="E132" s="4" t="s">
        <v>12</v>
      </c>
      <c r="F132" s="4">
        <v>2213425</v>
      </c>
      <c r="G132" s="4">
        <v>13143</v>
      </c>
      <c r="H132" s="4">
        <v>25327</v>
      </c>
      <c r="I132" s="6">
        <v>7791.0245004198168</v>
      </c>
      <c r="J132" s="4"/>
      <c r="K132" s="4"/>
      <c r="L132" s="4"/>
      <c r="M132" s="4"/>
      <c r="N132" s="4"/>
      <c r="O132" s="4"/>
      <c r="P132" s="4"/>
      <c r="Q132" s="4"/>
      <c r="R132" s="4"/>
      <c r="S132" s="4"/>
      <c r="T132" s="4"/>
      <c r="U132" s="4"/>
      <c r="V132" s="4"/>
      <c r="W132" s="4"/>
      <c r="X132" s="4"/>
      <c r="Y132" s="4"/>
      <c r="Z132" s="4"/>
    </row>
    <row r="133" spans="1:26">
      <c r="A133" s="5">
        <v>43132</v>
      </c>
      <c r="B133" s="4" t="s">
        <v>20</v>
      </c>
      <c r="C133" s="4" t="s">
        <v>18</v>
      </c>
      <c r="D133" s="4" t="s">
        <v>11</v>
      </c>
      <c r="E133" s="4" t="s">
        <v>13</v>
      </c>
      <c r="F133" s="4">
        <v>1138</v>
      </c>
      <c r="G133" s="4">
        <v>9</v>
      </c>
      <c r="H133" s="4">
        <v>15</v>
      </c>
      <c r="I133" s="6">
        <v>78.279000000000011</v>
      </c>
      <c r="J133" s="4"/>
      <c r="K133" s="4"/>
      <c r="L133" s="4"/>
      <c r="M133" s="4"/>
      <c r="N133" s="4"/>
      <c r="O133" s="4"/>
      <c r="P133" s="4"/>
      <c r="Q133" s="4"/>
      <c r="R133" s="4"/>
      <c r="S133" s="4"/>
      <c r="T133" s="4"/>
      <c r="U133" s="4"/>
      <c r="V133" s="4"/>
      <c r="W133" s="4"/>
      <c r="X133" s="4"/>
      <c r="Y133" s="4"/>
      <c r="Z133" s="4"/>
    </row>
    <row r="134" spans="1:26">
      <c r="A134" s="5">
        <v>43132</v>
      </c>
      <c r="B134" s="4" t="s">
        <v>20</v>
      </c>
      <c r="C134" s="4" t="s">
        <v>18</v>
      </c>
      <c r="D134" s="4" t="s">
        <v>14</v>
      </c>
      <c r="E134" s="4" t="s">
        <v>12</v>
      </c>
      <c r="F134" s="4">
        <v>4193229</v>
      </c>
      <c r="G134" s="4">
        <v>25941</v>
      </c>
      <c r="H134" s="4">
        <v>48497</v>
      </c>
      <c r="I134" s="6">
        <v>9897.9515354464402</v>
      </c>
      <c r="J134" s="4"/>
      <c r="K134" s="4"/>
      <c r="L134" s="4"/>
      <c r="M134" s="4"/>
      <c r="N134" s="4"/>
      <c r="O134" s="4"/>
      <c r="P134" s="4"/>
      <c r="Q134" s="4"/>
      <c r="R134" s="4"/>
      <c r="S134" s="4"/>
      <c r="T134" s="4"/>
      <c r="U134" s="4"/>
      <c r="V134" s="4"/>
      <c r="W134" s="4"/>
      <c r="X134" s="4"/>
      <c r="Y134" s="4"/>
      <c r="Z134" s="4"/>
    </row>
    <row r="135" spans="1:26">
      <c r="A135" s="5">
        <v>43132</v>
      </c>
      <c r="B135" s="4" t="s">
        <v>20</v>
      </c>
      <c r="C135" s="4" t="s">
        <v>18</v>
      </c>
      <c r="D135" s="4" t="s">
        <v>14</v>
      </c>
      <c r="E135" s="4" t="s">
        <v>13</v>
      </c>
      <c r="F135" s="4">
        <v>2181</v>
      </c>
      <c r="G135" s="4">
        <v>21</v>
      </c>
      <c r="H135" s="4">
        <v>121</v>
      </c>
      <c r="I135" s="6">
        <v>203.41501</v>
      </c>
      <c r="J135" s="4"/>
      <c r="K135" s="4"/>
      <c r="L135" s="4"/>
      <c r="M135" s="4"/>
      <c r="N135" s="4"/>
      <c r="O135" s="4"/>
      <c r="P135" s="4"/>
      <c r="Q135" s="4"/>
      <c r="R135" s="4"/>
      <c r="S135" s="4"/>
      <c r="T135" s="4"/>
      <c r="U135" s="4"/>
      <c r="V135" s="4"/>
      <c r="W135" s="4"/>
      <c r="X135" s="4"/>
      <c r="Y135" s="4"/>
      <c r="Z135" s="4"/>
    </row>
    <row r="136" spans="1:26">
      <c r="A136" s="5">
        <v>43132</v>
      </c>
      <c r="B136" s="4" t="s">
        <v>20</v>
      </c>
      <c r="C136" s="4" t="s">
        <v>18</v>
      </c>
      <c r="D136" s="4" t="s">
        <v>15</v>
      </c>
      <c r="E136" s="4" t="s">
        <v>12</v>
      </c>
      <c r="F136" s="4">
        <v>1323593</v>
      </c>
      <c r="G136" s="4">
        <v>8977</v>
      </c>
      <c r="H136" s="4">
        <v>16851</v>
      </c>
      <c r="I136" s="6">
        <v>2747.1402934592375</v>
      </c>
      <c r="J136" s="4"/>
      <c r="K136" s="4"/>
      <c r="L136" s="4"/>
      <c r="M136" s="4"/>
      <c r="N136" s="4"/>
      <c r="O136" s="4"/>
      <c r="P136" s="4"/>
      <c r="Q136" s="4"/>
      <c r="R136" s="4"/>
      <c r="S136" s="4"/>
      <c r="T136" s="4"/>
      <c r="U136" s="4"/>
      <c r="V136" s="4"/>
      <c r="W136" s="4"/>
      <c r="X136" s="4"/>
      <c r="Y136" s="4"/>
      <c r="Z136" s="4"/>
    </row>
    <row r="137" spans="1:26">
      <c r="A137" s="5">
        <v>43132</v>
      </c>
      <c r="B137" s="4" t="s">
        <v>20</v>
      </c>
      <c r="C137" s="4" t="s">
        <v>18</v>
      </c>
      <c r="D137" s="4" t="s">
        <v>15</v>
      </c>
      <c r="E137" s="4" t="s">
        <v>13</v>
      </c>
      <c r="F137" s="4">
        <v>454</v>
      </c>
      <c r="G137" s="4">
        <v>0</v>
      </c>
      <c r="H137" s="4">
        <v>0</v>
      </c>
      <c r="I137" s="6">
        <v>0</v>
      </c>
      <c r="J137" s="4"/>
      <c r="K137" s="4"/>
      <c r="L137" s="4"/>
      <c r="M137" s="4"/>
      <c r="N137" s="4"/>
      <c r="O137" s="4"/>
      <c r="P137" s="4"/>
      <c r="Q137" s="4"/>
      <c r="R137" s="4"/>
      <c r="S137" s="4"/>
      <c r="T137" s="4"/>
      <c r="U137" s="4"/>
      <c r="V137" s="4"/>
      <c r="W137" s="4"/>
      <c r="X137" s="4"/>
      <c r="Y137" s="4"/>
      <c r="Z137" s="4"/>
    </row>
    <row r="138" spans="1:26">
      <c r="A138" s="5">
        <v>43132</v>
      </c>
      <c r="B138" s="4" t="s">
        <v>20</v>
      </c>
      <c r="C138" s="4" t="s">
        <v>18</v>
      </c>
      <c r="D138" s="4" t="s">
        <v>16</v>
      </c>
      <c r="E138" s="4" t="s">
        <v>12</v>
      </c>
      <c r="F138" s="4">
        <v>19465580</v>
      </c>
      <c r="G138" s="4">
        <v>64225</v>
      </c>
      <c r="H138" s="4">
        <v>119624</v>
      </c>
      <c r="I138" s="6">
        <v>39472.062290570429</v>
      </c>
      <c r="J138" s="4"/>
      <c r="K138" s="4"/>
      <c r="L138" s="4"/>
      <c r="M138" s="4"/>
      <c r="N138" s="4"/>
      <c r="O138" s="4"/>
      <c r="P138" s="4"/>
      <c r="Q138" s="4"/>
      <c r="R138" s="4"/>
      <c r="S138" s="4"/>
      <c r="T138" s="4"/>
      <c r="U138" s="4"/>
      <c r="V138" s="4"/>
      <c r="W138" s="4"/>
      <c r="X138" s="4"/>
      <c r="Y138" s="4"/>
      <c r="Z138" s="4"/>
    </row>
    <row r="139" spans="1:26">
      <c r="A139" s="5">
        <v>43132</v>
      </c>
      <c r="B139" s="4" t="s">
        <v>20</v>
      </c>
      <c r="C139" s="4" t="s">
        <v>18</v>
      </c>
      <c r="D139" s="4" t="s">
        <v>16</v>
      </c>
      <c r="E139" s="4" t="s">
        <v>13</v>
      </c>
      <c r="F139" s="4">
        <v>23846</v>
      </c>
      <c r="G139" s="4">
        <v>74</v>
      </c>
      <c r="H139" s="4">
        <v>807</v>
      </c>
      <c r="I139" s="6">
        <v>1081.3613482280432</v>
      </c>
      <c r="J139" s="4"/>
      <c r="K139" s="4"/>
      <c r="L139" s="4"/>
      <c r="M139" s="4"/>
      <c r="N139" s="4"/>
      <c r="O139" s="4"/>
      <c r="P139" s="4"/>
      <c r="Q139" s="4"/>
      <c r="R139" s="4"/>
      <c r="S139" s="4"/>
      <c r="T139" s="4"/>
      <c r="U139" s="4"/>
      <c r="V139" s="4"/>
      <c r="W139" s="4"/>
      <c r="X139" s="4"/>
      <c r="Y139" s="4"/>
      <c r="Z139" s="4"/>
    </row>
    <row r="140" spans="1:26">
      <c r="A140" s="5">
        <v>43132</v>
      </c>
      <c r="B140" s="4" t="s">
        <v>20</v>
      </c>
      <c r="C140" s="4" t="s">
        <v>18</v>
      </c>
      <c r="D140" s="4" t="s">
        <v>17</v>
      </c>
      <c r="E140" s="4" t="s">
        <v>12</v>
      </c>
      <c r="F140" s="4">
        <v>3429647</v>
      </c>
      <c r="G140" s="4">
        <v>21679</v>
      </c>
      <c r="H140" s="4">
        <v>38083</v>
      </c>
      <c r="I140" s="6">
        <v>12980.918842258901</v>
      </c>
      <c r="J140" s="4"/>
      <c r="K140" s="4"/>
      <c r="L140" s="4"/>
      <c r="M140" s="4"/>
      <c r="N140" s="4"/>
      <c r="O140" s="4"/>
      <c r="P140" s="4"/>
      <c r="Q140" s="4"/>
      <c r="R140" s="4"/>
      <c r="S140" s="4"/>
      <c r="T140" s="4"/>
      <c r="U140" s="4"/>
      <c r="V140" s="4"/>
      <c r="W140" s="4"/>
      <c r="X140" s="4"/>
      <c r="Y140" s="4"/>
      <c r="Z140" s="4"/>
    </row>
    <row r="141" spans="1:26">
      <c r="A141" s="5">
        <v>43132</v>
      </c>
      <c r="B141" s="4" t="s">
        <v>20</v>
      </c>
      <c r="C141" s="4" t="s">
        <v>18</v>
      </c>
      <c r="D141" s="4" t="s">
        <v>17</v>
      </c>
      <c r="E141" s="4" t="s">
        <v>13</v>
      </c>
      <c r="F141" s="4">
        <v>1378</v>
      </c>
      <c r="G141" s="4">
        <v>13</v>
      </c>
      <c r="H141" s="4">
        <v>72</v>
      </c>
      <c r="I141" s="6">
        <v>44.980434782608697</v>
      </c>
      <c r="J141" s="4"/>
      <c r="K141" s="4"/>
      <c r="L141" s="4"/>
      <c r="M141" s="4"/>
      <c r="N141" s="4"/>
      <c r="O141" s="4"/>
      <c r="P141" s="4"/>
      <c r="Q141" s="4"/>
      <c r="R141" s="4"/>
      <c r="S141" s="4"/>
      <c r="T141" s="4"/>
      <c r="U141" s="4"/>
      <c r="V141" s="4"/>
      <c r="W141" s="4"/>
      <c r="X141" s="4"/>
      <c r="Y141" s="4"/>
      <c r="Z141" s="4"/>
    </row>
    <row r="142" spans="1:26">
      <c r="A142" s="5">
        <v>43132</v>
      </c>
      <c r="B142" s="4" t="s">
        <v>20</v>
      </c>
      <c r="C142" s="4" t="s">
        <v>19</v>
      </c>
      <c r="D142" s="4" t="s">
        <v>11</v>
      </c>
      <c r="E142" s="4" t="s">
        <v>12</v>
      </c>
      <c r="F142" s="4">
        <v>677137</v>
      </c>
      <c r="G142" s="4">
        <v>2068</v>
      </c>
      <c r="H142" s="4">
        <v>2224</v>
      </c>
      <c r="I142" s="6">
        <v>7787.9299323909036</v>
      </c>
      <c r="J142" s="4"/>
      <c r="K142" s="4"/>
      <c r="L142" s="4"/>
      <c r="M142" s="4"/>
      <c r="N142" s="4"/>
      <c r="O142" s="4"/>
      <c r="P142" s="4"/>
      <c r="Q142" s="4"/>
      <c r="R142" s="4"/>
      <c r="S142" s="4"/>
      <c r="T142" s="4"/>
      <c r="U142" s="4"/>
      <c r="V142" s="4"/>
      <c r="W142" s="4"/>
      <c r="X142" s="4"/>
      <c r="Y142" s="4"/>
      <c r="Z142" s="4"/>
    </row>
    <row r="143" spans="1:26">
      <c r="A143" s="5">
        <v>43132</v>
      </c>
      <c r="B143" s="4" t="s">
        <v>20</v>
      </c>
      <c r="C143" s="4" t="s">
        <v>19</v>
      </c>
      <c r="D143" s="4" t="s">
        <v>11</v>
      </c>
      <c r="E143" s="4" t="s">
        <v>13</v>
      </c>
      <c r="F143" s="4">
        <v>917</v>
      </c>
      <c r="G143" s="4">
        <v>32</v>
      </c>
      <c r="H143" s="4">
        <v>188</v>
      </c>
      <c r="I143" s="6">
        <v>885.55273809523817</v>
      </c>
      <c r="J143" s="4"/>
      <c r="K143" s="4"/>
      <c r="L143" s="4"/>
      <c r="M143" s="4"/>
      <c r="N143" s="4"/>
      <c r="O143" s="4"/>
      <c r="P143" s="4"/>
      <c r="Q143" s="4"/>
      <c r="R143" s="4"/>
      <c r="S143" s="4"/>
      <c r="T143" s="4"/>
      <c r="U143" s="4"/>
      <c r="V143" s="4"/>
      <c r="W143" s="4"/>
      <c r="X143" s="4"/>
      <c r="Y143" s="4"/>
      <c r="Z143" s="4"/>
    </row>
    <row r="144" spans="1:26">
      <c r="A144" s="5">
        <v>43132</v>
      </c>
      <c r="B144" s="4" t="s">
        <v>20</v>
      </c>
      <c r="C144" s="4" t="s">
        <v>19</v>
      </c>
      <c r="D144" s="4" t="s">
        <v>14</v>
      </c>
      <c r="E144" s="4" t="s">
        <v>12</v>
      </c>
      <c r="F144" s="4">
        <v>1593252</v>
      </c>
      <c r="G144" s="4">
        <v>5323</v>
      </c>
      <c r="H144" s="4">
        <v>5377</v>
      </c>
      <c r="I144" s="6">
        <v>16525.685641646491</v>
      </c>
      <c r="J144" s="4"/>
      <c r="K144" s="4"/>
      <c r="L144" s="4"/>
      <c r="M144" s="4"/>
      <c r="N144" s="4"/>
      <c r="O144" s="4"/>
      <c r="P144" s="4"/>
      <c r="Q144" s="4"/>
      <c r="R144" s="4"/>
      <c r="S144" s="4"/>
      <c r="T144" s="4"/>
      <c r="U144" s="4"/>
      <c r="V144" s="4"/>
      <c r="W144" s="4"/>
      <c r="X144" s="4"/>
      <c r="Y144" s="4"/>
      <c r="Z144" s="4"/>
    </row>
    <row r="145" spans="1:26">
      <c r="A145" s="5">
        <v>43132</v>
      </c>
      <c r="B145" s="4" t="s">
        <v>20</v>
      </c>
      <c r="C145" s="4" t="s">
        <v>19</v>
      </c>
      <c r="D145" s="4" t="s">
        <v>14</v>
      </c>
      <c r="E145" s="4" t="s">
        <v>13</v>
      </c>
      <c r="F145" s="4">
        <v>2402</v>
      </c>
      <c r="G145" s="4">
        <v>94</v>
      </c>
      <c r="H145" s="4">
        <v>389</v>
      </c>
      <c r="I145" s="6">
        <v>1837.7373151125398</v>
      </c>
      <c r="J145" s="4"/>
      <c r="K145" s="4"/>
      <c r="L145" s="4"/>
      <c r="M145" s="4"/>
      <c r="N145" s="4"/>
      <c r="O145" s="4"/>
      <c r="P145" s="4"/>
      <c r="Q145" s="4"/>
      <c r="R145" s="4"/>
      <c r="S145" s="4"/>
      <c r="T145" s="4"/>
      <c r="U145" s="4"/>
      <c r="V145" s="4"/>
      <c r="W145" s="4"/>
      <c r="X145" s="4"/>
      <c r="Y145" s="4"/>
      <c r="Z145" s="4"/>
    </row>
    <row r="146" spans="1:26">
      <c r="A146" s="5">
        <v>43132</v>
      </c>
      <c r="B146" s="4" t="s">
        <v>20</v>
      </c>
      <c r="C146" s="4" t="s">
        <v>19</v>
      </c>
      <c r="D146" s="4" t="s">
        <v>15</v>
      </c>
      <c r="E146" s="4" t="s">
        <v>12</v>
      </c>
      <c r="F146" s="4">
        <v>414210</v>
      </c>
      <c r="G146" s="4">
        <v>1443</v>
      </c>
      <c r="H146" s="4">
        <v>1462</v>
      </c>
      <c r="I146" s="6">
        <v>5300.7660354477612</v>
      </c>
      <c r="J146" s="4"/>
      <c r="K146" s="4"/>
      <c r="L146" s="4"/>
      <c r="M146" s="4"/>
      <c r="N146" s="4"/>
      <c r="O146" s="4"/>
      <c r="P146" s="4"/>
      <c r="Q146" s="4"/>
      <c r="R146" s="4"/>
      <c r="S146" s="4"/>
      <c r="T146" s="4"/>
      <c r="U146" s="4"/>
      <c r="V146" s="4"/>
      <c r="W146" s="4"/>
      <c r="X146" s="4"/>
      <c r="Y146" s="4"/>
      <c r="Z146" s="4"/>
    </row>
    <row r="147" spans="1:26">
      <c r="A147" s="5">
        <v>43132</v>
      </c>
      <c r="B147" s="4" t="s">
        <v>20</v>
      </c>
      <c r="C147" s="4" t="s">
        <v>19</v>
      </c>
      <c r="D147" s="4" t="s">
        <v>15</v>
      </c>
      <c r="E147" s="4" t="s">
        <v>13</v>
      </c>
      <c r="F147" s="4">
        <v>413</v>
      </c>
      <c r="G147" s="4">
        <v>8</v>
      </c>
      <c r="H147" s="4">
        <v>81</v>
      </c>
      <c r="I147" s="6">
        <v>111.67768421052632</v>
      </c>
      <c r="J147" s="4"/>
      <c r="K147" s="4"/>
      <c r="L147" s="4"/>
      <c r="M147" s="4"/>
      <c r="N147" s="4"/>
      <c r="O147" s="4"/>
      <c r="P147" s="4"/>
      <c r="Q147" s="4"/>
      <c r="R147" s="4"/>
      <c r="S147" s="4"/>
      <c r="T147" s="4"/>
      <c r="U147" s="4"/>
      <c r="V147" s="4"/>
      <c r="W147" s="4"/>
      <c r="X147" s="4"/>
      <c r="Y147" s="4"/>
      <c r="Z147" s="4"/>
    </row>
    <row r="148" spans="1:26">
      <c r="A148" s="5">
        <v>43132</v>
      </c>
      <c r="B148" s="4" t="s">
        <v>20</v>
      </c>
      <c r="C148" s="4" t="s">
        <v>19</v>
      </c>
      <c r="D148" s="4" t="s">
        <v>16</v>
      </c>
      <c r="E148" s="4" t="s">
        <v>12</v>
      </c>
      <c r="F148" s="4">
        <v>3720005</v>
      </c>
      <c r="G148" s="4">
        <v>10430</v>
      </c>
      <c r="H148" s="4">
        <v>10694</v>
      </c>
      <c r="I148" s="6">
        <v>49653.417112066199</v>
      </c>
      <c r="J148" s="4"/>
      <c r="K148" s="4"/>
      <c r="L148" s="4"/>
      <c r="M148" s="4"/>
      <c r="N148" s="4"/>
      <c r="O148" s="4"/>
      <c r="P148" s="4"/>
      <c r="Q148" s="4"/>
      <c r="R148" s="4"/>
      <c r="S148" s="4"/>
      <c r="T148" s="4"/>
      <c r="U148" s="4"/>
      <c r="V148" s="4"/>
      <c r="W148" s="4"/>
      <c r="X148" s="4"/>
      <c r="Y148" s="4"/>
      <c r="Z148" s="4"/>
    </row>
    <row r="149" spans="1:26">
      <c r="A149" s="5">
        <v>43132</v>
      </c>
      <c r="B149" s="4" t="s">
        <v>20</v>
      </c>
      <c r="C149" s="4" t="s">
        <v>19</v>
      </c>
      <c r="D149" s="4" t="s">
        <v>16</v>
      </c>
      <c r="E149" s="4" t="s">
        <v>13</v>
      </c>
      <c r="F149" s="4">
        <v>3693</v>
      </c>
      <c r="G149" s="4">
        <v>148</v>
      </c>
      <c r="H149" s="4">
        <v>758</v>
      </c>
      <c r="I149" s="6">
        <v>4579.0591958939258</v>
      </c>
      <c r="J149" s="4"/>
      <c r="K149" s="4"/>
      <c r="L149" s="4"/>
      <c r="M149" s="4"/>
      <c r="N149" s="4"/>
      <c r="O149" s="4"/>
      <c r="P149" s="4"/>
      <c r="Q149" s="4"/>
      <c r="R149" s="4"/>
      <c r="S149" s="4"/>
      <c r="T149" s="4"/>
      <c r="U149" s="4"/>
      <c r="V149" s="4"/>
      <c r="W149" s="4"/>
      <c r="X149" s="4"/>
      <c r="Y149" s="4"/>
      <c r="Z149" s="4"/>
    </row>
    <row r="150" spans="1:26">
      <c r="A150" s="5">
        <v>43132</v>
      </c>
      <c r="B150" s="4" t="s">
        <v>20</v>
      </c>
      <c r="C150" s="4" t="s">
        <v>19</v>
      </c>
      <c r="D150" s="4" t="s">
        <v>17</v>
      </c>
      <c r="E150" s="4" t="s">
        <v>12</v>
      </c>
      <c r="F150" s="4">
        <v>1137196</v>
      </c>
      <c r="G150" s="4">
        <v>3696</v>
      </c>
      <c r="H150" s="4">
        <v>3731</v>
      </c>
      <c r="I150" s="6">
        <v>14766.933732795009</v>
      </c>
      <c r="J150" s="4"/>
      <c r="K150" s="4"/>
      <c r="L150" s="4"/>
      <c r="M150" s="4"/>
      <c r="N150" s="4"/>
      <c r="O150" s="4"/>
      <c r="P150" s="4"/>
      <c r="Q150" s="4"/>
      <c r="R150" s="4"/>
      <c r="S150" s="4"/>
      <c r="T150" s="4"/>
      <c r="U150" s="4"/>
      <c r="V150" s="4"/>
      <c r="W150" s="4"/>
      <c r="X150" s="4"/>
      <c r="Y150" s="4"/>
      <c r="Z150" s="4"/>
    </row>
    <row r="151" spans="1:26">
      <c r="A151" s="5">
        <v>43132</v>
      </c>
      <c r="B151" s="4" t="s">
        <v>20</v>
      </c>
      <c r="C151" s="4" t="s">
        <v>19</v>
      </c>
      <c r="D151" s="4" t="s">
        <v>17</v>
      </c>
      <c r="E151" s="4" t="s">
        <v>13</v>
      </c>
      <c r="F151" s="4">
        <v>1319</v>
      </c>
      <c r="G151" s="4">
        <v>41</v>
      </c>
      <c r="H151" s="4">
        <v>484</v>
      </c>
      <c r="I151" s="6">
        <v>1053.1816924910609</v>
      </c>
      <c r="J151" s="4"/>
      <c r="K151" s="4"/>
      <c r="L151" s="4"/>
      <c r="M151" s="4"/>
      <c r="N151" s="4"/>
      <c r="O151" s="4"/>
      <c r="P151" s="4"/>
      <c r="Q151" s="4"/>
      <c r="R151" s="4"/>
      <c r="S151" s="4"/>
      <c r="T151" s="4"/>
      <c r="U151" s="4"/>
      <c r="V151" s="4"/>
      <c r="W151" s="4"/>
      <c r="X151" s="4"/>
      <c r="Y151" s="4"/>
      <c r="Z151" s="4"/>
    </row>
    <row r="152" spans="1:26">
      <c r="A152" s="5">
        <v>43132</v>
      </c>
      <c r="B152" s="4" t="s">
        <v>21</v>
      </c>
      <c r="C152" s="4" t="s">
        <v>10</v>
      </c>
      <c r="D152" s="4" t="s">
        <v>11</v>
      </c>
      <c r="E152" s="4" t="s">
        <v>12</v>
      </c>
      <c r="F152" s="4">
        <v>1185829</v>
      </c>
      <c r="G152" s="4">
        <v>9792</v>
      </c>
      <c r="H152" s="4">
        <v>12284</v>
      </c>
      <c r="I152" s="6">
        <v>18279.052324137159</v>
      </c>
      <c r="J152" s="4"/>
      <c r="K152" s="4"/>
      <c r="L152" s="4"/>
      <c r="M152" s="4"/>
      <c r="N152" s="4"/>
      <c r="O152" s="4"/>
      <c r="P152" s="4"/>
      <c r="Q152" s="4"/>
      <c r="R152" s="4"/>
      <c r="S152" s="4"/>
      <c r="T152" s="4"/>
      <c r="U152" s="4"/>
      <c r="V152" s="4"/>
      <c r="W152" s="4"/>
      <c r="X152" s="4"/>
      <c r="Y152" s="4"/>
      <c r="Z152" s="4"/>
    </row>
    <row r="153" spans="1:26">
      <c r="A153" s="5">
        <v>43132</v>
      </c>
      <c r="B153" s="4" t="s">
        <v>21</v>
      </c>
      <c r="C153" s="4" t="s">
        <v>10</v>
      </c>
      <c r="D153" s="4" t="s">
        <v>11</v>
      </c>
      <c r="E153" s="4" t="s">
        <v>13</v>
      </c>
      <c r="F153" s="4">
        <v>14240</v>
      </c>
      <c r="G153" s="4">
        <v>846</v>
      </c>
      <c r="H153" s="4">
        <v>14236</v>
      </c>
      <c r="I153" s="6">
        <v>78710.214281073859</v>
      </c>
      <c r="J153" s="4"/>
      <c r="K153" s="4"/>
      <c r="L153" s="4"/>
      <c r="M153" s="4"/>
      <c r="N153" s="4"/>
      <c r="O153" s="4"/>
      <c r="P153" s="4"/>
      <c r="Q153" s="4"/>
      <c r="R153" s="4"/>
      <c r="S153" s="4"/>
      <c r="T153" s="4"/>
      <c r="U153" s="4"/>
      <c r="V153" s="4"/>
      <c r="W153" s="4"/>
      <c r="X153" s="4"/>
      <c r="Y153" s="4"/>
      <c r="Z153" s="4"/>
    </row>
    <row r="154" spans="1:26">
      <c r="A154" s="5">
        <v>43132</v>
      </c>
      <c r="B154" s="4" t="s">
        <v>21</v>
      </c>
      <c r="C154" s="4" t="s">
        <v>10</v>
      </c>
      <c r="D154" s="4" t="s">
        <v>14</v>
      </c>
      <c r="E154" s="4" t="s">
        <v>12</v>
      </c>
      <c r="F154" s="4">
        <v>1822418</v>
      </c>
      <c r="G154" s="4">
        <v>11385</v>
      </c>
      <c r="H154" s="4">
        <v>12974</v>
      </c>
      <c r="I154" s="6">
        <v>27568.748411590524</v>
      </c>
      <c r="J154" s="4"/>
      <c r="K154" s="4"/>
      <c r="L154" s="4"/>
      <c r="M154" s="4"/>
      <c r="N154" s="4"/>
      <c r="O154" s="4"/>
      <c r="P154" s="4"/>
      <c r="Q154" s="4"/>
      <c r="R154" s="4"/>
      <c r="S154" s="4"/>
      <c r="T154" s="4"/>
      <c r="U154" s="4"/>
      <c r="V154" s="4"/>
      <c r="W154" s="4"/>
      <c r="X154" s="4"/>
      <c r="Y154" s="4"/>
      <c r="Z154" s="4"/>
    </row>
    <row r="155" spans="1:26">
      <c r="A155" s="5">
        <v>43132</v>
      </c>
      <c r="B155" s="4" t="s">
        <v>21</v>
      </c>
      <c r="C155" s="4" t="s">
        <v>10</v>
      </c>
      <c r="D155" s="4" t="s">
        <v>14</v>
      </c>
      <c r="E155" s="4" t="s">
        <v>13</v>
      </c>
      <c r="F155" s="4">
        <v>17235</v>
      </c>
      <c r="G155" s="4">
        <v>1113</v>
      </c>
      <c r="H155" s="4">
        <v>15297</v>
      </c>
      <c r="I155" s="6">
        <v>93210.59185679935</v>
      </c>
      <c r="J155" s="4"/>
      <c r="K155" s="4"/>
      <c r="L155" s="4"/>
      <c r="M155" s="4"/>
      <c r="N155" s="4"/>
      <c r="O155" s="4"/>
      <c r="P155" s="4"/>
      <c r="Q155" s="4"/>
      <c r="R155" s="4"/>
      <c r="S155" s="4"/>
      <c r="T155" s="4"/>
      <c r="U155" s="4"/>
      <c r="V155" s="4"/>
      <c r="W155" s="4"/>
      <c r="X155" s="4"/>
      <c r="Y155" s="4"/>
      <c r="Z155" s="4"/>
    </row>
    <row r="156" spans="1:26">
      <c r="A156" s="5">
        <v>43132</v>
      </c>
      <c r="B156" s="4" t="s">
        <v>21</v>
      </c>
      <c r="C156" s="4" t="s">
        <v>10</v>
      </c>
      <c r="D156" s="4" t="s">
        <v>15</v>
      </c>
      <c r="E156" s="4" t="s">
        <v>12</v>
      </c>
      <c r="F156" s="4">
        <v>484025</v>
      </c>
      <c r="G156" s="4">
        <v>3139</v>
      </c>
      <c r="H156" s="4">
        <v>3684</v>
      </c>
      <c r="I156" s="6">
        <v>6783.0914158305459</v>
      </c>
      <c r="J156" s="4"/>
      <c r="K156" s="4"/>
      <c r="L156" s="4"/>
      <c r="M156" s="4"/>
      <c r="N156" s="4"/>
      <c r="O156" s="4"/>
      <c r="P156" s="4"/>
      <c r="Q156" s="4"/>
      <c r="R156" s="4"/>
      <c r="S156" s="4"/>
      <c r="T156" s="4"/>
      <c r="U156" s="4"/>
      <c r="V156" s="4"/>
      <c r="W156" s="4"/>
      <c r="X156" s="4"/>
      <c r="Y156" s="4"/>
      <c r="Z156" s="4"/>
    </row>
    <row r="157" spans="1:26">
      <c r="A157" s="5">
        <v>43132</v>
      </c>
      <c r="B157" s="4" t="s">
        <v>21</v>
      </c>
      <c r="C157" s="4" t="s">
        <v>10</v>
      </c>
      <c r="D157" s="4" t="s">
        <v>15</v>
      </c>
      <c r="E157" s="4" t="s">
        <v>13</v>
      </c>
      <c r="F157" s="4">
        <v>4232</v>
      </c>
      <c r="G157" s="4">
        <v>279</v>
      </c>
      <c r="H157" s="4">
        <v>3037</v>
      </c>
      <c r="I157" s="6">
        <v>22285.034569173429</v>
      </c>
      <c r="J157" s="4"/>
      <c r="K157" s="4"/>
      <c r="L157" s="4"/>
      <c r="M157" s="4"/>
      <c r="N157" s="4"/>
      <c r="O157" s="4"/>
      <c r="P157" s="4"/>
      <c r="Q157" s="4"/>
      <c r="R157" s="4"/>
      <c r="S157" s="4"/>
      <c r="T157" s="4"/>
      <c r="U157" s="4"/>
      <c r="V157" s="4"/>
      <c r="W157" s="4"/>
      <c r="X157" s="4"/>
      <c r="Y157" s="4"/>
      <c r="Z157" s="4"/>
    </row>
    <row r="158" spans="1:26">
      <c r="A158" s="5">
        <v>43132</v>
      </c>
      <c r="B158" s="4" t="s">
        <v>21</v>
      </c>
      <c r="C158" s="4" t="s">
        <v>10</v>
      </c>
      <c r="D158" s="4" t="s">
        <v>16</v>
      </c>
      <c r="E158" s="4" t="s">
        <v>12</v>
      </c>
      <c r="F158" s="4">
        <v>6172128</v>
      </c>
      <c r="G158" s="4">
        <v>51888</v>
      </c>
      <c r="H158" s="4">
        <v>57468</v>
      </c>
      <c r="I158" s="6">
        <v>141129.95791608442</v>
      </c>
      <c r="J158" s="4"/>
      <c r="K158" s="4"/>
      <c r="L158" s="4"/>
      <c r="M158" s="4"/>
      <c r="N158" s="4"/>
      <c r="O158" s="4"/>
      <c r="P158" s="4"/>
      <c r="Q158" s="4"/>
      <c r="R158" s="4"/>
      <c r="S158" s="4"/>
      <c r="T158" s="4"/>
      <c r="U158" s="4"/>
      <c r="V158" s="4"/>
      <c r="W158" s="4"/>
      <c r="X158" s="4"/>
      <c r="Y158" s="4"/>
      <c r="Z158" s="4"/>
    </row>
    <row r="159" spans="1:26">
      <c r="A159" s="5">
        <v>43132</v>
      </c>
      <c r="B159" s="4" t="s">
        <v>21</v>
      </c>
      <c r="C159" s="4" t="s">
        <v>10</v>
      </c>
      <c r="D159" s="4" t="s">
        <v>16</v>
      </c>
      <c r="E159" s="4" t="s">
        <v>13</v>
      </c>
      <c r="F159" s="4">
        <v>75777</v>
      </c>
      <c r="G159" s="4">
        <v>5475</v>
      </c>
      <c r="H159" s="4">
        <v>78878</v>
      </c>
      <c r="I159" s="6">
        <v>443595.79249324399</v>
      </c>
      <c r="J159" s="4"/>
      <c r="K159" s="4"/>
      <c r="L159" s="4"/>
      <c r="M159" s="4"/>
      <c r="N159" s="4"/>
      <c r="O159" s="4"/>
      <c r="P159" s="4"/>
      <c r="Q159" s="4"/>
      <c r="R159" s="4"/>
      <c r="S159" s="4"/>
      <c r="T159" s="4"/>
      <c r="U159" s="4"/>
      <c r="V159" s="4"/>
      <c r="W159" s="4"/>
      <c r="X159" s="4"/>
      <c r="Y159" s="4"/>
      <c r="Z159" s="4"/>
    </row>
    <row r="160" spans="1:26">
      <c r="A160" s="5">
        <v>43132</v>
      </c>
      <c r="B160" s="4" t="s">
        <v>21</v>
      </c>
      <c r="C160" s="4" t="s">
        <v>10</v>
      </c>
      <c r="D160" s="4" t="s">
        <v>17</v>
      </c>
      <c r="E160" s="4" t="s">
        <v>12</v>
      </c>
      <c r="F160" s="4">
        <v>2018886</v>
      </c>
      <c r="G160" s="4">
        <v>21539</v>
      </c>
      <c r="H160" s="4">
        <v>23515</v>
      </c>
      <c r="I160" s="6">
        <v>58178.500681373844</v>
      </c>
      <c r="J160" s="4"/>
      <c r="K160" s="4"/>
      <c r="L160" s="4"/>
      <c r="M160" s="4"/>
      <c r="N160" s="4"/>
      <c r="O160" s="4"/>
      <c r="P160" s="4"/>
      <c r="Q160" s="4"/>
      <c r="R160" s="4"/>
      <c r="S160" s="4"/>
      <c r="T160" s="4"/>
      <c r="U160" s="4"/>
      <c r="V160" s="4"/>
      <c r="W160" s="4"/>
      <c r="X160" s="4"/>
      <c r="Y160" s="4"/>
      <c r="Z160" s="4"/>
    </row>
    <row r="161" spans="1:26">
      <c r="A161" s="5">
        <v>43132</v>
      </c>
      <c r="B161" s="4" t="s">
        <v>21</v>
      </c>
      <c r="C161" s="4" t="s">
        <v>10</v>
      </c>
      <c r="D161" s="4" t="s">
        <v>17</v>
      </c>
      <c r="E161" s="4" t="s">
        <v>13</v>
      </c>
      <c r="F161" s="4">
        <v>28950</v>
      </c>
      <c r="G161" s="4">
        <v>2419</v>
      </c>
      <c r="H161" s="4">
        <v>34967</v>
      </c>
      <c r="I161" s="6">
        <v>191479.29199999999</v>
      </c>
      <c r="J161" s="4"/>
      <c r="K161" s="4"/>
      <c r="L161" s="4"/>
      <c r="M161" s="4"/>
      <c r="N161" s="4"/>
      <c r="O161" s="4"/>
      <c r="P161" s="4"/>
      <c r="Q161" s="4"/>
      <c r="R161" s="4"/>
      <c r="S161" s="4"/>
      <c r="T161" s="4"/>
      <c r="U161" s="4"/>
      <c r="V161" s="4"/>
      <c r="W161" s="4"/>
      <c r="X161" s="4"/>
      <c r="Y161" s="4"/>
      <c r="Z161" s="4"/>
    </row>
    <row r="162" spans="1:26">
      <c r="A162" s="5">
        <v>43132</v>
      </c>
      <c r="B162" s="4" t="s">
        <v>21</v>
      </c>
      <c r="C162" s="4" t="s">
        <v>18</v>
      </c>
      <c r="D162" s="4" t="s">
        <v>11</v>
      </c>
      <c r="E162" s="4" t="s">
        <v>12</v>
      </c>
      <c r="F162" s="4">
        <v>1386418</v>
      </c>
      <c r="G162" s="4">
        <v>25340</v>
      </c>
      <c r="H162" s="4">
        <v>110240</v>
      </c>
      <c r="I162" s="6">
        <v>58748.575486827045</v>
      </c>
      <c r="J162" s="4"/>
      <c r="K162" s="4"/>
      <c r="L162" s="4"/>
      <c r="M162" s="4"/>
      <c r="N162" s="4"/>
      <c r="O162" s="4"/>
      <c r="P162" s="4"/>
      <c r="Q162" s="4"/>
      <c r="R162" s="4"/>
      <c r="S162" s="4"/>
      <c r="T162" s="4"/>
      <c r="U162" s="4"/>
      <c r="V162" s="4"/>
      <c r="W162" s="4"/>
      <c r="X162" s="4"/>
      <c r="Y162" s="4"/>
      <c r="Z162" s="4"/>
    </row>
    <row r="163" spans="1:26">
      <c r="A163" s="5">
        <v>43132</v>
      </c>
      <c r="B163" s="4" t="s">
        <v>21</v>
      </c>
      <c r="C163" s="4" t="s">
        <v>18</v>
      </c>
      <c r="D163" s="4" t="s">
        <v>11</v>
      </c>
      <c r="E163" s="4" t="s">
        <v>13</v>
      </c>
      <c r="F163" s="4">
        <v>9778</v>
      </c>
      <c r="G163" s="4">
        <v>290</v>
      </c>
      <c r="H163" s="4">
        <v>12856</v>
      </c>
      <c r="I163" s="6">
        <v>10163.021788888313</v>
      </c>
      <c r="J163" s="4"/>
      <c r="K163" s="4"/>
      <c r="L163" s="4"/>
      <c r="M163" s="4"/>
      <c r="N163" s="4"/>
      <c r="O163" s="4"/>
      <c r="P163" s="4"/>
      <c r="Q163" s="4"/>
      <c r="R163" s="4"/>
      <c r="S163" s="4"/>
      <c r="T163" s="4"/>
      <c r="U163" s="4"/>
      <c r="V163" s="4"/>
      <c r="W163" s="4"/>
      <c r="X163" s="4"/>
      <c r="Y163" s="4"/>
      <c r="Z163" s="4"/>
    </row>
    <row r="164" spans="1:26">
      <c r="A164" s="5">
        <v>43132</v>
      </c>
      <c r="B164" s="4" t="s">
        <v>21</v>
      </c>
      <c r="C164" s="4" t="s">
        <v>18</v>
      </c>
      <c r="D164" s="4" t="s">
        <v>14</v>
      </c>
      <c r="E164" s="4" t="s">
        <v>12</v>
      </c>
      <c r="F164" s="4">
        <v>2176144</v>
      </c>
      <c r="G164" s="4">
        <v>36121</v>
      </c>
      <c r="H164" s="4">
        <v>135274</v>
      </c>
      <c r="I164" s="6">
        <v>64869.388804107919</v>
      </c>
      <c r="J164" s="4"/>
      <c r="K164" s="4"/>
      <c r="L164" s="4"/>
      <c r="M164" s="4"/>
      <c r="N164" s="4"/>
      <c r="O164" s="4"/>
      <c r="P164" s="4"/>
      <c r="Q164" s="4"/>
      <c r="R164" s="4"/>
      <c r="S164" s="4"/>
      <c r="T164" s="4"/>
      <c r="U164" s="4"/>
      <c r="V164" s="4"/>
      <c r="W164" s="4"/>
      <c r="X164" s="4"/>
      <c r="Y164" s="4"/>
      <c r="Z164" s="4"/>
    </row>
    <row r="165" spans="1:26">
      <c r="A165" s="5">
        <v>43132</v>
      </c>
      <c r="B165" s="4" t="s">
        <v>21</v>
      </c>
      <c r="C165" s="4" t="s">
        <v>18</v>
      </c>
      <c r="D165" s="4" t="s">
        <v>14</v>
      </c>
      <c r="E165" s="4" t="s">
        <v>13</v>
      </c>
      <c r="F165" s="4">
        <v>12714</v>
      </c>
      <c r="G165" s="4">
        <v>332</v>
      </c>
      <c r="H165" s="4">
        <v>7976</v>
      </c>
      <c r="I165" s="6">
        <v>10055.023350253807</v>
      </c>
      <c r="J165" s="4"/>
      <c r="K165" s="4"/>
      <c r="L165" s="4"/>
      <c r="M165" s="4"/>
      <c r="N165" s="4"/>
      <c r="O165" s="4"/>
      <c r="P165" s="4"/>
      <c r="Q165" s="4"/>
      <c r="R165" s="4"/>
      <c r="S165" s="4"/>
      <c r="T165" s="4"/>
      <c r="U165" s="4"/>
      <c r="V165" s="4"/>
      <c r="W165" s="4"/>
      <c r="X165" s="4"/>
      <c r="Y165" s="4"/>
      <c r="Z165" s="4"/>
    </row>
    <row r="166" spans="1:26">
      <c r="A166" s="5">
        <v>43132</v>
      </c>
      <c r="B166" s="4" t="s">
        <v>21</v>
      </c>
      <c r="C166" s="4" t="s">
        <v>18</v>
      </c>
      <c r="D166" s="4" t="s">
        <v>15</v>
      </c>
      <c r="E166" s="4" t="s">
        <v>12</v>
      </c>
      <c r="F166" s="4">
        <v>751675</v>
      </c>
      <c r="G166" s="4">
        <v>11325</v>
      </c>
      <c r="H166" s="4">
        <v>54101</v>
      </c>
      <c r="I166" s="6">
        <v>17239.091884945537</v>
      </c>
      <c r="J166" s="4"/>
      <c r="K166" s="4"/>
      <c r="L166" s="4"/>
      <c r="M166" s="4"/>
      <c r="N166" s="4"/>
      <c r="O166" s="4"/>
      <c r="P166" s="4"/>
      <c r="Q166" s="4"/>
      <c r="R166" s="4"/>
      <c r="S166" s="4"/>
      <c r="T166" s="4"/>
      <c r="U166" s="4"/>
      <c r="V166" s="4"/>
      <c r="W166" s="4"/>
      <c r="X166" s="4"/>
      <c r="Y166" s="4"/>
      <c r="Z166" s="4"/>
    </row>
    <row r="167" spans="1:26">
      <c r="A167" s="5">
        <v>43132</v>
      </c>
      <c r="B167" s="4" t="s">
        <v>21</v>
      </c>
      <c r="C167" s="4" t="s">
        <v>18</v>
      </c>
      <c r="D167" s="4" t="s">
        <v>15</v>
      </c>
      <c r="E167" s="4" t="s">
        <v>13</v>
      </c>
      <c r="F167" s="4">
        <v>3889</v>
      </c>
      <c r="G167" s="4">
        <v>120</v>
      </c>
      <c r="H167" s="4">
        <v>3126</v>
      </c>
      <c r="I167" s="6">
        <v>1706.7334544712128</v>
      </c>
      <c r="J167" s="4"/>
      <c r="K167" s="4"/>
      <c r="L167" s="4"/>
      <c r="M167" s="4"/>
      <c r="N167" s="4"/>
      <c r="O167" s="4"/>
      <c r="P167" s="4"/>
      <c r="Q167" s="4"/>
      <c r="R167" s="4"/>
      <c r="S167" s="4"/>
      <c r="T167" s="4"/>
      <c r="U167" s="4"/>
      <c r="V167" s="4"/>
      <c r="W167" s="4"/>
      <c r="X167" s="4"/>
      <c r="Y167" s="4"/>
      <c r="Z167" s="4"/>
    </row>
    <row r="168" spans="1:26">
      <c r="A168" s="5">
        <v>43132</v>
      </c>
      <c r="B168" s="4" t="s">
        <v>21</v>
      </c>
      <c r="C168" s="4" t="s">
        <v>18</v>
      </c>
      <c r="D168" s="4" t="s">
        <v>16</v>
      </c>
      <c r="E168" s="4" t="s">
        <v>12</v>
      </c>
      <c r="F168" s="4">
        <v>19060789</v>
      </c>
      <c r="G168" s="4">
        <v>110282</v>
      </c>
      <c r="H168" s="4">
        <v>394201</v>
      </c>
      <c r="I168" s="6">
        <v>249676.49066866579</v>
      </c>
      <c r="J168" s="4"/>
      <c r="K168" s="4"/>
      <c r="L168" s="4"/>
      <c r="M168" s="4"/>
      <c r="N168" s="4"/>
      <c r="O168" s="4"/>
      <c r="P168" s="4"/>
      <c r="Q168" s="4"/>
      <c r="R168" s="4"/>
      <c r="S168" s="4"/>
      <c r="T168" s="4"/>
      <c r="U168" s="4"/>
      <c r="V168" s="4"/>
      <c r="W168" s="4"/>
      <c r="X168" s="4"/>
      <c r="Y168" s="4"/>
      <c r="Z168" s="4"/>
    </row>
    <row r="169" spans="1:26">
      <c r="A169" s="5">
        <v>43132</v>
      </c>
      <c r="B169" s="4" t="s">
        <v>21</v>
      </c>
      <c r="C169" s="4" t="s">
        <v>18</v>
      </c>
      <c r="D169" s="4" t="s">
        <v>16</v>
      </c>
      <c r="E169" s="4" t="s">
        <v>13</v>
      </c>
      <c r="F169" s="4">
        <v>501992</v>
      </c>
      <c r="G169" s="4">
        <v>1158</v>
      </c>
      <c r="H169" s="4">
        <v>40569</v>
      </c>
      <c r="I169" s="6">
        <v>30066.943472245541</v>
      </c>
      <c r="J169" s="4"/>
      <c r="K169" s="4"/>
      <c r="L169" s="4"/>
      <c r="M169" s="4"/>
      <c r="N169" s="4"/>
      <c r="O169" s="4"/>
      <c r="P169" s="4"/>
      <c r="Q169" s="4"/>
      <c r="R169" s="4"/>
      <c r="S169" s="4"/>
      <c r="T169" s="4"/>
      <c r="U169" s="4"/>
      <c r="V169" s="4"/>
      <c r="W169" s="4"/>
      <c r="X169" s="4"/>
      <c r="Y169" s="4"/>
      <c r="Z169" s="4"/>
    </row>
    <row r="170" spans="1:26">
      <c r="A170" s="5">
        <v>43132</v>
      </c>
      <c r="B170" s="4" t="s">
        <v>21</v>
      </c>
      <c r="C170" s="4" t="s">
        <v>18</v>
      </c>
      <c r="D170" s="4" t="s">
        <v>17</v>
      </c>
      <c r="E170" s="4" t="s">
        <v>12</v>
      </c>
      <c r="F170" s="4">
        <v>2530050</v>
      </c>
      <c r="G170" s="4">
        <v>40257</v>
      </c>
      <c r="H170" s="4">
        <v>132709</v>
      </c>
      <c r="I170" s="6">
        <v>94658.663055387457</v>
      </c>
      <c r="J170" s="4"/>
      <c r="K170" s="4"/>
      <c r="L170" s="4"/>
      <c r="M170" s="4"/>
      <c r="N170" s="4"/>
      <c r="O170" s="4"/>
      <c r="P170" s="4"/>
      <c r="Q170" s="4"/>
      <c r="R170" s="4"/>
      <c r="S170" s="4"/>
      <c r="T170" s="4"/>
      <c r="U170" s="4"/>
      <c r="V170" s="4"/>
      <c r="W170" s="4"/>
      <c r="X170" s="4"/>
      <c r="Y170" s="4"/>
      <c r="Z170" s="4"/>
    </row>
    <row r="171" spans="1:26">
      <c r="A171" s="5">
        <v>43132</v>
      </c>
      <c r="B171" s="4" t="s">
        <v>21</v>
      </c>
      <c r="C171" s="4" t="s">
        <v>18</v>
      </c>
      <c r="D171" s="4" t="s">
        <v>17</v>
      </c>
      <c r="E171" s="4" t="s">
        <v>13</v>
      </c>
      <c r="F171" s="4">
        <v>22903</v>
      </c>
      <c r="G171" s="4">
        <v>557</v>
      </c>
      <c r="H171" s="4">
        <v>20930</v>
      </c>
      <c r="I171" s="6">
        <v>16813.269769173494</v>
      </c>
      <c r="J171" s="4"/>
      <c r="K171" s="4"/>
      <c r="L171" s="4"/>
      <c r="M171" s="4"/>
      <c r="N171" s="4"/>
      <c r="O171" s="4"/>
      <c r="P171" s="4"/>
      <c r="Q171" s="4"/>
      <c r="R171" s="4"/>
      <c r="S171" s="4"/>
      <c r="T171" s="4"/>
      <c r="U171" s="4"/>
      <c r="V171" s="4"/>
      <c r="W171" s="4"/>
      <c r="X171" s="4"/>
      <c r="Y171" s="4"/>
      <c r="Z171" s="4"/>
    </row>
    <row r="172" spans="1:26">
      <c r="A172" s="5">
        <v>43132</v>
      </c>
      <c r="B172" s="4" t="s">
        <v>21</v>
      </c>
      <c r="C172" s="4" t="s">
        <v>19</v>
      </c>
      <c r="D172" s="4" t="s">
        <v>11</v>
      </c>
      <c r="E172" s="4" t="s">
        <v>12</v>
      </c>
      <c r="F172" s="4">
        <v>479665</v>
      </c>
      <c r="G172" s="4">
        <v>6838</v>
      </c>
      <c r="H172" s="4">
        <v>7085</v>
      </c>
      <c r="I172" s="6">
        <v>75092.606620209059</v>
      </c>
      <c r="J172" s="4"/>
      <c r="K172" s="4"/>
      <c r="L172" s="4"/>
      <c r="M172" s="4"/>
      <c r="N172" s="4"/>
      <c r="O172" s="4"/>
      <c r="P172" s="4"/>
      <c r="Q172" s="4"/>
      <c r="R172" s="4"/>
      <c r="S172" s="4"/>
      <c r="T172" s="4"/>
      <c r="U172" s="4"/>
      <c r="V172" s="4"/>
      <c r="W172" s="4"/>
      <c r="X172" s="4"/>
      <c r="Y172" s="4"/>
      <c r="Z172" s="4"/>
    </row>
    <row r="173" spans="1:26">
      <c r="A173" s="5">
        <v>43132</v>
      </c>
      <c r="B173" s="4" t="s">
        <v>21</v>
      </c>
      <c r="C173" s="4" t="s">
        <v>19</v>
      </c>
      <c r="D173" s="4" t="s">
        <v>11</v>
      </c>
      <c r="E173" s="4" t="s">
        <v>13</v>
      </c>
      <c r="F173" s="4">
        <v>12551</v>
      </c>
      <c r="G173" s="4">
        <v>1098</v>
      </c>
      <c r="H173" s="4">
        <v>32309</v>
      </c>
      <c r="I173" s="6">
        <v>18432.334222920264</v>
      </c>
      <c r="J173" s="4"/>
      <c r="K173" s="4"/>
      <c r="L173" s="4"/>
      <c r="M173" s="4"/>
      <c r="N173" s="4"/>
      <c r="O173" s="4"/>
      <c r="P173" s="4"/>
      <c r="Q173" s="4"/>
      <c r="R173" s="4"/>
      <c r="S173" s="4"/>
      <c r="T173" s="4"/>
      <c r="U173" s="4"/>
      <c r="V173" s="4"/>
      <c r="W173" s="4"/>
      <c r="X173" s="4"/>
      <c r="Y173" s="4"/>
      <c r="Z173" s="4"/>
    </row>
    <row r="174" spans="1:26">
      <c r="A174" s="5">
        <v>43132</v>
      </c>
      <c r="B174" s="4" t="s">
        <v>21</v>
      </c>
      <c r="C174" s="4" t="s">
        <v>19</v>
      </c>
      <c r="D174" s="4" t="s">
        <v>14</v>
      </c>
      <c r="E174" s="4" t="s">
        <v>12</v>
      </c>
      <c r="F174" s="4">
        <v>861947</v>
      </c>
      <c r="G174" s="4">
        <v>13649</v>
      </c>
      <c r="H174" s="4">
        <v>14707</v>
      </c>
      <c r="I174" s="6">
        <v>136749.50083181713</v>
      </c>
      <c r="J174" s="4"/>
      <c r="K174" s="4"/>
      <c r="L174" s="4"/>
      <c r="M174" s="4"/>
      <c r="N174" s="4"/>
      <c r="O174" s="4"/>
      <c r="P174" s="4"/>
      <c r="Q174" s="4"/>
      <c r="R174" s="4"/>
      <c r="S174" s="4"/>
      <c r="T174" s="4"/>
      <c r="U174" s="4"/>
      <c r="V174" s="4"/>
      <c r="W174" s="4"/>
      <c r="X174" s="4"/>
      <c r="Y174" s="4"/>
      <c r="Z174" s="4"/>
    </row>
    <row r="175" spans="1:26">
      <c r="A175" s="5">
        <v>43132</v>
      </c>
      <c r="B175" s="4" t="s">
        <v>21</v>
      </c>
      <c r="C175" s="4" t="s">
        <v>19</v>
      </c>
      <c r="D175" s="4" t="s">
        <v>14</v>
      </c>
      <c r="E175" s="4" t="s">
        <v>13</v>
      </c>
      <c r="F175" s="4">
        <v>24531</v>
      </c>
      <c r="G175" s="4">
        <v>2105</v>
      </c>
      <c r="H175" s="4">
        <v>99039</v>
      </c>
      <c r="I175" s="6">
        <v>31032.156212486116</v>
      </c>
      <c r="J175" s="4"/>
      <c r="K175" s="4"/>
      <c r="L175" s="4"/>
      <c r="M175" s="4"/>
      <c r="N175" s="4"/>
      <c r="O175" s="4"/>
      <c r="P175" s="4"/>
      <c r="Q175" s="4"/>
      <c r="R175" s="4"/>
      <c r="S175" s="4"/>
      <c r="T175" s="4"/>
      <c r="U175" s="4"/>
      <c r="V175" s="4"/>
      <c r="W175" s="4"/>
      <c r="X175" s="4"/>
      <c r="Y175" s="4"/>
      <c r="Z175" s="4"/>
    </row>
    <row r="176" spans="1:26">
      <c r="A176" s="5">
        <v>43132</v>
      </c>
      <c r="B176" s="4" t="s">
        <v>21</v>
      </c>
      <c r="C176" s="4" t="s">
        <v>19</v>
      </c>
      <c r="D176" s="4" t="s">
        <v>15</v>
      </c>
      <c r="E176" s="4" t="s">
        <v>12</v>
      </c>
      <c r="F176" s="4">
        <v>261192</v>
      </c>
      <c r="G176" s="4">
        <v>3691</v>
      </c>
      <c r="H176" s="4">
        <v>3973</v>
      </c>
      <c r="I176" s="6">
        <v>37570.564900000005</v>
      </c>
      <c r="J176" s="4"/>
      <c r="K176" s="4"/>
      <c r="L176" s="4"/>
      <c r="M176" s="4"/>
      <c r="N176" s="4"/>
      <c r="O176" s="4"/>
      <c r="P176" s="4"/>
      <c r="Q176" s="4"/>
      <c r="R176" s="4"/>
      <c r="S176" s="4"/>
      <c r="T176" s="4"/>
      <c r="U176" s="4"/>
      <c r="V176" s="4"/>
      <c r="W176" s="4"/>
      <c r="X176" s="4"/>
      <c r="Y176" s="4"/>
      <c r="Z176" s="4"/>
    </row>
    <row r="177" spans="1:26">
      <c r="A177" s="5">
        <v>43132</v>
      </c>
      <c r="B177" s="4" t="s">
        <v>21</v>
      </c>
      <c r="C177" s="4" t="s">
        <v>19</v>
      </c>
      <c r="D177" s="4" t="s">
        <v>15</v>
      </c>
      <c r="E177" s="4" t="s">
        <v>13</v>
      </c>
      <c r="F177" s="4">
        <v>6983</v>
      </c>
      <c r="G177" s="4">
        <v>579</v>
      </c>
      <c r="H177" s="4">
        <v>26210</v>
      </c>
      <c r="I177" s="6">
        <v>8558.8882311905745</v>
      </c>
      <c r="J177" s="4"/>
      <c r="K177" s="4"/>
      <c r="L177" s="4"/>
      <c r="M177" s="4"/>
      <c r="N177" s="4"/>
      <c r="O177" s="4"/>
      <c r="P177" s="4"/>
      <c r="Q177" s="4"/>
      <c r="R177" s="4"/>
      <c r="S177" s="4"/>
      <c r="T177" s="4"/>
      <c r="U177" s="4"/>
      <c r="V177" s="4"/>
      <c r="W177" s="4"/>
      <c r="X177" s="4"/>
      <c r="Y177" s="4"/>
      <c r="Z177" s="4"/>
    </row>
    <row r="178" spans="1:26">
      <c r="A178" s="5">
        <v>43132</v>
      </c>
      <c r="B178" s="4" t="s">
        <v>21</v>
      </c>
      <c r="C178" s="4" t="s">
        <v>19</v>
      </c>
      <c r="D178" s="4" t="s">
        <v>16</v>
      </c>
      <c r="E178" s="4" t="s">
        <v>12</v>
      </c>
      <c r="F178" s="4">
        <v>2427837</v>
      </c>
      <c r="G178" s="4">
        <v>36217</v>
      </c>
      <c r="H178" s="4">
        <v>36930</v>
      </c>
      <c r="I178" s="6">
        <v>411881.64410228771</v>
      </c>
      <c r="J178" s="4"/>
      <c r="K178" s="4"/>
      <c r="L178" s="4"/>
      <c r="M178" s="4"/>
      <c r="N178" s="4"/>
      <c r="O178" s="4"/>
      <c r="P178" s="4"/>
      <c r="Q178" s="4"/>
      <c r="R178" s="4"/>
      <c r="S178" s="4"/>
      <c r="T178" s="4"/>
      <c r="U178" s="4"/>
      <c r="V178" s="4"/>
      <c r="W178" s="4"/>
      <c r="X178" s="4"/>
      <c r="Y178" s="4"/>
      <c r="Z178" s="4"/>
    </row>
    <row r="179" spans="1:26">
      <c r="A179" s="5">
        <v>43132</v>
      </c>
      <c r="B179" s="4" t="s">
        <v>21</v>
      </c>
      <c r="C179" s="4" t="s">
        <v>19</v>
      </c>
      <c r="D179" s="4" t="s">
        <v>16</v>
      </c>
      <c r="E179" s="4" t="s">
        <v>13</v>
      </c>
      <c r="F179" s="4">
        <v>62956</v>
      </c>
      <c r="G179" s="4">
        <v>5473</v>
      </c>
      <c r="H179" s="4">
        <v>362653</v>
      </c>
      <c r="I179" s="6">
        <v>83723.533332608931</v>
      </c>
      <c r="J179" s="4"/>
      <c r="K179" s="4"/>
      <c r="L179" s="4"/>
      <c r="M179" s="4"/>
      <c r="N179" s="4"/>
      <c r="O179" s="4"/>
      <c r="P179" s="4"/>
      <c r="Q179" s="4"/>
      <c r="R179" s="4"/>
      <c r="S179" s="4"/>
      <c r="T179" s="4"/>
      <c r="U179" s="4"/>
      <c r="V179" s="4"/>
      <c r="W179" s="4"/>
      <c r="X179" s="4"/>
      <c r="Y179" s="4"/>
      <c r="Z179" s="4"/>
    </row>
    <row r="180" spans="1:26">
      <c r="A180" s="5">
        <v>43132</v>
      </c>
      <c r="B180" s="4" t="s">
        <v>21</v>
      </c>
      <c r="C180" s="4" t="s">
        <v>19</v>
      </c>
      <c r="D180" s="4" t="s">
        <v>17</v>
      </c>
      <c r="E180" s="4" t="s">
        <v>12</v>
      </c>
      <c r="F180" s="4">
        <v>828906</v>
      </c>
      <c r="G180" s="4">
        <v>13606</v>
      </c>
      <c r="H180" s="4">
        <v>15013</v>
      </c>
      <c r="I180" s="6">
        <v>140580.58221988668</v>
      </c>
      <c r="J180" s="4"/>
      <c r="K180" s="4"/>
      <c r="L180" s="4"/>
      <c r="M180" s="4"/>
      <c r="N180" s="4"/>
      <c r="O180" s="4"/>
      <c r="P180" s="4"/>
      <c r="Q180" s="4"/>
      <c r="R180" s="4"/>
      <c r="S180" s="4"/>
      <c r="T180" s="4"/>
      <c r="U180" s="4"/>
      <c r="V180" s="4"/>
      <c r="W180" s="4"/>
      <c r="X180" s="4"/>
      <c r="Y180" s="4"/>
      <c r="Z180" s="4"/>
    </row>
    <row r="181" spans="1:26">
      <c r="A181" s="5">
        <v>43132</v>
      </c>
      <c r="B181" s="4" t="s">
        <v>21</v>
      </c>
      <c r="C181" s="4" t="s">
        <v>19</v>
      </c>
      <c r="D181" s="4" t="s">
        <v>17</v>
      </c>
      <c r="E181" s="4" t="s">
        <v>13</v>
      </c>
      <c r="F181" s="4">
        <v>21759</v>
      </c>
      <c r="G181" s="4">
        <v>1934</v>
      </c>
      <c r="H181" s="4">
        <v>82455</v>
      </c>
      <c r="I181" s="6">
        <v>33937.981393384238</v>
      </c>
      <c r="J181" s="4"/>
      <c r="K181" s="4"/>
      <c r="L181" s="4"/>
      <c r="M181" s="4"/>
      <c r="N181" s="4"/>
      <c r="O181" s="4"/>
      <c r="P181" s="4"/>
      <c r="Q181" s="4"/>
      <c r="R181" s="4"/>
      <c r="S181" s="4"/>
      <c r="T181" s="4"/>
      <c r="U181" s="4"/>
      <c r="V181" s="4"/>
      <c r="W181" s="4"/>
      <c r="X181" s="4"/>
      <c r="Y181" s="4"/>
      <c r="Z181" s="4"/>
    </row>
    <row r="182" spans="1:26">
      <c r="A182" s="5">
        <v>43160</v>
      </c>
      <c r="B182" s="4" t="s">
        <v>9</v>
      </c>
      <c r="C182" s="4" t="s">
        <v>10</v>
      </c>
      <c r="D182" s="4" t="s">
        <v>11</v>
      </c>
      <c r="E182" s="4" t="s">
        <v>12</v>
      </c>
      <c r="F182" s="4">
        <v>1023120</v>
      </c>
      <c r="G182" s="4">
        <v>46950</v>
      </c>
      <c r="H182" s="4">
        <v>55764</v>
      </c>
      <c r="I182" s="6">
        <v>41874.757318874079</v>
      </c>
      <c r="J182" s="4"/>
      <c r="K182" s="4"/>
      <c r="L182" s="4"/>
      <c r="M182" s="4"/>
      <c r="N182" s="4"/>
      <c r="O182" s="4"/>
      <c r="P182" s="4"/>
      <c r="Q182" s="4"/>
      <c r="R182" s="4"/>
      <c r="S182" s="4"/>
      <c r="T182" s="4"/>
      <c r="U182" s="4"/>
      <c r="V182" s="4"/>
      <c r="W182" s="4"/>
      <c r="X182" s="4"/>
      <c r="Y182" s="4"/>
      <c r="Z182" s="4"/>
    </row>
    <row r="183" spans="1:26">
      <c r="A183" s="5">
        <v>43160</v>
      </c>
      <c r="B183" s="4" t="s">
        <v>9</v>
      </c>
      <c r="C183" s="4" t="s">
        <v>10</v>
      </c>
      <c r="D183" s="4" t="s">
        <v>11</v>
      </c>
      <c r="E183" s="4" t="s">
        <v>13</v>
      </c>
      <c r="F183" s="4">
        <v>6090</v>
      </c>
      <c r="G183" s="4">
        <v>1035</v>
      </c>
      <c r="H183" s="4">
        <v>6103</v>
      </c>
      <c r="I183" s="6">
        <v>211890.18290637044</v>
      </c>
      <c r="J183" s="4"/>
      <c r="K183" s="4"/>
      <c r="L183" s="4"/>
      <c r="M183" s="4"/>
      <c r="N183" s="4"/>
      <c r="O183" s="4"/>
      <c r="P183" s="4"/>
      <c r="Q183" s="4"/>
      <c r="R183" s="4"/>
      <c r="S183" s="4"/>
      <c r="T183" s="4"/>
      <c r="U183" s="4"/>
      <c r="V183" s="4"/>
      <c r="W183" s="4"/>
      <c r="X183" s="4"/>
      <c r="Y183" s="4"/>
      <c r="Z183" s="4"/>
    </row>
    <row r="184" spans="1:26">
      <c r="A184" s="5">
        <v>43160</v>
      </c>
      <c r="B184" s="4" t="s">
        <v>9</v>
      </c>
      <c r="C184" s="4" t="s">
        <v>10</v>
      </c>
      <c r="D184" s="4" t="s">
        <v>14</v>
      </c>
      <c r="E184" s="4" t="s">
        <v>12</v>
      </c>
      <c r="F184" s="4">
        <v>2561620</v>
      </c>
      <c r="G184" s="4">
        <v>82141</v>
      </c>
      <c r="H184" s="4">
        <v>97092</v>
      </c>
      <c r="I184" s="6">
        <v>70561.976091337041</v>
      </c>
      <c r="J184" s="4"/>
      <c r="K184" s="4"/>
      <c r="L184" s="4"/>
      <c r="M184" s="4"/>
      <c r="N184" s="4"/>
      <c r="O184" s="4"/>
      <c r="P184" s="4"/>
      <c r="Q184" s="4"/>
      <c r="R184" s="4"/>
      <c r="S184" s="4"/>
      <c r="T184" s="4"/>
      <c r="U184" s="4"/>
      <c r="V184" s="4"/>
      <c r="W184" s="4"/>
      <c r="X184" s="4"/>
      <c r="Y184" s="4"/>
      <c r="Z184" s="4"/>
    </row>
    <row r="185" spans="1:26">
      <c r="A185" s="5">
        <v>43160</v>
      </c>
      <c r="B185" s="4" t="s">
        <v>9</v>
      </c>
      <c r="C185" s="4" t="s">
        <v>10</v>
      </c>
      <c r="D185" s="4" t="s">
        <v>14</v>
      </c>
      <c r="E185" s="4" t="s">
        <v>13</v>
      </c>
      <c r="F185" s="4">
        <v>10209</v>
      </c>
      <c r="G185" s="4">
        <v>2079</v>
      </c>
      <c r="H185" s="4">
        <v>15230</v>
      </c>
      <c r="I185" s="6">
        <v>327328.85286130855</v>
      </c>
      <c r="J185" s="4"/>
      <c r="K185" s="4"/>
      <c r="L185" s="4"/>
      <c r="M185" s="4"/>
      <c r="N185" s="4"/>
      <c r="O185" s="4"/>
      <c r="P185" s="4"/>
      <c r="Q185" s="4"/>
      <c r="R185" s="4"/>
      <c r="S185" s="4"/>
      <c r="T185" s="4"/>
      <c r="U185" s="4"/>
      <c r="V185" s="4"/>
      <c r="W185" s="4"/>
      <c r="X185" s="4"/>
      <c r="Y185" s="4"/>
      <c r="Z185" s="4"/>
    </row>
    <row r="186" spans="1:26">
      <c r="A186" s="5">
        <v>43160</v>
      </c>
      <c r="B186" s="4" t="s">
        <v>9</v>
      </c>
      <c r="C186" s="4" t="s">
        <v>10</v>
      </c>
      <c r="D186" s="4" t="s">
        <v>15</v>
      </c>
      <c r="E186" s="4" t="s">
        <v>12</v>
      </c>
      <c r="F186" s="4">
        <v>1034614</v>
      </c>
      <c r="G186" s="4">
        <v>33977</v>
      </c>
      <c r="H186" s="4">
        <v>43669</v>
      </c>
      <c r="I186" s="6">
        <v>32761.001109799479</v>
      </c>
      <c r="J186" s="4"/>
      <c r="K186" s="4"/>
      <c r="L186" s="4"/>
      <c r="M186" s="4"/>
      <c r="N186" s="4"/>
      <c r="O186" s="4"/>
      <c r="P186" s="4"/>
      <c r="Q186" s="4"/>
      <c r="R186" s="4"/>
      <c r="S186" s="4"/>
      <c r="T186" s="4"/>
      <c r="U186" s="4"/>
      <c r="V186" s="4"/>
      <c r="W186" s="4"/>
      <c r="X186" s="4"/>
      <c r="Y186" s="4"/>
      <c r="Z186" s="4"/>
    </row>
    <row r="187" spans="1:26">
      <c r="A187" s="5">
        <v>43160</v>
      </c>
      <c r="B187" s="4" t="s">
        <v>9</v>
      </c>
      <c r="C187" s="4" t="s">
        <v>10</v>
      </c>
      <c r="D187" s="4" t="s">
        <v>15</v>
      </c>
      <c r="E187" s="4" t="s">
        <v>13</v>
      </c>
      <c r="F187" s="4">
        <v>3905</v>
      </c>
      <c r="G187" s="4">
        <v>601</v>
      </c>
      <c r="H187" s="4">
        <v>4989</v>
      </c>
      <c r="I187" s="6">
        <v>81396.138729372935</v>
      </c>
      <c r="J187" s="4"/>
      <c r="K187" s="4"/>
      <c r="L187" s="4"/>
      <c r="M187" s="4"/>
      <c r="N187" s="4"/>
      <c r="O187" s="4"/>
      <c r="P187" s="4"/>
      <c r="Q187" s="4"/>
      <c r="R187" s="4"/>
      <c r="S187" s="4"/>
      <c r="T187" s="4"/>
      <c r="U187" s="4"/>
      <c r="V187" s="4"/>
      <c r="W187" s="4"/>
      <c r="X187" s="4"/>
      <c r="Y187" s="4"/>
      <c r="Z187" s="4"/>
    </row>
    <row r="188" spans="1:26">
      <c r="A188" s="5">
        <v>43160</v>
      </c>
      <c r="B188" s="4" t="s">
        <v>9</v>
      </c>
      <c r="C188" s="4" t="s">
        <v>10</v>
      </c>
      <c r="D188" s="4" t="s">
        <v>16</v>
      </c>
      <c r="E188" s="4" t="s">
        <v>12</v>
      </c>
      <c r="F188" s="4">
        <v>31883466</v>
      </c>
      <c r="G188" s="4">
        <v>212194</v>
      </c>
      <c r="H188" s="4">
        <v>239050</v>
      </c>
      <c r="I188" s="6">
        <v>181520.26241047931</v>
      </c>
      <c r="J188" s="4"/>
      <c r="K188" s="4"/>
      <c r="L188" s="4"/>
      <c r="M188" s="4"/>
      <c r="N188" s="4"/>
      <c r="O188" s="4"/>
      <c r="P188" s="4"/>
      <c r="Q188" s="4"/>
      <c r="R188" s="4"/>
      <c r="S188" s="4"/>
      <c r="T188" s="4"/>
      <c r="U188" s="4"/>
      <c r="V188" s="4"/>
      <c r="W188" s="4"/>
      <c r="X188" s="4"/>
      <c r="Y188" s="4"/>
      <c r="Z188" s="4"/>
    </row>
    <row r="189" spans="1:26">
      <c r="A189" s="5">
        <v>43160</v>
      </c>
      <c r="B189" s="4" t="s">
        <v>9</v>
      </c>
      <c r="C189" s="4" t="s">
        <v>10</v>
      </c>
      <c r="D189" s="4" t="s">
        <v>16</v>
      </c>
      <c r="E189" s="4" t="s">
        <v>13</v>
      </c>
      <c r="F189" s="4">
        <v>223905</v>
      </c>
      <c r="G189" s="4">
        <v>4511</v>
      </c>
      <c r="H189" s="4">
        <v>29451</v>
      </c>
      <c r="I189" s="6">
        <v>989221.69212551939</v>
      </c>
      <c r="J189" s="4"/>
      <c r="K189" s="4"/>
      <c r="L189" s="4"/>
      <c r="M189" s="4"/>
      <c r="N189" s="4"/>
      <c r="O189" s="4"/>
      <c r="P189" s="4"/>
      <c r="Q189" s="4"/>
      <c r="R189" s="4"/>
      <c r="S189" s="4"/>
      <c r="T189" s="4"/>
      <c r="U189" s="4"/>
      <c r="V189" s="4"/>
      <c r="W189" s="4"/>
      <c r="X189" s="4"/>
      <c r="Y189" s="4"/>
      <c r="Z189" s="4"/>
    </row>
    <row r="190" spans="1:26">
      <c r="A190" s="5">
        <v>43160</v>
      </c>
      <c r="B190" s="4" t="s">
        <v>9</v>
      </c>
      <c r="C190" s="4" t="s">
        <v>10</v>
      </c>
      <c r="D190" s="4" t="s">
        <v>17</v>
      </c>
      <c r="E190" s="4" t="s">
        <v>12</v>
      </c>
      <c r="F190" s="4">
        <v>1573862</v>
      </c>
      <c r="G190" s="4">
        <v>70404</v>
      </c>
      <c r="H190" s="4">
        <v>80124</v>
      </c>
      <c r="I190" s="6">
        <v>78422.635628983597</v>
      </c>
      <c r="J190" s="4"/>
      <c r="K190" s="4"/>
      <c r="L190" s="4"/>
      <c r="M190" s="4"/>
      <c r="N190" s="4"/>
      <c r="O190" s="4"/>
      <c r="P190" s="4"/>
      <c r="Q190" s="4"/>
      <c r="R190" s="4"/>
      <c r="S190" s="4"/>
      <c r="T190" s="4"/>
      <c r="U190" s="4"/>
      <c r="V190" s="4"/>
      <c r="W190" s="4"/>
      <c r="X190" s="4"/>
      <c r="Y190" s="4"/>
      <c r="Z190" s="4"/>
    </row>
    <row r="191" spans="1:26">
      <c r="A191" s="5">
        <v>43160</v>
      </c>
      <c r="B191" s="4" t="s">
        <v>9</v>
      </c>
      <c r="C191" s="4" t="s">
        <v>10</v>
      </c>
      <c r="D191" s="4" t="s">
        <v>17</v>
      </c>
      <c r="E191" s="4" t="s">
        <v>13</v>
      </c>
      <c r="F191" s="4">
        <v>9386</v>
      </c>
      <c r="G191" s="4">
        <v>1893</v>
      </c>
      <c r="H191" s="4">
        <v>11112</v>
      </c>
      <c r="I191" s="6">
        <v>374491.00557303365</v>
      </c>
      <c r="J191" s="4"/>
      <c r="K191" s="4"/>
      <c r="L191" s="4"/>
      <c r="M191" s="4"/>
      <c r="N191" s="4"/>
      <c r="O191" s="4"/>
      <c r="P191" s="4"/>
      <c r="Q191" s="4"/>
      <c r="R191" s="4"/>
      <c r="S191" s="4"/>
      <c r="T191" s="4"/>
      <c r="U191" s="4"/>
      <c r="V191" s="4"/>
      <c r="W191" s="4"/>
      <c r="X191" s="4"/>
      <c r="Y191" s="4"/>
      <c r="Z191" s="4"/>
    </row>
    <row r="192" spans="1:26">
      <c r="A192" s="5">
        <v>43160</v>
      </c>
      <c r="B192" s="4" t="s">
        <v>9</v>
      </c>
      <c r="C192" s="4" t="s">
        <v>18</v>
      </c>
      <c r="D192" s="4" t="s">
        <v>11</v>
      </c>
      <c r="E192" s="4" t="s">
        <v>12</v>
      </c>
      <c r="F192" s="4">
        <v>6020740</v>
      </c>
      <c r="G192" s="4">
        <v>165625</v>
      </c>
      <c r="H192" s="4">
        <v>510983</v>
      </c>
      <c r="I192" s="6">
        <v>125258.37022838996</v>
      </c>
      <c r="J192" s="4"/>
      <c r="K192" s="4"/>
      <c r="L192" s="4"/>
      <c r="M192" s="4"/>
      <c r="N192" s="4"/>
      <c r="O192" s="4"/>
      <c r="P192" s="4"/>
      <c r="Q192" s="4"/>
      <c r="R192" s="4"/>
      <c r="S192" s="4"/>
      <c r="T192" s="4"/>
      <c r="U192" s="4"/>
      <c r="V192" s="4"/>
      <c r="W192" s="4"/>
      <c r="X192" s="4"/>
      <c r="Y192" s="4"/>
      <c r="Z192" s="4"/>
    </row>
    <row r="193" spans="1:26">
      <c r="A193" s="5">
        <v>43160</v>
      </c>
      <c r="B193" s="4" t="s">
        <v>9</v>
      </c>
      <c r="C193" s="4" t="s">
        <v>18</v>
      </c>
      <c r="D193" s="4" t="s">
        <v>11</v>
      </c>
      <c r="E193" s="4" t="s">
        <v>13</v>
      </c>
      <c r="F193" s="4">
        <v>34187</v>
      </c>
      <c r="G193" s="4">
        <v>615</v>
      </c>
      <c r="H193" s="4">
        <v>17070</v>
      </c>
      <c r="I193" s="6">
        <v>12529.859606327736</v>
      </c>
      <c r="J193" s="4"/>
      <c r="K193" s="4"/>
      <c r="L193" s="4"/>
      <c r="M193" s="4"/>
      <c r="N193" s="4"/>
      <c r="O193" s="4"/>
      <c r="P193" s="4"/>
      <c r="Q193" s="4"/>
      <c r="R193" s="4"/>
      <c r="S193" s="4"/>
      <c r="T193" s="4"/>
      <c r="U193" s="4"/>
      <c r="V193" s="4"/>
      <c r="W193" s="4"/>
      <c r="X193" s="4"/>
      <c r="Y193" s="4"/>
      <c r="Z193" s="4"/>
    </row>
    <row r="194" spans="1:26">
      <c r="A194" s="5">
        <v>43160</v>
      </c>
      <c r="B194" s="4" t="s">
        <v>9</v>
      </c>
      <c r="C194" s="4" t="s">
        <v>18</v>
      </c>
      <c r="D194" s="4" t="s">
        <v>14</v>
      </c>
      <c r="E194" s="4" t="s">
        <v>12</v>
      </c>
      <c r="F194" s="4">
        <v>14149928</v>
      </c>
      <c r="G194" s="4">
        <v>342195</v>
      </c>
      <c r="H194" s="4">
        <v>1031463</v>
      </c>
      <c r="I194" s="6">
        <v>166331.0952761443</v>
      </c>
      <c r="J194" s="4"/>
      <c r="K194" s="4"/>
      <c r="L194" s="4"/>
      <c r="M194" s="4"/>
      <c r="N194" s="4"/>
      <c r="O194" s="4"/>
      <c r="P194" s="4"/>
      <c r="Q194" s="4"/>
      <c r="R194" s="4"/>
      <c r="S194" s="4"/>
      <c r="T194" s="4"/>
      <c r="U194" s="4"/>
      <c r="V194" s="4"/>
      <c r="W194" s="4"/>
      <c r="X194" s="4"/>
      <c r="Y194" s="4"/>
      <c r="Z194" s="4"/>
    </row>
    <row r="195" spans="1:26">
      <c r="A195" s="5">
        <v>43160</v>
      </c>
      <c r="B195" s="4" t="s">
        <v>9</v>
      </c>
      <c r="C195" s="4" t="s">
        <v>18</v>
      </c>
      <c r="D195" s="4" t="s">
        <v>14</v>
      </c>
      <c r="E195" s="4" t="s">
        <v>13</v>
      </c>
      <c r="F195" s="4">
        <v>71658</v>
      </c>
      <c r="G195" s="4">
        <v>857</v>
      </c>
      <c r="H195" s="4">
        <v>12711</v>
      </c>
      <c r="I195" s="6">
        <v>14621.144195686426</v>
      </c>
      <c r="J195" s="4"/>
      <c r="K195" s="4"/>
      <c r="L195" s="4"/>
      <c r="M195" s="4"/>
      <c r="N195" s="4"/>
      <c r="O195" s="4"/>
      <c r="P195" s="4"/>
      <c r="Q195" s="4"/>
      <c r="R195" s="4"/>
      <c r="S195" s="4"/>
      <c r="T195" s="4"/>
      <c r="U195" s="4"/>
      <c r="V195" s="4"/>
      <c r="W195" s="4"/>
      <c r="X195" s="4"/>
      <c r="Y195" s="4"/>
      <c r="Z195" s="4"/>
    </row>
    <row r="196" spans="1:26">
      <c r="A196" s="5">
        <v>43160</v>
      </c>
      <c r="B196" s="4" t="s">
        <v>9</v>
      </c>
      <c r="C196" s="4" t="s">
        <v>18</v>
      </c>
      <c r="D196" s="4" t="s">
        <v>15</v>
      </c>
      <c r="E196" s="4" t="s">
        <v>12</v>
      </c>
      <c r="F196" s="4">
        <v>7021126</v>
      </c>
      <c r="G196" s="4">
        <v>184181</v>
      </c>
      <c r="H196" s="4">
        <v>606865</v>
      </c>
      <c r="I196" s="6">
        <v>66996.724014156876</v>
      </c>
      <c r="J196" s="4"/>
      <c r="K196" s="4"/>
      <c r="L196" s="4"/>
      <c r="M196" s="4"/>
      <c r="N196" s="4"/>
      <c r="O196" s="4"/>
      <c r="P196" s="4"/>
      <c r="Q196" s="4"/>
      <c r="R196" s="4"/>
      <c r="S196" s="4"/>
      <c r="T196" s="4"/>
      <c r="U196" s="4"/>
      <c r="V196" s="4"/>
      <c r="W196" s="4"/>
      <c r="X196" s="4"/>
      <c r="Y196" s="4"/>
      <c r="Z196" s="4"/>
    </row>
    <row r="197" spans="1:26">
      <c r="A197" s="5">
        <v>43160</v>
      </c>
      <c r="B197" s="4" t="s">
        <v>9</v>
      </c>
      <c r="C197" s="4" t="s">
        <v>18</v>
      </c>
      <c r="D197" s="4" t="s">
        <v>15</v>
      </c>
      <c r="E197" s="4" t="s">
        <v>13</v>
      </c>
      <c r="F197" s="4">
        <v>26155</v>
      </c>
      <c r="G197" s="4">
        <v>341</v>
      </c>
      <c r="H197" s="4">
        <v>4853</v>
      </c>
      <c r="I197" s="6">
        <v>6299.2718994649395</v>
      </c>
      <c r="J197" s="4"/>
      <c r="K197" s="4"/>
      <c r="L197" s="4"/>
      <c r="M197" s="4"/>
      <c r="N197" s="4"/>
      <c r="O197" s="4"/>
      <c r="P197" s="4"/>
      <c r="Q197" s="4"/>
      <c r="R197" s="4"/>
      <c r="S197" s="4"/>
      <c r="T197" s="4"/>
      <c r="U197" s="4"/>
      <c r="V197" s="4"/>
      <c r="W197" s="4"/>
      <c r="X197" s="4"/>
      <c r="Y197" s="4"/>
      <c r="Z197" s="4"/>
    </row>
    <row r="198" spans="1:26">
      <c r="A198" s="5">
        <v>43160</v>
      </c>
      <c r="B198" s="4" t="s">
        <v>9</v>
      </c>
      <c r="C198" s="4" t="s">
        <v>18</v>
      </c>
      <c r="D198" s="4" t="s">
        <v>16</v>
      </c>
      <c r="E198" s="4" t="s">
        <v>12</v>
      </c>
      <c r="F198" s="4">
        <v>90387515</v>
      </c>
      <c r="G198" s="4">
        <v>625567</v>
      </c>
      <c r="H198" s="4">
        <v>1791736</v>
      </c>
      <c r="I198" s="6">
        <v>431854.12230873876</v>
      </c>
      <c r="J198" s="4"/>
      <c r="K198" s="4"/>
      <c r="L198" s="4"/>
      <c r="M198" s="4"/>
      <c r="N198" s="4"/>
      <c r="O198" s="4"/>
      <c r="P198" s="4"/>
      <c r="Q198" s="4"/>
      <c r="R198" s="4"/>
      <c r="S198" s="4"/>
      <c r="T198" s="4"/>
      <c r="U198" s="4"/>
      <c r="V198" s="4"/>
      <c r="W198" s="4"/>
      <c r="X198" s="4"/>
      <c r="Y198" s="4"/>
      <c r="Z198" s="4"/>
    </row>
    <row r="199" spans="1:26">
      <c r="A199" s="5">
        <v>43160</v>
      </c>
      <c r="B199" s="4" t="s">
        <v>9</v>
      </c>
      <c r="C199" s="4" t="s">
        <v>18</v>
      </c>
      <c r="D199" s="4" t="s">
        <v>16</v>
      </c>
      <c r="E199" s="4" t="s">
        <v>13</v>
      </c>
      <c r="F199" s="4">
        <v>790060</v>
      </c>
      <c r="G199" s="4">
        <v>1789</v>
      </c>
      <c r="H199" s="4">
        <v>44047</v>
      </c>
      <c r="I199" s="6">
        <v>28317.693452022868</v>
      </c>
      <c r="J199" s="4"/>
      <c r="K199" s="4"/>
      <c r="L199" s="4"/>
      <c r="M199" s="4"/>
      <c r="N199" s="4"/>
      <c r="O199" s="4"/>
      <c r="P199" s="4"/>
      <c r="Q199" s="4"/>
      <c r="R199" s="4"/>
      <c r="S199" s="4"/>
      <c r="T199" s="4"/>
      <c r="U199" s="4"/>
      <c r="V199" s="4"/>
      <c r="W199" s="4"/>
      <c r="X199" s="4"/>
      <c r="Y199" s="4"/>
      <c r="Z199" s="4"/>
    </row>
    <row r="200" spans="1:26">
      <c r="A200" s="5">
        <v>43160</v>
      </c>
      <c r="B200" s="4" t="s">
        <v>9</v>
      </c>
      <c r="C200" s="4" t="s">
        <v>18</v>
      </c>
      <c r="D200" s="4" t="s">
        <v>17</v>
      </c>
      <c r="E200" s="4" t="s">
        <v>12</v>
      </c>
      <c r="F200" s="4">
        <v>8556392</v>
      </c>
      <c r="G200" s="4">
        <v>201093</v>
      </c>
      <c r="H200" s="4">
        <v>573299</v>
      </c>
      <c r="I200" s="6">
        <v>146661.02411270112</v>
      </c>
      <c r="J200" s="4"/>
      <c r="K200" s="4"/>
      <c r="L200" s="4"/>
      <c r="M200" s="4"/>
      <c r="N200" s="4"/>
      <c r="O200" s="4"/>
      <c r="P200" s="4"/>
      <c r="Q200" s="4"/>
      <c r="R200" s="4"/>
      <c r="S200" s="4"/>
      <c r="T200" s="4"/>
      <c r="U200" s="4"/>
      <c r="V200" s="4"/>
      <c r="W200" s="4"/>
      <c r="X200" s="4"/>
      <c r="Y200" s="4"/>
      <c r="Z200" s="4"/>
    </row>
    <row r="201" spans="1:26">
      <c r="A201" s="5">
        <v>43160</v>
      </c>
      <c r="B201" s="4" t="s">
        <v>9</v>
      </c>
      <c r="C201" s="4" t="s">
        <v>18</v>
      </c>
      <c r="D201" s="4" t="s">
        <v>17</v>
      </c>
      <c r="E201" s="4" t="s">
        <v>13</v>
      </c>
      <c r="F201" s="4">
        <v>65333</v>
      </c>
      <c r="G201" s="4">
        <v>718</v>
      </c>
      <c r="H201" s="4">
        <v>15872</v>
      </c>
      <c r="I201" s="6">
        <v>11385.015819924534</v>
      </c>
      <c r="J201" s="4"/>
      <c r="K201" s="4"/>
      <c r="L201" s="4"/>
      <c r="M201" s="4"/>
      <c r="N201" s="4"/>
      <c r="O201" s="4"/>
      <c r="P201" s="4"/>
      <c r="Q201" s="4"/>
      <c r="R201" s="4"/>
      <c r="S201" s="4"/>
      <c r="T201" s="4"/>
      <c r="U201" s="4"/>
      <c r="V201" s="4"/>
      <c r="W201" s="4"/>
      <c r="X201" s="4"/>
      <c r="Y201" s="4"/>
      <c r="Z201" s="4"/>
    </row>
    <row r="202" spans="1:26">
      <c r="A202" s="5">
        <v>43160</v>
      </c>
      <c r="B202" s="4" t="s">
        <v>9</v>
      </c>
      <c r="C202" s="4" t="s">
        <v>19</v>
      </c>
      <c r="D202" s="4" t="s">
        <v>11</v>
      </c>
      <c r="E202" s="4" t="s">
        <v>12</v>
      </c>
      <c r="F202" s="4">
        <v>104204</v>
      </c>
      <c r="G202" s="4">
        <v>16785</v>
      </c>
      <c r="H202" s="4">
        <v>17679</v>
      </c>
      <c r="I202" s="6">
        <v>89383.02523182983</v>
      </c>
      <c r="J202" s="4"/>
      <c r="K202" s="4"/>
      <c r="L202" s="4"/>
      <c r="M202" s="4"/>
      <c r="N202" s="4"/>
      <c r="O202" s="4"/>
      <c r="P202" s="4"/>
      <c r="Q202" s="4"/>
      <c r="R202" s="4"/>
      <c r="S202" s="4"/>
      <c r="T202" s="4"/>
      <c r="U202" s="4"/>
      <c r="V202" s="4"/>
      <c r="W202" s="4"/>
      <c r="X202" s="4"/>
      <c r="Y202" s="4"/>
      <c r="Z202" s="4"/>
    </row>
    <row r="203" spans="1:26">
      <c r="A203" s="5">
        <v>43160</v>
      </c>
      <c r="B203" s="4" t="s">
        <v>9</v>
      </c>
      <c r="C203" s="4" t="s">
        <v>19</v>
      </c>
      <c r="D203" s="4" t="s">
        <v>11</v>
      </c>
      <c r="E203" s="4" t="s">
        <v>13</v>
      </c>
      <c r="F203" s="4">
        <v>569</v>
      </c>
      <c r="G203" s="4">
        <v>650</v>
      </c>
      <c r="H203" s="4">
        <v>6790</v>
      </c>
      <c r="I203" s="6">
        <v>15222.419365947533</v>
      </c>
      <c r="J203" s="4"/>
      <c r="K203" s="4"/>
      <c r="L203" s="4"/>
      <c r="M203" s="4"/>
      <c r="N203" s="4"/>
      <c r="O203" s="4"/>
      <c r="P203" s="4"/>
      <c r="Q203" s="4"/>
      <c r="R203" s="4"/>
      <c r="S203" s="4"/>
      <c r="T203" s="4"/>
      <c r="U203" s="4"/>
      <c r="V203" s="4"/>
      <c r="W203" s="4"/>
      <c r="X203" s="4"/>
      <c r="Y203" s="4"/>
      <c r="Z203" s="4"/>
    </row>
    <row r="204" spans="1:26">
      <c r="A204" s="5">
        <v>43160</v>
      </c>
      <c r="B204" s="4" t="s">
        <v>9</v>
      </c>
      <c r="C204" s="4" t="s">
        <v>19</v>
      </c>
      <c r="D204" s="4" t="s">
        <v>14</v>
      </c>
      <c r="E204" s="4" t="s">
        <v>12</v>
      </c>
      <c r="F204" s="4">
        <v>255671</v>
      </c>
      <c r="G204" s="4">
        <v>39581</v>
      </c>
      <c r="H204" s="4">
        <v>41602</v>
      </c>
      <c r="I204" s="6">
        <v>159296.43780494342</v>
      </c>
      <c r="J204" s="4"/>
      <c r="K204" s="4"/>
      <c r="L204" s="4"/>
      <c r="M204" s="4"/>
      <c r="N204" s="4"/>
      <c r="O204" s="4"/>
      <c r="P204" s="4"/>
      <c r="Q204" s="4"/>
      <c r="R204" s="4"/>
      <c r="S204" s="4"/>
      <c r="T204" s="4"/>
      <c r="U204" s="4"/>
      <c r="V204" s="4"/>
      <c r="W204" s="4"/>
      <c r="X204" s="4"/>
      <c r="Y204" s="4"/>
      <c r="Z204" s="4"/>
    </row>
    <row r="205" spans="1:26">
      <c r="A205" s="5">
        <v>43160</v>
      </c>
      <c r="B205" s="4" t="s">
        <v>9</v>
      </c>
      <c r="C205" s="4" t="s">
        <v>19</v>
      </c>
      <c r="D205" s="4" t="s">
        <v>14</v>
      </c>
      <c r="E205" s="4" t="s">
        <v>13</v>
      </c>
      <c r="F205" s="4">
        <v>1371</v>
      </c>
      <c r="G205" s="4">
        <v>1454</v>
      </c>
      <c r="H205" s="4">
        <v>36933</v>
      </c>
      <c r="I205" s="6">
        <v>25283.370931331199</v>
      </c>
      <c r="J205" s="4"/>
      <c r="K205" s="4"/>
      <c r="L205" s="4"/>
      <c r="M205" s="4"/>
      <c r="N205" s="4"/>
      <c r="O205" s="4"/>
      <c r="P205" s="4"/>
      <c r="Q205" s="4"/>
      <c r="R205" s="4"/>
      <c r="S205" s="4"/>
      <c r="T205" s="4"/>
      <c r="U205" s="4"/>
      <c r="V205" s="4"/>
      <c r="W205" s="4"/>
      <c r="X205" s="4"/>
      <c r="Y205" s="4"/>
      <c r="Z205" s="4"/>
    </row>
    <row r="206" spans="1:26">
      <c r="A206" s="5">
        <v>43160</v>
      </c>
      <c r="B206" s="4" t="s">
        <v>9</v>
      </c>
      <c r="C206" s="4" t="s">
        <v>19</v>
      </c>
      <c r="D206" s="4" t="s">
        <v>15</v>
      </c>
      <c r="E206" s="4" t="s">
        <v>12</v>
      </c>
      <c r="F206" s="4">
        <v>120643</v>
      </c>
      <c r="G206" s="4">
        <v>20312</v>
      </c>
      <c r="H206" s="4">
        <v>21048</v>
      </c>
      <c r="I206" s="6">
        <v>58891.38035940034</v>
      </c>
      <c r="J206" s="4"/>
      <c r="K206" s="4"/>
      <c r="L206" s="4"/>
      <c r="M206" s="4"/>
      <c r="N206" s="4"/>
      <c r="O206" s="4"/>
      <c r="P206" s="4"/>
      <c r="Q206" s="4"/>
      <c r="R206" s="4"/>
      <c r="S206" s="4"/>
      <c r="T206" s="4"/>
      <c r="U206" s="4"/>
      <c r="V206" s="4"/>
      <c r="W206" s="4"/>
      <c r="X206" s="4"/>
      <c r="Y206" s="4"/>
      <c r="Z206" s="4"/>
    </row>
    <row r="207" spans="1:26">
      <c r="A207" s="5">
        <v>43160</v>
      </c>
      <c r="B207" s="4" t="s">
        <v>9</v>
      </c>
      <c r="C207" s="4" t="s">
        <v>19</v>
      </c>
      <c r="D207" s="4" t="s">
        <v>15</v>
      </c>
      <c r="E207" s="4" t="s">
        <v>13</v>
      </c>
      <c r="F207" s="4">
        <v>424</v>
      </c>
      <c r="G207" s="4">
        <v>595</v>
      </c>
      <c r="H207" s="4">
        <v>19830</v>
      </c>
      <c r="I207" s="6">
        <v>10998.473880054049</v>
      </c>
      <c r="J207" s="4"/>
      <c r="K207" s="4"/>
      <c r="L207" s="4"/>
      <c r="M207" s="4"/>
      <c r="N207" s="4"/>
      <c r="O207" s="4"/>
      <c r="P207" s="4"/>
      <c r="Q207" s="4"/>
      <c r="R207" s="4"/>
      <c r="S207" s="4"/>
      <c r="T207" s="4"/>
      <c r="U207" s="4"/>
      <c r="V207" s="4"/>
      <c r="W207" s="4"/>
      <c r="X207" s="4"/>
      <c r="Y207" s="4"/>
      <c r="Z207" s="4"/>
    </row>
    <row r="208" spans="1:26">
      <c r="A208" s="5">
        <v>43160</v>
      </c>
      <c r="B208" s="4" t="s">
        <v>9</v>
      </c>
      <c r="C208" s="4" t="s">
        <v>19</v>
      </c>
      <c r="D208" s="4" t="s">
        <v>16</v>
      </c>
      <c r="E208" s="4" t="s">
        <v>12</v>
      </c>
      <c r="F208" s="4">
        <v>14357693</v>
      </c>
      <c r="G208" s="4">
        <v>62288</v>
      </c>
      <c r="H208" s="4">
        <v>63858</v>
      </c>
      <c r="I208" s="6">
        <v>367393.70314007025</v>
      </c>
      <c r="J208" s="4"/>
      <c r="K208" s="4"/>
      <c r="L208" s="4"/>
      <c r="M208" s="4"/>
      <c r="N208" s="4"/>
      <c r="O208" s="4"/>
      <c r="P208" s="4"/>
      <c r="Q208" s="4"/>
      <c r="R208" s="4"/>
      <c r="S208" s="4"/>
      <c r="T208" s="4"/>
      <c r="U208" s="4"/>
      <c r="V208" s="4"/>
      <c r="W208" s="4"/>
      <c r="X208" s="4"/>
      <c r="Y208" s="4"/>
      <c r="Z208" s="4"/>
    </row>
    <row r="209" spans="1:26">
      <c r="A209" s="5">
        <v>43160</v>
      </c>
      <c r="B209" s="4" t="s">
        <v>9</v>
      </c>
      <c r="C209" s="4" t="s">
        <v>19</v>
      </c>
      <c r="D209" s="4" t="s">
        <v>16</v>
      </c>
      <c r="E209" s="4" t="s">
        <v>13</v>
      </c>
      <c r="F209" s="4">
        <v>134177</v>
      </c>
      <c r="G209" s="4">
        <v>1869</v>
      </c>
      <c r="H209" s="4">
        <v>32156</v>
      </c>
      <c r="I209" s="6">
        <v>49806.447415720628</v>
      </c>
      <c r="J209" s="4"/>
      <c r="K209" s="4"/>
      <c r="L209" s="4"/>
      <c r="M209" s="4"/>
      <c r="N209" s="4"/>
      <c r="O209" s="4"/>
      <c r="P209" s="4"/>
      <c r="Q209" s="4"/>
      <c r="R209" s="4"/>
      <c r="S209" s="4"/>
      <c r="T209" s="4"/>
      <c r="U209" s="4"/>
      <c r="V209" s="4"/>
      <c r="W209" s="4"/>
      <c r="X209" s="4"/>
      <c r="Y209" s="4"/>
      <c r="Z209" s="4"/>
    </row>
    <row r="210" spans="1:26">
      <c r="A210" s="5">
        <v>43160</v>
      </c>
      <c r="B210" s="4" t="s">
        <v>9</v>
      </c>
      <c r="C210" s="4" t="s">
        <v>19</v>
      </c>
      <c r="D210" s="4" t="s">
        <v>17</v>
      </c>
      <c r="E210" s="4" t="s">
        <v>12</v>
      </c>
      <c r="F210" s="4">
        <v>200259</v>
      </c>
      <c r="G210" s="4">
        <v>22474</v>
      </c>
      <c r="H210" s="4">
        <v>23204</v>
      </c>
      <c r="I210" s="6">
        <v>136232.88919493306</v>
      </c>
      <c r="J210" s="4"/>
      <c r="K210" s="4"/>
      <c r="L210" s="4"/>
      <c r="M210" s="4"/>
      <c r="N210" s="4"/>
      <c r="O210" s="4"/>
      <c r="P210" s="4"/>
      <c r="Q210" s="4"/>
      <c r="R210" s="4"/>
      <c r="S210" s="4"/>
      <c r="T210" s="4"/>
      <c r="U210" s="4"/>
      <c r="V210" s="4"/>
      <c r="W210" s="4"/>
      <c r="X210" s="4"/>
      <c r="Y210" s="4"/>
      <c r="Z210" s="4"/>
    </row>
    <row r="211" spans="1:26">
      <c r="A211" s="5">
        <v>43160</v>
      </c>
      <c r="B211" s="4" t="s">
        <v>9</v>
      </c>
      <c r="C211" s="4" t="s">
        <v>19</v>
      </c>
      <c r="D211" s="4" t="s">
        <v>17</v>
      </c>
      <c r="E211" s="4" t="s">
        <v>13</v>
      </c>
      <c r="F211" s="4">
        <v>1352</v>
      </c>
      <c r="G211" s="4">
        <v>611</v>
      </c>
      <c r="H211" s="4">
        <v>6155</v>
      </c>
      <c r="I211" s="6">
        <v>16798.707324306179</v>
      </c>
      <c r="J211" s="4"/>
      <c r="K211" s="4"/>
      <c r="L211" s="4"/>
      <c r="M211" s="4"/>
      <c r="N211" s="4"/>
      <c r="O211" s="4"/>
      <c r="P211" s="4"/>
      <c r="Q211" s="4"/>
      <c r="R211" s="4"/>
      <c r="S211" s="4"/>
      <c r="T211" s="4"/>
      <c r="U211" s="4"/>
      <c r="V211" s="4"/>
      <c r="W211" s="4"/>
      <c r="X211" s="4"/>
      <c r="Y211" s="4"/>
      <c r="Z211" s="4"/>
    </row>
    <row r="212" spans="1:26">
      <c r="A212" s="5">
        <v>43160</v>
      </c>
      <c r="B212" s="4" t="s">
        <v>20</v>
      </c>
      <c r="C212" s="4" t="s">
        <v>10</v>
      </c>
      <c r="D212" s="4" t="s">
        <v>11</v>
      </c>
      <c r="E212" s="4" t="s">
        <v>12</v>
      </c>
      <c r="F212" s="4">
        <v>2027913</v>
      </c>
      <c r="G212" s="4">
        <v>4716</v>
      </c>
      <c r="H212" s="4">
        <v>5345</v>
      </c>
      <c r="I212" s="6">
        <v>1257.8691146890449</v>
      </c>
      <c r="J212" s="4"/>
      <c r="K212" s="4"/>
      <c r="L212" s="4"/>
      <c r="M212" s="4"/>
      <c r="N212" s="4"/>
      <c r="O212" s="4"/>
      <c r="P212" s="4"/>
      <c r="Q212" s="4"/>
      <c r="R212" s="4"/>
      <c r="S212" s="4"/>
      <c r="T212" s="4"/>
      <c r="U212" s="4"/>
      <c r="V212" s="4"/>
      <c r="W212" s="4"/>
      <c r="X212" s="4"/>
      <c r="Y212" s="4"/>
      <c r="Z212" s="4"/>
    </row>
    <row r="213" spans="1:26">
      <c r="A213" s="5">
        <v>43160</v>
      </c>
      <c r="B213" s="4" t="s">
        <v>20</v>
      </c>
      <c r="C213" s="4" t="s">
        <v>10</v>
      </c>
      <c r="D213" s="4" t="s">
        <v>11</v>
      </c>
      <c r="E213" s="4" t="s">
        <v>13</v>
      </c>
      <c r="F213" s="4">
        <v>817</v>
      </c>
      <c r="G213" s="4">
        <v>19</v>
      </c>
      <c r="H213" s="4">
        <v>48</v>
      </c>
      <c r="I213" s="6">
        <v>10673.216969696969</v>
      </c>
      <c r="J213" s="4"/>
      <c r="K213" s="4"/>
      <c r="L213" s="4"/>
      <c r="M213" s="4"/>
      <c r="N213" s="4"/>
      <c r="O213" s="4"/>
      <c r="P213" s="4"/>
      <c r="Q213" s="4"/>
      <c r="R213" s="4"/>
      <c r="S213" s="4"/>
      <c r="T213" s="4"/>
      <c r="U213" s="4"/>
      <c r="V213" s="4"/>
      <c r="W213" s="4"/>
      <c r="X213" s="4"/>
      <c r="Y213" s="4"/>
      <c r="Z213" s="4"/>
    </row>
    <row r="214" spans="1:26">
      <c r="A214" s="5">
        <v>43160</v>
      </c>
      <c r="B214" s="4" t="s">
        <v>20</v>
      </c>
      <c r="C214" s="4" t="s">
        <v>10</v>
      </c>
      <c r="D214" s="4" t="s">
        <v>14</v>
      </c>
      <c r="E214" s="4" t="s">
        <v>12</v>
      </c>
      <c r="F214" s="4">
        <v>3672500</v>
      </c>
      <c r="G214" s="4">
        <v>8395</v>
      </c>
      <c r="H214" s="4">
        <v>9119</v>
      </c>
      <c r="I214" s="6">
        <v>1145.7479367870503</v>
      </c>
      <c r="J214" s="4"/>
      <c r="K214" s="4"/>
      <c r="L214" s="4"/>
      <c r="M214" s="4"/>
      <c r="N214" s="4"/>
      <c r="O214" s="4"/>
      <c r="P214" s="4"/>
      <c r="Q214" s="4"/>
      <c r="R214" s="4"/>
      <c r="S214" s="4"/>
      <c r="T214" s="4"/>
      <c r="U214" s="4"/>
      <c r="V214" s="4"/>
      <c r="W214" s="4"/>
      <c r="X214" s="4"/>
      <c r="Y214" s="4"/>
      <c r="Z214" s="4"/>
    </row>
    <row r="215" spans="1:26">
      <c r="A215" s="5">
        <v>43160</v>
      </c>
      <c r="B215" s="4" t="s">
        <v>20</v>
      </c>
      <c r="C215" s="4" t="s">
        <v>10</v>
      </c>
      <c r="D215" s="4" t="s">
        <v>14</v>
      </c>
      <c r="E215" s="4" t="s">
        <v>13</v>
      </c>
      <c r="F215" s="4">
        <v>1765</v>
      </c>
      <c r="G215" s="4">
        <v>41</v>
      </c>
      <c r="H215" s="4">
        <v>172</v>
      </c>
      <c r="I215" s="6">
        <v>19266.444179310347</v>
      </c>
      <c r="J215" s="4"/>
      <c r="K215" s="4"/>
      <c r="L215" s="4"/>
      <c r="M215" s="4"/>
      <c r="N215" s="4"/>
      <c r="O215" s="4"/>
      <c r="P215" s="4"/>
      <c r="Q215" s="4"/>
      <c r="R215" s="4"/>
      <c r="S215" s="4"/>
      <c r="T215" s="4"/>
      <c r="U215" s="4"/>
      <c r="V215" s="4"/>
      <c r="W215" s="4"/>
      <c r="X215" s="4"/>
      <c r="Y215" s="4"/>
      <c r="Z215" s="4"/>
    </row>
    <row r="216" spans="1:26">
      <c r="A216" s="5">
        <v>43160</v>
      </c>
      <c r="B216" s="4" t="s">
        <v>20</v>
      </c>
      <c r="C216" s="4" t="s">
        <v>10</v>
      </c>
      <c r="D216" s="4" t="s">
        <v>15</v>
      </c>
      <c r="E216" s="4" t="s">
        <v>12</v>
      </c>
      <c r="F216" s="4">
        <v>917835</v>
      </c>
      <c r="G216" s="4">
        <v>2118</v>
      </c>
      <c r="H216" s="4">
        <v>2297</v>
      </c>
      <c r="I216" s="6">
        <v>366.40933212450892</v>
      </c>
      <c r="J216" s="4"/>
      <c r="K216" s="4"/>
      <c r="L216" s="4"/>
      <c r="M216" s="4"/>
      <c r="N216" s="4"/>
      <c r="O216" s="4"/>
      <c r="P216" s="4"/>
      <c r="Q216" s="4"/>
      <c r="R216" s="4"/>
      <c r="S216" s="4"/>
      <c r="T216" s="4"/>
      <c r="U216" s="4"/>
      <c r="V216" s="4"/>
      <c r="W216" s="4"/>
      <c r="X216" s="4"/>
      <c r="Y216" s="4"/>
      <c r="Z216" s="4"/>
    </row>
    <row r="217" spans="1:26">
      <c r="A217" s="5">
        <v>43160</v>
      </c>
      <c r="B217" s="4" t="s">
        <v>20</v>
      </c>
      <c r="C217" s="4" t="s">
        <v>10</v>
      </c>
      <c r="D217" s="4" t="s">
        <v>15</v>
      </c>
      <c r="E217" s="4" t="s">
        <v>13</v>
      </c>
      <c r="F217" s="4">
        <v>239</v>
      </c>
      <c r="G217" s="4">
        <v>4</v>
      </c>
      <c r="H217" s="4">
        <v>12</v>
      </c>
      <c r="I217" s="6">
        <v>1460.4625352112676</v>
      </c>
      <c r="J217" s="4"/>
      <c r="K217" s="4"/>
      <c r="L217" s="4"/>
      <c r="M217" s="4"/>
      <c r="N217" s="4"/>
      <c r="O217" s="4"/>
      <c r="P217" s="4"/>
      <c r="Q217" s="4"/>
      <c r="R217" s="4"/>
      <c r="S217" s="4"/>
      <c r="T217" s="4"/>
      <c r="U217" s="4"/>
      <c r="V217" s="4"/>
      <c r="W217" s="4"/>
      <c r="X217" s="4"/>
      <c r="Y217" s="4"/>
      <c r="Z217" s="4"/>
    </row>
    <row r="218" spans="1:26">
      <c r="A218" s="5">
        <v>43160</v>
      </c>
      <c r="B218" s="4" t="s">
        <v>20</v>
      </c>
      <c r="C218" s="4" t="s">
        <v>10</v>
      </c>
      <c r="D218" s="4" t="s">
        <v>16</v>
      </c>
      <c r="E218" s="4" t="s">
        <v>12</v>
      </c>
      <c r="F218" s="4">
        <v>9877365</v>
      </c>
      <c r="G218" s="4">
        <v>30583</v>
      </c>
      <c r="H218" s="4">
        <v>32120</v>
      </c>
      <c r="I218" s="6">
        <v>5416.8815379543676</v>
      </c>
      <c r="J218" s="4"/>
      <c r="K218" s="4"/>
      <c r="L218" s="4"/>
      <c r="M218" s="4"/>
      <c r="N218" s="4"/>
      <c r="O218" s="4"/>
      <c r="P218" s="4"/>
      <c r="Q218" s="4"/>
      <c r="R218" s="4"/>
      <c r="S218" s="4"/>
      <c r="T218" s="4"/>
      <c r="U218" s="4"/>
      <c r="V218" s="4"/>
      <c r="W218" s="4"/>
      <c r="X218" s="4"/>
      <c r="Y218" s="4"/>
      <c r="Z218" s="4"/>
    </row>
    <row r="219" spans="1:26">
      <c r="A219" s="5">
        <v>43160</v>
      </c>
      <c r="B219" s="4" t="s">
        <v>20</v>
      </c>
      <c r="C219" s="4" t="s">
        <v>10</v>
      </c>
      <c r="D219" s="4" t="s">
        <v>16</v>
      </c>
      <c r="E219" s="4" t="s">
        <v>13</v>
      </c>
      <c r="F219" s="4">
        <v>4792</v>
      </c>
      <c r="G219" s="4">
        <v>203</v>
      </c>
      <c r="H219" s="4">
        <v>548</v>
      </c>
      <c r="I219" s="6">
        <v>89690.322591687029</v>
      </c>
      <c r="J219" s="4"/>
      <c r="K219" s="4"/>
      <c r="L219" s="4"/>
      <c r="M219" s="4"/>
      <c r="N219" s="4"/>
      <c r="O219" s="4"/>
      <c r="P219" s="4"/>
      <c r="Q219" s="4"/>
      <c r="R219" s="4"/>
      <c r="S219" s="4"/>
      <c r="T219" s="4"/>
      <c r="U219" s="4"/>
      <c r="V219" s="4"/>
      <c r="W219" s="4"/>
      <c r="X219" s="4"/>
      <c r="Y219" s="4"/>
      <c r="Z219" s="4"/>
    </row>
    <row r="220" spans="1:26">
      <c r="A220" s="5">
        <v>43160</v>
      </c>
      <c r="B220" s="4" t="s">
        <v>20</v>
      </c>
      <c r="C220" s="4" t="s">
        <v>10</v>
      </c>
      <c r="D220" s="4" t="s">
        <v>17</v>
      </c>
      <c r="E220" s="4" t="s">
        <v>12</v>
      </c>
      <c r="F220" s="4">
        <v>3129400</v>
      </c>
      <c r="G220" s="4">
        <v>10176</v>
      </c>
      <c r="H220" s="4">
        <v>10797</v>
      </c>
      <c r="I220" s="6">
        <v>1643.1215814446955</v>
      </c>
      <c r="J220" s="4"/>
      <c r="K220" s="4"/>
      <c r="L220" s="4"/>
      <c r="M220" s="4"/>
      <c r="N220" s="4"/>
      <c r="O220" s="4"/>
      <c r="P220" s="4"/>
      <c r="Q220" s="4"/>
      <c r="R220" s="4"/>
      <c r="S220" s="4"/>
      <c r="T220" s="4"/>
      <c r="U220" s="4"/>
      <c r="V220" s="4"/>
      <c r="W220" s="4"/>
      <c r="X220" s="4"/>
      <c r="Y220" s="4"/>
      <c r="Z220" s="4"/>
    </row>
    <row r="221" spans="1:26">
      <c r="A221" s="5">
        <v>43160</v>
      </c>
      <c r="B221" s="4" t="s">
        <v>20</v>
      </c>
      <c r="C221" s="4" t="s">
        <v>10</v>
      </c>
      <c r="D221" s="4" t="s">
        <v>17</v>
      </c>
      <c r="E221" s="4" t="s">
        <v>13</v>
      </c>
      <c r="F221" s="4">
        <v>1619</v>
      </c>
      <c r="G221" s="4">
        <v>60</v>
      </c>
      <c r="H221" s="4">
        <v>189</v>
      </c>
      <c r="I221" s="6">
        <v>28741.803096774191</v>
      </c>
      <c r="J221" s="4"/>
      <c r="K221" s="4"/>
      <c r="L221" s="4"/>
      <c r="M221" s="4"/>
      <c r="N221" s="4"/>
      <c r="O221" s="4"/>
      <c r="P221" s="4"/>
      <c r="Q221" s="4"/>
      <c r="R221" s="4"/>
      <c r="S221" s="4"/>
      <c r="T221" s="4"/>
      <c r="U221" s="4"/>
      <c r="V221" s="4"/>
      <c r="W221" s="4"/>
      <c r="X221" s="4"/>
      <c r="Y221" s="4"/>
      <c r="Z221" s="4"/>
    </row>
    <row r="222" spans="1:26">
      <c r="A222" s="5">
        <v>43160</v>
      </c>
      <c r="B222" s="4" t="s">
        <v>20</v>
      </c>
      <c r="C222" s="4" t="s">
        <v>18</v>
      </c>
      <c r="D222" s="4" t="s">
        <v>11</v>
      </c>
      <c r="E222" s="4" t="s">
        <v>12</v>
      </c>
      <c r="F222" s="4">
        <v>2268761</v>
      </c>
      <c r="G222" s="4">
        <v>13341</v>
      </c>
      <c r="H222" s="4">
        <v>25709</v>
      </c>
      <c r="I222" s="6">
        <v>7908.5343262641873</v>
      </c>
      <c r="J222" s="4"/>
      <c r="K222" s="4"/>
      <c r="L222" s="4"/>
      <c r="M222" s="4"/>
      <c r="N222" s="4"/>
      <c r="O222" s="4"/>
      <c r="P222" s="4"/>
      <c r="Q222" s="4"/>
      <c r="R222" s="4"/>
      <c r="S222" s="4"/>
      <c r="T222" s="4"/>
      <c r="U222" s="4"/>
      <c r="V222" s="4"/>
      <c r="W222" s="4"/>
      <c r="X222" s="4"/>
      <c r="Y222" s="4"/>
      <c r="Z222" s="4"/>
    </row>
    <row r="223" spans="1:26">
      <c r="A223" s="5">
        <v>43160</v>
      </c>
      <c r="B223" s="4" t="s">
        <v>20</v>
      </c>
      <c r="C223" s="4" t="s">
        <v>18</v>
      </c>
      <c r="D223" s="4" t="s">
        <v>11</v>
      </c>
      <c r="E223" s="4" t="s">
        <v>13</v>
      </c>
      <c r="F223" s="4">
        <v>1167</v>
      </c>
      <c r="G223" s="4">
        <v>10</v>
      </c>
      <c r="H223" s="4">
        <v>17</v>
      </c>
      <c r="I223" s="6">
        <v>88.716200000000001</v>
      </c>
      <c r="J223" s="4"/>
      <c r="K223" s="4"/>
      <c r="L223" s="4"/>
      <c r="M223" s="4"/>
      <c r="N223" s="4"/>
      <c r="O223" s="4"/>
      <c r="P223" s="4"/>
      <c r="Q223" s="4"/>
      <c r="R223" s="4"/>
      <c r="S223" s="4"/>
      <c r="T223" s="4"/>
      <c r="U223" s="4"/>
      <c r="V223" s="4"/>
      <c r="W223" s="4"/>
      <c r="X223" s="4"/>
      <c r="Y223" s="4"/>
      <c r="Z223" s="4"/>
    </row>
    <row r="224" spans="1:26">
      <c r="A224" s="5">
        <v>43160</v>
      </c>
      <c r="B224" s="4" t="s">
        <v>20</v>
      </c>
      <c r="C224" s="4" t="s">
        <v>18</v>
      </c>
      <c r="D224" s="4" t="s">
        <v>14</v>
      </c>
      <c r="E224" s="4" t="s">
        <v>12</v>
      </c>
      <c r="F224" s="4">
        <v>4298060</v>
      </c>
      <c r="G224" s="4">
        <v>26331</v>
      </c>
      <c r="H224" s="4">
        <v>49226</v>
      </c>
      <c r="I224" s="6">
        <v>10046.73613386161</v>
      </c>
      <c r="J224" s="4"/>
      <c r="K224" s="4"/>
      <c r="L224" s="4"/>
      <c r="M224" s="4"/>
      <c r="N224" s="4"/>
      <c r="O224" s="4"/>
      <c r="P224" s="4"/>
      <c r="Q224" s="4"/>
      <c r="R224" s="4"/>
      <c r="S224" s="4"/>
      <c r="T224" s="4"/>
      <c r="U224" s="4"/>
      <c r="V224" s="4"/>
      <c r="W224" s="4"/>
      <c r="X224" s="4"/>
      <c r="Y224" s="4"/>
      <c r="Z224" s="4"/>
    </row>
    <row r="225" spans="1:26">
      <c r="A225" s="5">
        <v>43160</v>
      </c>
      <c r="B225" s="4" t="s">
        <v>20</v>
      </c>
      <c r="C225" s="4" t="s">
        <v>18</v>
      </c>
      <c r="D225" s="4" t="s">
        <v>14</v>
      </c>
      <c r="E225" s="4" t="s">
        <v>13</v>
      </c>
      <c r="F225" s="4">
        <v>2236</v>
      </c>
      <c r="G225" s="4">
        <v>22</v>
      </c>
      <c r="H225" s="4">
        <v>126</v>
      </c>
      <c r="I225" s="6">
        <v>211.82058892561983</v>
      </c>
      <c r="J225" s="4"/>
      <c r="K225" s="4"/>
      <c r="L225" s="4"/>
      <c r="M225" s="4"/>
      <c r="N225" s="4"/>
      <c r="O225" s="4"/>
      <c r="P225" s="4"/>
      <c r="Q225" s="4"/>
      <c r="R225" s="4"/>
      <c r="S225" s="4"/>
      <c r="T225" s="4"/>
      <c r="U225" s="4"/>
      <c r="V225" s="4"/>
      <c r="W225" s="4"/>
      <c r="X225" s="4"/>
      <c r="Y225" s="4"/>
      <c r="Z225" s="4"/>
    </row>
    <row r="226" spans="1:26">
      <c r="A226" s="5">
        <v>43160</v>
      </c>
      <c r="B226" s="4" t="s">
        <v>20</v>
      </c>
      <c r="C226" s="4" t="s">
        <v>18</v>
      </c>
      <c r="D226" s="4" t="s">
        <v>15</v>
      </c>
      <c r="E226" s="4" t="s">
        <v>12</v>
      </c>
      <c r="F226" s="4">
        <v>1356683</v>
      </c>
      <c r="G226" s="4">
        <v>9112</v>
      </c>
      <c r="H226" s="4">
        <v>17105</v>
      </c>
      <c r="I226" s="6">
        <v>2788.5487341772155</v>
      </c>
      <c r="J226" s="4"/>
      <c r="K226" s="4"/>
      <c r="L226" s="4"/>
      <c r="M226" s="4"/>
      <c r="N226" s="4"/>
      <c r="O226" s="4"/>
      <c r="P226" s="4"/>
      <c r="Q226" s="4"/>
      <c r="R226" s="4"/>
      <c r="S226" s="4"/>
      <c r="T226" s="4"/>
      <c r="U226" s="4"/>
      <c r="V226" s="4"/>
      <c r="W226" s="4"/>
      <c r="X226" s="4"/>
      <c r="Y226" s="4"/>
      <c r="Z226" s="4"/>
    </row>
    <row r="227" spans="1:26">
      <c r="A227" s="5">
        <v>43160</v>
      </c>
      <c r="B227" s="4" t="s">
        <v>20</v>
      </c>
      <c r="C227" s="4" t="s">
        <v>18</v>
      </c>
      <c r="D227" s="4" t="s">
        <v>15</v>
      </c>
      <c r="E227" s="4" t="s">
        <v>13</v>
      </c>
      <c r="F227" s="4">
        <v>466</v>
      </c>
      <c r="G227" s="4">
        <v>0</v>
      </c>
      <c r="H227" s="4">
        <v>0</v>
      </c>
      <c r="I227" s="6">
        <v>0</v>
      </c>
      <c r="J227" s="4"/>
      <c r="K227" s="4"/>
      <c r="L227" s="4"/>
      <c r="M227" s="4"/>
      <c r="N227" s="4"/>
      <c r="O227" s="4"/>
      <c r="P227" s="4"/>
      <c r="Q227" s="4"/>
      <c r="R227" s="4"/>
      <c r="S227" s="4"/>
      <c r="T227" s="4"/>
      <c r="U227" s="4"/>
      <c r="V227" s="4"/>
      <c r="W227" s="4"/>
      <c r="X227" s="4"/>
      <c r="Y227" s="4"/>
      <c r="Z227" s="4"/>
    </row>
    <row r="228" spans="1:26">
      <c r="A228" s="5">
        <v>43160</v>
      </c>
      <c r="B228" s="4" t="s">
        <v>20</v>
      </c>
      <c r="C228" s="4" t="s">
        <v>18</v>
      </c>
      <c r="D228" s="4" t="s">
        <v>16</v>
      </c>
      <c r="E228" s="4" t="s">
        <v>12</v>
      </c>
      <c r="F228" s="4">
        <v>19952220</v>
      </c>
      <c r="G228" s="4">
        <v>65189</v>
      </c>
      <c r="H228" s="4">
        <v>121420</v>
      </c>
      <c r="I228" s="6">
        <v>40064.684372041243</v>
      </c>
      <c r="J228" s="4"/>
      <c r="K228" s="4"/>
      <c r="L228" s="4"/>
      <c r="M228" s="4"/>
      <c r="N228" s="4"/>
      <c r="O228" s="4"/>
      <c r="P228" s="4"/>
      <c r="Q228" s="4"/>
      <c r="R228" s="4"/>
      <c r="S228" s="4"/>
      <c r="T228" s="4"/>
      <c r="U228" s="4"/>
      <c r="V228" s="4"/>
      <c r="W228" s="4"/>
      <c r="X228" s="4"/>
      <c r="Y228" s="4"/>
      <c r="Z228" s="4"/>
    </row>
    <row r="229" spans="1:26">
      <c r="A229" s="5">
        <v>43160</v>
      </c>
      <c r="B229" s="4" t="s">
        <v>20</v>
      </c>
      <c r="C229" s="4" t="s">
        <v>18</v>
      </c>
      <c r="D229" s="4" t="s">
        <v>16</v>
      </c>
      <c r="E229" s="4" t="s">
        <v>13</v>
      </c>
      <c r="F229" s="4">
        <v>24443</v>
      </c>
      <c r="G229" s="4">
        <v>76</v>
      </c>
      <c r="H229" s="4">
        <v>828</v>
      </c>
      <c r="I229" s="6">
        <v>1109.5008628659475</v>
      </c>
      <c r="J229" s="4"/>
      <c r="K229" s="4"/>
      <c r="L229" s="4"/>
      <c r="M229" s="4"/>
      <c r="N229" s="4"/>
      <c r="O229" s="4"/>
      <c r="P229" s="4"/>
      <c r="Q229" s="4"/>
      <c r="R229" s="4"/>
      <c r="S229" s="4"/>
      <c r="T229" s="4"/>
      <c r="U229" s="4"/>
      <c r="V229" s="4"/>
      <c r="W229" s="4"/>
      <c r="X229" s="4"/>
      <c r="Y229" s="4"/>
      <c r="Z229" s="4"/>
    </row>
    <row r="230" spans="1:26">
      <c r="A230" s="5">
        <v>43160</v>
      </c>
      <c r="B230" s="4" t="s">
        <v>20</v>
      </c>
      <c r="C230" s="4" t="s">
        <v>18</v>
      </c>
      <c r="D230" s="4" t="s">
        <v>17</v>
      </c>
      <c r="E230" s="4" t="s">
        <v>12</v>
      </c>
      <c r="F230" s="4">
        <v>3515389</v>
      </c>
      <c r="G230" s="4">
        <v>22005</v>
      </c>
      <c r="H230" s="4">
        <v>38656</v>
      </c>
      <c r="I230" s="6">
        <v>13176.23083177166</v>
      </c>
      <c r="J230" s="4"/>
      <c r="K230" s="4"/>
      <c r="L230" s="4"/>
      <c r="M230" s="4"/>
      <c r="N230" s="4"/>
      <c r="O230" s="4"/>
      <c r="P230" s="4"/>
      <c r="Q230" s="4"/>
      <c r="R230" s="4"/>
      <c r="S230" s="4"/>
      <c r="T230" s="4"/>
      <c r="U230" s="4"/>
      <c r="V230" s="4"/>
      <c r="W230" s="4"/>
      <c r="X230" s="4"/>
      <c r="Y230" s="4"/>
      <c r="Z230" s="4"/>
    </row>
    <row r="231" spans="1:26">
      <c r="A231" s="5">
        <v>43160</v>
      </c>
      <c r="B231" s="4" t="s">
        <v>20</v>
      </c>
      <c r="C231" s="4" t="s">
        <v>18</v>
      </c>
      <c r="D231" s="4" t="s">
        <v>17</v>
      </c>
      <c r="E231" s="4" t="s">
        <v>13</v>
      </c>
      <c r="F231" s="4">
        <v>1413</v>
      </c>
      <c r="G231" s="4">
        <v>14</v>
      </c>
      <c r="H231" s="4">
        <v>78</v>
      </c>
      <c r="I231" s="6">
        <v>48.728804347826085</v>
      </c>
      <c r="J231" s="4"/>
      <c r="K231" s="4"/>
      <c r="L231" s="4"/>
      <c r="M231" s="4"/>
      <c r="N231" s="4"/>
      <c r="O231" s="4"/>
      <c r="P231" s="4"/>
      <c r="Q231" s="4"/>
      <c r="R231" s="4"/>
      <c r="S231" s="4"/>
      <c r="T231" s="4"/>
      <c r="U231" s="4"/>
      <c r="V231" s="4"/>
      <c r="W231" s="4"/>
      <c r="X231" s="4"/>
      <c r="Y231" s="4"/>
      <c r="Z231" s="4"/>
    </row>
    <row r="232" spans="1:26">
      <c r="A232" s="5">
        <v>43160</v>
      </c>
      <c r="B232" s="4" t="s">
        <v>20</v>
      </c>
      <c r="C232" s="4" t="s">
        <v>19</v>
      </c>
      <c r="D232" s="4" t="s">
        <v>11</v>
      </c>
      <c r="E232" s="4" t="s">
        <v>12</v>
      </c>
      <c r="F232" s="4">
        <v>694066</v>
      </c>
      <c r="G232" s="4">
        <v>2100</v>
      </c>
      <c r="H232" s="4">
        <v>2258</v>
      </c>
      <c r="I232" s="6">
        <v>7906.9900122925628</v>
      </c>
      <c r="J232" s="4"/>
      <c r="K232" s="4"/>
      <c r="L232" s="4"/>
      <c r="M232" s="4"/>
      <c r="N232" s="4"/>
      <c r="O232" s="4"/>
      <c r="P232" s="4"/>
      <c r="Q232" s="4"/>
      <c r="R232" s="4"/>
      <c r="S232" s="4"/>
      <c r="T232" s="4"/>
      <c r="U232" s="4"/>
      <c r="V232" s="4"/>
      <c r="W232" s="4"/>
      <c r="X232" s="4"/>
      <c r="Y232" s="4"/>
      <c r="Z232" s="4"/>
    </row>
    <row r="233" spans="1:26">
      <c r="A233" s="5">
        <v>43160</v>
      </c>
      <c r="B233" s="4" t="s">
        <v>20</v>
      </c>
      <c r="C233" s="4" t="s">
        <v>19</v>
      </c>
      <c r="D233" s="4" t="s">
        <v>11</v>
      </c>
      <c r="E233" s="4" t="s">
        <v>13</v>
      </c>
      <c r="F233" s="4">
        <v>940</v>
      </c>
      <c r="G233" s="4">
        <v>33</v>
      </c>
      <c r="H233" s="4">
        <v>194</v>
      </c>
      <c r="I233" s="6">
        <v>913.81505952380962</v>
      </c>
      <c r="J233" s="4"/>
      <c r="K233" s="4"/>
      <c r="L233" s="4"/>
      <c r="M233" s="4"/>
      <c r="N233" s="4"/>
      <c r="O233" s="4"/>
      <c r="P233" s="4"/>
      <c r="Q233" s="4"/>
      <c r="R233" s="4"/>
      <c r="S233" s="4"/>
      <c r="T233" s="4"/>
      <c r="U233" s="4"/>
      <c r="V233" s="4"/>
      <c r="W233" s="4"/>
      <c r="X233" s="4"/>
      <c r="Y233" s="4"/>
      <c r="Z233" s="4"/>
    </row>
    <row r="234" spans="1:26">
      <c r="A234" s="5">
        <v>43160</v>
      </c>
      <c r="B234" s="4" t="s">
        <v>20</v>
      </c>
      <c r="C234" s="4" t="s">
        <v>19</v>
      </c>
      <c r="D234" s="4" t="s">
        <v>14</v>
      </c>
      <c r="E234" s="4" t="s">
        <v>12</v>
      </c>
      <c r="F234" s="4">
        <v>1633084</v>
      </c>
      <c r="G234" s="4">
        <v>5403</v>
      </c>
      <c r="H234" s="4">
        <v>5458</v>
      </c>
      <c r="I234" s="6">
        <v>16774.631250159298</v>
      </c>
      <c r="J234" s="4"/>
      <c r="K234" s="4"/>
      <c r="L234" s="4"/>
      <c r="M234" s="4"/>
      <c r="N234" s="4"/>
      <c r="O234" s="4"/>
      <c r="P234" s="4"/>
      <c r="Q234" s="4"/>
      <c r="R234" s="4"/>
      <c r="S234" s="4"/>
      <c r="T234" s="4"/>
      <c r="U234" s="4"/>
      <c r="V234" s="4"/>
      <c r="W234" s="4"/>
      <c r="X234" s="4"/>
      <c r="Y234" s="4"/>
      <c r="Z234" s="4"/>
    </row>
    <row r="235" spans="1:26">
      <c r="A235" s="5">
        <v>43160</v>
      </c>
      <c r="B235" s="4" t="s">
        <v>20</v>
      </c>
      <c r="C235" s="4" t="s">
        <v>19</v>
      </c>
      <c r="D235" s="4" t="s">
        <v>14</v>
      </c>
      <c r="E235" s="4" t="s">
        <v>13</v>
      </c>
      <c r="F235" s="4">
        <v>2463</v>
      </c>
      <c r="G235" s="4">
        <v>96</v>
      </c>
      <c r="H235" s="4">
        <v>398</v>
      </c>
      <c r="I235" s="6">
        <v>1880.2556591639868</v>
      </c>
      <c r="J235" s="4"/>
      <c r="K235" s="4"/>
      <c r="L235" s="4"/>
      <c r="M235" s="4"/>
      <c r="N235" s="4"/>
      <c r="O235" s="4"/>
      <c r="P235" s="4"/>
      <c r="Q235" s="4"/>
      <c r="R235" s="4"/>
      <c r="S235" s="4"/>
      <c r="T235" s="4"/>
      <c r="U235" s="4"/>
      <c r="V235" s="4"/>
      <c r="W235" s="4"/>
      <c r="X235" s="4"/>
      <c r="Y235" s="4"/>
      <c r="Z235" s="4"/>
    </row>
    <row r="236" spans="1:26">
      <c r="A236" s="5">
        <v>43160</v>
      </c>
      <c r="B236" s="4" t="s">
        <v>20</v>
      </c>
      <c r="C236" s="4" t="s">
        <v>19</v>
      </c>
      <c r="D236" s="4" t="s">
        <v>15</v>
      </c>
      <c r="E236" s="4" t="s">
        <v>12</v>
      </c>
      <c r="F236" s="4">
        <v>424566</v>
      </c>
      <c r="G236" s="4">
        <v>1465</v>
      </c>
      <c r="H236" s="4">
        <v>1484</v>
      </c>
      <c r="I236" s="6">
        <v>5380.5313246268652</v>
      </c>
      <c r="J236" s="4"/>
      <c r="K236" s="4"/>
      <c r="L236" s="4"/>
      <c r="M236" s="4"/>
      <c r="N236" s="4"/>
      <c r="O236" s="4"/>
      <c r="P236" s="4"/>
      <c r="Q236" s="4"/>
      <c r="R236" s="4"/>
      <c r="S236" s="4"/>
      <c r="T236" s="4"/>
      <c r="U236" s="4"/>
      <c r="V236" s="4"/>
      <c r="W236" s="4"/>
      <c r="X236" s="4"/>
      <c r="Y236" s="4"/>
      <c r="Z236" s="4"/>
    </row>
    <row r="237" spans="1:26">
      <c r="A237" s="5">
        <v>43160</v>
      </c>
      <c r="B237" s="4" t="s">
        <v>20</v>
      </c>
      <c r="C237" s="4" t="s">
        <v>19</v>
      </c>
      <c r="D237" s="4" t="s">
        <v>15</v>
      </c>
      <c r="E237" s="4" t="s">
        <v>13</v>
      </c>
      <c r="F237" s="4">
        <v>424</v>
      </c>
      <c r="G237" s="4">
        <v>9</v>
      </c>
      <c r="H237" s="4">
        <v>91</v>
      </c>
      <c r="I237" s="6">
        <v>125.46505263157896</v>
      </c>
      <c r="J237" s="4"/>
      <c r="K237" s="4"/>
      <c r="L237" s="4"/>
      <c r="M237" s="4"/>
      <c r="N237" s="4"/>
      <c r="O237" s="4"/>
      <c r="P237" s="4"/>
      <c r="Q237" s="4"/>
      <c r="R237" s="4"/>
      <c r="S237" s="4"/>
      <c r="T237" s="4"/>
      <c r="U237" s="4"/>
      <c r="V237" s="4"/>
      <c r="W237" s="4"/>
      <c r="X237" s="4"/>
      <c r="Y237" s="4"/>
      <c r="Z237" s="4"/>
    </row>
    <row r="238" spans="1:26">
      <c r="A238" s="5">
        <v>43160</v>
      </c>
      <c r="B238" s="4" t="s">
        <v>20</v>
      </c>
      <c r="C238" s="4" t="s">
        <v>19</v>
      </c>
      <c r="D238" s="4" t="s">
        <v>16</v>
      </c>
      <c r="E238" s="4" t="s">
        <v>12</v>
      </c>
      <c r="F238" s="4">
        <v>3813006</v>
      </c>
      <c r="G238" s="4">
        <v>10587</v>
      </c>
      <c r="H238" s="4">
        <v>10855</v>
      </c>
      <c r="I238" s="6">
        <v>50400.957803579447</v>
      </c>
      <c r="J238" s="4"/>
      <c r="K238" s="4"/>
      <c r="L238" s="4"/>
      <c r="M238" s="4"/>
      <c r="N238" s="4"/>
      <c r="O238" s="4"/>
      <c r="P238" s="4"/>
      <c r="Q238" s="4"/>
      <c r="R238" s="4"/>
      <c r="S238" s="4"/>
      <c r="T238" s="4"/>
      <c r="U238" s="4"/>
      <c r="V238" s="4"/>
      <c r="W238" s="4"/>
      <c r="X238" s="4"/>
      <c r="Y238" s="4"/>
      <c r="Z238" s="4"/>
    </row>
    <row r="239" spans="1:26">
      <c r="A239" s="5">
        <v>43160</v>
      </c>
      <c r="B239" s="4" t="s">
        <v>20</v>
      </c>
      <c r="C239" s="4" t="s">
        <v>19</v>
      </c>
      <c r="D239" s="4" t="s">
        <v>16</v>
      </c>
      <c r="E239" s="4" t="s">
        <v>13</v>
      </c>
      <c r="F239" s="4">
        <v>3786</v>
      </c>
      <c r="G239" s="4">
        <v>151</v>
      </c>
      <c r="H239" s="4">
        <v>774</v>
      </c>
      <c r="I239" s="6">
        <v>4675.7147989734813</v>
      </c>
      <c r="J239" s="4"/>
      <c r="K239" s="4"/>
      <c r="L239" s="4"/>
      <c r="M239" s="4"/>
      <c r="N239" s="4"/>
      <c r="O239" s="4"/>
      <c r="P239" s="4"/>
      <c r="Q239" s="4"/>
      <c r="R239" s="4"/>
      <c r="S239" s="4"/>
      <c r="T239" s="4"/>
      <c r="U239" s="4"/>
      <c r="V239" s="4"/>
      <c r="W239" s="4"/>
      <c r="X239" s="4"/>
      <c r="Y239" s="4"/>
      <c r="Z239" s="4"/>
    </row>
    <row r="240" spans="1:26">
      <c r="A240" s="5">
        <v>43160</v>
      </c>
      <c r="B240" s="4" t="s">
        <v>20</v>
      </c>
      <c r="C240" s="4" t="s">
        <v>19</v>
      </c>
      <c r="D240" s="4" t="s">
        <v>17</v>
      </c>
      <c r="E240" s="4" t="s">
        <v>12</v>
      </c>
      <c r="F240" s="4">
        <v>1165626</v>
      </c>
      <c r="G240" s="4">
        <v>3752</v>
      </c>
      <c r="H240" s="4">
        <v>3788</v>
      </c>
      <c r="I240" s="6">
        <v>14992.5341677372</v>
      </c>
      <c r="J240" s="4"/>
      <c r="K240" s="4"/>
      <c r="L240" s="4"/>
      <c r="M240" s="4"/>
      <c r="N240" s="4"/>
      <c r="O240" s="4"/>
      <c r="P240" s="4"/>
      <c r="Q240" s="4"/>
      <c r="R240" s="4"/>
      <c r="S240" s="4"/>
      <c r="T240" s="4"/>
      <c r="U240" s="4"/>
      <c r="V240" s="4"/>
      <c r="W240" s="4"/>
      <c r="X240" s="4"/>
      <c r="Y240" s="4"/>
      <c r="Z240" s="4"/>
    </row>
    <row r="241" spans="1:26">
      <c r="A241" s="5">
        <v>43160</v>
      </c>
      <c r="B241" s="4" t="s">
        <v>20</v>
      </c>
      <c r="C241" s="4" t="s">
        <v>19</v>
      </c>
      <c r="D241" s="4" t="s">
        <v>17</v>
      </c>
      <c r="E241" s="4" t="s">
        <v>13</v>
      </c>
      <c r="F241" s="4">
        <v>1352</v>
      </c>
      <c r="G241" s="4">
        <v>42</v>
      </c>
      <c r="H241" s="4">
        <v>496</v>
      </c>
      <c r="I241" s="6">
        <v>1079.2936352800953</v>
      </c>
      <c r="J241" s="4"/>
      <c r="K241" s="4"/>
      <c r="L241" s="4"/>
      <c r="M241" s="4"/>
      <c r="N241" s="4"/>
      <c r="O241" s="4"/>
      <c r="P241" s="4"/>
      <c r="Q241" s="4"/>
      <c r="R241" s="4"/>
      <c r="S241" s="4"/>
      <c r="T241" s="4"/>
      <c r="U241" s="4"/>
      <c r="V241" s="4"/>
      <c r="W241" s="4"/>
      <c r="X241" s="4"/>
      <c r="Y241" s="4"/>
      <c r="Z241" s="4"/>
    </row>
    <row r="242" spans="1:26">
      <c r="A242" s="5">
        <v>43160</v>
      </c>
      <c r="B242" s="4" t="s">
        <v>21</v>
      </c>
      <c r="C242" s="4" t="s">
        <v>10</v>
      </c>
      <c r="D242" s="4" t="s">
        <v>11</v>
      </c>
      <c r="E242" s="4" t="s">
        <v>12</v>
      </c>
      <c r="F242" s="4">
        <v>1215475</v>
      </c>
      <c r="G242" s="4">
        <v>9939</v>
      </c>
      <c r="H242" s="4">
        <v>12468</v>
      </c>
      <c r="I242" s="6">
        <v>18552.851219256114</v>
      </c>
      <c r="J242" s="4"/>
      <c r="K242" s="4"/>
      <c r="L242" s="4"/>
      <c r="M242" s="4"/>
      <c r="N242" s="4"/>
      <c r="O242" s="4"/>
      <c r="P242" s="4"/>
      <c r="Q242" s="4"/>
      <c r="R242" s="4"/>
      <c r="S242" s="4"/>
      <c r="T242" s="4"/>
      <c r="U242" s="4"/>
      <c r="V242" s="4"/>
      <c r="W242" s="4"/>
      <c r="X242" s="4"/>
      <c r="Y242" s="4"/>
      <c r="Z242" s="4"/>
    </row>
    <row r="243" spans="1:26">
      <c r="A243" s="5">
        <v>43160</v>
      </c>
      <c r="B243" s="4" t="s">
        <v>21</v>
      </c>
      <c r="C243" s="4" t="s">
        <v>10</v>
      </c>
      <c r="D243" s="4" t="s">
        <v>11</v>
      </c>
      <c r="E243" s="4" t="s">
        <v>13</v>
      </c>
      <c r="F243" s="4">
        <v>14596</v>
      </c>
      <c r="G243" s="4">
        <v>859</v>
      </c>
      <c r="H243" s="4">
        <v>14455</v>
      </c>
      <c r="I243" s="6">
        <v>79921.0555937709</v>
      </c>
      <c r="J243" s="4"/>
      <c r="K243" s="4"/>
      <c r="L243" s="4"/>
      <c r="M243" s="4"/>
      <c r="N243" s="4"/>
      <c r="O243" s="4"/>
      <c r="P243" s="4"/>
      <c r="Q243" s="4"/>
      <c r="R243" s="4"/>
      <c r="S243" s="4"/>
      <c r="T243" s="4"/>
      <c r="U243" s="4"/>
      <c r="V243" s="4"/>
      <c r="W243" s="4"/>
      <c r="X243" s="4"/>
      <c r="Y243" s="4"/>
      <c r="Z243" s="4"/>
    </row>
    <row r="244" spans="1:26">
      <c r="A244" s="5">
        <v>43160</v>
      </c>
      <c r="B244" s="4" t="s">
        <v>21</v>
      </c>
      <c r="C244" s="4" t="s">
        <v>10</v>
      </c>
      <c r="D244" s="4" t="s">
        <v>14</v>
      </c>
      <c r="E244" s="4" t="s">
        <v>12</v>
      </c>
      <c r="F244" s="4">
        <v>1867979</v>
      </c>
      <c r="G244" s="4">
        <v>11556</v>
      </c>
      <c r="H244" s="4">
        <v>13169</v>
      </c>
      <c r="I244" s="6">
        <v>27983.108357656514</v>
      </c>
      <c r="J244" s="4"/>
      <c r="K244" s="4"/>
      <c r="L244" s="4"/>
      <c r="M244" s="4"/>
      <c r="N244" s="4"/>
      <c r="O244" s="4"/>
      <c r="P244" s="4"/>
      <c r="Q244" s="4"/>
      <c r="R244" s="4"/>
      <c r="S244" s="4"/>
      <c r="T244" s="4"/>
      <c r="U244" s="4"/>
      <c r="V244" s="4"/>
      <c r="W244" s="4"/>
      <c r="X244" s="4"/>
      <c r="Y244" s="4"/>
      <c r="Z244" s="4"/>
    </row>
    <row r="245" spans="1:26">
      <c r="A245" s="5">
        <v>43160</v>
      </c>
      <c r="B245" s="4" t="s">
        <v>21</v>
      </c>
      <c r="C245" s="4" t="s">
        <v>10</v>
      </c>
      <c r="D245" s="4" t="s">
        <v>14</v>
      </c>
      <c r="E245" s="4" t="s">
        <v>13</v>
      </c>
      <c r="F245" s="4">
        <v>17666</v>
      </c>
      <c r="G245" s="4">
        <v>1130</v>
      </c>
      <c r="H245" s="4">
        <v>15530</v>
      </c>
      <c r="I245" s="6">
        <v>94630.351803366284</v>
      </c>
      <c r="J245" s="4"/>
      <c r="K245" s="4"/>
      <c r="L245" s="4"/>
      <c r="M245" s="4"/>
      <c r="N245" s="4"/>
      <c r="O245" s="4"/>
      <c r="P245" s="4"/>
      <c r="Q245" s="4"/>
      <c r="R245" s="4"/>
      <c r="S245" s="4"/>
      <c r="T245" s="4"/>
      <c r="U245" s="4"/>
      <c r="V245" s="4"/>
      <c r="W245" s="4"/>
      <c r="X245" s="4"/>
      <c r="Y245" s="4"/>
      <c r="Z245" s="4"/>
    </row>
    <row r="246" spans="1:26">
      <c r="A246" s="5">
        <v>43160</v>
      </c>
      <c r="B246" s="4" t="s">
        <v>21</v>
      </c>
      <c r="C246" s="4" t="s">
        <v>10</v>
      </c>
      <c r="D246" s="4" t="s">
        <v>15</v>
      </c>
      <c r="E246" s="4" t="s">
        <v>12</v>
      </c>
      <c r="F246" s="4">
        <v>496126</v>
      </c>
      <c r="G246" s="4">
        <v>3187</v>
      </c>
      <c r="H246" s="4">
        <v>3740</v>
      </c>
      <c r="I246" s="6">
        <v>6886.2002972872533</v>
      </c>
      <c r="J246" s="4"/>
      <c r="K246" s="4"/>
      <c r="L246" s="4"/>
      <c r="M246" s="4"/>
      <c r="N246" s="4"/>
      <c r="O246" s="4"/>
      <c r="P246" s="4"/>
      <c r="Q246" s="4"/>
      <c r="R246" s="4"/>
      <c r="S246" s="4"/>
      <c r="T246" s="4"/>
      <c r="U246" s="4"/>
      <c r="V246" s="4"/>
      <c r="W246" s="4"/>
      <c r="X246" s="4"/>
      <c r="Y246" s="4"/>
      <c r="Z246" s="4"/>
    </row>
    <row r="247" spans="1:26">
      <c r="A247" s="5">
        <v>43160</v>
      </c>
      <c r="B247" s="4" t="s">
        <v>21</v>
      </c>
      <c r="C247" s="4" t="s">
        <v>10</v>
      </c>
      <c r="D247" s="4" t="s">
        <v>15</v>
      </c>
      <c r="E247" s="4" t="s">
        <v>13</v>
      </c>
      <c r="F247" s="4">
        <v>4338</v>
      </c>
      <c r="G247" s="4">
        <v>284</v>
      </c>
      <c r="H247" s="4">
        <v>3091</v>
      </c>
      <c r="I247" s="6">
        <v>22681.278186801141</v>
      </c>
      <c r="J247" s="4"/>
      <c r="K247" s="4"/>
      <c r="L247" s="4"/>
      <c r="M247" s="4"/>
      <c r="N247" s="4"/>
      <c r="O247" s="4"/>
      <c r="P247" s="4"/>
      <c r="Q247" s="4"/>
      <c r="R247" s="4"/>
      <c r="S247" s="4"/>
      <c r="T247" s="4"/>
      <c r="U247" s="4"/>
      <c r="V247" s="4"/>
      <c r="W247" s="4"/>
      <c r="X247" s="4"/>
      <c r="Y247" s="4"/>
      <c r="Z247" s="4"/>
    </row>
    <row r="248" spans="1:26">
      <c r="A248" s="5">
        <v>43160</v>
      </c>
      <c r="B248" s="4" t="s">
        <v>21</v>
      </c>
      <c r="C248" s="4" t="s">
        <v>10</v>
      </c>
      <c r="D248" s="4" t="s">
        <v>16</v>
      </c>
      <c r="E248" s="4" t="s">
        <v>12</v>
      </c>
      <c r="F248" s="4">
        <v>6326432</v>
      </c>
      <c r="G248" s="4">
        <v>52667</v>
      </c>
      <c r="H248" s="4">
        <v>58331</v>
      </c>
      <c r="I248" s="6">
        <v>143249.31396956777</v>
      </c>
      <c r="J248" s="4"/>
      <c r="K248" s="4"/>
      <c r="L248" s="4"/>
      <c r="M248" s="4"/>
      <c r="N248" s="4"/>
      <c r="O248" s="4"/>
      <c r="P248" s="4"/>
      <c r="Q248" s="4"/>
      <c r="R248" s="4"/>
      <c r="S248" s="4"/>
      <c r="T248" s="4"/>
      <c r="U248" s="4"/>
      <c r="V248" s="4"/>
      <c r="W248" s="4"/>
      <c r="X248" s="4"/>
      <c r="Y248" s="4"/>
      <c r="Z248" s="4"/>
    </row>
    <row r="249" spans="1:26">
      <c r="A249" s="5">
        <v>43160</v>
      </c>
      <c r="B249" s="4" t="s">
        <v>21</v>
      </c>
      <c r="C249" s="4" t="s">
        <v>10</v>
      </c>
      <c r="D249" s="4" t="s">
        <v>16</v>
      </c>
      <c r="E249" s="4" t="s">
        <v>13</v>
      </c>
      <c r="F249" s="4">
        <v>77672</v>
      </c>
      <c r="G249" s="4">
        <v>5558</v>
      </c>
      <c r="H249" s="4">
        <v>80074</v>
      </c>
      <c r="I249" s="6">
        <v>450321.88301052281</v>
      </c>
      <c r="J249" s="4"/>
      <c r="K249" s="4"/>
      <c r="L249" s="4"/>
      <c r="M249" s="4"/>
      <c r="N249" s="4"/>
      <c r="O249" s="4"/>
      <c r="P249" s="4"/>
      <c r="Q249" s="4"/>
      <c r="R249" s="4"/>
      <c r="S249" s="4"/>
      <c r="T249" s="4"/>
      <c r="U249" s="4"/>
      <c r="V249" s="4"/>
      <c r="W249" s="4"/>
      <c r="X249" s="4"/>
      <c r="Y249" s="4"/>
      <c r="Z249" s="4"/>
    </row>
    <row r="250" spans="1:26">
      <c r="A250" s="5">
        <v>43160</v>
      </c>
      <c r="B250" s="4" t="s">
        <v>21</v>
      </c>
      <c r="C250" s="4" t="s">
        <v>10</v>
      </c>
      <c r="D250" s="4" t="s">
        <v>17</v>
      </c>
      <c r="E250" s="4" t="s">
        <v>12</v>
      </c>
      <c r="F250" s="4">
        <v>2069359</v>
      </c>
      <c r="G250" s="4">
        <v>21863</v>
      </c>
      <c r="H250" s="4">
        <v>23869</v>
      </c>
      <c r="I250" s="6">
        <v>59054.332671218886</v>
      </c>
      <c r="J250" s="4"/>
      <c r="K250" s="4"/>
      <c r="L250" s="4"/>
      <c r="M250" s="4"/>
      <c r="N250" s="4"/>
      <c r="O250" s="4"/>
      <c r="P250" s="4"/>
      <c r="Q250" s="4"/>
      <c r="R250" s="4"/>
      <c r="S250" s="4"/>
      <c r="T250" s="4"/>
      <c r="U250" s="4"/>
      <c r="V250" s="4"/>
      <c r="W250" s="4"/>
      <c r="X250" s="4"/>
      <c r="Y250" s="4"/>
      <c r="Z250" s="4"/>
    </row>
    <row r="251" spans="1:26">
      <c r="A251" s="5">
        <v>43160</v>
      </c>
      <c r="B251" s="4" t="s">
        <v>21</v>
      </c>
      <c r="C251" s="4" t="s">
        <v>10</v>
      </c>
      <c r="D251" s="4" t="s">
        <v>17</v>
      </c>
      <c r="E251" s="4" t="s">
        <v>13</v>
      </c>
      <c r="F251" s="4">
        <v>29674</v>
      </c>
      <c r="G251" s="4">
        <v>2456</v>
      </c>
      <c r="H251" s="4">
        <v>35502</v>
      </c>
      <c r="I251" s="6">
        <v>194408.95199999999</v>
      </c>
      <c r="J251" s="4"/>
      <c r="K251" s="4"/>
      <c r="L251" s="4"/>
      <c r="M251" s="4"/>
      <c r="N251" s="4"/>
      <c r="O251" s="4"/>
      <c r="P251" s="4"/>
      <c r="Q251" s="4"/>
      <c r="R251" s="4"/>
      <c r="S251" s="4"/>
      <c r="T251" s="4"/>
      <c r="U251" s="4"/>
      <c r="V251" s="4"/>
      <c r="W251" s="4"/>
      <c r="X251" s="4"/>
      <c r="Y251" s="4"/>
      <c r="Z251" s="4"/>
    </row>
    <row r="252" spans="1:26">
      <c r="A252" s="5">
        <v>43160</v>
      </c>
      <c r="B252" s="4" t="s">
        <v>21</v>
      </c>
      <c r="C252" s="4" t="s">
        <v>18</v>
      </c>
      <c r="D252" s="4" t="s">
        <v>11</v>
      </c>
      <c r="E252" s="4" t="s">
        <v>12</v>
      </c>
      <c r="F252" s="4">
        <v>1421079</v>
      </c>
      <c r="G252" s="4">
        <v>25721</v>
      </c>
      <c r="H252" s="4">
        <v>111898</v>
      </c>
      <c r="I252" s="6">
        <v>59632.14894616267</v>
      </c>
      <c r="J252" s="4"/>
      <c r="K252" s="4"/>
      <c r="L252" s="4"/>
      <c r="M252" s="4"/>
      <c r="N252" s="4"/>
      <c r="O252" s="4"/>
      <c r="P252" s="4"/>
      <c r="Q252" s="4"/>
      <c r="R252" s="4"/>
      <c r="S252" s="4"/>
      <c r="T252" s="4"/>
      <c r="U252" s="4"/>
      <c r="V252" s="4"/>
      <c r="W252" s="4"/>
      <c r="X252" s="4"/>
      <c r="Y252" s="4"/>
      <c r="Z252" s="4"/>
    </row>
    <row r="253" spans="1:26">
      <c r="A253" s="5">
        <v>43160</v>
      </c>
      <c r="B253" s="4" t="s">
        <v>21</v>
      </c>
      <c r="C253" s="4" t="s">
        <v>18</v>
      </c>
      <c r="D253" s="4" t="s">
        <v>11</v>
      </c>
      <c r="E253" s="4" t="s">
        <v>13</v>
      </c>
      <c r="F253" s="4">
        <v>10023</v>
      </c>
      <c r="G253" s="4">
        <v>295</v>
      </c>
      <c r="H253" s="4">
        <v>13078</v>
      </c>
      <c r="I253" s="6">
        <v>10338.518898186165</v>
      </c>
      <c r="J253" s="4"/>
      <c r="K253" s="4"/>
      <c r="L253" s="4"/>
      <c r="M253" s="4"/>
      <c r="N253" s="4"/>
      <c r="O253" s="4"/>
      <c r="P253" s="4"/>
      <c r="Q253" s="4"/>
      <c r="R253" s="4"/>
      <c r="S253" s="4"/>
      <c r="T253" s="4"/>
      <c r="U253" s="4"/>
      <c r="V253" s="4"/>
      <c r="W253" s="4"/>
      <c r="X253" s="4"/>
      <c r="Y253" s="4"/>
      <c r="Z253" s="4"/>
    </row>
    <row r="254" spans="1:26">
      <c r="A254" s="5">
        <v>43160</v>
      </c>
      <c r="B254" s="4" t="s">
        <v>21</v>
      </c>
      <c r="C254" s="4" t="s">
        <v>18</v>
      </c>
      <c r="D254" s="4" t="s">
        <v>14</v>
      </c>
      <c r="E254" s="4" t="s">
        <v>12</v>
      </c>
      <c r="F254" s="4">
        <v>2230548</v>
      </c>
      <c r="G254" s="4">
        <v>36663</v>
      </c>
      <c r="H254" s="4">
        <v>137304</v>
      </c>
      <c r="I254" s="6">
        <v>65842.856427393548</v>
      </c>
      <c r="J254" s="4"/>
      <c r="K254" s="4"/>
      <c r="L254" s="4"/>
      <c r="M254" s="4"/>
      <c r="N254" s="4"/>
      <c r="O254" s="4"/>
      <c r="P254" s="4"/>
      <c r="Q254" s="4"/>
      <c r="R254" s="4"/>
      <c r="S254" s="4"/>
      <c r="T254" s="4"/>
      <c r="U254" s="4"/>
      <c r="V254" s="4"/>
      <c r="W254" s="4"/>
      <c r="X254" s="4"/>
      <c r="Y254" s="4"/>
      <c r="Z254" s="4"/>
    </row>
    <row r="255" spans="1:26">
      <c r="A255" s="5">
        <v>43160</v>
      </c>
      <c r="B255" s="4" t="s">
        <v>21</v>
      </c>
      <c r="C255" s="4" t="s">
        <v>18</v>
      </c>
      <c r="D255" s="4" t="s">
        <v>14</v>
      </c>
      <c r="E255" s="4" t="s">
        <v>13</v>
      </c>
      <c r="F255" s="4">
        <v>13032</v>
      </c>
      <c r="G255" s="4">
        <v>337</v>
      </c>
      <c r="H255" s="4">
        <v>8096</v>
      </c>
      <c r="I255" s="6">
        <v>10206.302538071066</v>
      </c>
      <c r="J255" s="4"/>
      <c r="K255" s="4"/>
      <c r="L255" s="4"/>
      <c r="M255" s="4"/>
      <c r="N255" s="4"/>
      <c r="O255" s="4"/>
      <c r="P255" s="4"/>
      <c r="Q255" s="4"/>
      <c r="R255" s="4"/>
      <c r="S255" s="4"/>
      <c r="T255" s="4"/>
      <c r="U255" s="4"/>
      <c r="V255" s="4"/>
      <c r="W255" s="4"/>
      <c r="X255" s="4"/>
      <c r="Y255" s="4"/>
      <c r="Z255" s="4"/>
    </row>
    <row r="256" spans="1:26">
      <c r="A256" s="5">
        <v>43160</v>
      </c>
      <c r="B256" s="4" t="s">
        <v>21</v>
      </c>
      <c r="C256" s="4" t="s">
        <v>18</v>
      </c>
      <c r="D256" s="4" t="s">
        <v>15</v>
      </c>
      <c r="E256" s="4" t="s">
        <v>12</v>
      </c>
      <c r="F256" s="4">
        <v>770467</v>
      </c>
      <c r="G256" s="4">
        <v>11495</v>
      </c>
      <c r="H256" s="4">
        <v>54914</v>
      </c>
      <c r="I256" s="6">
        <v>17498.151453206028</v>
      </c>
      <c r="J256" s="4"/>
      <c r="K256" s="4"/>
      <c r="L256" s="4"/>
      <c r="M256" s="4"/>
      <c r="N256" s="4"/>
      <c r="O256" s="4"/>
      <c r="P256" s="4"/>
      <c r="Q256" s="4"/>
      <c r="R256" s="4"/>
      <c r="S256" s="4"/>
      <c r="T256" s="4"/>
      <c r="U256" s="4"/>
      <c r="V256" s="4"/>
      <c r="W256" s="4"/>
      <c r="X256" s="4"/>
      <c r="Y256" s="4"/>
      <c r="Z256" s="4"/>
    </row>
    <row r="257" spans="1:26">
      <c r="A257" s="5">
        <v>43160</v>
      </c>
      <c r="B257" s="4" t="s">
        <v>21</v>
      </c>
      <c r="C257" s="4" t="s">
        <v>18</v>
      </c>
      <c r="D257" s="4" t="s">
        <v>15</v>
      </c>
      <c r="E257" s="4" t="s">
        <v>13</v>
      </c>
      <c r="F257" s="4">
        <v>3987</v>
      </c>
      <c r="G257" s="4">
        <v>122</v>
      </c>
      <c r="H257" s="4">
        <v>3178</v>
      </c>
      <c r="I257" s="6">
        <v>1735.1244140465496</v>
      </c>
      <c r="J257" s="4"/>
      <c r="K257" s="4"/>
      <c r="L257" s="4"/>
      <c r="M257" s="4"/>
      <c r="N257" s="4"/>
      <c r="O257" s="4"/>
      <c r="P257" s="4"/>
      <c r="Q257" s="4"/>
      <c r="R257" s="4"/>
      <c r="S257" s="4"/>
      <c r="T257" s="4"/>
      <c r="U257" s="4"/>
      <c r="V257" s="4"/>
      <c r="W257" s="4"/>
      <c r="X257" s="4"/>
      <c r="Y257" s="4"/>
      <c r="Z257" s="4"/>
    </row>
    <row r="258" spans="1:26">
      <c r="A258" s="5">
        <v>43160</v>
      </c>
      <c r="B258" s="4" t="s">
        <v>21</v>
      </c>
      <c r="C258" s="4" t="s">
        <v>18</v>
      </c>
      <c r="D258" s="4" t="s">
        <v>16</v>
      </c>
      <c r="E258" s="4" t="s">
        <v>12</v>
      </c>
      <c r="F258" s="4">
        <v>19537309</v>
      </c>
      <c r="G258" s="4">
        <v>111937</v>
      </c>
      <c r="H258" s="4">
        <v>400117</v>
      </c>
      <c r="I258" s="6">
        <v>253423.52864877196</v>
      </c>
      <c r="J258" s="4"/>
      <c r="K258" s="4"/>
      <c r="L258" s="4"/>
      <c r="M258" s="4"/>
      <c r="N258" s="4"/>
      <c r="O258" s="4"/>
      <c r="P258" s="4"/>
      <c r="Q258" s="4"/>
      <c r="R258" s="4"/>
      <c r="S258" s="4"/>
      <c r="T258" s="4"/>
      <c r="U258" s="4"/>
      <c r="V258" s="4"/>
      <c r="W258" s="4"/>
      <c r="X258" s="4"/>
      <c r="Y258" s="4"/>
      <c r="Z258" s="4"/>
    </row>
    <row r="259" spans="1:26">
      <c r="A259" s="5">
        <v>43160</v>
      </c>
      <c r="B259" s="4" t="s">
        <v>21</v>
      </c>
      <c r="C259" s="4" t="s">
        <v>18</v>
      </c>
      <c r="D259" s="4" t="s">
        <v>16</v>
      </c>
      <c r="E259" s="4" t="s">
        <v>13</v>
      </c>
      <c r="F259" s="4">
        <v>514542</v>
      </c>
      <c r="G259" s="4">
        <v>1176</v>
      </c>
      <c r="H259" s="4">
        <v>41200</v>
      </c>
      <c r="I259" s="6">
        <v>30534.597132207258</v>
      </c>
      <c r="J259" s="4"/>
      <c r="K259" s="4"/>
      <c r="L259" s="4"/>
      <c r="M259" s="4"/>
      <c r="N259" s="4"/>
      <c r="O259" s="4"/>
      <c r="P259" s="4"/>
      <c r="Q259" s="4"/>
      <c r="R259" s="4"/>
      <c r="S259" s="4"/>
      <c r="T259" s="4"/>
      <c r="U259" s="4"/>
      <c r="V259" s="4"/>
      <c r="W259" s="4"/>
      <c r="X259" s="4"/>
      <c r="Y259" s="4"/>
      <c r="Z259" s="4"/>
    </row>
    <row r="260" spans="1:26">
      <c r="A260" s="5">
        <v>43160</v>
      </c>
      <c r="B260" s="4" t="s">
        <v>21</v>
      </c>
      <c r="C260" s="4" t="s">
        <v>18</v>
      </c>
      <c r="D260" s="4" t="s">
        <v>17</v>
      </c>
      <c r="E260" s="4" t="s">
        <v>12</v>
      </c>
      <c r="F260" s="4">
        <v>2593302</v>
      </c>
      <c r="G260" s="4">
        <v>40861</v>
      </c>
      <c r="H260" s="4">
        <v>134701</v>
      </c>
      <c r="I260" s="6">
        <v>96079.516628290061</v>
      </c>
      <c r="J260" s="4"/>
      <c r="K260" s="4"/>
      <c r="L260" s="4"/>
      <c r="M260" s="4"/>
      <c r="N260" s="4"/>
      <c r="O260" s="4"/>
      <c r="P260" s="4"/>
      <c r="Q260" s="4"/>
      <c r="R260" s="4"/>
      <c r="S260" s="4"/>
      <c r="T260" s="4"/>
      <c r="U260" s="4"/>
      <c r="V260" s="4"/>
      <c r="W260" s="4"/>
      <c r="X260" s="4"/>
      <c r="Y260" s="4"/>
      <c r="Z260" s="4"/>
    </row>
    <row r="261" spans="1:26">
      <c r="A261" s="5">
        <v>43160</v>
      </c>
      <c r="B261" s="4" t="s">
        <v>21</v>
      </c>
      <c r="C261" s="4" t="s">
        <v>18</v>
      </c>
      <c r="D261" s="4" t="s">
        <v>17</v>
      </c>
      <c r="E261" s="4" t="s">
        <v>13</v>
      </c>
      <c r="F261" s="4">
        <v>23476</v>
      </c>
      <c r="G261" s="4">
        <v>566</v>
      </c>
      <c r="H261" s="4">
        <v>21269</v>
      </c>
      <c r="I261" s="6">
        <v>17085.591721001005</v>
      </c>
      <c r="J261" s="4"/>
      <c r="K261" s="4"/>
      <c r="L261" s="4"/>
      <c r="M261" s="4"/>
      <c r="N261" s="4"/>
      <c r="O261" s="4"/>
      <c r="P261" s="4"/>
      <c r="Q261" s="4"/>
      <c r="R261" s="4"/>
      <c r="S261" s="4"/>
      <c r="T261" s="4"/>
      <c r="U261" s="4"/>
      <c r="V261" s="4"/>
      <c r="W261" s="4"/>
      <c r="X261" s="4"/>
      <c r="Y261" s="4"/>
      <c r="Z261" s="4"/>
    </row>
    <row r="262" spans="1:26">
      <c r="A262" s="5">
        <v>43160</v>
      </c>
      <c r="B262" s="4" t="s">
        <v>21</v>
      </c>
      <c r="C262" s="4" t="s">
        <v>19</v>
      </c>
      <c r="D262" s="4" t="s">
        <v>11</v>
      </c>
      <c r="E262" s="4" t="s">
        <v>12</v>
      </c>
      <c r="F262" s="4">
        <v>491657</v>
      </c>
      <c r="G262" s="4">
        <v>6941</v>
      </c>
      <c r="H262" s="4">
        <v>7192</v>
      </c>
      <c r="I262" s="6">
        <v>76226.679860627177</v>
      </c>
      <c r="J262" s="4"/>
      <c r="K262" s="4"/>
      <c r="L262" s="4"/>
      <c r="M262" s="4"/>
      <c r="N262" s="4"/>
      <c r="O262" s="4"/>
      <c r="P262" s="4"/>
      <c r="Q262" s="4"/>
      <c r="R262" s="4"/>
      <c r="S262" s="4"/>
      <c r="T262" s="4"/>
      <c r="U262" s="4"/>
      <c r="V262" s="4"/>
      <c r="W262" s="4"/>
      <c r="X262" s="4"/>
      <c r="Y262" s="4"/>
      <c r="Z262" s="4"/>
    </row>
    <row r="263" spans="1:26">
      <c r="A263" s="5">
        <v>43160</v>
      </c>
      <c r="B263" s="4" t="s">
        <v>21</v>
      </c>
      <c r="C263" s="4" t="s">
        <v>19</v>
      </c>
      <c r="D263" s="4" t="s">
        <v>11</v>
      </c>
      <c r="E263" s="4" t="s">
        <v>13</v>
      </c>
      <c r="F263" s="4">
        <v>12865</v>
      </c>
      <c r="G263" s="4">
        <v>1115</v>
      </c>
      <c r="H263" s="4">
        <v>32809</v>
      </c>
      <c r="I263" s="6">
        <v>18717.584992410506</v>
      </c>
      <c r="J263" s="4"/>
      <c r="K263" s="4"/>
      <c r="L263" s="4"/>
      <c r="M263" s="4"/>
      <c r="N263" s="4"/>
      <c r="O263" s="4"/>
      <c r="P263" s="4"/>
      <c r="Q263" s="4"/>
      <c r="R263" s="4"/>
      <c r="S263" s="4"/>
      <c r="T263" s="4"/>
      <c r="U263" s="4"/>
      <c r="V263" s="4"/>
      <c r="W263" s="4"/>
      <c r="X263" s="4"/>
      <c r="Y263" s="4"/>
      <c r="Z263" s="4"/>
    </row>
    <row r="264" spans="1:26">
      <c r="A264" s="5">
        <v>43160</v>
      </c>
      <c r="B264" s="4" t="s">
        <v>21</v>
      </c>
      <c r="C264" s="4" t="s">
        <v>19</v>
      </c>
      <c r="D264" s="4" t="s">
        <v>14</v>
      </c>
      <c r="E264" s="4" t="s">
        <v>12</v>
      </c>
      <c r="F264" s="4">
        <v>883496</v>
      </c>
      <c r="G264" s="4">
        <v>13854</v>
      </c>
      <c r="H264" s="4">
        <v>14928</v>
      </c>
      <c r="I264" s="6">
        <v>138804.41615675297</v>
      </c>
      <c r="J264" s="4"/>
      <c r="K264" s="4"/>
      <c r="L264" s="4"/>
      <c r="M264" s="4"/>
      <c r="N264" s="4"/>
      <c r="O264" s="4"/>
      <c r="P264" s="4"/>
      <c r="Q264" s="4"/>
      <c r="R264" s="4"/>
      <c r="S264" s="4"/>
      <c r="T264" s="4"/>
      <c r="U264" s="4"/>
      <c r="V264" s="4"/>
      <c r="W264" s="4"/>
      <c r="X264" s="4"/>
      <c r="Y264" s="4"/>
      <c r="Z264" s="4"/>
    </row>
    <row r="265" spans="1:26">
      <c r="A265" s="5">
        <v>43160</v>
      </c>
      <c r="B265" s="4" t="s">
        <v>21</v>
      </c>
      <c r="C265" s="4" t="s">
        <v>19</v>
      </c>
      <c r="D265" s="4" t="s">
        <v>14</v>
      </c>
      <c r="E265" s="4" t="s">
        <v>13</v>
      </c>
      <c r="F265" s="4">
        <v>25145</v>
      </c>
      <c r="G265" s="4">
        <v>2137</v>
      </c>
      <c r="H265" s="4">
        <v>100545</v>
      </c>
      <c r="I265" s="6">
        <v>31504.035242524831</v>
      </c>
      <c r="J265" s="4"/>
      <c r="K265" s="4"/>
      <c r="L265" s="4"/>
      <c r="M265" s="4"/>
      <c r="N265" s="4"/>
      <c r="O265" s="4"/>
      <c r="P265" s="4"/>
      <c r="Q265" s="4"/>
      <c r="R265" s="4"/>
      <c r="S265" s="4"/>
      <c r="T265" s="4"/>
      <c r="U265" s="4"/>
      <c r="V265" s="4"/>
      <c r="W265" s="4"/>
      <c r="X265" s="4"/>
      <c r="Y265" s="4"/>
      <c r="Z265" s="4"/>
    </row>
    <row r="266" spans="1:26">
      <c r="A266" s="5">
        <v>43160</v>
      </c>
      <c r="B266" s="4" t="s">
        <v>21</v>
      </c>
      <c r="C266" s="4" t="s">
        <v>19</v>
      </c>
      <c r="D266" s="4" t="s">
        <v>15</v>
      </c>
      <c r="E266" s="4" t="s">
        <v>12</v>
      </c>
      <c r="F266" s="4">
        <v>267722</v>
      </c>
      <c r="G266" s="4">
        <v>3747</v>
      </c>
      <c r="H266" s="4">
        <v>4034</v>
      </c>
      <c r="I266" s="6">
        <v>38147.409717241382</v>
      </c>
      <c r="J266" s="4"/>
      <c r="K266" s="4"/>
      <c r="L266" s="4"/>
      <c r="M266" s="4"/>
      <c r="N266" s="4"/>
      <c r="O266" s="4"/>
      <c r="P266" s="4"/>
      <c r="Q266" s="4"/>
      <c r="R266" s="4"/>
      <c r="S266" s="4"/>
      <c r="T266" s="4"/>
      <c r="U266" s="4"/>
      <c r="V266" s="4"/>
      <c r="W266" s="4"/>
      <c r="X266" s="4"/>
      <c r="Y266" s="4"/>
      <c r="Z266" s="4"/>
    </row>
    <row r="267" spans="1:26">
      <c r="A267" s="5">
        <v>43160</v>
      </c>
      <c r="B267" s="4" t="s">
        <v>21</v>
      </c>
      <c r="C267" s="4" t="s">
        <v>19</v>
      </c>
      <c r="D267" s="4" t="s">
        <v>15</v>
      </c>
      <c r="E267" s="4" t="s">
        <v>13</v>
      </c>
      <c r="F267" s="4">
        <v>7158</v>
      </c>
      <c r="G267" s="4">
        <v>588</v>
      </c>
      <c r="H267" s="4">
        <v>26617</v>
      </c>
      <c r="I267" s="6">
        <v>8691.7942788859036</v>
      </c>
      <c r="J267" s="4"/>
      <c r="K267" s="4"/>
      <c r="L267" s="4"/>
      <c r="M267" s="4"/>
      <c r="N267" s="4"/>
      <c r="O267" s="4"/>
      <c r="P267" s="4"/>
      <c r="Q267" s="4"/>
      <c r="R267" s="4"/>
      <c r="S267" s="4"/>
      <c r="T267" s="4"/>
      <c r="U267" s="4"/>
      <c r="V267" s="4"/>
      <c r="W267" s="4"/>
      <c r="X267" s="4"/>
      <c r="Y267" s="4"/>
      <c r="Z267" s="4"/>
    </row>
    <row r="268" spans="1:26">
      <c r="A268" s="5">
        <v>43160</v>
      </c>
      <c r="B268" s="4" t="s">
        <v>21</v>
      </c>
      <c r="C268" s="4" t="s">
        <v>19</v>
      </c>
      <c r="D268" s="4" t="s">
        <v>16</v>
      </c>
      <c r="E268" s="4" t="s">
        <v>12</v>
      </c>
      <c r="F268" s="4">
        <v>2488533</v>
      </c>
      <c r="G268" s="4">
        <v>36761</v>
      </c>
      <c r="H268" s="4">
        <v>37485</v>
      </c>
      <c r="I268" s="6">
        <v>418071.5794523221</v>
      </c>
      <c r="J268" s="4"/>
      <c r="K268" s="4"/>
      <c r="L268" s="4"/>
      <c r="M268" s="4"/>
      <c r="N268" s="4"/>
      <c r="O268" s="4"/>
      <c r="P268" s="4"/>
      <c r="Q268" s="4"/>
      <c r="R268" s="4"/>
      <c r="S268" s="4"/>
      <c r="T268" s="4"/>
      <c r="U268" s="4"/>
      <c r="V268" s="4"/>
      <c r="W268" s="4"/>
      <c r="X268" s="4"/>
      <c r="Y268" s="4"/>
      <c r="Z268" s="4"/>
    </row>
    <row r="269" spans="1:26">
      <c r="A269" s="5">
        <v>43160</v>
      </c>
      <c r="B269" s="4" t="s">
        <v>21</v>
      </c>
      <c r="C269" s="4" t="s">
        <v>19</v>
      </c>
      <c r="D269" s="4" t="s">
        <v>16</v>
      </c>
      <c r="E269" s="4" t="s">
        <v>13</v>
      </c>
      <c r="F269" s="4">
        <v>64530</v>
      </c>
      <c r="G269" s="4">
        <v>5556</v>
      </c>
      <c r="H269" s="4">
        <v>368153</v>
      </c>
      <c r="I269" s="6">
        <v>84993.285501567545</v>
      </c>
      <c r="J269" s="4"/>
      <c r="K269" s="4"/>
      <c r="L269" s="4"/>
      <c r="M269" s="4"/>
      <c r="N269" s="4"/>
      <c r="O269" s="4"/>
      <c r="P269" s="4"/>
      <c r="Q269" s="4"/>
      <c r="R269" s="4"/>
      <c r="S269" s="4"/>
      <c r="T269" s="4"/>
      <c r="U269" s="4"/>
      <c r="V269" s="4"/>
      <c r="W269" s="4"/>
      <c r="X269" s="4"/>
      <c r="Y269" s="4"/>
      <c r="Z269" s="4"/>
    </row>
    <row r="270" spans="1:26">
      <c r="A270" s="5">
        <v>43160</v>
      </c>
      <c r="B270" s="4" t="s">
        <v>21</v>
      </c>
      <c r="C270" s="4" t="s">
        <v>19</v>
      </c>
      <c r="D270" s="4" t="s">
        <v>17</v>
      </c>
      <c r="E270" s="4" t="s">
        <v>12</v>
      </c>
      <c r="F270" s="4">
        <v>849629</v>
      </c>
      <c r="G270" s="4">
        <v>13811</v>
      </c>
      <c r="H270" s="4">
        <v>15240</v>
      </c>
      <c r="I270" s="6">
        <v>142706.19283494793</v>
      </c>
      <c r="J270" s="4"/>
      <c r="K270" s="4"/>
      <c r="L270" s="4"/>
      <c r="M270" s="4"/>
      <c r="N270" s="4"/>
      <c r="O270" s="4"/>
      <c r="P270" s="4"/>
      <c r="Q270" s="4"/>
      <c r="R270" s="4"/>
      <c r="S270" s="4"/>
      <c r="T270" s="4"/>
      <c r="U270" s="4"/>
      <c r="V270" s="4"/>
      <c r="W270" s="4"/>
      <c r="X270" s="4"/>
      <c r="Y270" s="4"/>
      <c r="Z270" s="4"/>
    </row>
    <row r="271" spans="1:26">
      <c r="A271" s="5">
        <v>43160</v>
      </c>
      <c r="B271" s="4" t="s">
        <v>21</v>
      </c>
      <c r="C271" s="4" t="s">
        <v>19</v>
      </c>
      <c r="D271" s="4" t="s">
        <v>17</v>
      </c>
      <c r="E271" s="4" t="s">
        <v>13</v>
      </c>
      <c r="F271" s="4">
        <v>22303</v>
      </c>
      <c r="G271" s="4">
        <v>1964</v>
      </c>
      <c r="H271" s="4">
        <v>83734</v>
      </c>
      <c r="I271" s="6">
        <v>34464.410090275131</v>
      </c>
      <c r="J271" s="4"/>
      <c r="K271" s="4"/>
      <c r="L271" s="4"/>
      <c r="M271" s="4"/>
      <c r="N271" s="4"/>
      <c r="O271" s="4"/>
      <c r="P271" s="4"/>
      <c r="Q271" s="4"/>
      <c r="R271" s="4"/>
      <c r="S271" s="4"/>
      <c r="T271" s="4"/>
      <c r="U271" s="4"/>
      <c r="V271" s="4"/>
      <c r="W271" s="4"/>
      <c r="X271" s="4"/>
      <c r="Y271" s="4"/>
      <c r="Z271" s="4"/>
    </row>
    <row r="272" spans="1:26">
      <c r="A272" s="5">
        <v>43191</v>
      </c>
      <c r="B272" s="4" t="s">
        <v>9</v>
      </c>
      <c r="C272" s="4" t="s">
        <v>10</v>
      </c>
      <c r="D272" s="4" t="s">
        <v>11</v>
      </c>
      <c r="E272" s="4" t="s">
        <v>12</v>
      </c>
      <c r="F272" s="4">
        <v>1038467</v>
      </c>
      <c r="G272" s="4">
        <v>47889</v>
      </c>
      <c r="H272" s="4">
        <v>56879</v>
      </c>
      <c r="I272" s="6">
        <v>42712.042205369748</v>
      </c>
      <c r="J272" s="4"/>
      <c r="K272" s="4"/>
      <c r="L272" s="4"/>
      <c r="M272" s="4"/>
      <c r="N272" s="4"/>
      <c r="O272" s="4"/>
      <c r="P272" s="4"/>
      <c r="Q272" s="4"/>
      <c r="R272" s="4"/>
      <c r="S272" s="4"/>
      <c r="T272" s="4"/>
      <c r="U272" s="4"/>
      <c r="V272" s="4"/>
      <c r="W272" s="4"/>
      <c r="X272" s="4"/>
      <c r="Y272" s="4"/>
      <c r="Z272" s="4"/>
    </row>
    <row r="273" spans="1:26">
      <c r="A273" s="5">
        <v>43191</v>
      </c>
      <c r="B273" s="4" t="s">
        <v>9</v>
      </c>
      <c r="C273" s="4" t="s">
        <v>10</v>
      </c>
      <c r="D273" s="4" t="s">
        <v>11</v>
      </c>
      <c r="E273" s="4" t="s">
        <v>13</v>
      </c>
      <c r="F273" s="4">
        <v>6182</v>
      </c>
      <c r="G273" s="4">
        <v>1056</v>
      </c>
      <c r="H273" s="4">
        <v>6227</v>
      </c>
      <c r="I273" s="6">
        <v>216195.34146452052</v>
      </c>
      <c r="J273" s="4"/>
      <c r="K273" s="4"/>
      <c r="L273" s="4"/>
      <c r="M273" s="4"/>
      <c r="N273" s="4"/>
      <c r="O273" s="4"/>
      <c r="P273" s="4"/>
      <c r="Q273" s="4"/>
      <c r="R273" s="4"/>
      <c r="S273" s="4"/>
      <c r="T273" s="4"/>
      <c r="U273" s="4"/>
      <c r="V273" s="4"/>
      <c r="W273" s="4"/>
      <c r="X273" s="4"/>
      <c r="Y273" s="4"/>
      <c r="Z273" s="4"/>
    </row>
    <row r="274" spans="1:26">
      <c r="A274" s="5">
        <v>43191</v>
      </c>
      <c r="B274" s="4" t="s">
        <v>9</v>
      </c>
      <c r="C274" s="4" t="s">
        <v>10</v>
      </c>
      <c r="D274" s="4" t="s">
        <v>14</v>
      </c>
      <c r="E274" s="4" t="s">
        <v>12</v>
      </c>
      <c r="F274" s="4">
        <v>2600045</v>
      </c>
      <c r="G274" s="4">
        <v>83784</v>
      </c>
      <c r="H274" s="4">
        <v>99034</v>
      </c>
      <c r="I274" s="6">
        <v>71973.331893765426</v>
      </c>
      <c r="J274" s="4"/>
      <c r="K274" s="4"/>
      <c r="L274" s="4"/>
      <c r="M274" s="4"/>
      <c r="N274" s="4"/>
      <c r="O274" s="4"/>
      <c r="P274" s="4"/>
      <c r="Q274" s="4"/>
      <c r="R274" s="4"/>
      <c r="S274" s="4"/>
      <c r="T274" s="4"/>
      <c r="U274" s="4"/>
      <c r="V274" s="4"/>
      <c r="W274" s="4"/>
      <c r="X274" s="4"/>
      <c r="Y274" s="4"/>
      <c r="Z274" s="4"/>
    </row>
    <row r="275" spans="1:26">
      <c r="A275" s="5">
        <v>43191</v>
      </c>
      <c r="B275" s="4" t="s">
        <v>9</v>
      </c>
      <c r="C275" s="4" t="s">
        <v>10</v>
      </c>
      <c r="D275" s="4" t="s">
        <v>14</v>
      </c>
      <c r="E275" s="4" t="s">
        <v>13</v>
      </c>
      <c r="F275" s="4">
        <v>10363</v>
      </c>
      <c r="G275" s="4">
        <v>2121</v>
      </c>
      <c r="H275" s="4">
        <v>15537</v>
      </c>
      <c r="I275" s="6">
        <v>333927.01161563693</v>
      </c>
      <c r="J275" s="4"/>
      <c r="K275" s="4"/>
      <c r="L275" s="4"/>
      <c r="M275" s="4"/>
      <c r="N275" s="4"/>
      <c r="O275" s="4"/>
      <c r="P275" s="4"/>
      <c r="Q275" s="4"/>
      <c r="R275" s="4"/>
      <c r="S275" s="4"/>
      <c r="T275" s="4"/>
      <c r="U275" s="4"/>
      <c r="V275" s="4"/>
      <c r="W275" s="4"/>
      <c r="X275" s="4"/>
      <c r="Y275" s="4"/>
      <c r="Z275" s="4"/>
    </row>
    <row r="276" spans="1:26">
      <c r="A276" s="5">
        <v>43191</v>
      </c>
      <c r="B276" s="4" t="s">
        <v>9</v>
      </c>
      <c r="C276" s="4" t="s">
        <v>10</v>
      </c>
      <c r="D276" s="4" t="s">
        <v>15</v>
      </c>
      <c r="E276" s="4" t="s">
        <v>12</v>
      </c>
      <c r="F276" s="4">
        <v>1050134</v>
      </c>
      <c r="G276" s="4">
        <v>34657</v>
      </c>
      <c r="H276" s="4">
        <v>44543</v>
      </c>
      <c r="I276" s="6">
        <v>33416.686263340089</v>
      </c>
      <c r="J276" s="4"/>
      <c r="K276" s="4"/>
      <c r="L276" s="4"/>
      <c r="M276" s="4"/>
      <c r="N276" s="4"/>
      <c r="O276" s="4"/>
      <c r="P276" s="4"/>
      <c r="Q276" s="4"/>
      <c r="R276" s="4"/>
      <c r="S276" s="4"/>
      <c r="T276" s="4"/>
      <c r="U276" s="4"/>
      <c r="V276" s="4"/>
      <c r="W276" s="4"/>
      <c r="X276" s="4"/>
      <c r="Y276" s="4"/>
      <c r="Z276" s="4"/>
    </row>
    <row r="277" spans="1:26">
      <c r="A277" s="5">
        <v>43191</v>
      </c>
      <c r="B277" s="4" t="s">
        <v>9</v>
      </c>
      <c r="C277" s="4" t="s">
        <v>10</v>
      </c>
      <c r="D277" s="4" t="s">
        <v>15</v>
      </c>
      <c r="E277" s="4" t="s">
        <v>13</v>
      </c>
      <c r="F277" s="4">
        <v>3964</v>
      </c>
      <c r="G277" s="4">
        <v>614</v>
      </c>
      <c r="H277" s="4">
        <v>5097</v>
      </c>
      <c r="I277" s="6">
        <v>83158.171798679861</v>
      </c>
      <c r="J277" s="4"/>
      <c r="K277" s="4"/>
      <c r="L277" s="4"/>
      <c r="M277" s="4"/>
      <c r="N277" s="4"/>
      <c r="O277" s="4"/>
      <c r="P277" s="4"/>
      <c r="Q277" s="4"/>
      <c r="R277" s="4"/>
      <c r="S277" s="4"/>
      <c r="T277" s="4"/>
      <c r="U277" s="4"/>
      <c r="V277" s="4"/>
      <c r="W277" s="4"/>
      <c r="X277" s="4"/>
      <c r="Y277" s="4"/>
      <c r="Z277" s="4"/>
    </row>
    <row r="278" spans="1:26">
      <c r="A278" s="5">
        <v>43191</v>
      </c>
      <c r="B278" s="4" t="s">
        <v>9</v>
      </c>
      <c r="C278" s="4" t="s">
        <v>10</v>
      </c>
      <c r="D278" s="4" t="s">
        <v>16</v>
      </c>
      <c r="E278" s="4" t="s">
        <v>12</v>
      </c>
      <c r="F278" s="4">
        <v>32361718</v>
      </c>
      <c r="G278" s="4">
        <v>216438</v>
      </c>
      <c r="H278" s="4">
        <v>243832</v>
      </c>
      <c r="I278" s="6">
        <v>185151.42699883701</v>
      </c>
      <c r="J278" s="4"/>
      <c r="K278" s="4"/>
      <c r="L278" s="4"/>
      <c r="M278" s="4"/>
      <c r="N278" s="4"/>
      <c r="O278" s="4"/>
      <c r="P278" s="4"/>
      <c r="Q278" s="4"/>
      <c r="R278" s="4"/>
      <c r="S278" s="4"/>
      <c r="T278" s="4"/>
      <c r="U278" s="4"/>
      <c r="V278" s="4"/>
      <c r="W278" s="4"/>
      <c r="X278" s="4"/>
      <c r="Y278" s="4"/>
      <c r="Z278" s="4"/>
    </row>
    <row r="279" spans="1:26">
      <c r="A279" s="5">
        <v>43191</v>
      </c>
      <c r="B279" s="4" t="s">
        <v>9</v>
      </c>
      <c r="C279" s="4" t="s">
        <v>10</v>
      </c>
      <c r="D279" s="4" t="s">
        <v>16</v>
      </c>
      <c r="E279" s="4" t="s">
        <v>13</v>
      </c>
      <c r="F279" s="4">
        <v>227264</v>
      </c>
      <c r="G279" s="4">
        <v>4602</v>
      </c>
      <c r="H279" s="4">
        <v>30045</v>
      </c>
      <c r="I279" s="6">
        <v>1009173.3978442576</v>
      </c>
      <c r="J279" s="4"/>
      <c r="K279" s="4"/>
      <c r="L279" s="4"/>
      <c r="M279" s="4"/>
      <c r="N279" s="4"/>
      <c r="O279" s="4"/>
      <c r="P279" s="4"/>
      <c r="Q279" s="4"/>
      <c r="R279" s="4"/>
      <c r="S279" s="4"/>
      <c r="T279" s="4"/>
      <c r="U279" s="4"/>
      <c r="V279" s="4"/>
      <c r="W279" s="4"/>
      <c r="X279" s="4"/>
      <c r="Y279" s="4"/>
      <c r="Z279" s="4"/>
    </row>
    <row r="280" spans="1:26">
      <c r="A280" s="5">
        <v>43191</v>
      </c>
      <c r="B280" s="4" t="s">
        <v>9</v>
      </c>
      <c r="C280" s="4" t="s">
        <v>10</v>
      </c>
      <c r="D280" s="4" t="s">
        <v>17</v>
      </c>
      <c r="E280" s="4" t="s">
        <v>12</v>
      </c>
      <c r="F280" s="4">
        <v>1597470</v>
      </c>
      <c r="G280" s="4">
        <v>71813</v>
      </c>
      <c r="H280" s="4">
        <v>81728</v>
      </c>
      <c r="I280" s="6">
        <v>79992.576065667847</v>
      </c>
      <c r="J280" s="4"/>
      <c r="K280" s="4"/>
      <c r="L280" s="4"/>
      <c r="M280" s="4"/>
      <c r="N280" s="4"/>
      <c r="O280" s="4"/>
      <c r="P280" s="4"/>
      <c r="Q280" s="4"/>
      <c r="R280" s="4"/>
      <c r="S280" s="4"/>
      <c r="T280" s="4"/>
      <c r="U280" s="4"/>
      <c r="V280" s="4"/>
      <c r="W280" s="4"/>
      <c r="X280" s="4"/>
      <c r="Y280" s="4"/>
      <c r="Z280" s="4"/>
    </row>
    <row r="281" spans="1:26">
      <c r="A281" s="5">
        <v>43191</v>
      </c>
      <c r="B281" s="4" t="s">
        <v>9</v>
      </c>
      <c r="C281" s="4" t="s">
        <v>10</v>
      </c>
      <c r="D281" s="4" t="s">
        <v>17</v>
      </c>
      <c r="E281" s="4" t="s">
        <v>13</v>
      </c>
      <c r="F281" s="4">
        <v>9527</v>
      </c>
      <c r="G281" s="4">
        <v>1931</v>
      </c>
      <c r="H281" s="4">
        <v>11335</v>
      </c>
      <c r="I281" s="6">
        <v>382006.43882022466</v>
      </c>
      <c r="J281" s="4"/>
      <c r="K281" s="4"/>
      <c r="L281" s="4"/>
      <c r="M281" s="4"/>
      <c r="N281" s="4"/>
      <c r="O281" s="4"/>
      <c r="P281" s="4"/>
      <c r="Q281" s="4"/>
      <c r="R281" s="4"/>
      <c r="S281" s="4"/>
      <c r="T281" s="4"/>
      <c r="U281" s="4"/>
      <c r="V281" s="4"/>
      <c r="W281" s="4"/>
      <c r="X281" s="4"/>
      <c r="Y281" s="4"/>
      <c r="Z281" s="4"/>
    </row>
    <row r="282" spans="1:26">
      <c r="A282" s="5">
        <v>43191</v>
      </c>
      <c r="B282" s="4" t="s">
        <v>9</v>
      </c>
      <c r="C282" s="4" t="s">
        <v>18</v>
      </c>
      <c r="D282" s="4" t="s">
        <v>11</v>
      </c>
      <c r="E282" s="4" t="s">
        <v>12</v>
      </c>
      <c r="F282" s="4">
        <v>6111052</v>
      </c>
      <c r="G282" s="4">
        <v>168938</v>
      </c>
      <c r="H282" s="4">
        <v>521204</v>
      </c>
      <c r="I282" s="6">
        <v>127763.86611006189</v>
      </c>
      <c r="J282" s="4"/>
      <c r="K282" s="4"/>
      <c r="L282" s="4"/>
      <c r="M282" s="4"/>
      <c r="N282" s="4"/>
      <c r="O282" s="4"/>
      <c r="P282" s="4"/>
      <c r="Q282" s="4"/>
      <c r="R282" s="4"/>
      <c r="S282" s="4"/>
      <c r="T282" s="4"/>
      <c r="U282" s="4"/>
      <c r="V282" s="4"/>
      <c r="W282" s="4"/>
      <c r="X282" s="4"/>
      <c r="Y282" s="4"/>
      <c r="Z282" s="4"/>
    </row>
    <row r="283" spans="1:26">
      <c r="A283" s="5">
        <v>43191</v>
      </c>
      <c r="B283" s="4" t="s">
        <v>9</v>
      </c>
      <c r="C283" s="4" t="s">
        <v>18</v>
      </c>
      <c r="D283" s="4" t="s">
        <v>11</v>
      </c>
      <c r="E283" s="4" t="s">
        <v>13</v>
      </c>
      <c r="F283" s="4">
        <v>34700</v>
      </c>
      <c r="G283" s="4">
        <v>628</v>
      </c>
      <c r="H283" s="4">
        <v>17431</v>
      </c>
      <c r="I283" s="6">
        <v>12794.843749144628</v>
      </c>
      <c r="J283" s="4"/>
      <c r="K283" s="4"/>
      <c r="L283" s="4"/>
      <c r="M283" s="4"/>
      <c r="N283" s="4"/>
      <c r="O283" s="4"/>
      <c r="P283" s="4"/>
      <c r="Q283" s="4"/>
      <c r="R283" s="4"/>
      <c r="S283" s="4"/>
      <c r="T283" s="4"/>
      <c r="U283" s="4"/>
      <c r="V283" s="4"/>
      <c r="W283" s="4"/>
      <c r="X283" s="4"/>
      <c r="Y283" s="4"/>
      <c r="Z283" s="4"/>
    </row>
    <row r="284" spans="1:26">
      <c r="A284" s="5">
        <v>43191</v>
      </c>
      <c r="B284" s="4" t="s">
        <v>9</v>
      </c>
      <c r="C284" s="4" t="s">
        <v>18</v>
      </c>
      <c r="D284" s="4" t="s">
        <v>14</v>
      </c>
      <c r="E284" s="4" t="s">
        <v>12</v>
      </c>
      <c r="F284" s="4">
        <v>14362177</v>
      </c>
      <c r="G284" s="4">
        <v>349039</v>
      </c>
      <c r="H284" s="4">
        <v>1052092</v>
      </c>
      <c r="I284" s="6">
        <v>169657.67525472963</v>
      </c>
      <c r="J284" s="4"/>
      <c r="K284" s="4"/>
      <c r="L284" s="4"/>
      <c r="M284" s="4"/>
      <c r="N284" s="4"/>
      <c r="O284" s="4"/>
      <c r="P284" s="4"/>
      <c r="Q284" s="4"/>
      <c r="R284" s="4"/>
      <c r="S284" s="4"/>
      <c r="T284" s="4"/>
      <c r="U284" s="4"/>
      <c r="V284" s="4"/>
      <c r="W284" s="4"/>
      <c r="X284" s="4"/>
      <c r="Y284" s="4"/>
      <c r="Z284" s="4"/>
    </row>
    <row r="285" spans="1:26">
      <c r="A285" s="5">
        <v>43191</v>
      </c>
      <c r="B285" s="4" t="s">
        <v>9</v>
      </c>
      <c r="C285" s="4" t="s">
        <v>18</v>
      </c>
      <c r="D285" s="4" t="s">
        <v>14</v>
      </c>
      <c r="E285" s="4" t="s">
        <v>13</v>
      </c>
      <c r="F285" s="4">
        <v>72733</v>
      </c>
      <c r="G285" s="4">
        <v>875</v>
      </c>
      <c r="H285" s="4">
        <v>12978</v>
      </c>
      <c r="I285" s="6">
        <v>14928.267592763623</v>
      </c>
      <c r="J285" s="4"/>
      <c r="K285" s="4"/>
      <c r="L285" s="4"/>
      <c r="M285" s="4"/>
      <c r="N285" s="4"/>
      <c r="O285" s="4"/>
      <c r="P285" s="4"/>
      <c r="Q285" s="4"/>
      <c r="R285" s="4"/>
      <c r="S285" s="4"/>
      <c r="T285" s="4"/>
      <c r="U285" s="4"/>
      <c r="V285" s="4"/>
      <c r="W285" s="4"/>
      <c r="X285" s="4"/>
      <c r="Y285" s="4"/>
      <c r="Z285" s="4"/>
    </row>
    <row r="286" spans="1:26">
      <c r="A286" s="5">
        <v>43191</v>
      </c>
      <c r="B286" s="4" t="s">
        <v>9</v>
      </c>
      <c r="C286" s="4" t="s">
        <v>18</v>
      </c>
      <c r="D286" s="4" t="s">
        <v>15</v>
      </c>
      <c r="E286" s="4" t="s">
        <v>12</v>
      </c>
      <c r="F286" s="4">
        <v>7126443</v>
      </c>
      <c r="G286" s="4">
        <v>187865</v>
      </c>
      <c r="H286" s="4">
        <v>619004</v>
      </c>
      <c r="I286" s="6">
        <v>68336.84617115694</v>
      </c>
      <c r="J286" s="4"/>
      <c r="K286" s="4"/>
      <c r="L286" s="4"/>
      <c r="M286" s="4"/>
      <c r="N286" s="4"/>
      <c r="O286" s="4"/>
      <c r="P286" s="4"/>
      <c r="Q286" s="4"/>
      <c r="R286" s="4"/>
      <c r="S286" s="4"/>
      <c r="T286" s="4"/>
      <c r="U286" s="4"/>
      <c r="V286" s="4"/>
      <c r="W286" s="4"/>
      <c r="X286" s="4"/>
      <c r="Y286" s="4"/>
      <c r="Z286" s="4"/>
    </row>
    <row r="287" spans="1:26">
      <c r="A287" s="5">
        <v>43191</v>
      </c>
      <c r="B287" s="4" t="s">
        <v>9</v>
      </c>
      <c r="C287" s="4" t="s">
        <v>18</v>
      </c>
      <c r="D287" s="4" t="s">
        <v>15</v>
      </c>
      <c r="E287" s="4" t="s">
        <v>13</v>
      </c>
      <c r="F287" s="4">
        <v>26548</v>
      </c>
      <c r="G287" s="4">
        <v>348</v>
      </c>
      <c r="H287" s="4">
        <v>4952</v>
      </c>
      <c r="I287" s="6">
        <v>6427.7754885947616</v>
      </c>
      <c r="J287" s="4"/>
      <c r="K287" s="4"/>
      <c r="L287" s="4"/>
      <c r="M287" s="4"/>
      <c r="N287" s="4"/>
      <c r="O287" s="4"/>
      <c r="P287" s="4"/>
      <c r="Q287" s="4"/>
      <c r="R287" s="4"/>
      <c r="S287" s="4"/>
      <c r="T287" s="4"/>
      <c r="U287" s="4"/>
      <c r="V287" s="4"/>
      <c r="W287" s="4"/>
      <c r="X287" s="4"/>
      <c r="Y287" s="4"/>
      <c r="Z287" s="4"/>
    </row>
    <row r="288" spans="1:26">
      <c r="A288" s="5">
        <v>43191</v>
      </c>
      <c r="B288" s="4" t="s">
        <v>9</v>
      </c>
      <c r="C288" s="4" t="s">
        <v>18</v>
      </c>
      <c r="D288" s="4" t="s">
        <v>16</v>
      </c>
      <c r="E288" s="4" t="s">
        <v>12</v>
      </c>
      <c r="F288" s="4">
        <v>91743328</v>
      </c>
      <c r="G288" s="4">
        <v>638079</v>
      </c>
      <c r="H288" s="4">
        <v>1827573</v>
      </c>
      <c r="I288" s="6">
        <v>440491.75429312611</v>
      </c>
      <c r="J288" s="4"/>
      <c r="K288" s="4"/>
      <c r="L288" s="4"/>
      <c r="M288" s="4"/>
      <c r="N288" s="4"/>
      <c r="O288" s="4"/>
      <c r="P288" s="4"/>
      <c r="Q288" s="4"/>
      <c r="R288" s="4"/>
      <c r="S288" s="4"/>
      <c r="T288" s="4"/>
      <c r="U288" s="4"/>
      <c r="V288" s="4"/>
      <c r="W288" s="4"/>
      <c r="X288" s="4"/>
      <c r="Y288" s="4"/>
      <c r="Z288" s="4"/>
    </row>
    <row r="289" spans="1:26">
      <c r="A289" s="5">
        <v>43191</v>
      </c>
      <c r="B289" s="4" t="s">
        <v>9</v>
      </c>
      <c r="C289" s="4" t="s">
        <v>18</v>
      </c>
      <c r="D289" s="4" t="s">
        <v>16</v>
      </c>
      <c r="E289" s="4" t="s">
        <v>13</v>
      </c>
      <c r="F289" s="4">
        <v>801911</v>
      </c>
      <c r="G289" s="4">
        <v>1825</v>
      </c>
      <c r="H289" s="4">
        <v>44934</v>
      </c>
      <c r="I289" s="6">
        <v>28887.943278161863</v>
      </c>
      <c r="J289" s="4"/>
      <c r="K289" s="4"/>
      <c r="L289" s="4"/>
      <c r="M289" s="4"/>
      <c r="N289" s="4"/>
      <c r="O289" s="4"/>
      <c r="P289" s="4"/>
      <c r="Q289" s="4"/>
      <c r="R289" s="4"/>
      <c r="S289" s="4"/>
      <c r="T289" s="4"/>
      <c r="U289" s="4"/>
      <c r="V289" s="4"/>
      <c r="W289" s="4"/>
      <c r="X289" s="4"/>
      <c r="Y289" s="4"/>
      <c r="Z289" s="4"/>
    </row>
    <row r="290" spans="1:26">
      <c r="A290" s="5">
        <v>43191</v>
      </c>
      <c r="B290" s="4" t="s">
        <v>9</v>
      </c>
      <c r="C290" s="4" t="s">
        <v>18</v>
      </c>
      <c r="D290" s="4" t="s">
        <v>17</v>
      </c>
      <c r="E290" s="4" t="s">
        <v>12</v>
      </c>
      <c r="F290" s="4">
        <v>8684738</v>
      </c>
      <c r="G290" s="4">
        <v>205115</v>
      </c>
      <c r="H290" s="4">
        <v>584766</v>
      </c>
      <c r="I290" s="6">
        <v>149594.505530775</v>
      </c>
      <c r="J290" s="4"/>
      <c r="K290" s="4"/>
      <c r="L290" s="4"/>
      <c r="M290" s="4"/>
      <c r="N290" s="4"/>
      <c r="O290" s="4"/>
      <c r="P290" s="4"/>
      <c r="Q290" s="4"/>
      <c r="R290" s="4"/>
      <c r="S290" s="4"/>
      <c r="T290" s="4"/>
      <c r="U290" s="4"/>
      <c r="V290" s="4"/>
      <c r="W290" s="4"/>
      <c r="X290" s="4"/>
      <c r="Y290" s="4"/>
      <c r="Z290" s="4"/>
    </row>
    <row r="291" spans="1:26">
      <c r="A291" s="5">
        <v>43191</v>
      </c>
      <c r="B291" s="4" t="s">
        <v>9</v>
      </c>
      <c r="C291" s="4" t="s">
        <v>18</v>
      </c>
      <c r="D291" s="4" t="s">
        <v>17</v>
      </c>
      <c r="E291" s="4" t="s">
        <v>13</v>
      </c>
      <c r="F291" s="4">
        <v>66314</v>
      </c>
      <c r="G291" s="4">
        <v>733</v>
      </c>
      <c r="H291" s="4">
        <v>16204</v>
      </c>
      <c r="I291" s="6">
        <v>11623.160052044932</v>
      </c>
      <c r="J291" s="4"/>
      <c r="K291" s="4"/>
      <c r="L291" s="4"/>
      <c r="M291" s="4"/>
      <c r="N291" s="4"/>
      <c r="O291" s="4"/>
      <c r="P291" s="4"/>
      <c r="Q291" s="4"/>
      <c r="R291" s="4"/>
      <c r="S291" s="4"/>
      <c r="T291" s="4"/>
      <c r="U291" s="4"/>
      <c r="V291" s="4"/>
      <c r="W291" s="4"/>
      <c r="X291" s="4"/>
      <c r="Y291" s="4"/>
      <c r="Z291" s="4"/>
    </row>
    <row r="292" spans="1:26">
      <c r="A292" s="5">
        <v>43191</v>
      </c>
      <c r="B292" s="4" t="s">
        <v>9</v>
      </c>
      <c r="C292" s="4" t="s">
        <v>19</v>
      </c>
      <c r="D292" s="4" t="s">
        <v>11</v>
      </c>
      <c r="E292" s="4" t="s">
        <v>12</v>
      </c>
      <c r="F292" s="4">
        <v>105768</v>
      </c>
      <c r="G292" s="4">
        <v>17121</v>
      </c>
      <c r="H292" s="4">
        <v>18033</v>
      </c>
      <c r="I292" s="6">
        <v>91172.809208981693</v>
      </c>
      <c r="J292" s="4"/>
      <c r="K292" s="4"/>
      <c r="L292" s="4"/>
      <c r="M292" s="4"/>
      <c r="N292" s="4"/>
      <c r="O292" s="4"/>
      <c r="P292" s="4"/>
      <c r="Q292" s="4"/>
      <c r="R292" s="4"/>
      <c r="S292" s="4"/>
      <c r="T292" s="4"/>
      <c r="U292" s="4"/>
      <c r="V292" s="4"/>
      <c r="W292" s="4"/>
      <c r="X292" s="4"/>
      <c r="Y292" s="4"/>
      <c r="Z292" s="4"/>
    </row>
    <row r="293" spans="1:26">
      <c r="A293" s="5">
        <v>43191</v>
      </c>
      <c r="B293" s="4" t="s">
        <v>9</v>
      </c>
      <c r="C293" s="4" t="s">
        <v>19</v>
      </c>
      <c r="D293" s="4" t="s">
        <v>11</v>
      </c>
      <c r="E293" s="4" t="s">
        <v>13</v>
      </c>
      <c r="F293" s="4">
        <v>578</v>
      </c>
      <c r="G293" s="4">
        <v>663</v>
      </c>
      <c r="H293" s="4">
        <v>6926</v>
      </c>
      <c r="I293" s="6">
        <v>15527.316130861946</v>
      </c>
      <c r="J293" s="4"/>
      <c r="K293" s="4"/>
      <c r="L293" s="4"/>
      <c r="M293" s="4"/>
      <c r="N293" s="4"/>
      <c r="O293" s="4"/>
      <c r="P293" s="4"/>
      <c r="Q293" s="4"/>
      <c r="R293" s="4"/>
      <c r="S293" s="4"/>
      <c r="T293" s="4"/>
      <c r="U293" s="4"/>
      <c r="V293" s="4"/>
      <c r="W293" s="4"/>
      <c r="X293" s="4"/>
      <c r="Y293" s="4"/>
      <c r="Z293" s="4"/>
    </row>
    <row r="294" spans="1:26">
      <c r="A294" s="5">
        <v>43191</v>
      </c>
      <c r="B294" s="4" t="s">
        <v>9</v>
      </c>
      <c r="C294" s="4" t="s">
        <v>19</v>
      </c>
      <c r="D294" s="4" t="s">
        <v>14</v>
      </c>
      <c r="E294" s="4" t="s">
        <v>12</v>
      </c>
      <c r="F294" s="4">
        <v>259507</v>
      </c>
      <c r="G294" s="4">
        <v>40373</v>
      </c>
      <c r="H294" s="4">
        <v>42435</v>
      </c>
      <c r="I294" s="6">
        <v>162486.04245595823</v>
      </c>
      <c r="J294" s="4"/>
      <c r="K294" s="4"/>
      <c r="L294" s="4"/>
      <c r="M294" s="4"/>
      <c r="N294" s="4"/>
      <c r="O294" s="4"/>
      <c r="P294" s="4"/>
      <c r="Q294" s="4"/>
      <c r="R294" s="4"/>
      <c r="S294" s="4"/>
      <c r="T294" s="4"/>
      <c r="U294" s="4"/>
      <c r="V294" s="4"/>
      <c r="W294" s="4"/>
      <c r="X294" s="4"/>
      <c r="Y294" s="4"/>
      <c r="Z294" s="4"/>
    </row>
    <row r="295" spans="1:26">
      <c r="A295" s="5">
        <v>43191</v>
      </c>
      <c r="B295" s="4" t="s">
        <v>9</v>
      </c>
      <c r="C295" s="4" t="s">
        <v>19</v>
      </c>
      <c r="D295" s="4" t="s">
        <v>14</v>
      </c>
      <c r="E295" s="4" t="s">
        <v>13</v>
      </c>
      <c r="F295" s="4">
        <v>1392</v>
      </c>
      <c r="G295" s="4">
        <v>1484</v>
      </c>
      <c r="H295" s="4">
        <v>37695</v>
      </c>
      <c r="I295" s="6">
        <v>25805.016306731904</v>
      </c>
      <c r="J295" s="4"/>
      <c r="K295" s="4"/>
      <c r="L295" s="4"/>
      <c r="M295" s="4"/>
      <c r="N295" s="4"/>
      <c r="O295" s="4"/>
      <c r="P295" s="4"/>
      <c r="Q295" s="4"/>
      <c r="R295" s="4"/>
      <c r="S295" s="4"/>
      <c r="T295" s="4"/>
      <c r="U295" s="4"/>
      <c r="V295" s="4"/>
      <c r="W295" s="4"/>
      <c r="X295" s="4"/>
      <c r="Y295" s="4"/>
      <c r="Z295" s="4"/>
    </row>
    <row r="296" spans="1:26">
      <c r="A296" s="5">
        <v>43191</v>
      </c>
      <c r="B296" s="4" t="s">
        <v>9</v>
      </c>
      <c r="C296" s="4" t="s">
        <v>19</v>
      </c>
      <c r="D296" s="4" t="s">
        <v>15</v>
      </c>
      <c r="E296" s="4" t="s">
        <v>12</v>
      </c>
      <c r="F296" s="4">
        <v>122453</v>
      </c>
      <c r="G296" s="4">
        <v>20719</v>
      </c>
      <c r="H296" s="4">
        <v>21470</v>
      </c>
      <c r="I296" s="6">
        <v>60072.117840950457</v>
      </c>
      <c r="J296" s="4"/>
      <c r="K296" s="4"/>
      <c r="L296" s="4"/>
      <c r="M296" s="4"/>
      <c r="N296" s="4"/>
      <c r="O296" s="4"/>
      <c r="P296" s="4"/>
      <c r="Q296" s="4"/>
      <c r="R296" s="4"/>
      <c r="S296" s="4"/>
      <c r="T296" s="4"/>
      <c r="U296" s="4"/>
      <c r="V296" s="4"/>
      <c r="W296" s="4"/>
      <c r="X296" s="4"/>
      <c r="Y296" s="4"/>
      <c r="Z296" s="4"/>
    </row>
    <row r="297" spans="1:26">
      <c r="A297" s="5">
        <v>43191</v>
      </c>
      <c r="B297" s="4" t="s">
        <v>9</v>
      </c>
      <c r="C297" s="4" t="s">
        <v>19</v>
      </c>
      <c r="D297" s="4" t="s">
        <v>15</v>
      </c>
      <c r="E297" s="4" t="s">
        <v>13</v>
      </c>
      <c r="F297" s="4">
        <v>431</v>
      </c>
      <c r="G297" s="4">
        <v>607</v>
      </c>
      <c r="H297" s="4">
        <v>20230</v>
      </c>
      <c r="I297" s="6">
        <v>11220.329127256349</v>
      </c>
      <c r="J297" s="4"/>
      <c r="K297" s="4"/>
      <c r="L297" s="4"/>
      <c r="M297" s="4"/>
      <c r="N297" s="4"/>
      <c r="O297" s="4"/>
      <c r="P297" s="4"/>
      <c r="Q297" s="4"/>
      <c r="R297" s="4"/>
      <c r="S297" s="4"/>
      <c r="T297" s="4"/>
      <c r="U297" s="4"/>
      <c r="V297" s="4"/>
      <c r="W297" s="4"/>
      <c r="X297" s="4"/>
      <c r="Y297" s="4"/>
      <c r="Z297" s="4"/>
    </row>
    <row r="298" spans="1:26">
      <c r="A298" s="5">
        <v>43191</v>
      </c>
      <c r="B298" s="4" t="s">
        <v>9</v>
      </c>
      <c r="C298" s="4" t="s">
        <v>19</v>
      </c>
      <c r="D298" s="4" t="s">
        <v>16</v>
      </c>
      <c r="E298" s="4" t="s">
        <v>12</v>
      </c>
      <c r="F298" s="4">
        <v>14573059</v>
      </c>
      <c r="G298" s="4">
        <v>63534</v>
      </c>
      <c r="H298" s="4">
        <v>65135</v>
      </c>
      <c r="I298" s="6">
        <v>374740.65667619527</v>
      </c>
      <c r="J298" s="4"/>
      <c r="K298" s="4"/>
      <c r="L298" s="4"/>
      <c r="M298" s="4"/>
      <c r="N298" s="4"/>
      <c r="O298" s="4"/>
      <c r="P298" s="4"/>
      <c r="Q298" s="4"/>
      <c r="R298" s="4"/>
      <c r="S298" s="4"/>
      <c r="T298" s="4"/>
      <c r="U298" s="4"/>
      <c r="V298" s="4"/>
      <c r="W298" s="4"/>
      <c r="X298" s="4"/>
      <c r="Y298" s="4"/>
      <c r="Z298" s="4"/>
    </row>
    <row r="299" spans="1:26">
      <c r="A299" s="5">
        <v>43191</v>
      </c>
      <c r="B299" s="4" t="s">
        <v>9</v>
      </c>
      <c r="C299" s="4" t="s">
        <v>19</v>
      </c>
      <c r="D299" s="4" t="s">
        <v>16</v>
      </c>
      <c r="E299" s="4" t="s">
        <v>13</v>
      </c>
      <c r="F299" s="4">
        <v>136190</v>
      </c>
      <c r="G299" s="4">
        <v>1907</v>
      </c>
      <c r="H299" s="4">
        <v>32810</v>
      </c>
      <c r="I299" s="6">
        <v>50819.428402469021</v>
      </c>
      <c r="J299" s="4"/>
      <c r="K299" s="4"/>
      <c r="L299" s="4"/>
      <c r="M299" s="4"/>
      <c r="N299" s="4"/>
      <c r="O299" s="4"/>
      <c r="P299" s="4"/>
      <c r="Q299" s="4"/>
      <c r="R299" s="4"/>
      <c r="S299" s="4"/>
      <c r="T299" s="4"/>
      <c r="U299" s="4"/>
      <c r="V299" s="4"/>
      <c r="W299" s="4"/>
      <c r="X299" s="4"/>
      <c r="Y299" s="4"/>
      <c r="Z299" s="4"/>
    </row>
    <row r="300" spans="1:26">
      <c r="A300" s="5">
        <v>43191</v>
      </c>
      <c r="B300" s="4" t="s">
        <v>9</v>
      </c>
      <c r="C300" s="4" t="s">
        <v>19</v>
      </c>
      <c r="D300" s="4" t="s">
        <v>17</v>
      </c>
      <c r="E300" s="4" t="s">
        <v>12</v>
      </c>
      <c r="F300" s="4">
        <v>203263</v>
      </c>
      <c r="G300" s="4">
        <v>22924</v>
      </c>
      <c r="H300" s="4">
        <v>23669</v>
      </c>
      <c r="I300" s="6">
        <v>138962.94838626403</v>
      </c>
      <c r="J300" s="4"/>
      <c r="K300" s="4"/>
      <c r="L300" s="4"/>
      <c r="M300" s="4"/>
      <c r="N300" s="4"/>
      <c r="O300" s="4"/>
      <c r="P300" s="4"/>
      <c r="Q300" s="4"/>
      <c r="R300" s="4"/>
      <c r="S300" s="4"/>
      <c r="T300" s="4"/>
      <c r="U300" s="4"/>
      <c r="V300" s="4"/>
      <c r="W300" s="4"/>
      <c r="X300" s="4"/>
      <c r="Y300" s="4"/>
      <c r="Z300" s="4"/>
    </row>
    <row r="301" spans="1:26">
      <c r="A301" s="5">
        <v>43191</v>
      </c>
      <c r="B301" s="4" t="s">
        <v>9</v>
      </c>
      <c r="C301" s="4" t="s">
        <v>19</v>
      </c>
      <c r="D301" s="4" t="s">
        <v>17</v>
      </c>
      <c r="E301" s="4" t="s">
        <v>13</v>
      </c>
      <c r="F301" s="4">
        <v>1373</v>
      </c>
      <c r="G301" s="4">
        <v>624</v>
      </c>
      <c r="H301" s="4">
        <v>6286</v>
      </c>
      <c r="I301" s="6">
        <v>17156.242768576547</v>
      </c>
      <c r="J301" s="4"/>
      <c r="K301" s="4"/>
      <c r="L301" s="4"/>
      <c r="M301" s="4"/>
      <c r="N301" s="4"/>
      <c r="O301" s="4"/>
      <c r="P301" s="4"/>
      <c r="Q301" s="4"/>
      <c r="R301" s="4"/>
      <c r="S301" s="4"/>
      <c r="T301" s="4"/>
      <c r="U301" s="4"/>
      <c r="V301" s="4"/>
      <c r="W301" s="4"/>
      <c r="X301" s="4"/>
      <c r="Y301" s="4"/>
      <c r="Z301" s="4"/>
    </row>
    <row r="302" spans="1:26">
      <c r="A302" s="5">
        <v>43191</v>
      </c>
      <c r="B302" s="4" t="s">
        <v>20</v>
      </c>
      <c r="C302" s="4" t="s">
        <v>10</v>
      </c>
      <c r="D302" s="4" t="s">
        <v>11</v>
      </c>
      <c r="E302" s="4" t="s">
        <v>12</v>
      </c>
      <c r="F302" s="4">
        <v>2058332</v>
      </c>
      <c r="G302" s="4">
        <v>4811</v>
      </c>
      <c r="H302" s="4">
        <v>5453</v>
      </c>
      <c r="I302" s="6">
        <v>1283.2853662112932</v>
      </c>
      <c r="J302" s="4"/>
      <c r="K302" s="4"/>
      <c r="L302" s="4"/>
      <c r="M302" s="4"/>
      <c r="N302" s="4"/>
      <c r="O302" s="4"/>
      <c r="P302" s="4"/>
      <c r="Q302" s="4"/>
      <c r="R302" s="4"/>
      <c r="S302" s="4"/>
      <c r="T302" s="4"/>
      <c r="U302" s="4"/>
      <c r="V302" s="4"/>
      <c r="W302" s="4"/>
      <c r="X302" s="4"/>
      <c r="Y302" s="4"/>
      <c r="Z302" s="4"/>
    </row>
    <row r="303" spans="1:26">
      <c r="A303" s="5">
        <v>43191</v>
      </c>
      <c r="B303" s="4" t="s">
        <v>20</v>
      </c>
      <c r="C303" s="4" t="s">
        <v>10</v>
      </c>
      <c r="D303" s="4" t="s">
        <v>11</v>
      </c>
      <c r="E303" s="4" t="s">
        <v>13</v>
      </c>
      <c r="F303" s="4">
        <v>830</v>
      </c>
      <c r="G303" s="4">
        <v>20</v>
      </c>
      <c r="H303" s="4">
        <v>50</v>
      </c>
      <c r="I303" s="6">
        <v>11117.934343434343</v>
      </c>
      <c r="J303" s="4"/>
      <c r="K303" s="4"/>
      <c r="L303" s="4"/>
      <c r="M303" s="4"/>
      <c r="N303" s="4"/>
      <c r="O303" s="4"/>
      <c r="P303" s="4"/>
      <c r="Q303" s="4"/>
      <c r="R303" s="4"/>
      <c r="S303" s="4"/>
      <c r="T303" s="4"/>
      <c r="U303" s="4"/>
      <c r="V303" s="4"/>
      <c r="W303" s="4"/>
      <c r="X303" s="4"/>
      <c r="Y303" s="4"/>
      <c r="Z303" s="4"/>
    </row>
    <row r="304" spans="1:26">
      <c r="A304" s="5">
        <v>43191</v>
      </c>
      <c r="B304" s="4" t="s">
        <v>20</v>
      </c>
      <c r="C304" s="4" t="s">
        <v>10</v>
      </c>
      <c r="D304" s="4" t="s">
        <v>14</v>
      </c>
      <c r="E304" s="4" t="s">
        <v>12</v>
      </c>
      <c r="F304" s="4">
        <v>3727588</v>
      </c>
      <c r="G304" s="4">
        <v>8563</v>
      </c>
      <c r="H304" s="4">
        <v>9301</v>
      </c>
      <c r="I304" s="6">
        <v>1168.6151507902571</v>
      </c>
      <c r="J304" s="4"/>
      <c r="K304" s="4"/>
      <c r="L304" s="4"/>
      <c r="M304" s="4"/>
      <c r="N304" s="4"/>
      <c r="O304" s="4"/>
      <c r="P304" s="4"/>
      <c r="Q304" s="4"/>
      <c r="R304" s="4"/>
      <c r="S304" s="4"/>
      <c r="T304" s="4"/>
      <c r="U304" s="4"/>
      <c r="V304" s="4"/>
      <c r="W304" s="4"/>
      <c r="X304" s="4"/>
      <c r="Y304" s="4"/>
      <c r="Z304" s="4"/>
    </row>
    <row r="305" spans="1:26">
      <c r="A305" s="5">
        <v>43191</v>
      </c>
      <c r="B305" s="4" t="s">
        <v>20</v>
      </c>
      <c r="C305" s="4" t="s">
        <v>10</v>
      </c>
      <c r="D305" s="4" t="s">
        <v>14</v>
      </c>
      <c r="E305" s="4" t="s">
        <v>13</v>
      </c>
      <c r="F305" s="4">
        <v>1792</v>
      </c>
      <c r="G305" s="4">
        <v>42</v>
      </c>
      <c r="H305" s="4">
        <v>176</v>
      </c>
      <c r="I305" s="6">
        <v>19714.501020689655</v>
      </c>
      <c r="J305" s="4"/>
      <c r="K305" s="4"/>
      <c r="L305" s="4"/>
      <c r="M305" s="4"/>
      <c r="N305" s="4"/>
      <c r="O305" s="4"/>
      <c r="P305" s="4"/>
      <c r="Q305" s="4"/>
      <c r="R305" s="4"/>
      <c r="S305" s="4"/>
      <c r="T305" s="4"/>
      <c r="U305" s="4"/>
      <c r="V305" s="4"/>
      <c r="W305" s="4"/>
      <c r="X305" s="4"/>
      <c r="Y305" s="4"/>
      <c r="Z305" s="4"/>
    </row>
    <row r="306" spans="1:26">
      <c r="A306" s="5">
        <v>43191</v>
      </c>
      <c r="B306" s="4" t="s">
        <v>20</v>
      </c>
      <c r="C306" s="4" t="s">
        <v>10</v>
      </c>
      <c r="D306" s="4" t="s">
        <v>15</v>
      </c>
      <c r="E306" s="4" t="s">
        <v>12</v>
      </c>
      <c r="F306" s="4">
        <v>931603</v>
      </c>
      <c r="G306" s="4">
        <v>2161</v>
      </c>
      <c r="H306" s="4">
        <v>2344</v>
      </c>
      <c r="I306" s="6">
        <v>373.90660622544578</v>
      </c>
      <c r="J306" s="4"/>
      <c r="K306" s="4"/>
      <c r="L306" s="4"/>
      <c r="M306" s="4"/>
      <c r="N306" s="4"/>
      <c r="O306" s="4"/>
      <c r="P306" s="4"/>
      <c r="Q306" s="4"/>
      <c r="R306" s="4"/>
      <c r="S306" s="4"/>
      <c r="T306" s="4"/>
      <c r="U306" s="4"/>
      <c r="V306" s="4"/>
      <c r="W306" s="4"/>
      <c r="X306" s="4"/>
      <c r="Y306" s="4"/>
      <c r="Z306" s="4"/>
    </row>
    <row r="307" spans="1:26">
      <c r="A307" s="5">
        <v>43191</v>
      </c>
      <c r="B307" s="4" t="s">
        <v>20</v>
      </c>
      <c r="C307" s="4" t="s">
        <v>10</v>
      </c>
      <c r="D307" s="4" t="s">
        <v>15</v>
      </c>
      <c r="E307" s="4" t="s">
        <v>13</v>
      </c>
      <c r="F307" s="4">
        <v>243</v>
      </c>
      <c r="G307" s="4">
        <v>5</v>
      </c>
      <c r="H307" s="4">
        <v>15</v>
      </c>
      <c r="I307" s="6">
        <v>1825.5781690140846</v>
      </c>
      <c r="J307" s="4"/>
      <c r="K307" s="4"/>
      <c r="L307" s="4"/>
      <c r="M307" s="4"/>
      <c r="N307" s="4"/>
      <c r="O307" s="4"/>
      <c r="P307" s="4"/>
      <c r="Q307" s="4"/>
      <c r="R307" s="4"/>
      <c r="S307" s="4"/>
      <c r="T307" s="4"/>
      <c r="U307" s="4"/>
      <c r="V307" s="4"/>
      <c r="W307" s="4"/>
      <c r="X307" s="4"/>
      <c r="Y307" s="4"/>
      <c r="Z307" s="4"/>
    </row>
    <row r="308" spans="1:26">
      <c r="A308" s="5">
        <v>43191</v>
      </c>
      <c r="B308" s="4" t="s">
        <v>20</v>
      </c>
      <c r="C308" s="4" t="s">
        <v>10</v>
      </c>
      <c r="D308" s="4" t="s">
        <v>16</v>
      </c>
      <c r="E308" s="4" t="s">
        <v>12</v>
      </c>
      <c r="F308" s="4">
        <v>10025526</v>
      </c>
      <c r="G308" s="4">
        <v>31195</v>
      </c>
      <c r="H308" s="4">
        <v>32763</v>
      </c>
      <c r="I308" s="6">
        <v>5525.3203557907518</v>
      </c>
      <c r="J308" s="4"/>
      <c r="K308" s="4"/>
      <c r="L308" s="4"/>
      <c r="M308" s="4"/>
      <c r="N308" s="4"/>
      <c r="O308" s="4"/>
      <c r="P308" s="4"/>
      <c r="Q308" s="4"/>
      <c r="R308" s="4"/>
      <c r="S308" s="4"/>
      <c r="T308" s="4"/>
      <c r="U308" s="4"/>
      <c r="V308" s="4"/>
      <c r="W308" s="4"/>
      <c r="X308" s="4"/>
      <c r="Y308" s="4"/>
      <c r="Z308" s="4"/>
    </row>
    <row r="309" spans="1:26">
      <c r="A309" s="5">
        <v>43191</v>
      </c>
      <c r="B309" s="4" t="s">
        <v>20</v>
      </c>
      <c r="C309" s="4" t="s">
        <v>10</v>
      </c>
      <c r="D309" s="4" t="s">
        <v>16</v>
      </c>
      <c r="E309" s="4" t="s">
        <v>13</v>
      </c>
      <c r="F309" s="4">
        <v>4864</v>
      </c>
      <c r="G309" s="4">
        <v>208</v>
      </c>
      <c r="H309" s="4">
        <v>561</v>
      </c>
      <c r="I309" s="6">
        <v>91818.012726161367</v>
      </c>
      <c r="J309" s="4"/>
      <c r="K309" s="4"/>
      <c r="L309" s="4"/>
      <c r="M309" s="4"/>
      <c r="N309" s="4"/>
      <c r="O309" s="4"/>
      <c r="P309" s="4"/>
      <c r="Q309" s="4"/>
      <c r="R309" s="4"/>
      <c r="S309" s="4"/>
      <c r="T309" s="4"/>
      <c r="U309" s="4"/>
      <c r="V309" s="4"/>
      <c r="W309" s="4"/>
      <c r="X309" s="4"/>
      <c r="Y309" s="4"/>
      <c r="Z309" s="4"/>
    </row>
    <row r="310" spans="1:26">
      <c r="A310" s="5">
        <v>43191</v>
      </c>
      <c r="B310" s="4" t="s">
        <v>20</v>
      </c>
      <c r="C310" s="4" t="s">
        <v>10</v>
      </c>
      <c r="D310" s="4" t="s">
        <v>17</v>
      </c>
      <c r="E310" s="4" t="s">
        <v>12</v>
      </c>
      <c r="F310" s="4">
        <v>3176341</v>
      </c>
      <c r="G310" s="4">
        <v>10380</v>
      </c>
      <c r="H310" s="4">
        <v>11013</v>
      </c>
      <c r="I310" s="6">
        <v>1675.9931440632056</v>
      </c>
      <c r="J310" s="4"/>
      <c r="K310" s="4"/>
      <c r="L310" s="4"/>
      <c r="M310" s="4"/>
      <c r="N310" s="4"/>
      <c r="O310" s="4"/>
      <c r="P310" s="4"/>
      <c r="Q310" s="4"/>
      <c r="R310" s="4"/>
      <c r="S310" s="4"/>
      <c r="T310" s="4"/>
      <c r="U310" s="4"/>
      <c r="V310" s="4"/>
      <c r="W310" s="4"/>
      <c r="X310" s="4"/>
      <c r="Y310" s="4"/>
      <c r="Z310" s="4"/>
    </row>
    <row r="311" spans="1:26">
      <c r="A311" s="5">
        <v>43191</v>
      </c>
      <c r="B311" s="4" t="s">
        <v>20</v>
      </c>
      <c r="C311" s="4" t="s">
        <v>10</v>
      </c>
      <c r="D311" s="4" t="s">
        <v>17</v>
      </c>
      <c r="E311" s="4" t="s">
        <v>13</v>
      </c>
      <c r="F311" s="4">
        <v>1644</v>
      </c>
      <c r="G311" s="4">
        <v>62</v>
      </c>
      <c r="H311" s="4">
        <v>196</v>
      </c>
      <c r="I311" s="6">
        <v>29806.314322580642</v>
      </c>
      <c r="J311" s="4"/>
      <c r="K311" s="4"/>
      <c r="L311" s="4"/>
      <c r="M311" s="4"/>
      <c r="N311" s="4"/>
      <c r="O311" s="4"/>
      <c r="P311" s="4"/>
      <c r="Q311" s="4"/>
      <c r="R311" s="4"/>
      <c r="S311" s="4"/>
      <c r="T311" s="4"/>
      <c r="U311" s="4"/>
      <c r="V311" s="4"/>
      <c r="W311" s="4"/>
      <c r="X311" s="4"/>
      <c r="Y311" s="4"/>
      <c r="Z311" s="4"/>
    </row>
    <row r="312" spans="1:26">
      <c r="A312" s="5">
        <v>43191</v>
      </c>
      <c r="B312" s="4" t="s">
        <v>20</v>
      </c>
      <c r="C312" s="4" t="s">
        <v>18</v>
      </c>
      <c r="D312" s="4" t="s">
        <v>11</v>
      </c>
      <c r="E312" s="4" t="s">
        <v>12</v>
      </c>
      <c r="F312" s="4">
        <v>2302793</v>
      </c>
      <c r="G312" s="4">
        <v>13608</v>
      </c>
      <c r="H312" s="4">
        <v>26223</v>
      </c>
      <c r="I312" s="6">
        <v>8066.6496416673453</v>
      </c>
      <c r="J312" s="4"/>
      <c r="K312" s="4"/>
      <c r="L312" s="4"/>
      <c r="M312" s="4"/>
      <c r="N312" s="4"/>
      <c r="O312" s="4"/>
      <c r="P312" s="4"/>
      <c r="Q312" s="4"/>
      <c r="R312" s="4"/>
      <c r="S312" s="4"/>
      <c r="T312" s="4"/>
      <c r="U312" s="4"/>
      <c r="V312" s="4"/>
      <c r="W312" s="4"/>
      <c r="X312" s="4"/>
      <c r="Y312" s="4"/>
      <c r="Z312" s="4"/>
    </row>
    <row r="313" spans="1:26">
      <c r="A313" s="5">
        <v>43191</v>
      </c>
      <c r="B313" s="4" t="s">
        <v>20</v>
      </c>
      <c r="C313" s="4" t="s">
        <v>18</v>
      </c>
      <c r="D313" s="4" t="s">
        <v>11</v>
      </c>
      <c r="E313" s="4" t="s">
        <v>13</v>
      </c>
      <c r="F313" s="4">
        <v>1185</v>
      </c>
      <c r="G313" s="4">
        <v>11</v>
      </c>
      <c r="H313" s="4">
        <v>18</v>
      </c>
      <c r="I313" s="6">
        <v>93.93480000000001</v>
      </c>
      <c r="J313" s="4"/>
      <c r="K313" s="4"/>
      <c r="L313" s="4"/>
      <c r="M313" s="4"/>
      <c r="N313" s="4"/>
      <c r="O313" s="4"/>
      <c r="P313" s="4"/>
      <c r="Q313" s="4"/>
      <c r="R313" s="4"/>
      <c r="S313" s="4"/>
      <c r="T313" s="4"/>
      <c r="U313" s="4"/>
      <c r="V313" s="4"/>
      <c r="W313" s="4"/>
      <c r="X313" s="4"/>
      <c r="Y313" s="4"/>
      <c r="Z313" s="4"/>
    </row>
    <row r="314" spans="1:26">
      <c r="A314" s="5">
        <v>43191</v>
      </c>
      <c r="B314" s="4" t="s">
        <v>20</v>
      </c>
      <c r="C314" s="4" t="s">
        <v>18</v>
      </c>
      <c r="D314" s="4" t="s">
        <v>14</v>
      </c>
      <c r="E314" s="4" t="s">
        <v>12</v>
      </c>
      <c r="F314" s="4">
        <v>4362531</v>
      </c>
      <c r="G314" s="4">
        <v>26858</v>
      </c>
      <c r="H314" s="4">
        <v>50211</v>
      </c>
      <c r="I314" s="6">
        <v>10247.768821706522</v>
      </c>
      <c r="J314" s="4"/>
      <c r="K314" s="4"/>
      <c r="L314" s="4"/>
      <c r="M314" s="4"/>
      <c r="N314" s="4"/>
      <c r="O314" s="4"/>
      <c r="P314" s="4"/>
      <c r="Q314" s="4"/>
      <c r="R314" s="4"/>
      <c r="S314" s="4"/>
      <c r="T314" s="4"/>
      <c r="U314" s="4"/>
      <c r="V314" s="4"/>
      <c r="W314" s="4"/>
      <c r="X314" s="4"/>
      <c r="Y314" s="4"/>
      <c r="Z314" s="4"/>
    </row>
    <row r="315" spans="1:26">
      <c r="A315" s="5">
        <v>43191</v>
      </c>
      <c r="B315" s="4" t="s">
        <v>20</v>
      </c>
      <c r="C315" s="4" t="s">
        <v>18</v>
      </c>
      <c r="D315" s="4" t="s">
        <v>14</v>
      </c>
      <c r="E315" s="4" t="s">
        <v>13</v>
      </c>
      <c r="F315" s="4">
        <v>2270</v>
      </c>
      <c r="G315" s="4">
        <v>23</v>
      </c>
      <c r="H315" s="4">
        <v>132</v>
      </c>
      <c r="I315" s="6">
        <v>221.90728363636362</v>
      </c>
      <c r="J315" s="4"/>
      <c r="K315" s="4"/>
      <c r="L315" s="4"/>
      <c r="M315" s="4"/>
      <c r="N315" s="4"/>
      <c r="O315" s="4"/>
      <c r="P315" s="4"/>
      <c r="Q315" s="4"/>
      <c r="R315" s="4"/>
      <c r="S315" s="4"/>
      <c r="T315" s="4"/>
      <c r="U315" s="4"/>
      <c r="V315" s="4"/>
      <c r="W315" s="4"/>
      <c r="X315" s="4"/>
      <c r="Y315" s="4"/>
      <c r="Z315" s="4"/>
    </row>
    <row r="316" spans="1:26">
      <c r="A316" s="5">
        <v>43191</v>
      </c>
      <c r="B316" s="4" t="s">
        <v>20</v>
      </c>
      <c r="C316" s="4" t="s">
        <v>18</v>
      </c>
      <c r="D316" s="4" t="s">
        <v>15</v>
      </c>
      <c r="E316" s="4" t="s">
        <v>12</v>
      </c>
      <c r="F316" s="4">
        <v>1377034</v>
      </c>
      <c r="G316" s="4">
        <v>9295</v>
      </c>
      <c r="H316" s="4">
        <v>17448</v>
      </c>
      <c r="I316" s="6">
        <v>2844.4664316822013</v>
      </c>
      <c r="J316" s="4"/>
      <c r="K316" s="4"/>
      <c r="L316" s="4"/>
      <c r="M316" s="4"/>
      <c r="N316" s="4"/>
      <c r="O316" s="4"/>
      <c r="P316" s="4"/>
      <c r="Q316" s="4"/>
      <c r="R316" s="4"/>
      <c r="S316" s="4"/>
      <c r="T316" s="4"/>
      <c r="U316" s="4"/>
      <c r="V316" s="4"/>
      <c r="W316" s="4"/>
      <c r="X316" s="4"/>
      <c r="Y316" s="4"/>
      <c r="Z316" s="4"/>
    </row>
    <row r="317" spans="1:26">
      <c r="A317" s="5">
        <v>43191</v>
      </c>
      <c r="B317" s="4" t="s">
        <v>20</v>
      </c>
      <c r="C317" s="4" t="s">
        <v>18</v>
      </c>
      <c r="D317" s="4" t="s">
        <v>15</v>
      </c>
      <c r="E317" s="4" t="s">
        <v>13</v>
      </c>
      <c r="F317" s="4">
        <v>474</v>
      </c>
      <c r="G317" s="4">
        <v>0</v>
      </c>
      <c r="H317" s="4">
        <v>0</v>
      </c>
      <c r="I317" s="6">
        <v>0</v>
      </c>
      <c r="J317" s="4"/>
      <c r="K317" s="4"/>
      <c r="L317" s="4"/>
      <c r="M317" s="4"/>
      <c r="N317" s="4"/>
      <c r="O317" s="4"/>
      <c r="P317" s="4"/>
      <c r="Q317" s="4"/>
      <c r="R317" s="4"/>
      <c r="S317" s="4"/>
      <c r="T317" s="4"/>
      <c r="U317" s="4"/>
      <c r="V317" s="4"/>
      <c r="W317" s="4"/>
      <c r="X317" s="4"/>
      <c r="Y317" s="4"/>
      <c r="Z317" s="4"/>
    </row>
    <row r="318" spans="1:26">
      <c r="A318" s="5">
        <v>43191</v>
      </c>
      <c r="B318" s="4" t="s">
        <v>20</v>
      </c>
      <c r="C318" s="4" t="s">
        <v>18</v>
      </c>
      <c r="D318" s="4" t="s">
        <v>16</v>
      </c>
      <c r="E318" s="4" t="s">
        <v>12</v>
      </c>
      <c r="F318" s="4">
        <v>20251504</v>
      </c>
      <c r="G318" s="4">
        <v>66493</v>
      </c>
      <c r="H318" s="4">
        <v>123848</v>
      </c>
      <c r="I318" s="6">
        <v>40865.846072381515</v>
      </c>
      <c r="J318" s="4"/>
      <c r="K318" s="4"/>
      <c r="L318" s="4"/>
      <c r="M318" s="4"/>
      <c r="N318" s="4"/>
      <c r="O318" s="4"/>
      <c r="P318" s="4"/>
      <c r="Q318" s="4"/>
      <c r="R318" s="4"/>
      <c r="S318" s="4"/>
      <c r="T318" s="4"/>
      <c r="U318" s="4"/>
      <c r="V318" s="4"/>
      <c r="W318" s="4"/>
      <c r="X318" s="4"/>
      <c r="Y318" s="4"/>
      <c r="Z318" s="4"/>
    </row>
    <row r="319" spans="1:26">
      <c r="A319" s="5">
        <v>43191</v>
      </c>
      <c r="B319" s="4" t="s">
        <v>20</v>
      </c>
      <c r="C319" s="4" t="s">
        <v>18</v>
      </c>
      <c r="D319" s="4" t="s">
        <v>16</v>
      </c>
      <c r="E319" s="4" t="s">
        <v>13</v>
      </c>
      <c r="F319" s="4">
        <v>24810</v>
      </c>
      <c r="G319" s="4">
        <v>78</v>
      </c>
      <c r="H319" s="4">
        <v>850</v>
      </c>
      <c r="I319" s="6">
        <v>1138.9803543913713</v>
      </c>
      <c r="J319" s="4"/>
      <c r="K319" s="4"/>
      <c r="L319" s="4"/>
      <c r="M319" s="4"/>
      <c r="N319" s="4"/>
      <c r="O319" s="4"/>
      <c r="P319" s="4"/>
      <c r="Q319" s="4"/>
      <c r="R319" s="4"/>
      <c r="S319" s="4"/>
      <c r="T319" s="4"/>
      <c r="U319" s="4"/>
      <c r="V319" s="4"/>
      <c r="W319" s="4"/>
      <c r="X319" s="4"/>
      <c r="Y319" s="4"/>
      <c r="Z319" s="4"/>
    </row>
    <row r="320" spans="1:26">
      <c r="A320" s="5">
        <v>43191</v>
      </c>
      <c r="B320" s="4" t="s">
        <v>20</v>
      </c>
      <c r="C320" s="4" t="s">
        <v>18</v>
      </c>
      <c r="D320" s="4" t="s">
        <v>17</v>
      </c>
      <c r="E320" s="4" t="s">
        <v>12</v>
      </c>
      <c r="F320" s="4">
        <v>3568120</v>
      </c>
      <c r="G320" s="4">
        <v>22446</v>
      </c>
      <c r="H320" s="4">
        <v>39430</v>
      </c>
      <c r="I320" s="6">
        <v>13440.055403993081</v>
      </c>
      <c r="J320" s="4"/>
      <c r="K320" s="4"/>
      <c r="L320" s="4"/>
      <c r="M320" s="4"/>
      <c r="N320" s="4"/>
      <c r="O320" s="4"/>
      <c r="P320" s="4"/>
      <c r="Q320" s="4"/>
      <c r="R320" s="4"/>
      <c r="S320" s="4"/>
      <c r="T320" s="4"/>
      <c r="U320" s="4"/>
      <c r="V320" s="4"/>
      <c r="W320" s="4"/>
      <c r="X320" s="4"/>
      <c r="Y320" s="4"/>
      <c r="Z320" s="4"/>
    </row>
    <row r="321" spans="1:26">
      <c r="A321" s="5">
        <v>43191</v>
      </c>
      <c r="B321" s="4" t="s">
        <v>20</v>
      </c>
      <c r="C321" s="4" t="s">
        <v>18</v>
      </c>
      <c r="D321" s="4" t="s">
        <v>17</v>
      </c>
      <c r="E321" s="4" t="s">
        <v>13</v>
      </c>
      <c r="F321" s="4">
        <v>1435</v>
      </c>
      <c r="G321" s="4">
        <v>15</v>
      </c>
      <c r="H321" s="4">
        <v>83</v>
      </c>
      <c r="I321" s="6">
        <v>51.852445652173913</v>
      </c>
      <c r="J321" s="4"/>
      <c r="K321" s="4"/>
      <c r="L321" s="4"/>
      <c r="M321" s="4"/>
      <c r="N321" s="4"/>
      <c r="O321" s="4"/>
      <c r="P321" s="4"/>
      <c r="Q321" s="4"/>
      <c r="R321" s="4"/>
      <c r="S321" s="4"/>
      <c r="T321" s="4"/>
      <c r="U321" s="4"/>
      <c r="V321" s="4"/>
      <c r="W321" s="4"/>
      <c r="X321" s="4"/>
      <c r="Y321" s="4"/>
      <c r="Z321" s="4"/>
    </row>
    <row r="322" spans="1:26">
      <c r="A322" s="5">
        <v>43191</v>
      </c>
      <c r="B322" s="4" t="s">
        <v>20</v>
      </c>
      <c r="C322" s="4" t="s">
        <v>19</v>
      </c>
      <c r="D322" s="4" t="s">
        <v>11</v>
      </c>
      <c r="E322" s="4" t="s">
        <v>12</v>
      </c>
      <c r="F322" s="4">
        <v>704477</v>
      </c>
      <c r="G322" s="4">
        <v>2143</v>
      </c>
      <c r="H322" s="4">
        <v>2305</v>
      </c>
      <c r="I322" s="6">
        <v>8071.573063921327</v>
      </c>
      <c r="J322" s="4"/>
      <c r="K322" s="4"/>
      <c r="L322" s="4"/>
      <c r="M322" s="4"/>
      <c r="N322" s="4"/>
      <c r="O322" s="4"/>
      <c r="P322" s="4"/>
      <c r="Q322" s="4"/>
      <c r="R322" s="4"/>
      <c r="S322" s="4"/>
      <c r="T322" s="4"/>
      <c r="U322" s="4"/>
      <c r="V322" s="4"/>
      <c r="W322" s="4"/>
      <c r="X322" s="4"/>
      <c r="Y322" s="4"/>
      <c r="Z322" s="4"/>
    </row>
    <row r="323" spans="1:26">
      <c r="A323" s="5">
        <v>43191</v>
      </c>
      <c r="B323" s="4" t="s">
        <v>20</v>
      </c>
      <c r="C323" s="4" t="s">
        <v>19</v>
      </c>
      <c r="D323" s="4" t="s">
        <v>11</v>
      </c>
      <c r="E323" s="4" t="s">
        <v>13</v>
      </c>
      <c r="F323" s="4">
        <v>955</v>
      </c>
      <c r="G323" s="4">
        <v>34</v>
      </c>
      <c r="H323" s="4">
        <v>200</v>
      </c>
      <c r="I323" s="6">
        <v>942.07738095238108</v>
      </c>
      <c r="J323" s="4"/>
      <c r="K323" s="4"/>
      <c r="L323" s="4"/>
      <c r="M323" s="4"/>
      <c r="N323" s="4"/>
      <c r="O323" s="4"/>
      <c r="P323" s="4"/>
      <c r="Q323" s="4"/>
      <c r="R323" s="4"/>
      <c r="S323" s="4"/>
      <c r="T323" s="4"/>
      <c r="U323" s="4"/>
      <c r="V323" s="4"/>
      <c r="W323" s="4"/>
      <c r="X323" s="4"/>
      <c r="Y323" s="4"/>
      <c r="Z323" s="4"/>
    </row>
    <row r="324" spans="1:26">
      <c r="A324" s="5">
        <v>43191</v>
      </c>
      <c r="B324" s="4" t="s">
        <v>20</v>
      </c>
      <c r="C324" s="4" t="s">
        <v>19</v>
      </c>
      <c r="D324" s="4" t="s">
        <v>14</v>
      </c>
      <c r="E324" s="4" t="s">
        <v>12</v>
      </c>
      <c r="F324" s="4">
        <v>1657581</v>
      </c>
      <c r="G324" s="4">
        <v>5512</v>
      </c>
      <c r="H324" s="4">
        <v>5568</v>
      </c>
      <c r="I324" s="6">
        <v>17112.705533324839</v>
      </c>
      <c r="J324" s="4"/>
      <c r="K324" s="4"/>
      <c r="L324" s="4"/>
      <c r="M324" s="4"/>
      <c r="N324" s="4"/>
      <c r="O324" s="4"/>
      <c r="P324" s="4"/>
      <c r="Q324" s="4"/>
      <c r="R324" s="4"/>
      <c r="S324" s="4"/>
      <c r="T324" s="4"/>
      <c r="U324" s="4"/>
      <c r="V324" s="4"/>
      <c r="W324" s="4"/>
      <c r="X324" s="4"/>
      <c r="Y324" s="4"/>
      <c r="Z324" s="4"/>
    </row>
    <row r="325" spans="1:26">
      <c r="A325" s="5">
        <v>43191</v>
      </c>
      <c r="B325" s="4" t="s">
        <v>20</v>
      </c>
      <c r="C325" s="4" t="s">
        <v>19</v>
      </c>
      <c r="D325" s="4" t="s">
        <v>14</v>
      </c>
      <c r="E325" s="4" t="s">
        <v>13</v>
      </c>
      <c r="F325" s="4">
        <v>2500</v>
      </c>
      <c r="G325" s="4">
        <v>98</v>
      </c>
      <c r="H325" s="4">
        <v>406</v>
      </c>
      <c r="I325" s="6">
        <v>1918.0497427652731</v>
      </c>
      <c r="J325" s="4"/>
      <c r="K325" s="4"/>
      <c r="L325" s="4"/>
      <c r="M325" s="4"/>
      <c r="N325" s="4"/>
      <c r="O325" s="4"/>
      <c r="P325" s="4"/>
      <c r="Q325" s="4"/>
      <c r="R325" s="4"/>
      <c r="S325" s="4"/>
      <c r="T325" s="4"/>
      <c r="U325" s="4"/>
      <c r="V325" s="4"/>
      <c r="W325" s="4"/>
      <c r="X325" s="4"/>
      <c r="Y325" s="4"/>
      <c r="Z325" s="4"/>
    </row>
    <row r="326" spans="1:26">
      <c r="A326" s="5">
        <v>43191</v>
      </c>
      <c r="B326" s="4" t="s">
        <v>20</v>
      </c>
      <c r="C326" s="4" t="s">
        <v>19</v>
      </c>
      <c r="D326" s="4" t="s">
        <v>15</v>
      </c>
      <c r="E326" s="4" t="s">
        <v>12</v>
      </c>
      <c r="F326" s="4">
        <v>430935</v>
      </c>
      <c r="G326" s="4">
        <v>1495</v>
      </c>
      <c r="H326" s="4">
        <v>1514</v>
      </c>
      <c r="I326" s="6">
        <v>5489.3021735074626</v>
      </c>
      <c r="J326" s="4"/>
      <c r="K326" s="4"/>
      <c r="L326" s="4"/>
      <c r="M326" s="4"/>
      <c r="N326" s="4"/>
      <c r="O326" s="4"/>
      <c r="P326" s="4"/>
      <c r="Q326" s="4"/>
      <c r="R326" s="4"/>
      <c r="S326" s="4"/>
      <c r="T326" s="4"/>
      <c r="U326" s="4"/>
      <c r="V326" s="4"/>
      <c r="W326" s="4"/>
      <c r="X326" s="4"/>
      <c r="Y326" s="4"/>
      <c r="Z326" s="4"/>
    </row>
    <row r="327" spans="1:26">
      <c r="A327" s="5">
        <v>43191</v>
      </c>
      <c r="B327" s="4" t="s">
        <v>20</v>
      </c>
      <c r="C327" s="4" t="s">
        <v>19</v>
      </c>
      <c r="D327" s="4" t="s">
        <v>15</v>
      </c>
      <c r="E327" s="4" t="s">
        <v>13</v>
      </c>
      <c r="F327" s="4">
        <v>431</v>
      </c>
      <c r="G327" s="4">
        <v>10</v>
      </c>
      <c r="H327" s="4">
        <v>101</v>
      </c>
      <c r="I327" s="6">
        <v>139.25242105263158</v>
      </c>
      <c r="J327" s="4"/>
      <c r="K327" s="4"/>
      <c r="L327" s="4"/>
      <c r="M327" s="4"/>
      <c r="N327" s="4"/>
      <c r="O327" s="4"/>
      <c r="P327" s="4"/>
      <c r="Q327" s="4"/>
      <c r="R327" s="4"/>
      <c r="S327" s="4"/>
      <c r="T327" s="4"/>
      <c r="U327" s="4"/>
      <c r="V327" s="4"/>
      <c r="W327" s="4"/>
      <c r="X327" s="4"/>
      <c r="Y327" s="4"/>
      <c r="Z327" s="4"/>
    </row>
    <row r="328" spans="1:26">
      <c r="A328" s="5">
        <v>43191</v>
      </c>
      <c r="B328" s="4" t="s">
        <v>20</v>
      </c>
      <c r="C328" s="4" t="s">
        <v>19</v>
      </c>
      <c r="D328" s="4" t="s">
        <v>16</v>
      </c>
      <c r="E328" s="4" t="s">
        <v>12</v>
      </c>
      <c r="F328" s="4">
        <v>3870202</v>
      </c>
      <c r="G328" s="4">
        <v>10799</v>
      </c>
      <c r="H328" s="4">
        <v>11072</v>
      </c>
      <c r="I328" s="6">
        <v>51408.512648662516</v>
      </c>
      <c r="J328" s="4"/>
      <c r="K328" s="4"/>
      <c r="L328" s="4"/>
      <c r="M328" s="4"/>
      <c r="N328" s="4"/>
      <c r="O328" s="4"/>
      <c r="P328" s="4"/>
      <c r="Q328" s="4"/>
      <c r="R328" s="4"/>
      <c r="S328" s="4"/>
      <c r="T328" s="4"/>
      <c r="U328" s="4"/>
      <c r="V328" s="4"/>
      <c r="W328" s="4"/>
      <c r="X328" s="4"/>
      <c r="Y328" s="4"/>
      <c r="Z328" s="4"/>
    </row>
    <row r="329" spans="1:26">
      <c r="A329" s="5">
        <v>43191</v>
      </c>
      <c r="B329" s="4" t="s">
        <v>20</v>
      </c>
      <c r="C329" s="4" t="s">
        <v>19</v>
      </c>
      <c r="D329" s="4" t="s">
        <v>16</v>
      </c>
      <c r="E329" s="4" t="s">
        <v>13</v>
      </c>
      <c r="F329" s="4">
        <v>3843</v>
      </c>
      <c r="G329" s="4">
        <v>155</v>
      </c>
      <c r="H329" s="4">
        <v>794</v>
      </c>
      <c r="I329" s="6">
        <v>4796.5343028229254</v>
      </c>
      <c r="J329" s="4"/>
      <c r="K329" s="4"/>
      <c r="L329" s="4"/>
      <c r="M329" s="4"/>
      <c r="N329" s="4"/>
      <c r="O329" s="4"/>
      <c r="P329" s="4"/>
      <c r="Q329" s="4"/>
      <c r="R329" s="4"/>
      <c r="S329" s="4"/>
      <c r="T329" s="4"/>
      <c r="U329" s="4"/>
      <c r="V329" s="4"/>
      <c r="W329" s="4"/>
      <c r="X329" s="4"/>
      <c r="Y329" s="4"/>
      <c r="Z329" s="4"/>
    </row>
    <row r="330" spans="1:26">
      <c r="A330" s="5">
        <v>43191</v>
      </c>
      <c r="B330" s="4" t="s">
        <v>20</v>
      </c>
      <c r="C330" s="4" t="s">
        <v>19</v>
      </c>
      <c r="D330" s="4" t="s">
        <v>17</v>
      </c>
      <c r="E330" s="4" t="s">
        <v>12</v>
      </c>
      <c r="F330" s="4">
        <v>1183111</v>
      </c>
      <c r="G330" s="4">
        <v>3828</v>
      </c>
      <c r="H330" s="4">
        <v>3864</v>
      </c>
      <c r="I330" s="6">
        <v>15293.334747660121</v>
      </c>
      <c r="J330" s="4"/>
      <c r="K330" s="4"/>
      <c r="L330" s="4"/>
      <c r="M330" s="4"/>
      <c r="N330" s="4"/>
      <c r="O330" s="4"/>
      <c r="P330" s="4"/>
      <c r="Q330" s="4"/>
      <c r="R330" s="4"/>
      <c r="S330" s="4"/>
      <c r="T330" s="4"/>
      <c r="U330" s="4"/>
      <c r="V330" s="4"/>
      <c r="W330" s="4"/>
      <c r="X330" s="4"/>
      <c r="Y330" s="4"/>
      <c r="Z330" s="4"/>
    </row>
    <row r="331" spans="1:26">
      <c r="A331" s="5">
        <v>43191</v>
      </c>
      <c r="B331" s="4" t="s">
        <v>20</v>
      </c>
      <c r="C331" s="4" t="s">
        <v>19</v>
      </c>
      <c r="D331" s="4" t="s">
        <v>17</v>
      </c>
      <c r="E331" s="4" t="s">
        <v>13</v>
      </c>
      <c r="F331" s="4">
        <v>1373</v>
      </c>
      <c r="G331" s="4">
        <v>43</v>
      </c>
      <c r="H331" s="4">
        <v>508</v>
      </c>
      <c r="I331" s="6">
        <v>1105.4055780691299</v>
      </c>
      <c r="J331" s="4"/>
      <c r="K331" s="4"/>
      <c r="L331" s="4"/>
      <c r="M331" s="4"/>
      <c r="N331" s="4"/>
      <c r="O331" s="4"/>
      <c r="P331" s="4"/>
      <c r="Q331" s="4"/>
      <c r="R331" s="4"/>
      <c r="S331" s="4"/>
      <c r="T331" s="4"/>
      <c r="U331" s="4"/>
      <c r="V331" s="4"/>
      <c r="W331" s="4"/>
      <c r="X331" s="4"/>
      <c r="Y331" s="4"/>
      <c r="Z331" s="4"/>
    </row>
    <row r="332" spans="1:26">
      <c r="A332" s="5">
        <v>43191</v>
      </c>
      <c r="B332" s="4" t="s">
        <v>21</v>
      </c>
      <c r="C332" s="4" t="s">
        <v>10</v>
      </c>
      <c r="D332" s="4" t="s">
        <v>11</v>
      </c>
      <c r="E332" s="4" t="s">
        <v>12</v>
      </c>
      <c r="F332" s="4">
        <v>1233708</v>
      </c>
      <c r="G332" s="4">
        <v>10138</v>
      </c>
      <c r="H332" s="4">
        <v>12718</v>
      </c>
      <c r="I332" s="6">
        <v>18924.860587624258</v>
      </c>
      <c r="J332" s="4"/>
      <c r="K332" s="4"/>
      <c r="L332" s="4"/>
      <c r="M332" s="4"/>
      <c r="N332" s="4"/>
      <c r="O332" s="4"/>
      <c r="P332" s="4"/>
      <c r="Q332" s="4"/>
      <c r="R332" s="4"/>
      <c r="S332" s="4"/>
      <c r="T332" s="4"/>
      <c r="U332" s="4"/>
      <c r="V332" s="4"/>
      <c r="W332" s="4"/>
      <c r="X332" s="4"/>
      <c r="Y332" s="4"/>
      <c r="Z332" s="4"/>
    </row>
    <row r="333" spans="1:26">
      <c r="A333" s="5">
        <v>43191</v>
      </c>
      <c r="B333" s="4" t="s">
        <v>21</v>
      </c>
      <c r="C333" s="4" t="s">
        <v>10</v>
      </c>
      <c r="D333" s="4" t="s">
        <v>11</v>
      </c>
      <c r="E333" s="4" t="s">
        <v>13</v>
      </c>
      <c r="F333" s="4">
        <v>14815</v>
      </c>
      <c r="G333" s="4">
        <v>877</v>
      </c>
      <c r="H333" s="4">
        <v>14758</v>
      </c>
      <c r="I333" s="6">
        <v>81596.329190790115</v>
      </c>
      <c r="J333" s="4"/>
      <c r="K333" s="4"/>
      <c r="L333" s="4"/>
      <c r="M333" s="4"/>
      <c r="N333" s="4"/>
      <c r="O333" s="4"/>
      <c r="P333" s="4"/>
      <c r="Q333" s="4"/>
      <c r="R333" s="4"/>
      <c r="S333" s="4"/>
      <c r="T333" s="4"/>
      <c r="U333" s="4"/>
      <c r="V333" s="4"/>
      <c r="W333" s="4"/>
      <c r="X333" s="4"/>
      <c r="Y333" s="4"/>
      <c r="Z333" s="4"/>
    </row>
    <row r="334" spans="1:26">
      <c r="A334" s="5">
        <v>43191</v>
      </c>
      <c r="B334" s="4" t="s">
        <v>21</v>
      </c>
      <c r="C334" s="4" t="s">
        <v>10</v>
      </c>
      <c r="D334" s="4" t="s">
        <v>14</v>
      </c>
      <c r="E334" s="4" t="s">
        <v>12</v>
      </c>
      <c r="F334" s="4">
        <v>1895999</v>
      </c>
      <c r="G334" s="4">
        <v>11788</v>
      </c>
      <c r="H334" s="4">
        <v>13433</v>
      </c>
      <c r="I334" s="6">
        <v>28544.087976945855</v>
      </c>
      <c r="J334" s="4"/>
      <c r="K334" s="4"/>
      <c r="L334" s="4"/>
      <c r="M334" s="4"/>
      <c r="N334" s="4"/>
      <c r="O334" s="4"/>
      <c r="P334" s="4"/>
      <c r="Q334" s="4"/>
      <c r="R334" s="4"/>
      <c r="S334" s="4"/>
      <c r="T334" s="4"/>
      <c r="U334" s="4"/>
      <c r="V334" s="4"/>
      <c r="W334" s="4"/>
      <c r="X334" s="4"/>
      <c r="Y334" s="4"/>
      <c r="Z334" s="4"/>
    </row>
    <row r="335" spans="1:26">
      <c r="A335" s="5">
        <v>43191</v>
      </c>
      <c r="B335" s="4" t="s">
        <v>21</v>
      </c>
      <c r="C335" s="4" t="s">
        <v>10</v>
      </c>
      <c r="D335" s="4" t="s">
        <v>14</v>
      </c>
      <c r="E335" s="4" t="s">
        <v>13</v>
      </c>
      <c r="F335" s="4">
        <v>17931</v>
      </c>
      <c r="G335" s="4">
        <v>1153</v>
      </c>
      <c r="H335" s="4">
        <v>15847</v>
      </c>
      <c r="I335" s="6">
        <v>96561.956537536738</v>
      </c>
      <c r="J335" s="4"/>
      <c r="K335" s="4"/>
      <c r="L335" s="4"/>
      <c r="M335" s="4"/>
      <c r="N335" s="4"/>
      <c r="O335" s="4"/>
      <c r="P335" s="4"/>
      <c r="Q335" s="4"/>
      <c r="R335" s="4"/>
      <c r="S335" s="4"/>
      <c r="T335" s="4"/>
      <c r="U335" s="4"/>
      <c r="V335" s="4"/>
      <c r="W335" s="4"/>
      <c r="X335" s="4"/>
      <c r="Y335" s="4"/>
      <c r="Z335" s="4"/>
    </row>
    <row r="336" spans="1:26">
      <c r="A336" s="5">
        <v>43191</v>
      </c>
      <c r="B336" s="4" t="s">
        <v>21</v>
      </c>
      <c r="C336" s="4" t="s">
        <v>10</v>
      </c>
      <c r="D336" s="4" t="s">
        <v>15</v>
      </c>
      <c r="E336" s="4" t="s">
        <v>12</v>
      </c>
      <c r="F336" s="4">
        <v>503568</v>
      </c>
      <c r="G336" s="4">
        <v>3251</v>
      </c>
      <c r="H336" s="4">
        <v>3816</v>
      </c>
      <c r="I336" s="6">
        <v>7026.1337792642134</v>
      </c>
      <c r="J336" s="4"/>
      <c r="K336" s="4"/>
      <c r="L336" s="4"/>
      <c r="M336" s="4"/>
      <c r="N336" s="4"/>
      <c r="O336" s="4"/>
      <c r="P336" s="4"/>
      <c r="Q336" s="4"/>
      <c r="R336" s="4"/>
      <c r="S336" s="4"/>
      <c r="T336" s="4"/>
      <c r="U336" s="4"/>
      <c r="V336" s="4"/>
      <c r="W336" s="4"/>
      <c r="X336" s="4"/>
      <c r="Y336" s="4"/>
      <c r="Z336" s="4"/>
    </row>
    <row r="337" spans="1:26">
      <c r="A337" s="5">
        <v>43191</v>
      </c>
      <c r="B337" s="4" t="s">
        <v>21</v>
      </c>
      <c r="C337" s="4" t="s">
        <v>10</v>
      </c>
      <c r="D337" s="4" t="s">
        <v>15</v>
      </c>
      <c r="E337" s="4" t="s">
        <v>13</v>
      </c>
      <c r="F337" s="4">
        <v>4404</v>
      </c>
      <c r="G337" s="4">
        <v>290</v>
      </c>
      <c r="H337" s="4">
        <v>3156</v>
      </c>
      <c r="I337" s="6">
        <v>23158.238096908575</v>
      </c>
      <c r="J337" s="4"/>
      <c r="K337" s="4"/>
      <c r="L337" s="4"/>
      <c r="M337" s="4"/>
      <c r="N337" s="4"/>
      <c r="O337" s="4"/>
      <c r="P337" s="4"/>
      <c r="Q337" s="4"/>
      <c r="R337" s="4"/>
      <c r="S337" s="4"/>
      <c r="T337" s="4"/>
      <c r="U337" s="4"/>
      <c r="V337" s="4"/>
      <c r="W337" s="4"/>
      <c r="X337" s="4"/>
      <c r="Y337" s="4"/>
      <c r="Z337" s="4"/>
    </row>
    <row r="338" spans="1:26">
      <c r="A338" s="5">
        <v>43191</v>
      </c>
      <c r="B338" s="4" t="s">
        <v>21</v>
      </c>
      <c r="C338" s="4" t="s">
        <v>10</v>
      </c>
      <c r="D338" s="4" t="s">
        <v>16</v>
      </c>
      <c r="E338" s="4" t="s">
        <v>12</v>
      </c>
      <c r="F338" s="4">
        <v>6421329</v>
      </c>
      <c r="G338" s="4">
        <v>53721</v>
      </c>
      <c r="H338" s="4">
        <v>59498</v>
      </c>
      <c r="I338" s="6">
        <v>146115.23345324685</v>
      </c>
      <c r="J338" s="4"/>
      <c r="K338" s="4"/>
      <c r="L338" s="4"/>
      <c r="M338" s="4"/>
      <c r="N338" s="4"/>
      <c r="O338" s="4"/>
      <c r="P338" s="4"/>
      <c r="Q338" s="4"/>
      <c r="R338" s="4"/>
      <c r="S338" s="4"/>
      <c r="T338" s="4"/>
      <c r="U338" s="4"/>
      <c r="V338" s="4"/>
      <c r="W338" s="4"/>
      <c r="X338" s="4"/>
      <c r="Y338" s="4"/>
      <c r="Z338" s="4"/>
    </row>
    <row r="339" spans="1:26">
      <c r="A339" s="5">
        <v>43191</v>
      </c>
      <c r="B339" s="4" t="s">
        <v>21</v>
      </c>
      <c r="C339" s="4" t="s">
        <v>10</v>
      </c>
      <c r="D339" s="4" t="s">
        <v>16</v>
      </c>
      <c r="E339" s="4" t="s">
        <v>13</v>
      </c>
      <c r="F339" s="4">
        <v>78838</v>
      </c>
      <c r="G339" s="4">
        <v>5670</v>
      </c>
      <c r="H339" s="4">
        <v>81687</v>
      </c>
      <c r="I339" s="6">
        <v>459393.10709444486</v>
      </c>
      <c r="J339" s="4"/>
      <c r="K339" s="4"/>
      <c r="L339" s="4"/>
      <c r="M339" s="4"/>
      <c r="N339" s="4"/>
      <c r="O339" s="4"/>
      <c r="P339" s="4"/>
      <c r="Q339" s="4"/>
      <c r="R339" s="4"/>
      <c r="S339" s="4"/>
      <c r="T339" s="4"/>
      <c r="U339" s="4"/>
      <c r="V339" s="4"/>
      <c r="W339" s="4"/>
      <c r="X339" s="4"/>
      <c r="Y339" s="4"/>
      <c r="Z339" s="4"/>
    </row>
    <row r="340" spans="1:26">
      <c r="A340" s="5">
        <v>43191</v>
      </c>
      <c r="B340" s="4" t="s">
        <v>21</v>
      </c>
      <c r="C340" s="4" t="s">
        <v>10</v>
      </c>
      <c r="D340" s="4" t="s">
        <v>17</v>
      </c>
      <c r="E340" s="4" t="s">
        <v>12</v>
      </c>
      <c r="F340" s="4">
        <v>2100400</v>
      </c>
      <c r="G340" s="4">
        <v>22301</v>
      </c>
      <c r="H340" s="4">
        <v>24347</v>
      </c>
      <c r="I340" s="6">
        <v>60236.953267676327</v>
      </c>
      <c r="J340" s="4"/>
      <c r="K340" s="4"/>
      <c r="L340" s="4"/>
      <c r="M340" s="4"/>
      <c r="N340" s="4"/>
      <c r="O340" s="4"/>
      <c r="P340" s="4"/>
      <c r="Q340" s="4"/>
      <c r="R340" s="4"/>
      <c r="S340" s="4"/>
      <c r="T340" s="4"/>
      <c r="U340" s="4"/>
      <c r="V340" s="4"/>
      <c r="W340" s="4"/>
      <c r="X340" s="4"/>
      <c r="Y340" s="4"/>
      <c r="Z340" s="4"/>
    </row>
    <row r="341" spans="1:26">
      <c r="A341" s="5">
        <v>43191</v>
      </c>
      <c r="B341" s="4" t="s">
        <v>21</v>
      </c>
      <c r="C341" s="4" t="s">
        <v>10</v>
      </c>
      <c r="D341" s="4" t="s">
        <v>17</v>
      </c>
      <c r="E341" s="4" t="s">
        <v>13</v>
      </c>
      <c r="F341" s="4">
        <v>30120</v>
      </c>
      <c r="G341" s="4">
        <v>2506</v>
      </c>
      <c r="H341" s="4">
        <v>36225</v>
      </c>
      <c r="I341" s="6">
        <v>198368.1</v>
      </c>
      <c r="J341" s="4"/>
      <c r="K341" s="4"/>
      <c r="L341" s="4"/>
      <c r="M341" s="4"/>
      <c r="N341" s="4"/>
      <c r="O341" s="4"/>
      <c r="P341" s="4"/>
      <c r="Q341" s="4"/>
      <c r="R341" s="4"/>
      <c r="S341" s="4"/>
      <c r="T341" s="4"/>
      <c r="U341" s="4"/>
      <c r="V341" s="4"/>
      <c r="W341" s="4"/>
      <c r="X341" s="4"/>
      <c r="Y341" s="4"/>
      <c r="Z341" s="4"/>
    </row>
    <row r="342" spans="1:26">
      <c r="A342" s="5">
        <v>43191</v>
      </c>
      <c r="B342" s="4" t="s">
        <v>21</v>
      </c>
      <c r="C342" s="4" t="s">
        <v>18</v>
      </c>
      <c r="D342" s="4" t="s">
        <v>11</v>
      </c>
      <c r="E342" s="4" t="s">
        <v>12</v>
      </c>
      <c r="F342" s="4">
        <v>1442396</v>
      </c>
      <c r="G342" s="4">
        <v>26236</v>
      </c>
      <c r="H342" s="4">
        <v>114138</v>
      </c>
      <c r="I342" s="6">
        <v>60825.879072164957</v>
      </c>
      <c r="J342" s="4"/>
      <c r="K342" s="4"/>
      <c r="L342" s="4"/>
      <c r="M342" s="4"/>
      <c r="N342" s="4"/>
      <c r="O342" s="4"/>
      <c r="P342" s="4"/>
      <c r="Q342" s="4"/>
      <c r="R342" s="4"/>
      <c r="S342" s="4"/>
      <c r="T342" s="4"/>
      <c r="U342" s="4"/>
      <c r="V342" s="4"/>
      <c r="W342" s="4"/>
      <c r="X342" s="4"/>
      <c r="Y342" s="4"/>
      <c r="Z342" s="4"/>
    </row>
    <row r="343" spans="1:26">
      <c r="A343" s="5">
        <v>43191</v>
      </c>
      <c r="B343" s="4" t="s">
        <v>21</v>
      </c>
      <c r="C343" s="4" t="s">
        <v>18</v>
      </c>
      <c r="D343" s="4" t="s">
        <v>11</v>
      </c>
      <c r="E343" s="4" t="s">
        <v>13</v>
      </c>
      <c r="F343" s="4">
        <v>10174</v>
      </c>
      <c r="G343" s="4">
        <v>301</v>
      </c>
      <c r="H343" s="4">
        <v>13344</v>
      </c>
      <c r="I343" s="6">
        <v>10548.799218335846</v>
      </c>
      <c r="J343" s="4"/>
      <c r="K343" s="4"/>
      <c r="L343" s="4"/>
      <c r="M343" s="4"/>
      <c r="N343" s="4"/>
      <c r="O343" s="4"/>
      <c r="P343" s="4"/>
      <c r="Q343" s="4"/>
      <c r="R343" s="4"/>
      <c r="S343" s="4"/>
      <c r="T343" s="4"/>
      <c r="U343" s="4"/>
      <c r="V343" s="4"/>
      <c r="W343" s="4"/>
      <c r="X343" s="4"/>
      <c r="Y343" s="4"/>
      <c r="Z343" s="4"/>
    </row>
    <row r="344" spans="1:26">
      <c r="A344" s="5">
        <v>43191</v>
      </c>
      <c r="B344" s="4" t="s">
        <v>21</v>
      </c>
      <c r="C344" s="4" t="s">
        <v>18</v>
      </c>
      <c r="D344" s="4" t="s">
        <v>14</v>
      </c>
      <c r="E344" s="4" t="s">
        <v>12</v>
      </c>
      <c r="F344" s="4">
        <v>2264007</v>
      </c>
      <c r="G344" s="4">
        <v>37397</v>
      </c>
      <c r="H344" s="4">
        <v>140053</v>
      </c>
      <c r="I344" s="6">
        <v>67161.113814788696</v>
      </c>
      <c r="J344" s="4"/>
      <c r="K344" s="4"/>
      <c r="L344" s="4"/>
      <c r="M344" s="4"/>
      <c r="N344" s="4"/>
      <c r="O344" s="4"/>
      <c r="P344" s="4"/>
      <c r="Q344" s="4"/>
      <c r="R344" s="4"/>
      <c r="S344" s="4"/>
      <c r="T344" s="4"/>
      <c r="U344" s="4"/>
      <c r="V344" s="4"/>
      <c r="W344" s="4"/>
      <c r="X344" s="4"/>
      <c r="Y344" s="4"/>
      <c r="Z344" s="4"/>
    </row>
    <row r="345" spans="1:26">
      <c r="A345" s="5">
        <v>43191</v>
      </c>
      <c r="B345" s="4" t="s">
        <v>21</v>
      </c>
      <c r="C345" s="4" t="s">
        <v>18</v>
      </c>
      <c r="D345" s="4" t="s">
        <v>14</v>
      </c>
      <c r="E345" s="4" t="s">
        <v>13</v>
      </c>
      <c r="F345" s="4">
        <v>13228</v>
      </c>
      <c r="G345" s="4">
        <v>344</v>
      </c>
      <c r="H345" s="4">
        <v>8264</v>
      </c>
      <c r="I345" s="6">
        <v>10418.093401015229</v>
      </c>
      <c r="J345" s="4"/>
      <c r="K345" s="4"/>
      <c r="L345" s="4"/>
      <c r="M345" s="4"/>
      <c r="N345" s="4"/>
      <c r="O345" s="4"/>
      <c r="P345" s="4"/>
      <c r="Q345" s="4"/>
      <c r="R345" s="4"/>
      <c r="S345" s="4"/>
      <c r="T345" s="4"/>
      <c r="U345" s="4"/>
      <c r="V345" s="4"/>
      <c r="W345" s="4"/>
      <c r="X345" s="4"/>
      <c r="Y345" s="4"/>
      <c r="Z345" s="4"/>
    </row>
    <row r="346" spans="1:26">
      <c r="A346" s="5">
        <v>43191</v>
      </c>
      <c r="B346" s="4" t="s">
        <v>21</v>
      </c>
      <c r="C346" s="4" t="s">
        <v>18</v>
      </c>
      <c r="D346" s="4" t="s">
        <v>15</v>
      </c>
      <c r="E346" s="4" t="s">
        <v>12</v>
      </c>
      <c r="F346" s="4">
        <v>782025</v>
      </c>
      <c r="G346" s="4">
        <v>11725</v>
      </c>
      <c r="H346" s="4">
        <v>56012</v>
      </c>
      <c r="I346" s="6">
        <v>17848.025261262628</v>
      </c>
      <c r="J346" s="4"/>
      <c r="K346" s="4"/>
      <c r="L346" s="4"/>
      <c r="M346" s="4"/>
      <c r="N346" s="4"/>
      <c r="O346" s="4"/>
      <c r="P346" s="4"/>
      <c r="Q346" s="4"/>
      <c r="R346" s="4"/>
      <c r="S346" s="4"/>
      <c r="T346" s="4"/>
      <c r="U346" s="4"/>
      <c r="V346" s="4"/>
      <c r="W346" s="4"/>
      <c r="X346" s="4"/>
      <c r="Y346" s="4"/>
      <c r="Z346" s="4"/>
    </row>
    <row r="347" spans="1:26">
      <c r="A347" s="5">
        <v>43191</v>
      </c>
      <c r="B347" s="4" t="s">
        <v>21</v>
      </c>
      <c r="C347" s="4" t="s">
        <v>18</v>
      </c>
      <c r="D347" s="4" t="s">
        <v>15</v>
      </c>
      <c r="E347" s="4" t="s">
        <v>13</v>
      </c>
      <c r="F347" s="4">
        <v>4047</v>
      </c>
      <c r="G347" s="4">
        <v>125</v>
      </c>
      <c r="H347" s="4">
        <v>3256</v>
      </c>
      <c r="I347" s="6">
        <v>1777.7108534095551</v>
      </c>
      <c r="J347" s="4"/>
      <c r="K347" s="4"/>
      <c r="L347" s="4"/>
      <c r="M347" s="4"/>
      <c r="N347" s="4"/>
      <c r="O347" s="4"/>
      <c r="P347" s="4"/>
      <c r="Q347" s="4"/>
      <c r="R347" s="4"/>
      <c r="S347" s="4"/>
      <c r="T347" s="4"/>
      <c r="U347" s="4"/>
      <c r="V347" s="4"/>
      <c r="W347" s="4"/>
      <c r="X347" s="4"/>
      <c r="Y347" s="4"/>
      <c r="Z347" s="4"/>
    </row>
    <row r="348" spans="1:26">
      <c r="A348" s="5">
        <v>43191</v>
      </c>
      <c r="B348" s="4" t="s">
        <v>21</v>
      </c>
      <c r="C348" s="4" t="s">
        <v>18</v>
      </c>
      <c r="D348" s="4" t="s">
        <v>16</v>
      </c>
      <c r="E348" s="4" t="s">
        <v>12</v>
      </c>
      <c r="F348" s="4">
        <v>19830369</v>
      </c>
      <c r="G348" s="4">
        <v>114176</v>
      </c>
      <c r="H348" s="4">
        <v>408120</v>
      </c>
      <c r="I348" s="6">
        <v>258492.4172482969</v>
      </c>
      <c r="J348" s="4"/>
      <c r="K348" s="4"/>
      <c r="L348" s="4"/>
      <c r="M348" s="4"/>
      <c r="N348" s="4"/>
      <c r="O348" s="4"/>
      <c r="P348" s="4"/>
      <c r="Q348" s="4"/>
      <c r="R348" s="4"/>
      <c r="S348" s="4"/>
      <c r="T348" s="4"/>
      <c r="U348" s="4"/>
      <c r="V348" s="4"/>
      <c r="W348" s="4"/>
      <c r="X348" s="4"/>
      <c r="Y348" s="4"/>
      <c r="Z348" s="4"/>
    </row>
    <row r="349" spans="1:26">
      <c r="A349" s="5">
        <v>43191</v>
      </c>
      <c r="B349" s="4" t="s">
        <v>21</v>
      </c>
      <c r="C349" s="4" t="s">
        <v>18</v>
      </c>
      <c r="D349" s="4" t="s">
        <v>16</v>
      </c>
      <c r="E349" s="4" t="s">
        <v>13</v>
      </c>
      <c r="F349" s="4">
        <v>522261</v>
      </c>
      <c r="G349" s="4">
        <v>1200</v>
      </c>
      <c r="H349" s="4">
        <v>42040</v>
      </c>
      <c r="I349" s="6">
        <v>31157.147170825076</v>
      </c>
      <c r="J349" s="4"/>
      <c r="K349" s="4"/>
      <c r="L349" s="4"/>
      <c r="M349" s="4"/>
      <c r="N349" s="4"/>
      <c r="O349" s="4"/>
      <c r="P349" s="4"/>
      <c r="Q349" s="4"/>
      <c r="R349" s="4"/>
      <c r="S349" s="4"/>
      <c r="T349" s="4"/>
      <c r="U349" s="4"/>
      <c r="V349" s="4"/>
      <c r="W349" s="4"/>
      <c r="X349" s="4"/>
      <c r="Y349" s="4"/>
      <c r="Z349" s="4"/>
    </row>
    <row r="350" spans="1:26">
      <c r="A350" s="5">
        <v>43191</v>
      </c>
      <c r="B350" s="4" t="s">
        <v>21</v>
      </c>
      <c r="C350" s="4" t="s">
        <v>18</v>
      </c>
      <c r="D350" s="4" t="s">
        <v>17</v>
      </c>
      <c r="E350" s="4" t="s">
        <v>12</v>
      </c>
      <c r="F350" s="4">
        <v>2632202</v>
      </c>
      <c r="G350" s="4">
        <v>41679</v>
      </c>
      <c r="H350" s="4">
        <v>137397</v>
      </c>
      <c r="I350" s="6">
        <v>98002.519255069899</v>
      </c>
      <c r="J350" s="4"/>
      <c r="K350" s="4"/>
      <c r="L350" s="4"/>
      <c r="M350" s="4"/>
      <c r="N350" s="4"/>
      <c r="O350" s="4"/>
      <c r="P350" s="4"/>
      <c r="Q350" s="4"/>
      <c r="R350" s="4"/>
      <c r="S350" s="4"/>
      <c r="T350" s="4"/>
      <c r="U350" s="4"/>
      <c r="V350" s="4"/>
      <c r="W350" s="4"/>
      <c r="X350" s="4"/>
      <c r="Y350" s="4"/>
      <c r="Z350" s="4"/>
    </row>
    <row r="351" spans="1:26">
      <c r="A351" s="5">
        <v>43191</v>
      </c>
      <c r="B351" s="4" t="s">
        <v>21</v>
      </c>
      <c r="C351" s="4" t="s">
        <v>18</v>
      </c>
      <c r="D351" s="4" t="s">
        <v>17</v>
      </c>
      <c r="E351" s="4" t="s">
        <v>13</v>
      </c>
      <c r="F351" s="4">
        <v>23829</v>
      </c>
      <c r="G351" s="4">
        <v>578</v>
      </c>
      <c r="H351" s="4">
        <v>21720</v>
      </c>
      <c r="I351" s="6">
        <v>17447.884347178606</v>
      </c>
      <c r="J351" s="4"/>
      <c r="K351" s="4"/>
      <c r="L351" s="4"/>
      <c r="M351" s="4"/>
      <c r="N351" s="4"/>
      <c r="O351" s="4"/>
      <c r="P351" s="4"/>
      <c r="Q351" s="4"/>
      <c r="R351" s="4"/>
      <c r="S351" s="4"/>
      <c r="T351" s="4"/>
      <c r="U351" s="4"/>
      <c r="V351" s="4"/>
      <c r="W351" s="4"/>
      <c r="X351" s="4"/>
      <c r="Y351" s="4"/>
      <c r="Z351" s="4"/>
    </row>
    <row r="352" spans="1:26">
      <c r="A352" s="5">
        <v>43191</v>
      </c>
      <c r="B352" s="4" t="s">
        <v>21</v>
      </c>
      <c r="C352" s="4" t="s">
        <v>19</v>
      </c>
      <c r="D352" s="4" t="s">
        <v>11</v>
      </c>
      <c r="E352" s="4" t="s">
        <v>12</v>
      </c>
      <c r="F352" s="4">
        <v>499032</v>
      </c>
      <c r="G352" s="4">
        <v>7080</v>
      </c>
      <c r="H352" s="4">
        <v>7336</v>
      </c>
      <c r="I352" s="6">
        <v>77752.909268292686</v>
      </c>
      <c r="J352" s="4"/>
      <c r="K352" s="4"/>
      <c r="L352" s="4"/>
      <c r="M352" s="4"/>
      <c r="N352" s="4"/>
      <c r="O352" s="4"/>
      <c r="P352" s="4"/>
      <c r="Q352" s="4"/>
      <c r="R352" s="4"/>
      <c r="S352" s="4"/>
      <c r="T352" s="4"/>
      <c r="U352" s="4"/>
      <c r="V352" s="4"/>
      <c r="W352" s="4"/>
      <c r="X352" s="4"/>
      <c r="Y352" s="4"/>
      <c r="Z352" s="4"/>
    </row>
    <row r="353" spans="1:26">
      <c r="A353" s="5">
        <v>43191</v>
      </c>
      <c r="B353" s="4" t="s">
        <v>21</v>
      </c>
      <c r="C353" s="4" t="s">
        <v>19</v>
      </c>
      <c r="D353" s="4" t="s">
        <v>11</v>
      </c>
      <c r="E353" s="4" t="s">
        <v>13</v>
      </c>
      <c r="F353" s="4">
        <v>13058</v>
      </c>
      <c r="G353" s="4">
        <v>1138</v>
      </c>
      <c r="H353" s="4">
        <v>33486</v>
      </c>
      <c r="I353" s="6">
        <v>19103.814534300287</v>
      </c>
      <c r="J353" s="4"/>
      <c r="K353" s="4"/>
      <c r="L353" s="4"/>
      <c r="M353" s="4"/>
      <c r="N353" s="4"/>
      <c r="O353" s="4"/>
      <c r="P353" s="4"/>
      <c r="Q353" s="4"/>
      <c r="R353" s="4"/>
      <c r="S353" s="4"/>
      <c r="T353" s="4"/>
      <c r="U353" s="4"/>
      <c r="V353" s="4"/>
      <c r="W353" s="4"/>
      <c r="X353" s="4"/>
      <c r="Y353" s="4"/>
      <c r="Z353" s="4"/>
    </row>
    <row r="354" spans="1:26">
      <c r="A354" s="5">
        <v>43191</v>
      </c>
      <c r="B354" s="4" t="s">
        <v>21</v>
      </c>
      <c r="C354" s="4" t="s">
        <v>19</v>
      </c>
      <c r="D354" s="4" t="s">
        <v>14</v>
      </c>
      <c r="E354" s="4" t="s">
        <v>12</v>
      </c>
      <c r="F354" s="4">
        <v>896749</v>
      </c>
      <c r="G354" s="4">
        <v>14132</v>
      </c>
      <c r="H354" s="4">
        <v>15228</v>
      </c>
      <c r="I354" s="6">
        <v>141593.89397340798</v>
      </c>
      <c r="J354" s="4"/>
      <c r="K354" s="4"/>
      <c r="L354" s="4"/>
      <c r="M354" s="4"/>
      <c r="N354" s="4"/>
      <c r="O354" s="4"/>
      <c r="P354" s="4"/>
      <c r="Q354" s="4"/>
      <c r="R354" s="4"/>
      <c r="S354" s="4"/>
      <c r="T354" s="4"/>
      <c r="U354" s="4"/>
      <c r="V354" s="4"/>
      <c r="W354" s="4"/>
      <c r="X354" s="4"/>
      <c r="Y354" s="4"/>
      <c r="Z354" s="4"/>
    </row>
    <row r="355" spans="1:26">
      <c r="A355" s="5">
        <v>43191</v>
      </c>
      <c r="B355" s="4" t="s">
        <v>21</v>
      </c>
      <c r="C355" s="4" t="s">
        <v>19</v>
      </c>
      <c r="D355" s="4" t="s">
        <v>14</v>
      </c>
      <c r="E355" s="4" t="s">
        <v>13</v>
      </c>
      <c r="F355" s="4">
        <v>25523</v>
      </c>
      <c r="G355" s="4">
        <v>2180</v>
      </c>
      <c r="H355" s="4">
        <v>102568</v>
      </c>
      <c r="I355" s="6">
        <v>32137.90727291548</v>
      </c>
      <c r="J355" s="4"/>
      <c r="K355" s="4"/>
      <c r="L355" s="4"/>
      <c r="M355" s="4"/>
      <c r="N355" s="4"/>
      <c r="O355" s="4"/>
      <c r="P355" s="4"/>
      <c r="Q355" s="4"/>
      <c r="R355" s="4"/>
      <c r="S355" s="4"/>
      <c r="T355" s="4"/>
      <c r="U355" s="4"/>
      <c r="V355" s="4"/>
      <c r="W355" s="4"/>
      <c r="X355" s="4"/>
      <c r="Y355" s="4"/>
      <c r="Z355" s="4"/>
    </row>
    <row r="356" spans="1:26">
      <c r="A356" s="5">
        <v>43191</v>
      </c>
      <c r="B356" s="4" t="s">
        <v>21</v>
      </c>
      <c r="C356" s="4" t="s">
        <v>19</v>
      </c>
      <c r="D356" s="4" t="s">
        <v>15</v>
      </c>
      <c r="E356" s="4" t="s">
        <v>12</v>
      </c>
      <c r="F356" s="4">
        <v>271738</v>
      </c>
      <c r="G356" s="4">
        <v>3822</v>
      </c>
      <c r="H356" s="4">
        <v>4115</v>
      </c>
      <c r="I356" s="6">
        <v>38913.383982758627</v>
      </c>
      <c r="J356" s="4"/>
      <c r="K356" s="4"/>
      <c r="L356" s="4"/>
      <c r="M356" s="4"/>
      <c r="N356" s="4"/>
      <c r="O356" s="4"/>
      <c r="P356" s="4"/>
      <c r="Q356" s="4"/>
      <c r="R356" s="4"/>
      <c r="S356" s="4"/>
      <c r="T356" s="4"/>
      <c r="U356" s="4"/>
      <c r="V356" s="4"/>
      <c r="W356" s="4"/>
      <c r="X356" s="4"/>
      <c r="Y356" s="4"/>
      <c r="Z356" s="4"/>
    </row>
    <row r="357" spans="1:26">
      <c r="A357" s="5">
        <v>43191</v>
      </c>
      <c r="B357" s="4" t="s">
        <v>21</v>
      </c>
      <c r="C357" s="4" t="s">
        <v>19</v>
      </c>
      <c r="D357" s="4" t="s">
        <v>15</v>
      </c>
      <c r="E357" s="4" t="s">
        <v>13</v>
      </c>
      <c r="F357" s="4">
        <v>7266</v>
      </c>
      <c r="G357" s="4">
        <v>600</v>
      </c>
      <c r="H357" s="4">
        <v>27160</v>
      </c>
      <c r="I357" s="6">
        <v>8869.111192641587</v>
      </c>
      <c r="J357" s="4"/>
      <c r="K357" s="4"/>
      <c r="L357" s="4"/>
      <c r="M357" s="4"/>
      <c r="N357" s="4"/>
      <c r="O357" s="4"/>
      <c r="P357" s="4"/>
      <c r="Q357" s="4"/>
      <c r="R357" s="4"/>
      <c r="S357" s="4"/>
      <c r="T357" s="4"/>
      <c r="U357" s="4"/>
      <c r="V357" s="4"/>
      <c r="W357" s="4"/>
      <c r="X357" s="4"/>
      <c r="Y357" s="4"/>
      <c r="Z357" s="4"/>
    </row>
    <row r="358" spans="1:26">
      <c r="A358" s="5">
        <v>43191</v>
      </c>
      <c r="B358" s="4" t="s">
        <v>21</v>
      </c>
      <c r="C358" s="4" t="s">
        <v>19</v>
      </c>
      <c r="D358" s="4" t="s">
        <v>16</v>
      </c>
      <c r="E358" s="4" t="s">
        <v>12</v>
      </c>
      <c r="F358" s="4">
        <v>2525861</v>
      </c>
      <c r="G358" s="4">
        <v>37497</v>
      </c>
      <c r="H358" s="4">
        <v>38236</v>
      </c>
      <c r="I358" s="6">
        <v>426447.50998903526</v>
      </c>
      <c r="J358" s="4"/>
      <c r="K358" s="4"/>
      <c r="L358" s="4"/>
      <c r="M358" s="4"/>
      <c r="N358" s="4"/>
      <c r="O358" s="4"/>
      <c r="P358" s="4"/>
      <c r="Q358" s="4"/>
      <c r="R358" s="4"/>
      <c r="S358" s="4"/>
      <c r="T358" s="4"/>
      <c r="U358" s="4"/>
      <c r="V358" s="4"/>
      <c r="W358" s="4"/>
      <c r="X358" s="4"/>
      <c r="Y358" s="4"/>
      <c r="Z358" s="4"/>
    </row>
    <row r="359" spans="1:26">
      <c r="A359" s="5">
        <v>43191</v>
      </c>
      <c r="B359" s="4" t="s">
        <v>21</v>
      </c>
      <c r="C359" s="4" t="s">
        <v>19</v>
      </c>
      <c r="D359" s="4" t="s">
        <v>16</v>
      </c>
      <c r="E359" s="4" t="s">
        <v>13</v>
      </c>
      <c r="F359" s="4">
        <v>65498</v>
      </c>
      <c r="G359" s="4">
        <v>5668</v>
      </c>
      <c r="H359" s="4">
        <v>375574</v>
      </c>
      <c r="I359" s="6">
        <v>86706.527473538808</v>
      </c>
      <c r="J359" s="4"/>
      <c r="K359" s="4"/>
      <c r="L359" s="4"/>
      <c r="M359" s="4"/>
      <c r="N359" s="4"/>
      <c r="O359" s="4"/>
      <c r="P359" s="4"/>
      <c r="Q359" s="4"/>
      <c r="R359" s="4"/>
      <c r="S359" s="4"/>
      <c r="T359" s="4"/>
      <c r="U359" s="4"/>
      <c r="V359" s="4"/>
      <c r="W359" s="4"/>
      <c r="X359" s="4"/>
      <c r="Y359" s="4"/>
      <c r="Z359" s="4"/>
    </row>
    <row r="360" spans="1:26">
      <c r="A360" s="5">
        <v>43191</v>
      </c>
      <c r="B360" s="4" t="s">
        <v>21</v>
      </c>
      <c r="C360" s="4" t="s">
        <v>19</v>
      </c>
      <c r="D360" s="4" t="s">
        <v>17</v>
      </c>
      <c r="E360" s="4" t="s">
        <v>12</v>
      </c>
      <c r="F360" s="4">
        <v>862374</v>
      </c>
      <c r="G360" s="4">
        <v>14088</v>
      </c>
      <c r="H360" s="4">
        <v>15545</v>
      </c>
      <c r="I360" s="6">
        <v>145562.18947632975</v>
      </c>
      <c r="J360" s="4"/>
      <c r="K360" s="4"/>
      <c r="L360" s="4"/>
      <c r="M360" s="4"/>
      <c r="N360" s="4"/>
      <c r="O360" s="4"/>
      <c r="P360" s="4"/>
      <c r="Q360" s="4"/>
      <c r="R360" s="4"/>
      <c r="S360" s="4"/>
      <c r="T360" s="4"/>
      <c r="U360" s="4"/>
      <c r="V360" s="4"/>
      <c r="W360" s="4"/>
      <c r="X360" s="4"/>
      <c r="Y360" s="4"/>
      <c r="Z360" s="4"/>
    </row>
    <row r="361" spans="1:26">
      <c r="A361" s="5">
        <v>43191</v>
      </c>
      <c r="B361" s="4" t="s">
        <v>21</v>
      </c>
      <c r="C361" s="4" t="s">
        <v>19</v>
      </c>
      <c r="D361" s="4" t="s">
        <v>17</v>
      </c>
      <c r="E361" s="4" t="s">
        <v>13</v>
      </c>
      <c r="F361" s="4">
        <v>22638</v>
      </c>
      <c r="G361" s="4">
        <v>2004</v>
      </c>
      <c r="H361" s="4">
        <v>85440</v>
      </c>
      <c r="I361" s="6">
        <v>35166.589415447816</v>
      </c>
      <c r="J361" s="4"/>
      <c r="K361" s="4"/>
      <c r="L361" s="4"/>
      <c r="M361" s="4"/>
      <c r="N361" s="4"/>
      <c r="O361" s="4"/>
      <c r="P361" s="4"/>
      <c r="Q361" s="4"/>
      <c r="R361" s="4"/>
      <c r="S361" s="4"/>
      <c r="T361" s="4"/>
      <c r="U361" s="4"/>
      <c r="V361" s="4"/>
      <c r="W361" s="4"/>
      <c r="X361" s="4"/>
      <c r="Y361" s="4"/>
      <c r="Z361" s="4"/>
    </row>
    <row r="362" spans="1:26">
      <c r="A362" s="5">
        <v>43221</v>
      </c>
      <c r="B362" s="4" t="s">
        <v>9</v>
      </c>
      <c r="C362" s="4" t="s">
        <v>10</v>
      </c>
      <c r="D362" s="4" t="s">
        <v>11</v>
      </c>
      <c r="E362" s="4" t="s">
        <v>12</v>
      </c>
      <c r="F362" s="4">
        <v>1059237</v>
      </c>
      <c r="G362" s="4">
        <v>48847</v>
      </c>
      <c r="H362" s="4">
        <v>58017</v>
      </c>
      <c r="I362" s="6">
        <v>43566.598439299858</v>
      </c>
      <c r="J362" s="4"/>
      <c r="K362" s="4"/>
      <c r="L362" s="4"/>
      <c r="M362" s="4"/>
      <c r="N362" s="4"/>
      <c r="O362" s="4"/>
      <c r="P362" s="4"/>
      <c r="Q362" s="4"/>
      <c r="R362" s="4"/>
      <c r="S362" s="4"/>
      <c r="T362" s="4"/>
      <c r="U362" s="4"/>
      <c r="V362" s="4"/>
      <c r="W362" s="4"/>
      <c r="X362" s="4"/>
      <c r="Y362" s="4"/>
      <c r="Z362" s="4"/>
    </row>
    <row r="363" spans="1:26">
      <c r="A363" s="5">
        <v>43221</v>
      </c>
      <c r="B363" s="4" t="s">
        <v>9</v>
      </c>
      <c r="C363" s="4" t="s">
        <v>10</v>
      </c>
      <c r="D363" s="4" t="s">
        <v>11</v>
      </c>
      <c r="E363" s="4" t="s">
        <v>13</v>
      </c>
      <c r="F363" s="4">
        <v>6306</v>
      </c>
      <c r="G363" s="4">
        <v>1078</v>
      </c>
      <c r="H363" s="4">
        <v>6357</v>
      </c>
      <c r="I363" s="6">
        <v>220708.81414645206</v>
      </c>
      <c r="J363" s="4"/>
      <c r="K363" s="4"/>
      <c r="L363" s="4"/>
      <c r="M363" s="4"/>
      <c r="N363" s="4"/>
      <c r="O363" s="4"/>
      <c r="P363" s="4"/>
      <c r="Q363" s="4"/>
      <c r="R363" s="4"/>
      <c r="S363" s="4"/>
      <c r="T363" s="4"/>
      <c r="U363" s="4"/>
      <c r="V363" s="4"/>
      <c r="W363" s="4"/>
      <c r="X363" s="4"/>
      <c r="Y363" s="4"/>
      <c r="Z363" s="4"/>
    </row>
    <row r="364" spans="1:26">
      <c r="A364" s="5">
        <v>43221</v>
      </c>
      <c r="B364" s="4" t="s">
        <v>9</v>
      </c>
      <c r="C364" s="4" t="s">
        <v>10</v>
      </c>
      <c r="D364" s="4" t="s">
        <v>14</v>
      </c>
      <c r="E364" s="4" t="s">
        <v>12</v>
      </c>
      <c r="F364" s="4">
        <v>2652046</v>
      </c>
      <c r="G364" s="4">
        <v>85460</v>
      </c>
      <c r="H364" s="4">
        <v>101015</v>
      </c>
      <c r="I364" s="6">
        <v>73413.031092844016</v>
      </c>
      <c r="J364" s="4"/>
      <c r="K364" s="4"/>
      <c r="L364" s="4"/>
      <c r="M364" s="4"/>
      <c r="N364" s="4"/>
      <c r="O364" s="4"/>
      <c r="P364" s="4"/>
      <c r="Q364" s="4"/>
      <c r="R364" s="4"/>
      <c r="S364" s="4"/>
      <c r="T364" s="4"/>
      <c r="U364" s="4"/>
      <c r="V364" s="4"/>
      <c r="W364" s="4"/>
      <c r="X364" s="4"/>
      <c r="Y364" s="4"/>
      <c r="Z364" s="4"/>
    </row>
    <row r="365" spans="1:26">
      <c r="A365" s="5">
        <v>43221</v>
      </c>
      <c r="B365" s="4" t="s">
        <v>9</v>
      </c>
      <c r="C365" s="4" t="s">
        <v>10</v>
      </c>
      <c r="D365" s="4" t="s">
        <v>14</v>
      </c>
      <c r="E365" s="4" t="s">
        <v>13</v>
      </c>
      <c r="F365" s="4">
        <v>10571</v>
      </c>
      <c r="G365" s="4">
        <v>2164</v>
      </c>
      <c r="H365" s="4">
        <v>15852</v>
      </c>
      <c r="I365" s="6">
        <v>340697.10936030617</v>
      </c>
      <c r="J365" s="4"/>
      <c r="K365" s="4"/>
      <c r="L365" s="4"/>
      <c r="M365" s="4"/>
      <c r="N365" s="4"/>
      <c r="O365" s="4"/>
      <c r="P365" s="4"/>
      <c r="Q365" s="4"/>
      <c r="R365" s="4"/>
      <c r="S365" s="4"/>
      <c r="T365" s="4"/>
      <c r="U365" s="4"/>
      <c r="V365" s="4"/>
      <c r="W365" s="4"/>
      <c r="X365" s="4"/>
      <c r="Y365" s="4"/>
      <c r="Z365" s="4"/>
    </row>
    <row r="366" spans="1:26">
      <c r="A366" s="5">
        <v>43221</v>
      </c>
      <c r="B366" s="4" t="s">
        <v>9</v>
      </c>
      <c r="C366" s="4" t="s">
        <v>10</v>
      </c>
      <c r="D366" s="4" t="s">
        <v>15</v>
      </c>
      <c r="E366" s="4" t="s">
        <v>12</v>
      </c>
      <c r="F366" s="4">
        <v>1071137</v>
      </c>
      <c r="G366" s="4">
        <v>35351</v>
      </c>
      <c r="H366" s="4">
        <v>45435</v>
      </c>
      <c r="I366" s="6">
        <v>34085.875230111502</v>
      </c>
      <c r="J366" s="4"/>
      <c r="K366" s="4"/>
      <c r="L366" s="4"/>
      <c r="M366" s="4"/>
      <c r="N366" s="4"/>
      <c r="O366" s="4"/>
      <c r="P366" s="4"/>
      <c r="Q366" s="4"/>
      <c r="R366" s="4"/>
      <c r="S366" s="4"/>
      <c r="T366" s="4"/>
      <c r="U366" s="4"/>
      <c r="V366" s="4"/>
      <c r="W366" s="4"/>
      <c r="X366" s="4"/>
      <c r="Y366" s="4"/>
      <c r="Z366" s="4"/>
    </row>
    <row r="367" spans="1:26">
      <c r="A367" s="5">
        <v>43221</v>
      </c>
      <c r="B367" s="4" t="s">
        <v>9</v>
      </c>
      <c r="C367" s="4" t="s">
        <v>10</v>
      </c>
      <c r="D367" s="4" t="s">
        <v>15</v>
      </c>
      <c r="E367" s="4" t="s">
        <v>13</v>
      </c>
      <c r="F367" s="4">
        <v>4044</v>
      </c>
      <c r="G367" s="4">
        <v>627</v>
      </c>
      <c r="H367" s="4">
        <v>5204</v>
      </c>
      <c r="I367" s="6">
        <v>84903.889746974688</v>
      </c>
      <c r="J367" s="4"/>
      <c r="K367" s="4"/>
      <c r="L367" s="4"/>
      <c r="M367" s="4"/>
      <c r="N367" s="4"/>
      <c r="O367" s="4"/>
      <c r="P367" s="4"/>
      <c r="Q367" s="4"/>
      <c r="R367" s="4"/>
      <c r="S367" s="4"/>
      <c r="T367" s="4"/>
      <c r="U367" s="4"/>
      <c r="V367" s="4"/>
      <c r="W367" s="4"/>
      <c r="X367" s="4"/>
      <c r="Y367" s="4"/>
      <c r="Z367" s="4"/>
    </row>
    <row r="368" spans="1:26">
      <c r="A368" s="5">
        <v>43221</v>
      </c>
      <c r="B368" s="4" t="s">
        <v>9</v>
      </c>
      <c r="C368" s="4" t="s">
        <v>10</v>
      </c>
      <c r="D368" s="4" t="s">
        <v>16</v>
      </c>
      <c r="E368" s="4" t="s">
        <v>12</v>
      </c>
      <c r="F368" s="4">
        <v>33008953</v>
      </c>
      <c r="G368" s="4">
        <v>220767</v>
      </c>
      <c r="H368" s="4">
        <v>248708</v>
      </c>
      <c r="I368" s="6">
        <v>188853.96956111895</v>
      </c>
      <c r="J368" s="4"/>
      <c r="K368" s="4"/>
      <c r="L368" s="4"/>
      <c r="M368" s="4"/>
      <c r="N368" s="4"/>
      <c r="O368" s="4"/>
      <c r="P368" s="4"/>
      <c r="Q368" s="4"/>
      <c r="R368" s="4"/>
      <c r="S368" s="4"/>
      <c r="T368" s="4"/>
      <c r="U368" s="4"/>
      <c r="V368" s="4"/>
      <c r="W368" s="4"/>
      <c r="X368" s="4"/>
      <c r="Y368" s="4"/>
      <c r="Z368" s="4"/>
    </row>
    <row r="369" spans="1:26">
      <c r="A369" s="5">
        <v>43221</v>
      </c>
      <c r="B369" s="4" t="s">
        <v>9</v>
      </c>
      <c r="C369" s="4" t="s">
        <v>10</v>
      </c>
      <c r="D369" s="4" t="s">
        <v>16</v>
      </c>
      <c r="E369" s="4" t="s">
        <v>13</v>
      </c>
      <c r="F369" s="4">
        <v>231810</v>
      </c>
      <c r="G369" s="4">
        <v>4695</v>
      </c>
      <c r="H369" s="4">
        <v>30652</v>
      </c>
      <c r="I369" s="6">
        <v>1029561.7570551567</v>
      </c>
      <c r="J369" s="4"/>
      <c r="K369" s="4"/>
      <c r="L369" s="4"/>
      <c r="M369" s="4"/>
      <c r="N369" s="4"/>
      <c r="O369" s="4"/>
      <c r="P369" s="4"/>
      <c r="Q369" s="4"/>
      <c r="R369" s="4"/>
      <c r="S369" s="4"/>
      <c r="T369" s="4"/>
      <c r="U369" s="4"/>
      <c r="V369" s="4"/>
      <c r="W369" s="4"/>
      <c r="X369" s="4"/>
      <c r="Y369" s="4"/>
      <c r="Z369" s="4"/>
    </row>
    <row r="370" spans="1:26">
      <c r="A370" s="5">
        <v>43221</v>
      </c>
      <c r="B370" s="4" t="s">
        <v>9</v>
      </c>
      <c r="C370" s="4" t="s">
        <v>10</v>
      </c>
      <c r="D370" s="4" t="s">
        <v>17</v>
      </c>
      <c r="E370" s="4" t="s">
        <v>12</v>
      </c>
      <c r="F370" s="4">
        <v>1629420</v>
      </c>
      <c r="G370" s="4">
        <v>73250</v>
      </c>
      <c r="H370" s="4">
        <v>83363</v>
      </c>
      <c r="I370" s="6">
        <v>81592.85824395885</v>
      </c>
      <c r="J370" s="4"/>
      <c r="K370" s="4"/>
      <c r="L370" s="4"/>
      <c r="M370" s="4"/>
      <c r="N370" s="4"/>
      <c r="O370" s="4"/>
      <c r="P370" s="4"/>
      <c r="Q370" s="4"/>
      <c r="R370" s="4"/>
      <c r="S370" s="4"/>
      <c r="T370" s="4"/>
      <c r="U370" s="4"/>
      <c r="V370" s="4"/>
      <c r="W370" s="4"/>
      <c r="X370" s="4"/>
      <c r="Y370" s="4"/>
      <c r="Z370" s="4"/>
    </row>
    <row r="371" spans="1:26">
      <c r="A371" s="5">
        <v>43221</v>
      </c>
      <c r="B371" s="4" t="s">
        <v>9</v>
      </c>
      <c r="C371" s="4" t="s">
        <v>10</v>
      </c>
      <c r="D371" s="4" t="s">
        <v>17</v>
      </c>
      <c r="E371" s="4" t="s">
        <v>13</v>
      </c>
      <c r="F371" s="4">
        <v>9718</v>
      </c>
      <c r="G371" s="4">
        <v>1970</v>
      </c>
      <c r="H371" s="4">
        <v>11564</v>
      </c>
      <c r="I371" s="6">
        <v>389724.08103370783</v>
      </c>
      <c r="J371" s="4"/>
      <c r="K371" s="4"/>
      <c r="L371" s="4"/>
      <c r="M371" s="4"/>
      <c r="N371" s="4"/>
      <c r="O371" s="4"/>
      <c r="P371" s="4"/>
      <c r="Q371" s="4"/>
      <c r="R371" s="4"/>
      <c r="S371" s="4"/>
      <c r="T371" s="4"/>
      <c r="U371" s="4"/>
      <c r="V371" s="4"/>
      <c r="W371" s="4"/>
      <c r="X371" s="4"/>
      <c r="Y371" s="4"/>
      <c r="Z371" s="4"/>
    </row>
    <row r="372" spans="1:26">
      <c r="A372" s="5">
        <v>43221</v>
      </c>
      <c r="B372" s="4" t="s">
        <v>9</v>
      </c>
      <c r="C372" s="4" t="s">
        <v>18</v>
      </c>
      <c r="D372" s="4" t="s">
        <v>11</v>
      </c>
      <c r="E372" s="4" t="s">
        <v>12</v>
      </c>
      <c r="F372" s="4">
        <v>6233274</v>
      </c>
      <c r="G372" s="4">
        <v>172317</v>
      </c>
      <c r="H372" s="4">
        <v>531629</v>
      </c>
      <c r="I372" s="6">
        <v>130319.36895385702</v>
      </c>
      <c r="J372" s="4"/>
      <c r="K372" s="4"/>
      <c r="L372" s="4"/>
      <c r="M372" s="4"/>
      <c r="N372" s="4"/>
      <c r="O372" s="4"/>
      <c r="P372" s="4"/>
      <c r="Q372" s="4"/>
      <c r="R372" s="4"/>
      <c r="S372" s="4"/>
      <c r="T372" s="4"/>
      <c r="U372" s="4"/>
      <c r="V372" s="4"/>
      <c r="W372" s="4"/>
      <c r="X372" s="4"/>
      <c r="Y372" s="4"/>
      <c r="Z372" s="4"/>
    </row>
    <row r="373" spans="1:26">
      <c r="A373" s="5">
        <v>43221</v>
      </c>
      <c r="B373" s="4" t="s">
        <v>9</v>
      </c>
      <c r="C373" s="4" t="s">
        <v>18</v>
      </c>
      <c r="D373" s="4" t="s">
        <v>11</v>
      </c>
      <c r="E373" s="4" t="s">
        <v>13</v>
      </c>
      <c r="F373" s="4">
        <v>35394</v>
      </c>
      <c r="G373" s="4">
        <v>641</v>
      </c>
      <c r="H373" s="4">
        <v>17792</v>
      </c>
      <c r="I373" s="6">
        <v>13059.827891961517</v>
      </c>
      <c r="J373" s="4"/>
      <c r="K373" s="4"/>
      <c r="L373" s="4"/>
      <c r="M373" s="4"/>
      <c r="N373" s="4"/>
      <c r="O373" s="4"/>
      <c r="P373" s="4"/>
      <c r="Q373" s="4"/>
      <c r="R373" s="4"/>
      <c r="S373" s="4"/>
      <c r="T373" s="4"/>
      <c r="U373" s="4"/>
      <c r="V373" s="4"/>
      <c r="W373" s="4"/>
      <c r="X373" s="4"/>
      <c r="Y373" s="4"/>
      <c r="Z373" s="4"/>
    </row>
    <row r="374" spans="1:26">
      <c r="A374" s="5">
        <v>43221</v>
      </c>
      <c r="B374" s="4" t="s">
        <v>9</v>
      </c>
      <c r="C374" s="4" t="s">
        <v>18</v>
      </c>
      <c r="D374" s="4" t="s">
        <v>14</v>
      </c>
      <c r="E374" s="4" t="s">
        <v>12</v>
      </c>
      <c r="F374" s="4">
        <v>14649421</v>
      </c>
      <c r="G374" s="4">
        <v>356020</v>
      </c>
      <c r="H374" s="4">
        <v>1073135</v>
      </c>
      <c r="I374" s="6">
        <v>173051.01581846864</v>
      </c>
      <c r="J374" s="4"/>
      <c r="K374" s="4"/>
      <c r="L374" s="4"/>
      <c r="M374" s="4"/>
      <c r="N374" s="4"/>
      <c r="O374" s="4"/>
      <c r="P374" s="4"/>
      <c r="Q374" s="4"/>
      <c r="R374" s="4"/>
      <c r="S374" s="4"/>
      <c r="T374" s="4"/>
      <c r="U374" s="4"/>
      <c r="V374" s="4"/>
      <c r="W374" s="4"/>
      <c r="X374" s="4"/>
      <c r="Y374" s="4"/>
      <c r="Z374" s="4"/>
    </row>
    <row r="375" spans="1:26">
      <c r="A375" s="5">
        <v>43221</v>
      </c>
      <c r="B375" s="4" t="s">
        <v>9</v>
      </c>
      <c r="C375" s="4" t="s">
        <v>18</v>
      </c>
      <c r="D375" s="4" t="s">
        <v>14</v>
      </c>
      <c r="E375" s="4" t="s">
        <v>13</v>
      </c>
      <c r="F375" s="4">
        <v>74188</v>
      </c>
      <c r="G375" s="4">
        <v>893</v>
      </c>
      <c r="H375" s="4">
        <v>13245</v>
      </c>
      <c r="I375" s="6">
        <v>15235.390989840822</v>
      </c>
      <c r="J375" s="4"/>
      <c r="K375" s="4"/>
      <c r="L375" s="4"/>
      <c r="M375" s="4"/>
      <c r="N375" s="4"/>
      <c r="O375" s="4"/>
      <c r="P375" s="4"/>
      <c r="Q375" s="4"/>
      <c r="R375" s="4"/>
      <c r="S375" s="4"/>
      <c r="T375" s="4"/>
      <c r="U375" s="4"/>
      <c r="V375" s="4"/>
      <c r="W375" s="4"/>
      <c r="X375" s="4"/>
      <c r="Y375" s="4"/>
      <c r="Z375" s="4"/>
    </row>
    <row r="376" spans="1:26">
      <c r="A376" s="5">
        <v>43221</v>
      </c>
      <c r="B376" s="4" t="s">
        <v>9</v>
      </c>
      <c r="C376" s="4" t="s">
        <v>18</v>
      </c>
      <c r="D376" s="4" t="s">
        <v>15</v>
      </c>
      <c r="E376" s="4" t="s">
        <v>12</v>
      </c>
      <c r="F376" s="4">
        <v>7268972</v>
      </c>
      <c r="G376" s="4">
        <v>191623</v>
      </c>
      <c r="H376" s="4">
        <v>631386</v>
      </c>
      <c r="I376" s="6">
        <v>69703.795058872158</v>
      </c>
      <c r="J376" s="4"/>
      <c r="K376" s="4"/>
      <c r="L376" s="4"/>
      <c r="M376" s="4"/>
      <c r="N376" s="4"/>
      <c r="O376" s="4"/>
      <c r="P376" s="4"/>
      <c r="Q376" s="4"/>
      <c r="R376" s="4"/>
      <c r="S376" s="4"/>
      <c r="T376" s="4"/>
      <c r="U376" s="4"/>
      <c r="V376" s="4"/>
      <c r="W376" s="4"/>
      <c r="X376" s="4"/>
      <c r="Y376" s="4"/>
      <c r="Z376" s="4"/>
    </row>
    <row r="377" spans="1:26">
      <c r="A377" s="5">
        <v>43221</v>
      </c>
      <c r="B377" s="4" t="s">
        <v>9</v>
      </c>
      <c r="C377" s="4" t="s">
        <v>18</v>
      </c>
      <c r="D377" s="4" t="s">
        <v>15</v>
      </c>
      <c r="E377" s="4" t="s">
        <v>13</v>
      </c>
      <c r="F377" s="4">
        <v>27079</v>
      </c>
      <c r="G377" s="4">
        <v>355</v>
      </c>
      <c r="H377" s="4">
        <v>5052</v>
      </c>
      <c r="I377" s="6">
        <v>6557.5770937764009</v>
      </c>
      <c r="J377" s="4"/>
      <c r="K377" s="4"/>
      <c r="L377" s="4"/>
      <c r="M377" s="4"/>
      <c r="N377" s="4"/>
      <c r="O377" s="4"/>
      <c r="P377" s="4"/>
      <c r="Q377" s="4"/>
      <c r="R377" s="4"/>
      <c r="S377" s="4"/>
      <c r="T377" s="4"/>
      <c r="U377" s="4"/>
      <c r="V377" s="4"/>
      <c r="W377" s="4"/>
      <c r="X377" s="4"/>
      <c r="Y377" s="4"/>
      <c r="Z377" s="4"/>
    </row>
    <row r="378" spans="1:26">
      <c r="A378" s="5">
        <v>43221</v>
      </c>
      <c r="B378" s="4" t="s">
        <v>9</v>
      </c>
      <c r="C378" s="4" t="s">
        <v>18</v>
      </c>
      <c r="D378" s="4" t="s">
        <v>16</v>
      </c>
      <c r="E378" s="4" t="s">
        <v>12</v>
      </c>
      <c r="F378" s="4">
        <v>93578195</v>
      </c>
      <c r="G378" s="4">
        <v>650841</v>
      </c>
      <c r="H378" s="4">
        <v>1864125</v>
      </c>
      <c r="I378" s="6">
        <v>449301.71953277581</v>
      </c>
      <c r="J378" s="4"/>
      <c r="K378" s="4"/>
      <c r="L378" s="4"/>
      <c r="M378" s="4"/>
      <c r="N378" s="4"/>
      <c r="O378" s="4"/>
      <c r="P378" s="4"/>
      <c r="Q378" s="4"/>
      <c r="R378" s="4"/>
      <c r="S378" s="4"/>
      <c r="T378" s="4"/>
      <c r="U378" s="4"/>
      <c r="V378" s="4"/>
      <c r="W378" s="4"/>
      <c r="X378" s="4"/>
      <c r="Y378" s="4"/>
      <c r="Z378" s="4"/>
    </row>
    <row r="379" spans="1:26">
      <c r="A379" s="5">
        <v>43221</v>
      </c>
      <c r="B379" s="4" t="s">
        <v>9</v>
      </c>
      <c r="C379" s="4" t="s">
        <v>18</v>
      </c>
      <c r="D379" s="4" t="s">
        <v>16</v>
      </c>
      <c r="E379" s="4" t="s">
        <v>13</v>
      </c>
      <c r="F379" s="4">
        <v>817950</v>
      </c>
      <c r="G379" s="4">
        <v>1862</v>
      </c>
      <c r="H379" s="4">
        <v>45845</v>
      </c>
      <c r="I379" s="6">
        <v>29473.622637364369</v>
      </c>
      <c r="J379" s="4"/>
      <c r="K379" s="4"/>
      <c r="L379" s="4"/>
      <c r="M379" s="4"/>
      <c r="N379" s="4"/>
      <c r="O379" s="4"/>
      <c r="P379" s="4"/>
      <c r="Q379" s="4"/>
      <c r="R379" s="4"/>
      <c r="S379" s="4"/>
      <c r="T379" s="4"/>
      <c r="U379" s="4"/>
      <c r="V379" s="4"/>
      <c r="W379" s="4"/>
      <c r="X379" s="4"/>
      <c r="Y379" s="4"/>
      <c r="Z379" s="4"/>
    </row>
    <row r="380" spans="1:26">
      <c r="A380" s="5">
        <v>43221</v>
      </c>
      <c r="B380" s="4" t="s">
        <v>9</v>
      </c>
      <c r="C380" s="4" t="s">
        <v>18</v>
      </c>
      <c r="D380" s="4" t="s">
        <v>17</v>
      </c>
      <c r="E380" s="4" t="s">
        <v>12</v>
      </c>
      <c r="F380" s="4">
        <v>8858433</v>
      </c>
      <c r="G380" s="4">
        <v>209218</v>
      </c>
      <c r="H380" s="4">
        <v>596463</v>
      </c>
      <c r="I380" s="6">
        <v>152586.825418035</v>
      </c>
      <c r="J380" s="4"/>
      <c r="K380" s="4"/>
      <c r="L380" s="4"/>
      <c r="M380" s="4"/>
      <c r="N380" s="4"/>
      <c r="O380" s="4"/>
      <c r="P380" s="4"/>
      <c r="Q380" s="4"/>
      <c r="R380" s="4"/>
      <c r="S380" s="4"/>
      <c r="T380" s="4"/>
      <c r="U380" s="4"/>
      <c r="V380" s="4"/>
      <c r="W380" s="4"/>
      <c r="X380" s="4"/>
      <c r="Y380" s="4"/>
      <c r="Z380" s="4"/>
    </row>
    <row r="381" spans="1:26">
      <c r="A381" s="5">
        <v>43221</v>
      </c>
      <c r="B381" s="4" t="s">
        <v>9</v>
      </c>
      <c r="C381" s="4" t="s">
        <v>18</v>
      </c>
      <c r="D381" s="4" t="s">
        <v>17</v>
      </c>
      <c r="E381" s="4" t="s">
        <v>13</v>
      </c>
      <c r="F381" s="4">
        <v>67641</v>
      </c>
      <c r="G381" s="4">
        <v>748</v>
      </c>
      <c r="H381" s="4">
        <v>16535</v>
      </c>
      <c r="I381" s="6">
        <v>11860.586982261353</v>
      </c>
      <c r="J381" s="4"/>
      <c r="K381" s="4"/>
      <c r="L381" s="4"/>
      <c r="M381" s="4"/>
      <c r="N381" s="4"/>
      <c r="O381" s="4"/>
      <c r="P381" s="4"/>
      <c r="Q381" s="4"/>
      <c r="R381" s="4"/>
      <c r="S381" s="4"/>
      <c r="T381" s="4"/>
      <c r="U381" s="4"/>
      <c r="V381" s="4"/>
      <c r="W381" s="4"/>
      <c r="X381" s="4"/>
      <c r="Y381" s="4"/>
      <c r="Z381" s="4"/>
    </row>
    <row r="382" spans="1:26">
      <c r="A382" s="5">
        <v>43221</v>
      </c>
      <c r="B382" s="4" t="s">
        <v>9</v>
      </c>
      <c r="C382" s="4" t="s">
        <v>19</v>
      </c>
      <c r="D382" s="4" t="s">
        <v>11</v>
      </c>
      <c r="E382" s="4" t="s">
        <v>12</v>
      </c>
      <c r="F382" s="4">
        <v>107884</v>
      </c>
      <c r="G382" s="4">
        <v>17464</v>
      </c>
      <c r="H382" s="4">
        <v>18395</v>
      </c>
      <c r="I382" s="6">
        <v>93003.040281662412</v>
      </c>
      <c r="J382" s="4"/>
      <c r="K382" s="4"/>
      <c r="L382" s="4"/>
      <c r="M382" s="4"/>
      <c r="N382" s="4"/>
      <c r="O382" s="4"/>
      <c r="P382" s="4"/>
      <c r="Q382" s="4"/>
      <c r="R382" s="4"/>
      <c r="S382" s="4"/>
      <c r="T382" s="4"/>
      <c r="U382" s="4"/>
      <c r="V382" s="4"/>
      <c r="W382" s="4"/>
      <c r="X382" s="4"/>
      <c r="Y382" s="4"/>
      <c r="Z382" s="4"/>
    </row>
    <row r="383" spans="1:26">
      <c r="A383" s="5">
        <v>43221</v>
      </c>
      <c r="B383" s="4" t="s">
        <v>9</v>
      </c>
      <c r="C383" s="4" t="s">
        <v>19</v>
      </c>
      <c r="D383" s="4" t="s">
        <v>11</v>
      </c>
      <c r="E383" s="4" t="s">
        <v>13</v>
      </c>
      <c r="F383" s="4">
        <v>590</v>
      </c>
      <c r="G383" s="4">
        <v>677</v>
      </c>
      <c r="H383" s="4">
        <v>7073</v>
      </c>
      <c r="I383" s="6">
        <v>15856.873663526789</v>
      </c>
      <c r="J383" s="4"/>
      <c r="K383" s="4"/>
      <c r="L383" s="4"/>
      <c r="M383" s="4"/>
      <c r="N383" s="4"/>
      <c r="O383" s="4"/>
      <c r="P383" s="4"/>
      <c r="Q383" s="4"/>
      <c r="R383" s="4"/>
      <c r="S383" s="4"/>
      <c r="T383" s="4"/>
      <c r="U383" s="4"/>
      <c r="V383" s="4"/>
      <c r="W383" s="4"/>
      <c r="X383" s="4"/>
      <c r="Y383" s="4"/>
      <c r="Z383" s="4"/>
    </row>
    <row r="384" spans="1:26">
      <c r="A384" s="5">
        <v>43221</v>
      </c>
      <c r="B384" s="4" t="s">
        <v>9</v>
      </c>
      <c r="C384" s="4" t="s">
        <v>19</v>
      </c>
      <c r="D384" s="4" t="s">
        <v>14</v>
      </c>
      <c r="E384" s="4" t="s">
        <v>12</v>
      </c>
      <c r="F384" s="4">
        <v>264698</v>
      </c>
      <c r="G384" s="4">
        <v>41181</v>
      </c>
      <c r="H384" s="4">
        <v>43284</v>
      </c>
      <c r="I384" s="6">
        <v>165736.9120222386</v>
      </c>
      <c r="J384" s="4"/>
      <c r="K384" s="4"/>
      <c r="L384" s="4"/>
      <c r="M384" s="4"/>
      <c r="N384" s="4"/>
      <c r="O384" s="4"/>
      <c r="P384" s="4"/>
      <c r="Q384" s="4"/>
      <c r="R384" s="4"/>
      <c r="S384" s="4"/>
      <c r="T384" s="4"/>
      <c r="U384" s="4"/>
      <c r="V384" s="4"/>
      <c r="W384" s="4"/>
      <c r="X384" s="4"/>
      <c r="Y384" s="4"/>
      <c r="Z384" s="4"/>
    </row>
    <row r="385" spans="1:26">
      <c r="A385" s="5">
        <v>43221</v>
      </c>
      <c r="B385" s="4" t="s">
        <v>9</v>
      </c>
      <c r="C385" s="4" t="s">
        <v>19</v>
      </c>
      <c r="D385" s="4" t="s">
        <v>14</v>
      </c>
      <c r="E385" s="4" t="s">
        <v>13</v>
      </c>
      <c r="F385" s="4">
        <v>1420</v>
      </c>
      <c r="G385" s="4">
        <v>1514</v>
      </c>
      <c r="H385" s="4">
        <v>38457</v>
      </c>
      <c r="I385" s="6">
        <v>26326.661682132613</v>
      </c>
      <c r="J385" s="4"/>
      <c r="K385" s="4"/>
      <c r="L385" s="4"/>
      <c r="M385" s="4"/>
      <c r="N385" s="4"/>
      <c r="O385" s="4"/>
      <c r="P385" s="4"/>
      <c r="Q385" s="4"/>
      <c r="R385" s="4"/>
      <c r="S385" s="4"/>
      <c r="T385" s="4"/>
      <c r="U385" s="4"/>
      <c r="V385" s="4"/>
      <c r="W385" s="4"/>
      <c r="X385" s="4"/>
      <c r="Y385" s="4"/>
      <c r="Z385" s="4"/>
    </row>
    <row r="386" spans="1:26">
      <c r="A386" s="5">
        <v>43221</v>
      </c>
      <c r="B386" s="4" t="s">
        <v>9</v>
      </c>
      <c r="C386" s="4" t="s">
        <v>19</v>
      </c>
      <c r="D386" s="4" t="s">
        <v>15</v>
      </c>
      <c r="E386" s="4" t="s">
        <v>12</v>
      </c>
      <c r="F386" s="4">
        <v>124903</v>
      </c>
      <c r="G386" s="4">
        <v>21134</v>
      </c>
      <c r="H386" s="4">
        <v>21900</v>
      </c>
      <c r="I386" s="6">
        <v>61275.238971439918</v>
      </c>
      <c r="J386" s="4"/>
      <c r="K386" s="4"/>
      <c r="L386" s="4"/>
      <c r="M386" s="4"/>
      <c r="N386" s="4"/>
      <c r="O386" s="4"/>
      <c r="P386" s="4"/>
      <c r="Q386" s="4"/>
      <c r="R386" s="4"/>
      <c r="S386" s="4"/>
      <c r="T386" s="4"/>
      <c r="U386" s="4"/>
      <c r="V386" s="4"/>
      <c r="W386" s="4"/>
      <c r="X386" s="4"/>
      <c r="Y386" s="4"/>
      <c r="Z386" s="4"/>
    </row>
    <row r="387" spans="1:26">
      <c r="A387" s="5">
        <v>43221</v>
      </c>
      <c r="B387" s="4" t="s">
        <v>9</v>
      </c>
      <c r="C387" s="4" t="s">
        <v>19</v>
      </c>
      <c r="D387" s="4" t="s">
        <v>15</v>
      </c>
      <c r="E387" s="4" t="s">
        <v>13</v>
      </c>
      <c r="F387" s="4">
        <v>440</v>
      </c>
      <c r="G387" s="4">
        <v>620</v>
      </c>
      <c r="H387" s="4">
        <v>20664</v>
      </c>
      <c r="I387" s="6">
        <v>11461.042070470847</v>
      </c>
      <c r="J387" s="4"/>
      <c r="K387" s="4"/>
      <c r="L387" s="4"/>
      <c r="M387" s="4"/>
      <c r="N387" s="4"/>
      <c r="O387" s="4"/>
      <c r="P387" s="4"/>
      <c r="Q387" s="4"/>
      <c r="R387" s="4"/>
      <c r="S387" s="4"/>
      <c r="T387" s="4"/>
      <c r="U387" s="4"/>
      <c r="V387" s="4"/>
      <c r="W387" s="4"/>
      <c r="X387" s="4"/>
      <c r="Y387" s="4"/>
      <c r="Z387" s="4"/>
    </row>
    <row r="388" spans="1:26">
      <c r="A388" s="5">
        <v>43221</v>
      </c>
      <c r="B388" s="4" t="s">
        <v>9</v>
      </c>
      <c r="C388" s="4" t="s">
        <v>19</v>
      </c>
      <c r="D388" s="4" t="s">
        <v>16</v>
      </c>
      <c r="E388" s="4" t="s">
        <v>12</v>
      </c>
      <c r="F388" s="4">
        <v>14864521</v>
      </c>
      <c r="G388" s="4">
        <v>64805</v>
      </c>
      <c r="H388" s="4">
        <v>66438</v>
      </c>
      <c r="I388" s="6">
        <v>382237.19579723745</v>
      </c>
      <c r="J388" s="4"/>
      <c r="K388" s="4"/>
      <c r="L388" s="4"/>
      <c r="M388" s="4"/>
      <c r="N388" s="4"/>
      <c r="O388" s="4"/>
      <c r="P388" s="4"/>
      <c r="Q388" s="4"/>
      <c r="R388" s="4"/>
      <c r="S388" s="4"/>
      <c r="T388" s="4"/>
      <c r="U388" s="4"/>
      <c r="V388" s="4"/>
      <c r="W388" s="4"/>
      <c r="X388" s="4"/>
      <c r="Y388" s="4"/>
      <c r="Z388" s="4"/>
    </row>
    <row r="389" spans="1:26">
      <c r="A389" s="5">
        <v>43221</v>
      </c>
      <c r="B389" s="4" t="s">
        <v>9</v>
      </c>
      <c r="C389" s="4" t="s">
        <v>19</v>
      </c>
      <c r="D389" s="4" t="s">
        <v>16</v>
      </c>
      <c r="E389" s="4" t="s">
        <v>13</v>
      </c>
      <c r="F389" s="4">
        <v>138914</v>
      </c>
      <c r="G389" s="4">
        <v>1946</v>
      </c>
      <c r="H389" s="4">
        <v>33481</v>
      </c>
      <c r="I389" s="6">
        <v>51858.740699270507</v>
      </c>
      <c r="J389" s="4"/>
      <c r="K389" s="4"/>
      <c r="L389" s="4"/>
      <c r="M389" s="4"/>
      <c r="N389" s="4"/>
      <c r="O389" s="4"/>
      <c r="P389" s="4"/>
      <c r="Q389" s="4"/>
      <c r="R389" s="4"/>
      <c r="S389" s="4"/>
      <c r="T389" s="4"/>
      <c r="U389" s="4"/>
      <c r="V389" s="4"/>
      <c r="W389" s="4"/>
      <c r="X389" s="4"/>
      <c r="Y389" s="4"/>
      <c r="Z389" s="4"/>
    </row>
    <row r="390" spans="1:26">
      <c r="A390" s="5">
        <v>43221</v>
      </c>
      <c r="B390" s="4" t="s">
        <v>9</v>
      </c>
      <c r="C390" s="4" t="s">
        <v>19</v>
      </c>
      <c r="D390" s="4" t="s">
        <v>17</v>
      </c>
      <c r="E390" s="4" t="s">
        <v>12</v>
      </c>
      <c r="F390" s="4">
        <v>207329</v>
      </c>
      <c r="G390" s="4">
        <v>23383</v>
      </c>
      <c r="H390" s="4">
        <v>24143</v>
      </c>
      <c r="I390" s="6">
        <v>141745.8474329111</v>
      </c>
      <c r="J390" s="4"/>
      <c r="K390" s="4"/>
      <c r="L390" s="4"/>
      <c r="M390" s="4"/>
      <c r="N390" s="4"/>
      <c r="O390" s="4"/>
      <c r="P390" s="4"/>
      <c r="Q390" s="4"/>
      <c r="R390" s="4"/>
      <c r="S390" s="4"/>
      <c r="T390" s="4"/>
      <c r="U390" s="4"/>
      <c r="V390" s="4"/>
      <c r="W390" s="4"/>
      <c r="X390" s="4"/>
      <c r="Y390" s="4"/>
      <c r="Z390" s="4"/>
    </row>
    <row r="391" spans="1:26">
      <c r="A391" s="5">
        <v>43221</v>
      </c>
      <c r="B391" s="4" t="s">
        <v>9</v>
      </c>
      <c r="C391" s="4" t="s">
        <v>19</v>
      </c>
      <c r="D391" s="4" t="s">
        <v>17</v>
      </c>
      <c r="E391" s="4" t="s">
        <v>13</v>
      </c>
      <c r="F391" s="4">
        <v>1401</v>
      </c>
      <c r="G391" s="4">
        <v>637</v>
      </c>
      <c r="H391" s="4">
        <v>6417</v>
      </c>
      <c r="I391" s="6">
        <v>17513.778212846915</v>
      </c>
      <c r="J391" s="4"/>
      <c r="K391" s="4"/>
      <c r="L391" s="4"/>
      <c r="M391" s="4"/>
      <c r="N391" s="4"/>
      <c r="O391" s="4"/>
      <c r="P391" s="4"/>
      <c r="Q391" s="4"/>
      <c r="R391" s="4"/>
      <c r="S391" s="4"/>
      <c r="T391" s="4"/>
      <c r="U391" s="4"/>
      <c r="V391" s="4"/>
      <c r="W391" s="4"/>
      <c r="X391" s="4"/>
      <c r="Y391" s="4"/>
      <c r="Z391" s="4"/>
    </row>
    <row r="392" spans="1:26">
      <c r="A392" s="5">
        <v>43221</v>
      </c>
      <c r="B392" s="4" t="s">
        <v>20</v>
      </c>
      <c r="C392" s="4" t="s">
        <v>10</v>
      </c>
      <c r="D392" s="4" t="s">
        <v>11</v>
      </c>
      <c r="E392" s="4" t="s">
        <v>12</v>
      </c>
      <c r="F392" s="4">
        <v>2099499</v>
      </c>
      <c r="G392" s="4">
        <v>4908</v>
      </c>
      <c r="H392" s="4">
        <v>5563</v>
      </c>
      <c r="I392" s="6">
        <v>1309.1722890580274</v>
      </c>
      <c r="J392" s="4"/>
      <c r="K392" s="4"/>
      <c r="L392" s="4"/>
      <c r="M392" s="4"/>
      <c r="N392" s="4"/>
      <c r="O392" s="4"/>
      <c r="P392" s="4"/>
      <c r="Q392" s="4"/>
      <c r="R392" s="4"/>
      <c r="S392" s="4"/>
      <c r="T392" s="4"/>
      <c r="U392" s="4"/>
      <c r="V392" s="4"/>
      <c r="W392" s="4"/>
      <c r="X392" s="4"/>
      <c r="Y392" s="4"/>
      <c r="Z392" s="4"/>
    </row>
    <row r="393" spans="1:26">
      <c r="A393" s="5">
        <v>43221</v>
      </c>
      <c r="B393" s="4" t="s">
        <v>20</v>
      </c>
      <c r="C393" s="4" t="s">
        <v>10</v>
      </c>
      <c r="D393" s="4" t="s">
        <v>11</v>
      </c>
      <c r="E393" s="4" t="s">
        <v>13</v>
      </c>
      <c r="F393" s="4">
        <v>847</v>
      </c>
      <c r="G393" s="4">
        <v>21</v>
      </c>
      <c r="H393" s="4">
        <v>53</v>
      </c>
      <c r="I393" s="6">
        <v>11785.010404040402</v>
      </c>
      <c r="J393" s="4"/>
      <c r="K393" s="4"/>
      <c r="L393" s="4"/>
      <c r="M393" s="4"/>
      <c r="N393" s="4"/>
      <c r="O393" s="4"/>
      <c r="P393" s="4"/>
      <c r="Q393" s="4"/>
      <c r="R393" s="4"/>
      <c r="S393" s="4"/>
      <c r="T393" s="4"/>
      <c r="U393" s="4"/>
      <c r="V393" s="4"/>
      <c r="W393" s="4"/>
      <c r="X393" s="4"/>
      <c r="Y393" s="4"/>
      <c r="Z393" s="4"/>
    </row>
    <row r="394" spans="1:26">
      <c r="A394" s="5">
        <v>43221</v>
      </c>
      <c r="B394" s="4" t="s">
        <v>20</v>
      </c>
      <c r="C394" s="4" t="s">
        <v>10</v>
      </c>
      <c r="D394" s="4" t="s">
        <v>14</v>
      </c>
      <c r="E394" s="4" t="s">
        <v>12</v>
      </c>
      <c r="F394" s="4">
        <v>3802140</v>
      </c>
      <c r="G394" s="4">
        <v>8735</v>
      </c>
      <c r="H394" s="4">
        <v>9488</v>
      </c>
      <c r="I394" s="6">
        <v>1192.1105849583873</v>
      </c>
      <c r="J394" s="4"/>
      <c r="K394" s="4"/>
      <c r="L394" s="4"/>
      <c r="M394" s="4"/>
      <c r="N394" s="4"/>
      <c r="O394" s="4"/>
      <c r="P394" s="4"/>
      <c r="Q394" s="4"/>
      <c r="R394" s="4"/>
      <c r="S394" s="4"/>
      <c r="T394" s="4"/>
      <c r="U394" s="4"/>
      <c r="V394" s="4"/>
      <c r="W394" s="4"/>
      <c r="X394" s="4"/>
      <c r="Y394" s="4"/>
      <c r="Z394" s="4"/>
    </row>
    <row r="395" spans="1:26">
      <c r="A395" s="5">
        <v>43221</v>
      </c>
      <c r="B395" s="4" t="s">
        <v>20</v>
      </c>
      <c r="C395" s="4" t="s">
        <v>10</v>
      </c>
      <c r="D395" s="4" t="s">
        <v>14</v>
      </c>
      <c r="E395" s="4" t="s">
        <v>13</v>
      </c>
      <c r="F395" s="4">
        <v>1828</v>
      </c>
      <c r="G395" s="4">
        <v>43</v>
      </c>
      <c r="H395" s="4">
        <v>180</v>
      </c>
      <c r="I395" s="6">
        <v>20162.557862068967</v>
      </c>
      <c r="J395" s="4"/>
      <c r="K395" s="4"/>
      <c r="L395" s="4"/>
      <c r="M395" s="4"/>
      <c r="N395" s="4"/>
      <c r="O395" s="4"/>
      <c r="P395" s="4"/>
      <c r="Q395" s="4"/>
      <c r="R395" s="4"/>
      <c r="S395" s="4"/>
      <c r="T395" s="4"/>
      <c r="U395" s="4"/>
      <c r="V395" s="4"/>
      <c r="W395" s="4"/>
      <c r="X395" s="4"/>
      <c r="Y395" s="4"/>
      <c r="Z395" s="4"/>
    </row>
    <row r="396" spans="1:26">
      <c r="A396" s="5">
        <v>43221</v>
      </c>
      <c r="B396" s="4" t="s">
        <v>20</v>
      </c>
      <c r="C396" s="4" t="s">
        <v>10</v>
      </c>
      <c r="D396" s="4" t="s">
        <v>15</v>
      </c>
      <c r="E396" s="4" t="s">
        <v>12</v>
      </c>
      <c r="F396" s="4">
        <v>950236</v>
      </c>
      <c r="G396" s="4">
        <v>2205</v>
      </c>
      <c r="H396" s="4">
        <v>2392</v>
      </c>
      <c r="I396" s="6">
        <v>381.56339679661534</v>
      </c>
      <c r="J396" s="4"/>
      <c r="K396" s="4"/>
      <c r="L396" s="4"/>
      <c r="M396" s="4"/>
      <c r="N396" s="4"/>
      <c r="O396" s="4"/>
      <c r="P396" s="4"/>
      <c r="Q396" s="4"/>
      <c r="R396" s="4"/>
      <c r="S396" s="4"/>
      <c r="T396" s="4"/>
      <c r="U396" s="4"/>
      <c r="V396" s="4"/>
      <c r="W396" s="4"/>
      <c r="X396" s="4"/>
      <c r="Y396" s="4"/>
      <c r="Z396" s="4"/>
    </row>
    <row r="397" spans="1:26">
      <c r="A397" s="5">
        <v>43221</v>
      </c>
      <c r="B397" s="4" t="s">
        <v>20</v>
      </c>
      <c r="C397" s="4" t="s">
        <v>10</v>
      </c>
      <c r="D397" s="4" t="s">
        <v>15</v>
      </c>
      <c r="E397" s="4" t="s">
        <v>13</v>
      </c>
      <c r="F397" s="4">
        <v>248</v>
      </c>
      <c r="G397" s="4">
        <v>6</v>
      </c>
      <c r="H397" s="4">
        <v>18</v>
      </c>
      <c r="I397" s="6">
        <v>2190.6938028169016</v>
      </c>
      <c r="J397" s="4"/>
      <c r="K397" s="4"/>
      <c r="L397" s="4"/>
      <c r="M397" s="4"/>
      <c r="N397" s="4"/>
      <c r="O397" s="4"/>
      <c r="P397" s="4"/>
      <c r="Q397" s="4"/>
      <c r="R397" s="4"/>
      <c r="S397" s="4"/>
      <c r="T397" s="4"/>
      <c r="U397" s="4"/>
      <c r="V397" s="4"/>
      <c r="W397" s="4"/>
      <c r="X397" s="4"/>
      <c r="Y397" s="4"/>
      <c r="Z397" s="4"/>
    </row>
    <row r="398" spans="1:26">
      <c r="A398" s="5">
        <v>43221</v>
      </c>
      <c r="B398" s="4" t="s">
        <v>20</v>
      </c>
      <c r="C398" s="4" t="s">
        <v>10</v>
      </c>
      <c r="D398" s="4" t="s">
        <v>16</v>
      </c>
      <c r="E398" s="4" t="s">
        <v>12</v>
      </c>
      <c r="F398" s="4">
        <v>10226037</v>
      </c>
      <c r="G398" s="4">
        <v>31819</v>
      </c>
      <c r="H398" s="4">
        <v>33418</v>
      </c>
      <c r="I398" s="6">
        <v>5635.7829151730721</v>
      </c>
      <c r="J398" s="4"/>
      <c r="K398" s="4"/>
      <c r="L398" s="4"/>
      <c r="M398" s="4"/>
      <c r="N398" s="4"/>
      <c r="O398" s="4"/>
      <c r="P398" s="4"/>
      <c r="Q398" s="4"/>
      <c r="R398" s="4"/>
      <c r="S398" s="4"/>
      <c r="T398" s="4"/>
      <c r="U398" s="4"/>
      <c r="V398" s="4"/>
      <c r="W398" s="4"/>
      <c r="X398" s="4"/>
      <c r="Y398" s="4"/>
      <c r="Z398" s="4"/>
    </row>
    <row r="399" spans="1:26">
      <c r="A399" s="5">
        <v>43221</v>
      </c>
      <c r="B399" s="4" t="s">
        <v>20</v>
      </c>
      <c r="C399" s="4" t="s">
        <v>10</v>
      </c>
      <c r="D399" s="4" t="s">
        <v>16</v>
      </c>
      <c r="E399" s="4" t="s">
        <v>13</v>
      </c>
      <c r="F399" s="4">
        <v>4962</v>
      </c>
      <c r="G399" s="4">
        <v>213</v>
      </c>
      <c r="H399" s="4">
        <v>575</v>
      </c>
      <c r="I399" s="6">
        <v>94109.371332518334</v>
      </c>
      <c r="J399" s="4"/>
      <c r="K399" s="4"/>
      <c r="L399" s="4"/>
      <c r="M399" s="4"/>
      <c r="N399" s="4"/>
      <c r="O399" s="4"/>
      <c r="P399" s="4"/>
      <c r="Q399" s="4"/>
      <c r="R399" s="4"/>
      <c r="S399" s="4"/>
      <c r="T399" s="4"/>
      <c r="U399" s="4"/>
      <c r="V399" s="4"/>
      <c r="W399" s="4"/>
      <c r="X399" s="4"/>
      <c r="Y399" s="4"/>
      <c r="Z399" s="4"/>
    </row>
    <row r="400" spans="1:26">
      <c r="A400" s="5">
        <v>43221</v>
      </c>
      <c r="B400" s="4" t="s">
        <v>20</v>
      </c>
      <c r="C400" s="4" t="s">
        <v>10</v>
      </c>
      <c r="D400" s="4" t="s">
        <v>17</v>
      </c>
      <c r="E400" s="4" t="s">
        <v>12</v>
      </c>
      <c r="F400" s="4">
        <v>3239868</v>
      </c>
      <c r="G400" s="4">
        <v>10588</v>
      </c>
      <c r="H400" s="4">
        <v>11234</v>
      </c>
      <c r="I400" s="6">
        <v>1709.6256224830702</v>
      </c>
      <c r="J400" s="4"/>
      <c r="K400" s="4"/>
      <c r="L400" s="4"/>
      <c r="M400" s="4"/>
      <c r="N400" s="4"/>
      <c r="O400" s="4"/>
      <c r="P400" s="4"/>
      <c r="Q400" s="4"/>
      <c r="R400" s="4"/>
      <c r="S400" s="4"/>
      <c r="T400" s="4"/>
      <c r="U400" s="4"/>
      <c r="V400" s="4"/>
      <c r="W400" s="4"/>
      <c r="X400" s="4"/>
      <c r="Y400" s="4"/>
      <c r="Z400" s="4"/>
    </row>
    <row r="401" spans="1:26">
      <c r="A401" s="5">
        <v>43221</v>
      </c>
      <c r="B401" s="4" t="s">
        <v>20</v>
      </c>
      <c r="C401" s="4" t="s">
        <v>10</v>
      </c>
      <c r="D401" s="4" t="s">
        <v>17</v>
      </c>
      <c r="E401" s="4" t="s">
        <v>13</v>
      </c>
      <c r="F401" s="4">
        <v>1677</v>
      </c>
      <c r="G401" s="4">
        <v>64</v>
      </c>
      <c r="H401" s="4">
        <v>202</v>
      </c>
      <c r="I401" s="6">
        <v>30718.752516129029</v>
      </c>
      <c r="J401" s="4"/>
      <c r="K401" s="4"/>
      <c r="L401" s="4"/>
      <c r="M401" s="4"/>
      <c r="N401" s="4"/>
      <c r="O401" s="4"/>
      <c r="P401" s="4"/>
      <c r="Q401" s="4"/>
      <c r="R401" s="4"/>
      <c r="S401" s="4"/>
      <c r="T401" s="4"/>
      <c r="U401" s="4"/>
      <c r="V401" s="4"/>
      <c r="W401" s="4"/>
      <c r="X401" s="4"/>
      <c r="Y401" s="4"/>
      <c r="Z401" s="4"/>
    </row>
    <row r="402" spans="1:26">
      <c r="A402" s="5">
        <v>43221</v>
      </c>
      <c r="B402" s="4" t="s">
        <v>20</v>
      </c>
      <c r="C402" s="4" t="s">
        <v>18</v>
      </c>
      <c r="D402" s="4" t="s">
        <v>11</v>
      </c>
      <c r="E402" s="4" t="s">
        <v>12</v>
      </c>
      <c r="F402" s="4">
        <v>2348849</v>
      </c>
      <c r="G402" s="4">
        <v>13881</v>
      </c>
      <c r="H402" s="4">
        <v>26749</v>
      </c>
      <c r="I402" s="6">
        <v>8228.4563652122106</v>
      </c>
      <c r="J402" s="4"/>
      <c r="K402" s="4"/>
      <c r="L402" s="4"/>
      <c r="M402" s="4"/>
      <c r="N402" s="4"/>
      <c r="O402" s="4"/>
      <c r="P402" s="4"/>
      <c r="Q402" s="4"/>
      <c r="R402" s="4"/>
      <c r="S402" s="4"/>
      <c r="T402" s="4"/>
      <c r="U402" s="4"/>
      <c r="V402" s="4"/>
      <c r="W402" s="4"/>
      <c r="X402" s="4"/>
      <c r="Y402" s="4"/>
      <c r="Z402" s="4"/>
    </row>
    <row r="403" spans="1:26">
      <c r="A403" s="5">
        <v>43221</v>
      </c>
      <c r="B403" s="4" t="s">
        <v>20</v>
      </c>
      <c r="C403" s="4" t="s">
        <v>18</v>
      </c>
      <c r="D403" s="4" t="s">
        <v>11</v>
      </c>
      <c r="E403" s="4" t="s">
        <v>13</v>
      </c>
      <c r="F403" s="4">
        <v>1209</v>
      </c>
      <c r="G403" s="4">
        <v>12</v>
      </c>
      <c r="H403" s="4">
        <v>20</v>
      </c>
      <c r="I403" s="6">
        <v>104.37200000000001</v>
      </c>
      <c r="J403" s="4"/>
      <c r="K403" s="4"/>
      <c r="L403" s="4"/>
      <c r="M403" s="4"/>
      <c r="N403" s="4"/>
      <c r="O403" s="4"/>
      <c r="P403" s="4"/>
      <c r="Q403" s="4"/>
      <c r="R403" s="4"/>
      <c r="S403" s="4"/>
      <c r="T403" s="4"/>
      <c r="U403" s="4"/>
      <c r="V403" s="4"/>
      <c r="W403" s="4"/>
      <c r="X403" s="4"/>
      <c r="Y403" s="4"/>
      <c r="Z403" s="4"/>
    </row>
    <row r="404" spans="1:26">
      <c r="A404" s="5">
        <v>43221</v>
      </c>
      <c r="B404" s="4" t="s">
        <v>20</v>
      </c>
      <c r="C404" s="4" t="s">
        <v>18</v>
      </c>
      <c r="D404" s="4" t="s">
        <v>14</v>
      </c>
      <c r="E404" s="4" t="s">
        <v>12</v>
      </c>
      <c r="F404" s="4">
        <v>4449782</v>
      </c>
      <c r="G404" s="4">
        <v>27396</v>
      </c>
      <c r="H404" s="4">
        <v>51217</v>
      </c>
      <c r="I404" s="6">
        <v>10453.08748563747</v>
      </c>
      <c r="J404" s="4"/>
      <c r="K404" s="4"/>
      <c r="L404" s="4"/>
      <c r="M404" s="4"/>
      <c r="N404" s="4"/>
      <c r="O404" s="4"/>
      <c r="P404" s="4"/>
      <c r="Q404" s="4"/>
      <c r="R404" s="4"/>
      <c r="S404" s="4"/>
      <c r="T404" s="4"/>
      <c r="U404" s="4"/>
      <c r="V404" s="4"/>
      <c r="W404" s="4"/>
      <c r="X404" s="4"/>
      <c r="Y404" s="4"/>
      <c r="Z404" s="4"/>
    </row>
    <row r="405" spans="1:26">
      <c r="A405" s="5">
        <v>43221</v>
      </c>
      <c r="B405" s="4" t="s">
        <v>20</v>
      </c>
      <c r="C405" s="4" t="s">
        <v>18</v>
      </c>
      <c r="D405" s="4" t="s">
        <v>14</v>
      </c>
      <c r="E405" s="4" t="s">
        <v>13</v>
      </c>
      <c r="F405" s="4">
        <v>2316</v>
      </c>
      <c r="G405" s="4">
        <v>24</v>
      </c>
      <c r="H405" s="4">
        <v>138</v>
      </c>
      <c r="I405" s="6">
        <v>231.99397834710743</v>
      </c>
      <c r="J405" s="4"/>
      <c r="K405" s="4"/>
      <c r="L405" s="4"/>
      <c r="M405" s="4"/>
      <c r="N405" s="4"/>
      <c r="O405" s="4"/>
      <c r="P405" s="4"/>
      <c r="Q405" s="4"/>
      <c r="R405" s="4"/>
      <c r="S405" s="4"/>
      <c r="T405" s="4"/>
      <c r="U405" s="4"/>
      <c r="V405" s="4"/>
      <c r="W405" s="4"/>
      <c r="X405" s="4"/>
      <c r="Y405" s="4"/>
      <c r="Z405" s="4"/>
    </row>
    <row r="406" spans="1:26">
      <c r="A406" s="5">
        <v>43221</v>
      </c>
      <c r="B406" s="4" t="s">
        <v>20</v>
      </c>
      <c r="C406" s="4" t="s">
        <v>18</v>
      </c>
      <c r="D406" s="4" t="s">
        <v>15</v>
      </c>
      <c r="E406" s="4" t="s">
        <v>12</v>
      </c>
      <c r="F406" s="4">
        <v>1404575</v>
      </c>
      <c r="G406" s="4">
        <v>9481</v>
      </c>
      <c r="H406" s="4">
        <v>17797</v>
      </c>
      <c r="I406" s="6">
        <v>2901.3622813301317</v>
      </c>
      <c r="J406" s="4"/>
      <c r="K406" s="4"/>
      <c r="L406" s="4"/>
      <c r="M406" s="4"/>
      <c r="N406" s="4"/>
      <c r="O406" s="4"/>
      <c r="P406" s="4"/>
      <c r="Q406" s="4"/>
      <c r="R406" s="4"/>
      <c r="S406" s="4"/>
      <c r="T406" s="4"/>
      <c r="U406" s="4"/>
      <c r="V406" s="4"/>
      <c r="W406" s="4"/>
      <c r="X406" s="4"/>
      <c r="Y406" s="4"/>
      <c r="Z406" s="4"/>
    </row>
    <row r="407" spans="1:26">
      <c r="A407" s="5">
        <v>43221</v>
      </c>
      <c r="B407" s="4" t="s">
        <v>20</v>
      </c>
      <c r="C407" s="4" t="s">
        <v>18</v>
      </c>
      <c r="D407" s="4" t="s">
        <v>15</v>
      </c>
      <c r="E407" s="4" t="s">
        <v>13</v>
      </c>
      <c r="F407" s="4">
        <v>484</v>
      </c>
      <c r="G407" s="4">
        <v>0</v>
      </c>
      <c r="H407" s="4">
        <v>0</v>
      </c>
      <c r="I407" s="6">
        <v>0</v>
      </c>
      <c r="J407" s="4"/>
      <c r="K407" s="4"/>
      <c r="L407" s="4"/>
      <c r="M407" s="4"/>
      <c r="N407" s="4"/>
      <c r="O407" s="4"/>
      <c r="P407" s="4"/>
      <c r="Q407" s="4"/>
      <c r="R407" s="4"/>
      <c r="S407" s="4"/>
      <c r="T407" s="4"/>
      <c r="U407" s="4"/>
      <c r="V407" s="4"/>
      <c r="W407" s="4"/>
      <c r="X407" s="4"/>
      <c r="Y407" s="4"/>
      <c r="Z407" s="4"/>
    </row>
    <row r="408" spans="1:26">
      <c r="A408" s="5">
        <v>43221</v>
      </c>
      <c r="B408" s="4" t="s">
        <v>20</v>
      </c>
      <c r="C408" s="4" t="s">
        <v>18</v>
      </c>
      <c r="D408" s="4" t="s">
        <v>16</v>
      </c>
      <c r="E408" s="4" t="s">
        <v>12</v>
      </c>
      <c r="F408" s="4">
        <v>20656535</v>
      </c>
      <c r="G408" s="4">
        <v>67823</v>
      </c>
      <c r="H408" s="4">
        <v>126326</v>
      </c>
      <c r="I408" s="6">
        <v>41683.506160290577</v>
      </c>
      <c r="J408" s="4"/>
      <c r="K408" s="4"/>
      <c r="L408" s="4"/>
      <c r="M408" s="4"/>
      <c r="N408" s="4"/>
      <c r="O408" s="4"/>
      <c r="P408" s="4"/>
      <c r="Q408" s="4"/>
      <c r="R408" s="4"/>
      <c r="S408" s="4"/>
      <c r="T408" s="4"/>
      <c r="U408" s="4"/>
      <c r="V408" s="4"/>
      <c r="W408" s="4"/>
      <c r="X408" s="4"/>
      <c r="Y408" s="4"/>
      <c r="Z408" s="4"/>
    </row>
    <row r="409" spans="1:26">
      <c r="A409" s="5">
        <v>43221</v>
      </c>
      <c r="B409" s="4" t="s">
        <v>20</v>
      </c>
      <c r="C409" s="4" t="s">
        <v>18</v>
      </c>
      <c r="D409" s="4" t="s">
        <v>16</v>
      </c>
      <c r="E409" s="4" t="s">
        <v>13</v>
      </c>
      <c r="F409" s="4">
        <v>25307</v>
      </c>
      <c r="G409" s="4">
        <v>80</v>
      </c>
      <c r="H409" s="4">
        <v>872</v>
      </c>
      <c r="I409" s="6">
        <v>1168.4598459167951</v>
      </c>
      <c r="J409" s="4"/>
      <c r="K409" s="4"/>
      <c r="L409" s="4"/>
      <c r="M409" s="4"/>
      <c r="N409" s="4"/>
      <c r="O409" s="4"/>
      <c r="P409" s="4"/>
      <c r="Q409" s="4"/>
      <c r="R409" s="4"/>
      <c r="S409" s="4"/>
      <c r="T409" s="4"/>
      <c r="U409" s="4"/>
      <c r="V409" s="4"/>
      <c r="W409" s="4"/>
      <c r="X409" s="4"/>
      <c r="Y409" s="4"/>
      <c r="Z409" s="4"/>
    </row>
    <row r="410" spans="1:26">
      <c r="A410" s="5">
        <v>43221</v>
      </c>
      <c r="B410" s="4" t="s">
        <v>20</v>
      </c>
      <c r="C410" s="4" t="s">
        <v>18</v>
      </c>
      <c r="D410" s="4" t="s">
        <v>17</v>
      </c>
      <c r="E410" s="4" t="s">
        <v>12</v>
      </c>
      <c r="F410" s="4">
        <v>3639483</v>
      </c>
      <c r="G410" s="4">
        <v>22895</v>
      </c>
      <c r="H410" s="4">
        <v>40219</v>
      </c>
      <c r="I410" s="6">
        <v>13708.992855521119</v>
      </c>
      <c r="J410" s="4"/>
      <c r="K410" s="4"/>
      <c r="L410" s="4"/>
      <c r="M410" s="4"/>
      <c r="N410" s="4"/>
      <c r="O410" s="4"/>
      <c r="P410" s="4"/>
      <c r="Q410" s="4"/>
      <c r="R410" s="4"/>
      <c r="S410" s="4"/>
      <c r="T410" s="4"/>
      <c r="U410" s="4"/>
      <c r="V410" s="4"/>
      <c r="W410" s="4"/>
      <c r="X410" s="4"/>
      <c r="Y410" s="4"/>
      <c r="Z410" s="4"/>
    </row>
    <row r="411" spans="1:26">
      <c r="A411" s="5">
        <v>43221</v>
      </c>
      <c r="B411" s="4" t="s">
        <v>20</v>
      </c>
      <c r="C411" s="4" t="s">
        <v>18</v>
      </c>
      <c r="D411" s="4" t="s">
        <v>17</v>
      </c>
      <c r="E411" s="4" t="s">
        <v>13</v>
      </c>
      <c r="F411" s="4">
        <v>1464</v>
      </c>
      <c r="G411" s="4">
        <v>16</v>
      </c>
      <c r="H411" s="4">
        <v>89</v>
      </c>
      <c r="I411" s="6">
        <v>55.600815217391307</v>
      </c>
      <c r="J411" s="4"/>
      <c r="K411" s="4"/>
      <c r="L411" s="4"/>
      <c r="M411" s="4"/>
      <c r="N411" s="4"/>
      <c r="O411" s="4"/>
      <c r="P411" s="4"/>
      <c r="Q411" s="4"/>
      <c r="R411" s="4"/>
      <c r="S411" s="4"/>
      <c r="T411" s="4"/>
      <c r="U411" s="4"/>
      <c r="V411" s="4"/>
      <c r="W411" s="4"/>
      <c r="X411" s="4"/>
      <c r="Y411" s="4"/>
      <c r="Z411" s="4"/>
    </row>
    <row r="412" spans="1:26">
      <c r="A412" s="5">
        <v>43221</v>
      </c>
      <c r="B412" s="4" t="s">
        <v>20</v>
      </c>
      <c r="C412" s="4" t="s">
        <v>19</v>
      </c>
      <c r="D412" s="4" t="s">
        <v>11</v>
      </c>
      <c r="E412" s="4" t="s">
        <v>12</v>
      </c>
      <c r="F412" s="4">
        <v>718567</v>
      </c>
      <c r="G412" s="4">
        <v>2186</v>
      </c>
      <c r="H412" s="4">
        <v>2351</v>
      </c>
      <c r="I412" s="6">
        <v>8232.6543484941612</v>
      </c>
      <c r="J412" s="4"/>
      <c r="K412" s="4"/>
      <c r="L412" s="4"/>
      <c r="M412" s="4"/>
      <c r="N412" s="4"/>
      <c r="O412" s="4"/>
      <c r="P412" s="4"/>
      <c r="Q412" s="4"/>
      <c r="R412" s="4"/>
      <c r="S412" s="4"/>
      <c r="T412" s="4"/>
      <c r="U412" s="4"/>
      <c r="V412" s="4"/>
      <c r="W412" s="4"/>
      <c r="X412" s="4"/>
      <c r="Y412" s="4"/>
      <c r="Z412" s="4"/>
    </row>
    <row r="413" spans="1:26">
      <c r="A413" s="5">
        <v>43221</v>
      </c>
      <c r="B413" s="4" t="s">
        <v>20</v>
      </c>
      <c r="C413" s="4" t="s">
        <v>19</v>
      </c>
      <c r="D413" s="4" t="s">
        <v>11</v>
      </c>
      <c r="E413" s="4" t="s">
        <v>13</v>
      </c>
      <c r="F413" s="4">
        <v>975</v>
      </c>
      <c r="G413" s="4">
        <v>35</v>
      </c>
      <c r="H413" s="4">
        <v>206</v>
      </c>
      <c r="I413" s="6">
        <v>970.33970238095242</v>
      </c>
      <c r="J413" s="4"/>
      <c r="K413" s="4"/>
      <c r="L413" s="4"/>
      <c r="M413" s="4"/>
      <c r="N413" s="4"/>
      <c r="O413" s="4"/>
      <c r="P413" s="4"/>
      <c r="Q413" s="4"/>
      <c r="R413" s="4"/>
      <c r="S413" s="4"/>
      <c r="T413" s="4"/>
      <c r="U413" s="4"/>
      <c r="V413" s="4"/>
      <c r="W413" s="4"/>
      <c r="X413" s="4"/>
      <c r="Y413" s="4"/>
      <c r="Z413" s="4"/>
    </row>
    <row r="414" spans="1:26">
      <c r="A414" s="5">
        <v>43221</v>
      </c>
      <c r="B414" s="4" t="s">
        <v>20</v>
      </c>
      <c r="C414" s="4" t="s">
        <v>19</v>
      </c>
      <c r="D414" s="4" t="s">
        <v>14</v>
      </c>
      <c r="E414" s="4" t="s">
        <v>12</v>
      </c>
      <c r="F414" s="4">
        <v>1690733</v>
      </c>
      <c r="G414" s="4">
        <v>5623</v>
      </c>
      <c r="H414" s="4">
        <v>5680</v>
      </c>
      <c r="I414" s="6">
        <v>17456.926621638846</v>
      </c>
      <c r="J414" s="4"/>
      <c r="K414" s="4"/>
      <c r="L414" s="4"/>
      <c r="M414" s="4"/>
      <c r="N414" s="4"/>
      <c r="O414" s="4"/>
      <c r="P414" s="4"/>
      <c r="Q414" s="4"/>
      <c r="R414" s="4"/>
      <c r="S414" s="4"/>
      <c r="T414" s="4"/>
      <c r="U414" s="4"/>
      <c r="V414" s="4"/>
      <c r="W414" s="4"/>
      <c r="X414" s="4"/>
      <c r="Y414" s="4"/>
      <c r="Z414" s="4"/>
    </row>
    <row r="415" spans="1:26">
      <c r="A415" s="5">
        <v>43221</v>
      </c>
      <c r="B415" s="4" t="s">
        <v>20</v>
      </c>
      <c r="C415" s="4" t="s">
        <v>19</v>
      </c>
      <c r="D415" s="4" t="s">
        <v>14</v>
      </c>
      <c r="E415" s="4" t="s">
        <v>13</v>
      </c>
      <c r="F415" s="4">
        <v>2550</v>
      </c>
      <c r="G415" s="4">
        <v>100</v>
      </c>
      <c r="H415" s="4">
        <v>414</v>
      </c>
      <c r="I415" s="6">
        <v>1955.8438263665591</v>
      </c>
      <c r="J415" s="4"/>
      <c r="K415" s="4"/>
      <c r="L415" s="4"/>
      <c r="M415" s="4"/>
      <c r="N415" s="4"/>
      <c r="O415" s="4"/>
      <c r="P415" s="4"/>
      <c r="Q415" s="4"/>
      <c r="R415" s="4"/>
      <c r="S415" s="4"/>
      <c r="T415" s="4"/>
      <c r="U415" s="4"/>
      <c r="V415" s="4"/>
      <c r="W415" s="4"/>
      <c r="X415" s="4"/>
      <c r="Y415" s="4"/>
      <c r="Z415" s="4"/>
    </row>
    <row r="416" spans="1:26">
      <c r="A416" s="5">
        <v>43221</v>
      </c>
      <c r="B416" s="4" t="s">
        <v>20</v>
      </c>
      <c r="C416" s="4" t="s">
        <v>19</v>
      </c>
      <c r="D416" s="4" t="s">
        <v>15</v>
      </c>
      <c r="E416" s="4" t="s">
        <v>12</v>
      </c>
      <c r="F416" s="4">
        <v>439554</v>
      </c>
      <c r="G416" s="4">
        <v>1525</v>
      </c>
      <c r="H416" s="4">
        <v>1545</v>
      </c>
      <c r="I416" s="6">
        <v>5601.6987173507459</v>
      </c>
      <c r="J416" s="4"/>
      <c r="K416" s="4"/>
      <c r="L416" s="4"/>
      <c r="M416" s="4"/>
      <c r="N416" s="4"/>
      <c r="O416" s="4"/>
      <c r="P416" s="4"/>
      <c r="Q416" s="4"/>
      <c r="R416" s="4"/>
      <c r="S416" s="4"/>
      <c r="T416" s="4"/>
      <c r="U416" s="4"/>
      <c r="V416" s="4"/>
      <c r="W416" s="4"/>
      <c r="X416" s="4"/>
      <c r="Y416" s="4"/>
      <c r="Z416" s="4"/>
    </row>
    <row r="417" spans="1:26">
      <c r="A417" s="5">
        <v>43221</v>
      </c>
      <c r="B417" s="4" t="s">
        <v>20</v>
      </c>
      <c r="C417" s="4" t="s">
        <v>19</v>
      </c>
      <c r="D417" s="4" t="s">
        <v>15</v>
      </c>
      <c r="E417" s="4" t="s">
        <v>13</v>
      </c>
      <c r="F417" s="4">
        <v>440</v>
      </c>
      <c r="G417" s="4">
        <v>11</v>
      </c>
      <c r="H417" s="4">
        <v>111</v>
      </c>
      <c r="I417" s="6">
        <v>153.03978947368421</v>
      </c>
      <c r="J417" s="4"/>
      <c r="K417" s="4"/>
      <c r="L417" s="4"/>
      <c r="M417" s="4"/>
      <c r="N417" s="4"/>
      <c r="O417" s="4"/>
      <c r="P417" s="4"/>
      <c r="Q417" s="4"/>
      <c r="R417" s="4"/>
      <c r="S417" s="4"/>
      <c r="T417" s="4"/>
      <c r="U417" s="4"/>
      <c r="V417" s="4"/>
      <c r="W417" s="4"/>
      <c r="X417" s="4"/>
      <c r="Y417" s="4"/>
      <c r="Z417" s="4"/>
    </row>
    <row r="418" spans="1:26">
      <c r="A418" s="5">
        <v>43221</v>
      </c>
      <c r="B418" s="4" t="s">
        <v>20</v>
      </c>
      <c r="C418" s="4" t="s">
        <v>19</v>
      </c>
      <c r="D418" s="4" t="s">
        <v>16</v>
      </c>
      <c r="E418" s="4" t="s">
        <v>12</v>
      </c>
      <c r="F418" s="4">
        <v>3947607</v>
      </c>
      <c r="G418" s="4">
        <v>11015</v>
      </c>
      <c r="H418" s="4">
        <v>11293</v>
      </c>
      <c r="I418" s="6">
        <v>52434.639933286286</v>
      </c>
      <c r="J418" s="4"/>
      <c r="K418" s="4"/>
      <c r="L418" s="4"/>
      <c r="M418" s="4"/>
      <c r="N418" s="4"/>
      <c r="O418" s="4"/>
      <c r="P418" s="4"/>
      <c r="Q418" s="4"/>
      <c r="R418" s="4"/>
      <c r="S418" s="4"/>
      <c r="T418" s="4"/>
      <c r="U418" s="4"/>
      <c r="V418" s="4"/>
      <c r="W418" s="4"/>
      <c r="X418" s="4"/>
      <c r="Y418" s="4"/>
      <c r="Z418" s="4"/>
    </row>
    <row r="419" spans="1:26">
      <c r="A419" s="5">
        <v>43221</v>
      </c>
      <c r="B419" s="4" t="s">
        <v>20</v>
      </c>
      <c r="C419" s="4" t="s">
        <v>19</v>
      </c>
      <c r="D419" s="4" t="s">
        <v>16</v>
      </c>
      <c r="E419" s="4" t="s">
        <v>13</v>
      </c>
      <c r="F419" s="4">
        <v>3920</v>
      </c>
      <c r="G419" s="4">
        <v>159</v>
      </c>
      <c r="H419" s="4">
        <v>815</v>
      </c>
      <c r="I419" s="6">
        <v>4923.3947818648412</v>
      </c>
      <c r="J419" s="4"/>
      <c r="K419" s="4"/>
      <c r="L419" s="4"/>
      <c r="M419" s="4"/>
      <c r="N419" s="4"/>
      <c r="O419" s="4"/>
      <c r="P419" s="4"/>
      <c r="Q419" s="4"/>
      <c r="R419" s="4"/>
      <c r="S419" s="4"/>
      <c r="T419" s="4"/>
      <c r="U419" s="4"/>
      <c r="V419" s="4"/>
      <c r="W419" s="4"/>
      <c r="X419" s="4"/>
      <c r="Y419" s="4"/>
      <c r="Z419" s="4"/>
    </row>
    <row r="420" spans="1:26">
      <c r="A420" s="5">
        <v>43221</v>
      </c>
      <c r="B420" s="4" t="s">
        <v>20</v>
      </c>
      <c r="C420" s="4" t="s">
        <v>19</v>
      </c>
      <c r="D420" s="4" t="s">
        <v>17</v>
      </c>
      <c r="E420" s="4" t="s">
        <v>12</v>
      </c>
      <c r="F420" s="4">
        <v>1206774</v>
      </c>
      <c r="G420" s="4">
        <v>3905</v>
      </c>
      <c r="H420" s="4">
        <v>3942</v>
      </c>
      <c r="I420" s="6">
        <v>15602.051132317858</v>
      </c>
      <c r="J420" s="4"/>
      <c r="K420" s="4"/>
      <c r="L420" s="4"/>
      <c r="M420" s="4"/>
      <c r="N420" s="4"/>
      <c r="O420" s="4"/>
      <c r="P420" s="4"/>
      <c r="Q420" s="4"/>
      <c r="R420" s="4"/>
      <c r="S420" s="4"/>
      <c r="T420" s="4"/>
      <c r="U420" s="4"/>
      <c r="V420" s="4"/>
      <c r="W420" s="4"/>
      <c r="X420" s="4"/>
      <c r="Y420" s="4"/>
      <c r="Z420" s="4"/>
    </row>
    <row r="421" spans="1:26">
      <c r="A421" s="5">
        <v>43221</v>
      </c>
      <c r="B421" s="4" t="s">
        <v>20</v>
      </c>
      <c r="C421" s="4" t="s">
        <v>19</v>
      </c>
      <c r="D421" s="4" t="s">
        <v>17</v>
      </c>
      <c r="E421" s="4" t="s">
        <v>13</v>
      </c>
      <c r="F421" s="4">
        <v>1401</v>
      </c>
      <c r="G421" s="4">
        <v>44</v>
      </c>
      <c r="H421" s="4">
        <v>519</v>
      </c>
      <c r="I421" s="6">
        <v>1129.3415256257449</v>
      </c>
      <c r="J421" s="4"/>
      <c r="K421" s="4"/>
      <c r="L421" s="4"/>
      <c r="M421" s="4"/>
      <c r="N421" s="4"/>
      <c r="O421" s="4"/>
      <c r="P421" s="4"/>
      <c r="Q421" s="4"/>
      <c r="R421" s="4"/>
      <c r="S421" s="4"/>
      <c r="T421" s="4"/>
      <c r="U421" s="4"/>
      <c r="V421" s="4"/>
      <c r="W421" s="4"/>
      <c r="X421" s="4"/>
      <c r="Y421" s="4"/>
      <c r="Z421" s="4"/>
    </row>
    <row r="422" spans="1:26">
      <c r="A422" s="5">
        <v>43221</v>
      </c>
      <c r="B422" s="4" t="s">
        <v>21</v>
      </c>
      <c r="C422" s="4" t="s">
        <v>10</v>
      </c>
      <c r="D422" s="4" t="s">
        <v>11</v>
      </c>
      <c r="E422" s="4" t="s">
        <v>12</v>
      </c>
      <c r="F422" s="4">
        <v>1258383</v>
      </c>
      <c r="G422" s="4">
        <v>10341</v>
      </c>
      <c r="H422" s="4">
        <v>12973</v>
      </c>
      <c r="I422" s="6">
        <v>19304.310143359766</v>
      </c>
      <c r="J422" s="4"/>
      <c r="K422" s="4"/>
      <c r="L422" s="4"/>
      <c r="M422" s="4"/>
      <c r="N422" s="4"/>
      <c r="O422" s="4"/>
      <c r="P422" s="4"/>
      <c r="Q422" s="4"/>
      <c r="R422" s="4"/>
      <c r="S422" s="4"/>
      <c r="T422" s="4"/>
      <c r="U422" s="4"/>
      <c r="V422" s="4"/>
      <c r="W422" s="4"/>
      <c r="X422" s="4"/>
      <c r="Y422" s="4"/>
      <c r="Z422" s="4"/>
    </row>
    <row r="423" spans="1:26">
      <c r="A423" s="5">
        <v>43221</v>
      </c>
      <c r="B423" s="4" t="s">
        <v>21</v>
      </c>
      <c r="C423" s="4" t="s">
        <v>10</v>
      </c>
      <c r="D423" s="4" t="s">
        <v>11</v>
      </c>
      <c r="E423" s="4" t="s">
        <v>13</v>
      </c>
      <c r="F423" s="4">
        <v>15112</v>
      </c>
      <c r="G423" s="4">
        <v>895</v>
      </c>
      <c r="H423" s="4">
        <v>15061</v>
      </c>
      <c r="I423" s="6">
        <v>83271.602787809315</v>
      </c>
      <c r="J423" s="4"/>
      <c r="K423" s="4"/>
      <c r="L423" s="4"/>
      <c r="M423" s="4"/>
      <c r="N423" s="4"/>
      <c r="O423" s="4"/>
      <c r="P423" s="4"/>
      <c r="Q423" s="4"/>
      <c r="R423" s="4"/>
      <c r="S423" s="4"/>
      <c r="T423" s="4"/>
      <c r="U423" s="4"/>
      <c r="V423" s="4"/>
      <c r="W423" s="4"/>
      <c r="X423" s="4"/>
      <c r="Y423" s="4"/>
      <c r="Z423" s="4"/>
    </row>
    <row r="424" spans="1:26">
      <c r="A424" s="5">
        <v>43221</v>
      </c>
      <c r="B424" s="4" t="s">
        <v>21</v>
      </c>
      <c r="C424" s="4" t="s">
        <v>10</v>
      </c>
      <c r="D424" s="4" t="s">
        <v>14</v>
      </c>
      <c r="E424" s="4" t="s">
        <v>12</v>
      </c>
      <c r="F424" s="4">
        <v>1933919</v>
      </c>
      <c r="G424" s="4">
        <v>12024</v>
      </c>
      <c r="H424" s="4">
        <v>13702</v>
      </c>
      <c r="I424" s="6">
        <v>29115.692210236888</v>
      </c>
      <c r="J424" s="4"/>
      <c r="K424" s="4"/>
      <c r="L424" s="4"/>
      <c r="M424" s="4"/>
      <c r="N424" s="4"/>
      <c r="O424" s="4"/>
      <c r="P424" s="4"/>
      <c r="Q424" s="4"/>
      <c r="R424" s="4"/>
      <c r="S424" s="4"/>
      <c r="T424" s="4"/>
      <c r="U424" s="4"/>
      <c r="V424" s="4"/>
      <c r="W424" s="4"/>
      <c r="X424" s="4"/>
      <c r="Y424" s="4"/>
      <c r="Z424" s="4"/>
    </row>
    <row r="425" spans="1:26">
      <c r="A425" s="5">
        <v>43221</v>
      </c>
      <c r="B425" s="4" t="s">
        <v>21</v>
      </c>
      <c r="C425" s="4" t="s">
        <v>10</v>
      </c>
      <c r="D425" s="4" t="s">
        <v>14</v>
      </c>
      <c r="E425" s="4" t="s">
        <v>13</v>
      </c>
      <c r="F425" s="4">
        <v>18290</v>
      </c>
      <c r="G425" s="4">
        <v>1177</v>
      </c>
      <c r="H425" s="4">
        <v>16176</v>
      </c>
      <c r="I425" s="6">
        <v>98566.681955650551</v>
      </c>
      <c r="J425" s="4"/>
      <c r="K425" s="4"/>
      <c r="L425" s="4"/>
      <c r="M425" s="4"/>
      <c r="N425" s="4"/>
      <c r="O425" s="4"/>
      <c r="P425" s="4"/>
      <c r="Q425" s="4"/>
      <c r="R425" s="4"/>
      <c r="S425" s="4"/>
      <c r="T425" s="4"/>
      <c r="U425" s="4"/>
      <c r="V425" s="4"/>
      <c r="W425" s="4"/>
      <c r="X425" s="4"/>
      <c r="Y425" s="4"/>
      <c r="Z425" s="4"/>
    </row>
    <row r="426" spans="1:26">
      <c r="A426" s="5">
        <v>43221</v>
      </c>
      <c r="B426" s="4" t="s">
        <v>21</v>
      </c>
      <c r="C426" s="4" t="s">
        <v>10</v>
      </c>
      <c r="D426" s="4" t="s">
        <v>15</v>
      </c>
      <c r="E426" s="4" t="s">
        <v>12</v>
      </c>
      <c r="F426" s="4">
        <v>513640</v>
      </c>
      <c r="G426" s="4">
        <v>3317</v>
      </c>
      <c r="H426" s="4">
        <v>3893</v>
      </c>
      <c r="I426" s="6">
        <v>7167.9084912671869</v>
      </c>
      <c r="J426" s="4"/>
      <c r="K426" s="4"/>
      <c r="L426" s="4"/>
      <c r="M426" s="4"/>
      <c r="N426" s="4"/>
      <c r="O426" s="4"/>
      <c r="P426" s="4"/>
      <c r="Q426" s="4"/>
      <c r="R426" s="4"/>
      <c r="S426" s="4"/>
      <c r="T426" s="4"/>
      <c r="U426" s="4"/>
      <c r="V426" s="4"/>
      <c r="W426" s="4"/>
      <c r="X426" s="4"/>
      <c r="Y426" s="4"/>
      <c r="Z426" s="4"/>
    </row>
    <row r="427" spans="1:26">
      <c r="A427" s="5">
        <v>43221</v>
      </c>
      <c r="B427" s="4" t="s">
        <v>21</v>
      </c>
      <c r="C427" s="4" t="s">
        <v>10</v>
      </c>
      <c r="D427" s="4" t="s">
        <v>15</v>
      </c>
      <c r="E427" s="4" t="s">
        <v>13</v>
      </c>
      <c r="F427" s="4">
        <v>4493</v>
      </c>
      <c r="G427" s="4">
        <v>296</v>
      </c>
      <c r="H427" s="4">
        <v>3222</v>
      </c>
      <c r="I427" s="6">
        <v>23642.535851786892</v>
      </c>
      <c r="J427" s="4"/>
      <c r="K427" s="4"/>
      <c r="L427" s="4"/>
      <c r="M427" s="4"/>
      <c r="N427" s="4"/>
      <c r="O427" s="4"/>
      <c r="P427" s="4"/>
      <c r="Q427" s="4"/>
      <c r="R427" s="4"/>
      <c r="S427" s="4"/>
      <c r="T427" s="4"/>
      <c r="U427" s="4"/>
      <c r="V427" s="4"/>
      <c r="W427" s="4"/>
      <c r="X427" s="4"/>
      <c r="Y427" s="4"/>
      <c r="Z427" s="4"/>
    </row>
    <row r="428" spans="1:26">
      <c r="A428" s="5">
        <v>43221</v>
      </c>
      <c r="B428" s="4" t="s">
        <v>21</v>
      </c>
      <c r="C428" s="4" t="s">
        <v>10</v>
      </c>
      <c r="D428" s="4" t="s">
        <v>16</v>
      </c>
      <c r="E428" s="4" t="s">
        <v>12</v>
      </c>
      <c r="F428" s="4">
        <v>6549756</v>
      </c>
      <c r="G428" s="4">
        <v>54796</v>
      </c>
      <c r="H428" s="4">
        <v>60688</v>
      </c>
      <c r="I428" s="6">
        <v>149037.63635434207</v>
      </c>
      <c r="J428" s="4"/>
      <c r="K428" s="4"/>
      <c r="L428" s="4"/>
      <c r="M428" s="4"/>
      <c r="N428" s="4"/>
      <c r="O428" s="4"/>
      <c r="P428" s="4"/>
      <c r="Q428" s="4"/>
      <c r="R428" s="4"/>
      <c r="S428" s="4"/>
      <c r="T428" s="4"/>
      <c r="U428" s="4"/>
      <c r="V428" s="4"/>
      <c r="W428" s="4"/>
      <c r="X428" s="4"/>
      <c r="Y428" s="4"/>
      <c r="Z428" s="4"/>
    </row>
    <row r="429" spans="1:26">
      <c r="A429" s="5">
        <v>43221</v>
      </c>
      <c r="B429" s="4" t="s">
        <v>21</v>
      </c>
      <c r="C429" s="4" t="s">
        <v>10</v>
      </c>
      <c r="D429" s="4" t="s">
        <v>16</v>
      </c>
      <c r="E429" s="4" t="s">
        <v>13</v>
      </c>
      <c r="F429" s="4">
        <v>80415</v>
      </c>
      <c r="G429" s="4">
        <v>5784</v>
      </c>
      <c r="H429" s="4">
        <v>83330</v>
      </c>
      <c r="I429" s="6">
        <v>468633.04582344915</v>
      </c>
      <c r="J429" s="4"/>
      <c r="K429" s="4"/>
      <c r="L429" s="4"/>
      <c r="M429" s="4"/>
      <c r="N429" s="4"/>
      <c r="O429" s="4"/>
      <c r="P429" s="4"/>
      <c r="Q429" s="4"/>
      <c r="R429" s="4"/>
      <c r="S429" s="4"/>
      <c r="T429" s="4"/>
      <c r="U429" s="4"/>
      <c r="V429" s="4"/>
      <c r="W429" s="4"/>
      <c r="X429" s="4"/>
      <c r="Y429" s="4"/>
      <c r="Z429" s="4"/>
    </row>
    <row r="430" spans="1:26">
      <c r="A430" s="5">
        <v>43221</v>
      </c>
      <c r="B430" s="4" t="s">
        <v>21</v>
      </c>
      <c r="C430" s="4" t="s">
        <v>10</v>
      </c>
      <c r="D430" s="4" t="s">
        <v>17</v>
      </c>
      <c r="E430" s="4" t="s">
        <v>12</v>
      </c>
      <c r="F430" s="4">
        <v>2142408</v>
      </c>
      <c r="G430" s="4">
        <v>22748</v>
      </c>
      <c r="H430" s="4">
        <v>24835</v>
      </c>
      <c r="I430" s="6">
        <v>61444.314880796061</v>
      </c>
      <c r="J430" s="4"/>
      <c r="K430" s="4"/>
      <c r="L430" s="4"/>
      <c r="M430" s="4"/>
      <c r="N430" s="4"/>
      <c r="O430" s="4"/>
      <c r="P430" s="4"/>
      <c r="Q430" s="4"/>
      <c r="R430" s="4"/>
      <c r="S430" s="4"/>
      <c r="T430" s="4"/>
      <c r="U430" s="4"/>
      <c r="V430" s="4"/>
      <c r="W430" s="4"/>
      <c r="X430" s="4"/>
      <c r="Y430" s="4"/>
      <c r="Z430" s="4"/>
    </row>
    <row r="431" spans="1:26">
      <c r="A431" s="5">
        <v>43221</v>
      </c>
      <c r="B431" s="4" t="s">
        <v>21</v>
      </c>
      <c r="C431" s="4" t="s">
        <v>10</v>
      </c>
      <c r="D431" s="4" t="s">
        <v>17</v>
      </c>
      <c r="E431" s="4" t="s">
        <v>13</v>
      </c>
      <c r="F431" s="4">
        <v>30723</v>
      </c>
      <c r="G431" s="4">
        <v>2557</v>
      </c>
      <c r="H431" s="4">
        <v>36962</v>
      </c>
      <c r="I431" s="6">
        <v>202403.91200000001</v>
      </c>
      <c r="J431" s="4"/>
      <c r="K431" s="4"/>
      <c r="L431" s="4"/>
      <c r="M431" s="4"/>
      <c r="N431" s="4"/>
      <c r="O431" s="4"/>
      <c r="P431" s="4"/>
      <c r="Q431" s="4"/>
      <c r="R431" s="4"/>
      <c r="S431" s="4"/>
      <c r="T431" s="4"/>
      <c r="U431" s="4"/>
      <c r="V431" s="4"/>
      <c r="W431" s="4"/>
      <c r="X431" s="4"/>
      <c r="Y431" s="4"/>
      <c r="Z431" s="4"/>
    </row>
    <row r="432" spans="1:26">
      <c r="A432" s="5">
        <v>43221</v>
      </c>
      <c r="B432" s="4" t="s">
        <v>21</v>
      </c>
      <c r="C432" s="4" t="s">
        <v>18</v>
      </c>
      <c r="D432" s="4" t="s">
        <v>11</v>
      </c>
      <c r="E432" s="4" t="s">
        <v>12</v>
      </c>
      <c r="F432" s="4">
        <v>1471244</v>
      </c>
      <c r="G432" s="4">
        <v>26761</v>
      </c>
      <c r="H432" s="4">
        <v>116422</v>
      </c>
      <c r="I432" s="6">
        <v>62043.057468499435</v>
      </c>
      <c r="J432" s="4"/>
      <c r="K432" s="4"/>
      <c r="L432" s="4"/>
      <c r="M432" s="4"/>
      <c r="N432" s="4"/>
      <c r="O432" s="4"/>
      <c r="P432" s="4"/>
      <c r="Q432" s="4"/>
      <c r="R432" s="4"/>
      <c r="S432" s="4"/>
      <c r="T432" s="4"/>
      <c r="U432" s="4"/>
      <c r="V432" s="4"/>
      <c r="W432" s="4"/>
      <c r="X432" s="4"/>
      <c r="Y432" s="4"/>
      <c r="Z432" s="4"/>
    </row>
    <row r="433" spans="1:26">
      <c r="A433" s="5">
        <v>43221</v>
      </c>
      <c r="B433" s="4" t="s">
        <v>21</v>
      </c>
      <c r="C433" s="4" t="s">
        <v>18</v>
      </c>
      <c r="D433" s="4" t="s">
        <v>11</v>
      </c>
      <c r="E433" s="4" t="s">
        <v>13</v>
      </c>
      <c r="F433" s="4">
        <v>10378</v>
      </c>
      <c r="G433" s="4">
        <v>308</v>
      </c>
      <c r="H433" s="4">
        <v>13654</v>
      </c>
      <c r="I433" s="6">
        <v>10793.862749337353</v>
      </c>
      <c r="J433" s="4"/>
      <c r="K433" s="4"/>
      <c r="L433" s="4"/>
      <c r="M433" s="4"/>
      <c r="N433" s="4"/>
      <c r="O433" s="4"/>
      <c r="P433" s="4"/>
      <c r="Q433" s="4"/>
      <c r="R433" s="4"/>
      <c r="S433" s="4"/>
      <c r="T433" s="4"/>
      <c r="U433" s="4"/>
      <c r="V433" s="4"/>
      <c r="W433" s="4"/>
      <c r="X433" s="4"/>
      <c r="Y433" s="4"/>
      <c r="Z433" s="4"/>
    </row>
    <row r="434" spans="1:26">
      <c r="A434" s="5">
        <v>43221</v>
      </c>
      <c r="B434" s="4" t="s">
        <v>21</v>
      </c>
      <c r="C434" s="4" t="s">
        <v>18</v>
      </c>
      <c r="D434" s="4" t="s">
        <v>14</v>
      </c>
      <c r="E434" s="4" t="s">
        <v>12</v>
      </c>
      <c r="F434" s="4">
        <v>2309288</v>
      </c>
      <c r="G434" s="4">
        <v>38145</v>
      </c>
      <c r="H434" s="4">
        <v>142854</v>
      </c>
      <c r="I434" s="6">
        <v>68504.307318642401</v>
      </c>
      <c r="J434" s="4"/>
      <c r="K434" s="4"/>
      <c r="L434" s="4"/>
      <c r="M434" s="4"/>
      <c r="N434" s="4"/>
      <c r="O434" s="4"/>
      <c r="P434" s="4"/>
      <c r="Q434" s="4"/>
      <c r="R434" s="4"/>
      <c r="S434" s="4"/>
      <c r="T434" s="4"/>
      <c r="U434" s="4"/>
      <c r="V434" s="4"/>
      <c r="W434" s="4"/>
      <c r="X434" s="4"/>
      <c r="Y434" s="4"/>
      <c r="Z434" s="4"/>
    </row>
    <row r="435" spans="1:26">
      <c r="A435" s="5">
        <v>43221</v>
      </c>
      <c r="B435" s="4" t="s">
        <v>21</v>
      </c>
      <c r="C435" s="4" t="s">
        <v>18</v>
      </c>
      <c r="D435" s="4" t="s">
        <v>14</v>
      </c>
      <c r="E435" s="4" t="s">
        <v>13</v>
      </c>
      <c r="F435" s="4">
        <v>13493</v>
      </c>
      <c r="G435" s="4">
        <v>351</v>
      </c>
      <c r="H435" s="4">
        <v>8432</v>
      </c>
      <c r="I435" s="6">
        <v>10629.884263959391</v>
      </c>
      <c r="J435" s="4"/>
      <c r="K435" s="4"/>
      <c r="L435" s="4"/>
      <c r="M435" s="4"/>
      <c r="N435" s="4"/>
      <c r="O435" s="4"/>
      <c r="P435" s="4"/>
      <c r="Q435" s="4"/>
      <c r="R435" s="4"/>
      <c r="S435" s="4"/>
      <c r="T435" s="4"/>
      <c r="U435" s="4"/>
      <c r="V435" s="4"/>
      <c r="W435" s="4"/>
      <c r="X435" s="4"/>
      <c r="Y435" s="4"/>
      <c r="Z435" s="4"/>
    </row>
    <row r="436" spans="1:26">
      <c r="A436" s="5">
        <v>43221</v>
      </c>
      <c r="B436" s="4" t="s">
        <v>21</v>
      </c>
      <c r="C436" s="4" t="s">
        <v>18</v>
      </c>
      <c r="D436" s="4" t="s">
        <v>15</v>
      </c>
      <c r="E436" s="4" t="s">
        <v>12</v>
      </c>
      <c r="F436" s="4">
        <v>797666</v>
      </c>
      <c r="G436" s="4">
        <v>11960</v>
      </c>
      <c r="H436" s="4">
        <v>57135</v>
      </c>
      <c r="I436" s="6">
        <v>18205.865230704854</v>
      </c>
      <c r="J436" s="4"/>
      <c r="K436" s="4"/>
      <c r="L436" s="4"/>
      <c r="M436" s="4"/>
      <c r="N436" s="4"/>
      <c r="O436" s="4"/>
      <c r="P436" s="4"/>
      <c r="Q436" s="4"/>
      <c r="R436" s="4"/>
      <c r="S436" s="4"/>
      <c r="T436" s="4"/>
      <c r="U436" s="4"/>
      <c r="V436" s="4"/>
      <c r="W436" s="4"/>
      <c r="X436" s="4"/>
      <c r="Y436" s="4"/>
      <c r="Z436" s="4"/>
    </row>
    <row r="437" spans="1:26">
      <c r="A437" s="5">
        <v>43221</v>
      </c>
      <c r="B437" s="4" t="s">
        <v>21</v>
      </c>
      <c r="C437" s="4" t="s">
        <v>18</v>
      </c>
      <c r="D437" s="4" t="s">
        <v>15</v>
      </c>
      <c r="E437" s="4" t="s">
        <v>13</v>
      </c>
      <c r="F437" s="4">
        <v>4128</v>
      </c>
      <c r="G437" s="4">
        <v>128</v>
      </c>
      <c r="H437" s="4">
        <v>3334</v>
      </c>
      <c r="I437" s="6">
        <v>1820.2972927725602</v>
      </c>
      <c r="J437" s="4"/>
      <c r="K437" s="4"/>
      <c r="L437" s="4"/>
      <c r="M437" s="4"/>
      <c r="N437" s="4"/>
      <c r="O437" s="4"/>
      <c r="P437" s="4"/>
      <c r="Q437" s="4"/>
      <c r="R437" s="4"/>
      <c r="S437" s="4"/>
      <c r="T437" s="4"/>
      <c r="U437" s="4"/>
      <c r="V437" s="4"/>
      <c r="W437" s="4"/>
      <c r="X437" s="4"/>
      <c r="Y437" s="4"/>
      <c r="Z437" s="4"/>
    </row>
    <row r="438" spans="1:26">
      <c r="A438" s="5">
        <v>43221</v>
      </c>
      <c r="B438" s="4" t="s">
        <v>21</v>
      </c>
      <c r="C438" s="4" t="s">
        <v>18</v>
      </c>
      <c r="D438" s="4" t="s">
        <v>16</v>
      </c>
      <c r="E438" s="4" t="s">
        <v>12</v>
      </c>
      <c r="F438" s="4">
        <v>20226977</v>
      </c>
      <c r="G438" s="4">
        <v>116460</v>
      </c>
      <c r="H438" s="4">
        <v>416284</v>
      </c>
      <c r="I438" s="6">
        <v>263663.27899095858</v>
      </c>
      <c r="J438" s="4"/>
      <c r="K438" s="4"/>
      <c r="L438" s="4"/>
      <c r="M438" s="4"/>
      <c r="N438" s="4"/>
      <c r="O438" s="4"/>
      <c r="P438" s="4"/>
      <c r="Q438" s="4"/>
      <c r="R438" s="4"/>
      <c r="S438" s="4"/>
      <c r="T438" s="4"/>
      <c r="U438" s="4"/>
      <c r="V438" s="4"/>
      <c r="W438" s="4"/>
      <c r="X438" s="4"/>
      <c r="Y438" s="4"/>
      <c r="Z438" s="4"/>
    </row>
    <row r="439" spans="1:26">
      <c r="A439" s="5">
        <v>43221</v>
      </c>
      <c r="B439" s="4" t="s">
        <v>21</v>
      </c>
      <c r="C439" s="4" t="s">
        <v>18</v>
      </c>
      <c r="D439" s="4" t="s">
        <v>16</v>
      </c>
      <c r="E439" s="4" t="s">
        <v>13</v>
      </c>
      <c r="F439" s="4">
        <v>532707</v>
      </c>
      <c r="G439" s="4">
        <v>1225</v>
      </c>
      <c r="H439" s="4">
        <v>42916</v>
      </c>
      <c r="I439" s="6">
        <v>31806.377925383658</v>
      </c>
      <c r="J439" s="4"/>
      <c r="K439" s="4"/>
      <c r="L439" s="4"/>
      <c r="M439" s="4"/>
      <c r="N439" s="4"/>
      <c r="O439" s="4"/>
      <c r="P439" s="4"/>
      <c r="Q439" s="4"/>
      <c r="R439" s="4"/>
      <c r="S439" s="4"/>
      <c r="T439" s="4"/>
      <c r="U439" s="4"/>
      <c r="V439" s="4"/>
      <c r="W439" s="4"/>
      <c r="X439" s="4"/>
      <c r="Y439" s="4"/>
      <c r="Z439" s="4"/>
    </row>
    <row r="440" spans="1:26">
      <c r="A440" s="5">
        <v>43221</v>
      </c>
      <c r="B440" s="4" t="s">
        <v>21</v>
      </c>
      <c r="C440" s="4" t="s">
        <v>18</v>
      </c>
      <c r="D440" s="4" t="s">
        <v>17</v>
      </c>
      <c r="E440" s="4" t="s">
        <v>12</v>
      </c>
      <c r="F440" s="4">
        <v>2684847</v>
      </c>
      <c r="G440" s="4">
        <v>42513</v>
      </c>
      <c r="H440" s="4">
        <v>140146</v>
      </c>
      <c r="I440" s="6">
        <v>99963.325716871739</v>
      </c>
      <c r="J440" s="4"/>
      <c r="K440" s="4"/>
      <c r="L440" s="4"/>
      <c r="M440" s="4"/>
      <c r="N440" s="4"/>
      <c r="O440" s="4"/>
      <c r="P440" s="4"/>
      <c r="Q440" s="4"/>
      <c r="R440" s="4"/>
      <c r="S440" s="4"/>
      <c r="T440" s="4"/>
      <c r="U440" s="4"/>
      <c r="V440" s="4"/>
      <c r="W440" s="4"/>
      <c r="X440" s="4"/>
      <c r="Y440" s="4"/>
      <c r="Z440" s="4"/>
    </row>
    <row r="441" spans="1:26">
      <c r="A441" s="5">
        <v>43221</v>
      </c>
      <c r="B441" s="4" t="s">
        <v>21</v>
      </c>
      <c r="C441" s="4" t="s">
        <v>18</v>
      </c>
      <c r="D441" s="4" t="s">
        <v>17</v>
      </c>
      <c r="E441" s="4" t="s">
        <v>13</v>
      </c>
      <c r="F441" s="4">
        <v>24306</v>
      </c>
      <c r="G441" s="4">
        <v>590</v>
      </c>
      <c r="H441" s="4">
        <v>22170</v>
      </c>
      <c r="I441" s="6">
        <v>17809.373663763799</v>
      </c>
      <c r="J441" s="4"/>
      <c r="K441" s="4"/>
      <c r="L441" s="4"/>
      <c r="M441" s="4"/>
      <c r="N441" s="4"/>
      <c r="O441" s="4"/>
      <c r="P441" s="4"/>
      <c r="Q441" s="4"/>
      <c r="R441" s="4"/>
      <c r="S441" s="4"/>
      <c r="T441" s="4"/>
      <c r="U441" s="4"/>
      <c r="V441" s="4"/>
      <c r="W441" s="4"/>
      <c r="X441" s="4"/>
      <c r="Y441" s="4"/>
      <c r="Z441" s="4"/>
    </row>
    <row r="442" spans="1:26">
      <c r="A442" s="5">
        <v>43221</v>
      </c>
      <c r="B442" s="4" t="s">
        <v>21</v>
      </c>
      <c r="C442" s="4" t="s">
        <v>19</v>
      </c>
      <c r="D442" s="4" t="s">
        <v>11</v>
      </c>
      <c r="E442" s="4" t="s">
        <v>12</v>
      </c>
      <c r="F442" s="4">
        <v>509013</v>
      </c>
      <c r="G442" s="4">
        <v>7222</v>
      </c>
      <c r="H442" s="4">
        <v>7483</v>
      </c>
      <c r="I442" s="6">
        <v>79310.935121951217</v>
      </c>
      <c r="J442" s="4"/>
      <c r="K442" s="4"/>
      <c r="L442" s="4"/>
      <c r="M442" s="4"/>
      <c r="N442" s="4"/>
      <c r="O442" s="4"/>
      <c r="P442" s="4"/>
      <c r="Q442" s="4"/>
      <c r="R442" s="4"/>
      <c r="S442" s="4"/>
      <c r="T442" s="4"/>
      <c r="U442" s="4"/>
      <c r="V442" s="4"/>
      <c r="W442" s="4"/>
      <c r="X442" s="4"/>
      <c r="Y442" s="4"/>
      <c r="Z442" s="4"/>
    </row>
    <row r="443" spans="1:26">
      <c r="A443" s="5">
        <v>43221</v>
      </c>
      <c r="B443" s="4" t="s">
        <v>21</v>
      </c>
      <c r="C443" s="4" t="s">
        <v>19</v>
      </c>
      <c r="D443" s="4" t="s">
        <v>11</v>
      </c>
      <c r="E443" s="4" t="s">
        <v>13</v>
      </c>
      <c r="F443" s="4">
        <v>13320</v>
      </c>
      <c r="G443" s="4">
        <v>1161</v>
      </c>
      <c r="H443" s="4">
        <v>34163</v>
      </c>
      <c r="I443" s="6">
        <v>19490.044076190072</v>
      </c>
      <c r="J443" s="4"/>
      <c r="K443" s="4"/>
      <c r="L443" s="4"/>
      <c r="M443" s="4"/>
      <c r="N443" s="4"/>
      <c r="O443" s="4"/>
      <c r="P443" s="4"/>
      <c r="Q443" s="4"/>
      <c r="R443" s="4"/>
      <c r="S443" s="4"/>
      <c r="T443" s="4"/>
      <c r="U443" s="4"/>
      <c r="V443" s="4"/>
      <c r="W443" s="4"/>
      <c r="X443" s="4"/>
      <c r="Y443" s="4"/>
      <c r="Z443" s="4"/>
    </row>
    <row r="444" spans="1:26">
      <c r="A444" s="5">
        <v>43221</v>
      </c>
      <c r="B444" s="4" t="s">
        <v>21</v>
      </c>
      <c r="C444" s="4" t="s">
        <v>19</v>
      </c>
      <c r="D444" s="4" t="s">
        <v>14</v>
      </c>
      <c r="E444" s="4" t="s">
        <v>12</v>
      </c>
      <c r="F444" s="4">
        <v>914684</v>
      </c>
      <c r="G444" s="4">
        <v>14415</v>
      </c>
      <c r="H444" s="4">
        <v>15533</v>
      </c>
      <c r="I444" s="6">
        <v>144429.86308700722</v>
      </c>
      <c r="J444" s="4"/>
      <c r="K444" s="4"/>
      <c r="L444" s="4"/>
      <c r="M444" s="4"/>
      <c r="N444" s="4"/>
      <c r="O444" s="4"/>
      <c r="P444" s="4"/>
      <c r="Q444" s="4"/>
      <c r="R444" s="4"/>
      <c r="S444" s="4"/>
      <c r="T444" s="4"/>
      <c r="U444" s="4"/>
      <c r="V444" s="4"/>
      <c r="W444" s="4"/>
      <c r="X444" s="4"/>
      <c r="Y444" s="4"/>
      <c r="Z444" s="4"/>
    </row>
    <row r="445" spans="1:26">
      <c r="A445" s="5">
        <v>43221</v>
      </c>
      <c r="B445" s="4" t="s">
        <v>21</v>
      </c>
      <c r="C445" s="4" t="s">
        <v>19</v>
      </c>
      <c r="D445" s="4" t="s">
        <v>14</v>
      </c>
      <c r="E445" s="4" t="s">
        <v>13</v>
      </c>
      <c r="F445" s="4">
        <v>26034</v>
      </c>
      <c r="G445" s="4">
        <v>2224</v>
      </c>
      <c r="H445" s="4">
        <v>104638</v>
      </c>
      <c r="I445" s="6">
        <v>32786.505939701754</v>
      </c>
      <c r="J445" s="4"/>
      <c r="K445" s="4"/>
      <c r="L445" s="4"/>
      <c r="M445" s="4"/>
      <c r="N445" s="4"/>
      <c r="O445" s="4"/>
      <c r="P445" s="4"/>
      <c r="Q445" s="4"/>
      <c r="R445" s="4"/>
      <c r="S445" s="4"/>
      <c r="T445" s="4"/>
      <c r="U445" s="4"/>
      <c r="V445" s="4"/>
      <c r="W445" s="4"/>
      <c r="X445" s="4"/>
      <c r="Y445" s="4"/>
      <c r="Z445" s="4"/>
    </row>
    <row r="446" spans="1:26">
      <c r="A446" s="5">
        <v>43221</v>
      </c>
      <c r="B446" s="4" t="s">
        <v>21</v>
      </c>
      <c r="C446" s="4" t="s">
        <v>19</v>
      </c>
      <c r="D446" s="4" t="s">
        <v>15</v>
      </c>
      <c r="E446" s="4" t="s">
        <v>12</v>
      </c>
      <c r="F446" s="4">
        <v>277173</v>
      </c>
      <c r="G446" s="4">
        <v>3899</v>
      </c>
      <c r="H446" s="4">
        <v>4197</v>
      </c>
      <c r="I446" s="6">
        <v>39688.814720689661</v>
      </c>
      <c r="J446" s="4"/>
      <c r="K446" s="4"/>
      <c r="L446" s="4"/>
      <c r="M446" s="4"/>
      <c r="N446" s="4"/>
      <c r="O446" s="4"/>
      <c r="P446" s="4"/>
      <c r="Q446" s="4"/>
      <c r="R446" s="4"/>
      <c r="S446" s="4"/>
      <c r="T446" s="4"/>
      <c r="U446" s="4"/>
      <c r="V446" s="4"/>
      <c r="W446" s="4"/>
      <c r="X446" s="4"/>
      <c r="Y446" s="4"/>
      <c r="Z446" s="4"/>
    </row>
    <row r="447" spans="1:26">
      <c r="A447" s="5">
        <v>43221</v>
      </c>
      <c r="B447" s="4" t="s">
        <v>21</v>
      </c>
      <c r="C447" s="4" t="s">
        <v>19</v>
      </c>
      <c r="D447" s="4" t="s">
        <v>15</v>
      </c>
      <c r="E447" s="4" t="s">
        <v>13</v>
      </c>
      <c r="F447" s="4">
        <v>7412</v>
      </c>
      <c r="G447" s="4">
        <v>612</v>
      </c>
      <c r="H447" s="4">
        <v>27703</v>
      </c>
      <c r="I447" s="6">
        <v>9046.4281063972721</v>
      </c>
      <c r="J447" s="4"/>
      <c r="K447" s="4"/>
      <c r="L447" s="4"/>
      <c r="M447" s="4"/>
      <c r="N447" s="4"/>
      <c r="O447" s="4"/>
      <c r="P447" s="4"/>
      <c r="Q447" s="4"/>
      <c r="R447" s="4"/>
      <c r="S447" s="4"/>
      <c r="T447" s="4"/>
      <c r="U447" s="4"/>
      <c r="V447" s="4"/>
      <c r="W447" s="4"/>
      <c r="X447" s="4"/>
      <c r="Y447" s="4"/>
      <c r="Z447" s="4"/>
    </row>
    <row r="448" spans="1:26">
      <c r="A448" s="5">
        <v>43221</v>
      </c>
      <c r="B448" s="4" t="s">
        <v>21</v>
      </c>
      <c r="C448" s="4" t="s">
        <v>19</v>
      </c>
      <c r="D448" s="4" t="s">
        <v>16</v>
      </c>
      <c r="E448" s="4" t="s">
        <v>12</v>
      </c>
      <c r="F448" s="4">
        <v>2576379</v>
      </c>
      <c r="G448" s="4">
        <v>38247</v>
      </c>
      <c r="H448" s="4">
        <v>39000</v>
      </c>
      <c r="I448" s="6">
        <v>434968.43000241596</v>
      </c>
      <c r="J448" s="4"/>
      <c r="K448" s="4"/>
      <c r="L448" s="4"/>
      <c r="M448" s="4"/>
      <c r="N448" s="4"/>
      <c r="O448" s="4"/>
      <c r="P448" s="4"/>
      <c r="Q448" s="4"/>
      <c r="R448" s="4"/>
      <c r="S448" s="4"/>
      <c r="T448" s="4"/>
      <c r="U448" s="4"/>
      <c r="V448" s="4"/>
      <c r="W448" s="4"/>
      <c r="X448" s="4"/>
      <c r="Y448" s="4"/>
      <c r="Z448" s="4"/>
    </row>
    <row r="449" spans="1:26">
      <c r="A449" s="5">
        <v>43221</v>
      </c>
      <c r="B449" s="4" t="s">
        <v>21</v>
      </c>
      <c r="C449" s="4" t="s">
        <v>19</v>
      </c>
      <c r="D449" s="4" t="s">
        <v>16</v>
      </c>
      <c r="E449" s="4" t="s">
        <v>13</v>
      </c>
      <c r="F449" s="4">
        <v>66808</v>
      </c>
      <c r="G449" s="4">
        <v>5782</v>
      </c>
      <c r="H449" s="4">
        <v>383128</v>
      </c>
      <c r="I449" s="6">
        <v>88450.474361595785</v>
      </c>
      <c r="J449" s="4"/>
      <c r="K449" s="4"/>
      <c r="L449" s="4"/>
      <c r="M449" s="4"/>
      <c r="N449" s="4"/>
      <c r="O449" s="4"/>
      <c r="P449" s="4"/>
      <c r="Q449" s="4"/>
      <c r="R449" s="4"/>
      <c r="S449" s="4"/>
      <c r="T449" s="4"/>
      <c r="U449" s="4"/>
      <c r="V449" s="4"/>
      <c r="W449" s="4"/>
      <c r="X449" s="4"/>
      <c r="Y449" s="4"/>
      <c r="Z449" s="4"/>
    </row>
    <row r="450" spans="1:26">
      <c r="A450" s="5">
        <v>43221</v>
      </c>
      <c r="B450" s="4" t="s">
        <v>21</v>
      </c>
      <c r="C450" s="4" t="s">
        <v>19</v>
      </c>
      <c r="D450" s="4" t="s">
        <v>17</v>
      </c>
      <c r="E450" s="4" t="s">
        <v>12</v>
      </c>
      <c r="F450" s="4">
        <v>879622</v>
      </c>
      <c r="G450" s="4">
        <v>14370</v>
      </c>
      <c r="H450" s="4">
        <v>15856</v>
      </c>
      <c r="I450" s="6">
        <v>148474.3696581978</v>
      </c>
      <c r="J450" s="4"/>
      <c r="K450" s="4"/>
      <c r="L450" s="4"/>
      <c r="M450" s="4"/>
      <c r="N450" s="4"/>
      <c r="O450" s="4"/>
      <c r="P450" s="4"/>
      <c r="Q450" s="4"/>
      <c r="R450" s="4"/>
      <c r="S450" s="4"/>
      <c r="T450" s="4"/>
      <c r="U450" s="4"/>
      <c r="V450" s="4"/>
      <c r="W450" s="4"/>
      <c r="X450" s="4"/>
      <c r="Y450" s="4"/>
      <c r="Z450" s="4"/>
    </row>
    <row r="451" spans="1:26">
      <c r="A451" s="5">
        <v>43221</v>
      </c>
      <c r="B451" s="4" t="s">
        <v>21</v>
      </c>
      <c r="C451" s="4" t="s">
        <v>19</v>
      </c>
      <c r="D451" s="4" t="s">
        <v>17</v>
      </c>
      <c r="E451" s="4" t="s">
        <v>13</v>
      </c>
      <c r="F451" s="4">
        <v>23091</v>
      </c>
      <c r="G451" s="4">
        <v>2045</v>
      </c>
      <c r="H451" s="4">
        <v>87188</v>
      </c>
      <c r="I451" s="6">
        <v>35886.055687664608</v>
      </c>
      <c r="J451" s="4"/>
      <c r="K451" s="4"/>
      <c r="L451" s="4"/>
      <c r="M451" s="4"/>
      <c r="N451" s="4"/>
      <c r="O451" s="4"/>
      <c r="P451" s="4"/>
      <c r="Q451" s="4"/>
      <c r="R451" s="4"/>
      <c r="S451" s="4"/>
      <c r="T451" s="4"/>
      <c r="U451" s="4"/>
      <c r="V451" s="4"/>
      <c r="W451" s="4"/>
      <c r="X451" s="4"/>
      <c r="Y451" s="4"/>
      <c r="Z451" s="4"/>
    </row>
    <row r="452" spans="1:26">
      <c r="A452" s="5">
        <v>43252</v>
      </c>
      <c r="B452" s="4" t="s">
        <v>9</v>
      </c>
      <c r="C452" s="4" t="s">
        <v>10</v>
      </c>
      <c r="D452" s="4" t="s">
        <v>11</v>
      </c>
      <c r="E452" s="4" t="s">
        <v>12</v>
      </c>
      <c r="F452" s="4">
        <v>1080422</v>
      </c>
      <c r="G452" s="4">
        <v>50069</v>
      </c>
      <c r="H452" s="4">
        <v>59469</v>
      </c>
      <c r="I452" s="6">
        <v>44656.946112117541</v>
      </c>
      <c r="J452" s="4"/>
      <c r="K452" s="4"/>
      <c r="L452" s="4"/>
      <c r="M452" s="4"/>
      <c r="N452" s="4"/>
      <c r="O452" s="4"/>
      <c r="P452" s="4"/>
      <c r="Q452" s="4"/>
      <c r="R452" s="4"/>
      <c r="S452" s="4"/>
      <c r="T452" s="4"/>
      <c r="U452" s="4"/>
      <c r="V452" s="4"/>
      <c r="W452" s="4"/>
      <c r="X452" s="4"/>
      <c r="Y452" s="4"/>
      <c r="Z452" s="4"/>
    </row>
    <row r="453" spans="1:26">
      <c r="A453" s="5">
        <v>43252</v>
      </c>
      <c r="B453" s="4" t="s">
        <v>9</v>
      </c>
      <c r="C453" s="4" t="s">
        <v>10</v>
      </c>
      <c r="D453" s="4" t="s">
        <v>11</v>
      </c>
      <c r="E453" s="4" t="s">
        <v>13</v>
      </c>
      <c r="F453" s="4">
        <v>6433</v>
      </c>
      <c r="G453" s="4">
        <v>1105</v>
      </c>
      <c r="H453" s="4">
        <v>6516</v>
      </c>
      <c r="I453" s="6">
        <v>226229.13842666062</v>
      </c>
      <c r="J453" s="4"/>
      <c r="K453" s="4"/>
      <c r="L453" s="4"/>
      <c r="M453" s="4"/>
      <c r="N453" s="4"/>
      <c r="O453" s="4"/>
      <c r="P453" s="4"/>
      <c r="Q453" s="4"/>
      <c r="R453" s="4"/>
      <c r="S453" s="4"/>
      <c r="T453" s="4"/>
      <c r="U453" s="4"/>
      <c r="V453" s="4"/>
      <c r="W453" s="4"/>
      <c r="X453" s="4"/>
      <c r="Y453" s="4"/>
      <c r="Z453" s="4"/>
    </row>
    <row r="454" spans="1:26">
      <c r="A454" s="5">
        <v>43252</v>
      </c>
      <c r="B454" s="4" t="s">
        <v>9</v>
      </c>
      <c r="C454" s="4" t="s">
        <v>10</v>
      </c>
      <c r="D454" s="4" t="s">
        <v>14</v>
      </c>
      <c r="E454" s="4" t="s">
        <v>12</v>
      </c>
      <c r="F454" s="4">
        <v>2705087</v>
      </c>
      <c r="G454" s="4">
        <v>87597</v>
      </c>
      <c r="H454" s="4">
        <v>103541</v>
      </c>
      <c r="I454" s="6">
        <v>75248.811091265277</v>
      </c>
      <c r="J454" s="4"/>
      <c r="K454" s="4"/>
      <c r="L454" s="4"/>
      <c r="M454" s="4"/>
      <c r="N454" s="4"/>
      <c r="O454" s="4"/>
      <c r="P454" s="4"/>
      <c r="Q454" s="4"/>
      <c r="R454" s="4"/>
      <c r="S454" s="4"/>
      <c r="T454" s="4"/>
      <c r="U454" s="4"/>
      <c r="V454" s="4"/>
      <c r="W454" s="4"/>
      <c r="X454" s="4"/>
      <c r="Y454" s="4"/>
      <c r="Z454" s="4"/>
    </row>
    <row r="455" spans="1:26">
      <c r="A455" s="5">
        <v>43252</v>
      </c>
      <c r="B455" s="4" t="s">
        <v>9</v>
      </c>
      <c r="C455" s="4" t="s">
        <v>10</v>
      </c>
      <c r="D455" s="4" t="s">
        <v>14</v>
      </c>
      <c r="E455" s="4" t="s">
        <v>13</v>
      </c>
      <c r="F455" s="4">
        <v>10783</v>
      </c>
      <c r="G455" s="4">
        <v>2219</v>
      </c>
      <c r="H455" s="4">
        <v>16255</v>
      </c>
      <c r="I455" s="6">
        <v>349358.53599872423</v>
      </c>
      <c r="J455" s="4"/>
      <c r="K455" s="4"/>
      <c r="L455" s="4"/>
      <c r="M455" s="4"/>
      <c r="N455" s="4"/>
      <c r="O455" s="4"/>
      <c r="P455" s="4"/>
      <c r="Q455" s="4"/>
      <c r="R455" s="4"/>
      <c r="S455" s="4"/>
      <c r="T455" s="4"/>
      <c r="U455" s="4"/>
      <c r="V455" s="4"/>
      <c r="W455" s="4"/>
      <c r="X455" s="4"/>
      <c r="Y455" s="4"/>
      <c r="Z455" s="4"/>
    </row>
    <row r="456" spans="1:26">
      <c r="A456" s="5">
        <v>43252</v>
      </c>
      <c r="B456" s="4" t="s">
        <v>9</v>
      </c>
      <c r="C456" s="4" t="s">
        <v>10</v>
      </c>
      <c r="D456" s="4" t="s">
        <v>15</v>
      </c>
      <c r="E456" s="4" t="s">
        <v>12</v>
      </c>
      <c r="F456" s="4">
        <v>1092560</v>
      </c>
      <c r="G456" s="4">
        <v>36235</v>
      </c>
      <c r="H456" s="4">
        <v>46572</v>
      </c>
      <c r="I456" s="6">
        <v>34938.866099191218</v>
      </c>
      <c r="J456" s="4"/>
      <c r="K456" s="4"/>
      <c r="L456" s="4"/>
      <c r="M456" s="4"/>
      <c r="N456" s="4"/>
      <c r="O456" s="4"/>
      <c r="P456" s="4"/>
      <c r="Q456" s="4"/>
      <c r="R456" s="4"/>
      <c r="S456" s="4"/>
      <c r="T456" s="4"/>
      <c r="U456" s="4"/>
      <c r="V456" s="4"/>
      <c r="W456" s="4"/>
      <c r="X456" s="4"/>
      <c r="Y456" s="4"/>
      <c r="Z456" s="4"/>
    </row>
    <row r="457" spans="1:26">
      <c r="A457" s="5">
        <v>43252</v>
      </c>
      <c r="B457" s="4" t="s">
        <v>9</v>
      </c>
      <c r="C457" s="4" t="s">
        <v>10</v>
      </c>
      <c r="D457" s="4" t="s">
        <v>15</v>
      </c>
      <c r="E457" s="4" t="s">
        <v>13</v>
      </c>
      <c r="F457" s="4">
        <v>4125</v>
      </c>
      <c r="G457" s="4">
        <v>643</v>
      </c>
      <c r="H457" s="4">
        <v>5337</v>
      </c>
      <c r="I457" s="6">
        <v>87073.800841584147</v>
      </c>
      <c r="J457" s="4"/>
      <c r="K457" s="4"/>
      <c r="L457" s="4"/>
      <c r="M457" s="4"/>
      <c r="N457" s="4"/>
      <c r="O457" s="4"/>
      <c r="P457" s="4"/>
      <c r="Q457" s="4"/>
      <c r="R457" s="4"/>
      <c r="S457" s="4"/>
      <c r="T457" s="4"/>
      <c r="U457" s="4"/>
      <c r="V457" s="4"/>
      <c r="W457" s="4"/>
      <c r="X457" s="4"/>
      <c r="Y457" s="4"/>
      <c r="Z457" s="4"/>
    </row>
    <row r="458" spans="1:26">
      <c r="A458" s="5">
        <v>43252</v>
      </c>
      <c r="B458" s="4" t="s">
        <v>9</v>
      </c>
      <c r="C458" s="4" t="s">
        <v>10</v>
      </c>
      <c r="D458" s="4" t="s">
        <v>16</v>
      </c>
      <c r="E458" s="4" t="s">
        <v>12</v>
      </c>
      <c r="F458" s="4">
        <v>33669133</v>
      </c>
      <c r="G458" s="4">
        <v>226287</v>
      </c>
      <c r="H458" s="4">
        <v>254927</v>
      </c>
      <c r="I458" s="6">
        <v>193576.3059423395</v>
      </c>
      <c r="J458" s="4"/>
      <c r="K458" s="4"/>
      <c r="L458" s="4"/>
      <c r="M458" s="4"/>
      <c r="N458" s="4"/>
      <c r="O458" s="4"/>
      <c r="P458" s="4"/>
      <c r="Q458" s="4"/>
      <c r="R458" s="4"/>
      <c r="S458" s="4"/>
      <c r="T458" s="4"/>
      <c r="U458" s="4"/>
      <c r="V458" s="4"/>
      <c r="W458" s="4"/>
      <c r="X458" s="4"/>
      <c r="Y458" s="4"/>
      <c r="Z458" s="4"/>
    </row>
    <row r="459" spans="1:26">
      <c r="A459" s="5">
        <v>43252</v>
      </c>
      <c r="B459" s="4" t="s">
        <v>9</v>
      </c>
      <c r="C459" s="4" t="s">
        <v>10</v>
      </c>
      <c r="D459" s="4" t="s">
        <v>16</v>
      </c>
      <c r="E459" s="4" t="s">
        <v>13</v>
      </c>
      <c r="F459" s="4">
        <v>236447</v>
      </c>
      <c r="G459" s="4">
        <v>4813</v>
      </c>
      <c r="H459" s="4">
        <v>31422</v>
      </c>
      <c r="I459" s="6">
        <v>1055425.0792831506</v>
      </c>
      <c r="J459" s="4"/>
      <c r="K459" s="4"/>
      <c r="L459" s="4"/>
      <c r="M459" s="4"/>
      <c r="N459" s="4"/>
      <c r="O459" s="4"/>
      <c r="P459" s="4"/>
      <c r="Q459" s="4"/>
      <c r="R459" s="4"/>
      <c r="S459" s="4"/>
      <c r="T459" s="4"/>
      <c r="U459" s="4"/>
      <c r="V459" s="4"/>
      <c r="W459" s="4"/>
      <c r="X459" s="4"/>
      <c r="Y459" s="4"/>
      <c r="Z459" s="4"/>
    </row>
    <row r="460" spans="1:26">
      <c r="A460" s="5">
        <v>43252</v>
      </c>
      <c r="B460" s="4" t="s">
        <v>9</v>
      </c>
      <c r="C460" s="4" t="s">
        <v>10</v>
      </c>
      <c r="D460" s="4" t="s">
        <v>17</v>
      </c>
      <c r="E460" s="4" t="s">
        <v>12</v>
      </c>
      <c r="F460" s="4">
        <v>1662009</v>
      </c>
      <c r="G460" s="4">
        <v>75082</v>
      </c>
      <c r="H460" s="4">
        <v>85448</v>
      </c>
      <c r="I460" s="6">
        <v>83633.585058476732</v>
      </c>
      <c r="J460" s="4"/>
      <c r="K460" s="4"/>
      <c r="L460" s="4"/>
      <c r="M460" s="4"/>
      <c r="N460" s="4"/>
      <c r="O460" s="4"/>
      <c r="P460" s="4"/>
      <c r="Q460" s="4"/>
      <c r="R460" s="4"/>
      <c r="S460" s="4"/>
      <c r="T460" s="4"/>
      <c r="U460" s="4"/>
      <c r="V460" s="4"/>
      <c r="W460" s="4"/>
      <c r="X460" s="4"/>
      <c r="Y460" s="4"/>
      <c r="Z460" s="4"/>
    </row>
    <row r="461" spans="1:26">
      <c r="A461" s="5">
        <v>43252</v>
      </c>
      <c r="B461" s="4" t="s">
        <v>9</v>
      </c>
      <c r="C461" s="4" t="s">
        <v>10</v>
      </c>
      <c r="D461" s="4" t="s">
        <v>17</v>
      </c>
      <c r="E461" s="4" t="s">
        <v>13</v>
      </c>
      <c r="F461" s="4">
        <v>9913</v>
      </c>
      <c r="G461" s="4">
        <v>2020</v>
      </c>
      <c r="H461" s="4">
        <v>11857</v>
      </c>
      <c r="I461" s="6">
        <v>399598.61888764042</v>
      </c>
      <c r="J461" s="4"/>
      <c r="K461" s="4"/>
      <c r="L461" s="4"/>
      <c r="M461" s="4"/>
      <c r="N461" s="4"/>
      <c r="O461" s="4"/>
      <c r="P461" s="4"/>
      <c r="Q461" s="4"/>
      <c r="R461" s="4"/>
      <c r="S461" s="4"/>
      <c r="T461" s="4"/>
      <c r="U461" s="4"/>
      <c r="V461" s="4"/>
      <c r="W461" s="4"/>
      <c r="X461" s="4"/>
      <c r="Y461" s="4"/>
      <c r="Z461" s="4"/>
    </row>
    <row r="462" spans="1:26">
      <c r="A462" s="5">
        <v>43252</v>
      </c>
      <c r="B462" s="4" t="s">
        <v>9</v>
      </c>
      <c r="C462" s="4" t="s">
        <v>18</v>
      </c>
      <c r="D462" s="4" t="s">
        <v>11</v>
      </c>
      <c r="E462" s="4" t="s">
        <v>12</v>
      </c>
      <c r="F462" s="4">
        <v>6357940</v>
      </c>
      <c r="G462" s="4">
        <v>176625</v>
      </c>
      <c r="H462" s="4">
        <v>544920</v>
      </c>
      <c r="I462" s="6">
        <v>133577.42058904943</v>
      </c>
      <c r="J462" s="4"/>
      <c r="K462" s="4"/>
      <c r="L462" s="4"/>
      <c r="M462" s="4"/>
      <c r="N462" s="4"/>
      <c r="O462" s="4"/>
      <c r="P462" s="4"/>
      <c r="Q462" s="4"/>
      <c r="R462" s="4"/>
      <c r="S462" s="4"/>
      <c r="T462" s="4"/>
      <c r="U462" s="4"/>
      <c r="V462" s="4"/>
      <c r="W462" s="4"/>
      <c r="X462" s="4"/>
      <c r="Y462" s="4"/>
      <c r="Z462" s="4"/>
    </row>
    <row r="463" spans="1:26">
      <c r="A463" s="5">
        <v>43252</v>
      </c>
      <c r="B463" s="4" t="s">
        <v>9</v>
      </c>
      <c r="C463" s="4" t="s">
        <v>18</v>
      </c>
      <c r="D463" s="4" t="s">
        <v>11</v>
      </c>
      <c r="E463" s="4" t="s">
        <v>13</v>
      </c>
      <c r="F463" s="4">
        <v>36102</v>
      </c>
      <c r="G463" s="4">
        <v>658</v>
      </c>
      <c r="H463" s="4">
        <v>18264</v>
      </c>
      <c r="I463" s="6">
        <v>13406.289153483878</v>
      </c>
      <c r="J463" s="4"/>
      <c r="K463" s="4"/>
      <c r="L463" s="4"/>
      <c r="M463" s="4"/>
      <c r="N463" s="4"/>
      <c r="O463" s="4"/>
      <c r="P463" s="4"/>
      <c r="Q463" s="4"/>
      <c r="R463" s="4"/>
      <c r="S463" s="4"/>
      <c r="T463" s="4"/>
      <c r="U463" s="4"/>
      <c r="V463" s="4"/>
      <c r="W463" s="4"/>
      <c r="X463" s="4"/>
      <c r="Y463" s="4"/>
      <c r="Z463" s="4"/>
    </row>
    <row r="464" spans="1:26">
      <c r="A464" s="5">
        <v>43252</v>
      </c>
      <c r="B464" s="4" t="s">
        <v>9</v>
      </c>
      <c r="C464" s="4" t="s">
        <v>18</v>
      </c>
      <c r="D464" s="4" t="s">
        <v>14</v>
      </c>
      <c r="E464" s="4" t="s">
        <v>12</v>
      </c>
      <c r="F464" s="4">
        <v>14942410</v>
      </c>
      <c r="G464" s="4">
        <v>364921</v>
      </c>
      <c r="H464" s="4">
        <v>1099965</v>
      </c>
      <c r="I464" s="6">
        <v>177377.55325728995</v>
      </c>
      <c r="J464" s="4"/>
      <c r="K464" s="4"/>
      <c r="L464" s="4"/>
      <c r="M464" s="4"/>
      <c r="N464" s="4"/>
      <c r="O464" s="4"/>
      <c r="P464" s="4"/>
      <c r="Q464" s="4"/>
      <c r="R464" s="4"/>
      <c r="S464" s="4"/>
      <c r="T464" s="4"/>
      <c r="U464" s="4"/>
      <c r="V464" s="4"/>
      <c r="W464" s="4"/>
      <c r="X464" s="4"/>
      <c r="Y464" s="4"/>
      <c r="Z464" s="4"/>
    </row>
    <row r="465" spans="1:26">
      <c r="A465" s="5">
        <v>43252</v>
      </c>
      <c r="B465" s="4" t="s">
        <v>9</v>
      </c>
      <c r="C465" s="4" t="s">
        <v>18</v>
      </c>
      <c r="D465" s="4" t="s">
        <v>14</v>
      </c>
      <c r="E465" s="4" t="s">
        <v>13</v>
      </c>
      <c r="F465" s="4">
        <v>75672</v>
      </c>
      <c r="G465" s="4">
        <v>916</v>
      </c>
      <c r="H465" s="4">
        <v>13586</v>
      </c>
      <c r="I465" s="6">
        <v>15627.634729179117</v>
      </c>
      <c r="J465" s="4"/>
      <c r="K465" s="4"/>
      <c r="L465" s="4"/>
      <c r="M465" s="4"/>
      <c r="N465" s="4"/>
      <c r="O465" s="4"/>
      <c r="P465" s="4"/>
      <c r="Q465" s="4"/>
      <c r="R465" s="4"/>
      <c r="S465" s="4"/>
      <c r="T465" s="4"/>
      <c r="U465" s="4"/>
      <c r="V465" s="4"/>
      <c r="W465" s="4"/>
      <c r="X465" s="4"/>
      <c r="Y465" s="4"/>
      <c r="Z465" s="4"/>
    </row>
    <row r="466" spans="1:26">
      <c r="A466" s="5">
        <v>43252</v>
      </c>
      <c r="B466" s="4" t="s">
        <v>9</v>
      </c>
      <c r="C466" s="4" t="s">
        <v>18</v>
      </c>
      <c r="D466" s="4" t="s">
        <v>15</v>
      </c>
      <c r="E466" s="4" t="s">
        <v>12</v>
      </c>
      <c r="F466" s="4">
        <v>7414352</v>
      </c>
      <c r="G466" s="4">
        <v>196414</v>
      </c>
      <c r="H466" s="4">
        <v>647172</v>
      </c>
      <c r="I466" s="6">
        <v>71446.538972736817</v>
      </c>
      <c r="J466" s="4"/>
      <c r="K466" s="4"/>
      <c r="L466" s="4"/>
      <c r="M466" s="4"/>
      <c r="N466" s="4"/>
      <c r="O466" s="4"/>
      <c r="P466" s="4"/>
      <c r="Q466" s="4"/>
      <c r="R466" s="4"/>
      <c r="S466" s="4"/>
      <c r="T466" s="4"/>
      <c r="U466" s="4"/>
      <c r="V466" s="4"/>
      <c r="W466" s="4"/>
      <c r="X466" s="4"/>
      <c r="Y466" s="4"/>
      <c r="Z466" s="4"/>
    </row>
    <row r="467" spans="1:26">
      <c r="A467" s="5">
        <v>43252</v>
      </c>
      <c r="B467" s="4" t="s">
        <v>9</v>
      </c>
      <c r="C467" s="4" t="s">
        <v>18</v>
      </c>
      <c r="D467" s="4" t="s">
        <v>15</v>
      </c>
      <c r="E467" s="4" t="s">
        <v>13</v>
      </c>
      <c r="F467" s="4">
        <v>27621</v>
      </c>
      <c r="G467" s="4">
        <v>364</v>
      </c>
      <c r="H467" s="4">
        <v>5180</v>
      </c>
      <c r="I467" s="6">
        <v>6723.7231484088989</v>
      </c>
      <c r="J467" s="4"/>
      <c r="K467" s="4"/>
      <c r="L467" s="4"/>
      <c r="M467" s="4"/>
      <c r="N467" s="4"/>
      <c r="O467" s="4"/>
      <c r="P467" s="4"/>
      <c r="Q467" s="4"/>
      <c r="R467" s="4"/>
      <c r="S467" s="4"/>
      <c r="T467" s="4"/>
      <c r="U467" s="4"/>
      <c r="V467" s="4"/>
      <c r="W467" s="4"/>
      <c r="X467" s="4"/>
      <c r="Y467" s="4"/>
      <c r="Z467" s="4"/>
    </row>
    <row r="468" spans="1:26">
      <c r="A468" s="5">
        <v>43252</v>
      </c>
      <c r="B468" s="4" t="s">
        <v>9</v>
      </c>
      <c r="C468" s="4" t="s">
        <v>18</v>
      </c>
      <c r="D468" s="4" t="s">
        <v>16</v>
      </c>
      <c r="E468" s="4" t="s">
        <v>12</v>
      </c>
      <c r="F468" s="4">
        <v>95449759</v>
      </c>
      <c r="G468" s="4">
        <v>667113</v>
      </c>
      <c r="H468" s="4">
        <v>1910731</v>
      </c>
      <c r="I468" s="6">
        <v>460534.95546949923</v>
      </c>
      <c r="J468" s="4"/>
      <c r="K468" s="4"/>
      <c r="L468" s="4"/>
      <c r="M468" s="4"/>
      <c r="N468" s="4"/>
      <c r="O468" s="4"/>
      <c r="P468" s="4"/>
      <c r="Q468" s="4"/>
      <c r="R468" s="4"/>
      <c r="S468" s="4"/>
      <c r="T468" s="4"/>
      <c r="U468" s="4"/>
      <c r="V468" s="4"/>
      <c r="W468" s="4"/>
      <c r="X468" s="4"/>
      <c r="Y468" s="4"/>
      <c r="Z468" s="4"/>
    </row>
    <row r="469" spans="1:26">
      <c r="A469" s="5">
        <v>43252</v>
      </c>
      <c r="B469" s="4" t="s">
        <v>9</v>
      </c>
      <c r="C469" s="4" t="s">
        <v>18</v>
      </c>
      <c r="D469" s="4" t="s">
        <v>16</v>
      </c>
      <c r="E469" s="4" t="s">
        <v>13</v>
      </c>
      <c r="F469" s="4">
        <v>834309</v>
      </c>
      <c r="G469" s="4">
        <v>1909</v>
      </c>
      <c r="H469" s="4">
        <v>47002</v>
      </c>
      <c r="I469" s="6">
        <v>30217.454710467886</v>
      </c>
      <c r="J469" s="4"/>
      <c r="K469" s="4"/>
      <c r="L469" s="4"/>
      <c r="M469" s="4"/>
      <c r="N469" s="4"/>
      <c r="O469" s="4"/>
      <c r="P469" s="4"/>
      <c r="Q469" s="4"/>
      <c r="R469" s="4"/>
      <c r="S469" s="4"/>
      <c r="T469" s="4"/>
      <c r="U469" s="4"/>
      <c r="V469" s="4"/>
      <c r="W469" s="4"/>
      <c r="X469" s="4"/>
      <c r="Y469" s="4"/>
      <c r="Z469" s="4"/>
    </row>
    <row r="470" spans="1:26">
      <c r="A470" s="5">
        <v>43252</v>
      </c>
      <c r="B470" s="4" t="s">
        <v>9</v>
      </c>
      <c r="C470" s="4" t="s">
        <v>18</v>
      </c>
      <c r="D470" s="4" t="s">
        <v>17</v>
      </c>
      <c r="E470" s="4" t="s">
        <v>12</v>
      </c>
      <c r="F470" s="4">
        <v>9035602</v>
      </c>
      <c r="G470" s="4">
        <v>214449</v>
      </c>
      <c r="H470" s="4">
        <v>611376</v>
      </c>
      <c r="I470" s="6">
        <v>156401.86059617539</v>
      </c>
      <c r="J470" s="4"/>
      <c r="K470" s="4"/>
      <c r="L470" s="4"/>
      <c r="M470" s="4"/>
      <c r="N470" s="4"/>
      <c r="O470" s="4"/>
      <c r="P470" s="4"/>
      <c r="Q470" s="4"/>
      <c r="R470" s="4"/>
      <c r="S470" s="4"/>
      <c r="T470" s="4"/>
      <c r="U470" s="4"/>
      <c r="V470" s="4"/>
      <c r="W470" s="4"/>
      <c r="X470" s="4"/>
      <c r="Y470" s="4"/>
      <c r="Z470" s="4"/>
    </row>
    <row r="471" spans="1:26">
      <c r="A471" s="5">
        <v>43252</v>
      </c>
      <c r="B471" s="4" t="s">
        <v>9</v>
      </c>
      <c r="C471" s="4" t="s">
        <v>18</v>
      </c>
      <c r="D471" s="4" t="s">
        <v>17</v>
      </c>
      <c r="E471" s="4" t="s">
        <v>13</v>
      </c>
      <c r="F471" s="4">
        <v>68994</v>
      </c>
      <c r="G471" s="4">
        <v>767</v>
      </c>
      <c r="H471" s="4">
        <v>16955</v>
      </c>
      <c r="I471" s="6">
        <v>12161.853781931735</v>
      </c>
      <c r="J471" s="4"/>
      <c r="K471" s="4"/>
      <c r="L471" s="4"/>
      <c r="M471" s="4"/>
      <c r="N471" s="4"/>
      <c r="O471" s="4"/>
      <c r="P471" s="4"/>
      <c r="Q471" s="4"/>
      <c r="R471" s="4"/>
      <c r="S471" s="4"/>
      <c r="T471" s="4"/>
      <c r="U471" s="4"/>
      <c r="V471" s="4"/>
      <c r="W471" s="4"/>
      <c r="X471" s="4"/>
      <c r="Y471" s="4"/>
      <c r="Z471" s="4"/>
    </row>
    <row r="472" spans="1:26">
      <c r="A472" s="5">
        <v>43252</v>
      </c>
      <c r="B472" s="4" t="s">
        <v>9</v>
      </c>
      <c r="C472" s="4" t="s">
        <v>19</v>
      </c>
      <c r="D472" s="4" t="s">
        <v>11</v>
      </c>
      <c r="E472" s="4" t="s">
        <v>12</v>
      </c>
      <c r="F472" s="4">
        <v>110042</v>
      </c>
      <c r="G472" s="4">
        <v>17901</v>
      </c>
      <c r="H472" s="4">
        <v>18855</v>
      </c>
      <c r="I472" s="6">
        <v>95328.748274571612</v>
      </c>
      <c r="J472" s="4"/>
      <c r="K472" s="4"/>
      <c r="L472" s="4"/>
      <c r="M472" s="4"/>
      <c r="N472" s="4"/>
      <c r="O472" s="4"/>
      <c r="P472" s="4"/>
      <c r="Q472" s="4"/>
      <c r="R472" s="4"/>
      <c r="S472" s="4"/>
      <c r="T472" s="4"/>
      <c r="U472" s="4"/>
      <c r="V472" s="4"/>
      <c r="W472" s="4"/>
      <c r="X472" s="4"/>
      <c r="Y472" s="4"/>
      <c r="Z472" s="4"/>
    </row>
    <row r="473" spans="1:26">
      <c r="A473" s="5">
        <v>43252</v>
      </c>
      <c r="B473" s="4" t="s">
        <v>9</v>
      </c>
      <c r="C473" s="4" t="s">
        <v>19</v>
      </c>
      <c r="D473" s="4" t="s">
        <v>11</v>
      </c>
      <c r="E473" s="4" t="s">
        <v>13</v>
      </c>
      <c r="F473" s="4">
        <v>602</v>
      </c>
      <c r="G473" s="4">
        <v>694</v>
      </c>
      <c r="H473" s="4">
        <v>7250</v>
      </c>
      <c r="I473" s="6">
        <v>16253.687835510989</v>
      </c>
      <c r="J473" s="4"/>
      <c r="K473" s="4"/>
      <c r="L473" s="4"/>
      <c r="M473" s="4"/>
      <c r="N473" s="4"/>
      <c r="O473" s="4"/>
      <c r="P473" s="4"/>
      <c r="Q473" s="4"/>
      <c r="R473" s="4"/>
      <c r="S473" s="4"/>
      <c r="T473" s="4"/>
      <c r="U473" s="4"/>
      <c r="V473" s="4"/>
      <c r="W473" s="4"/>
      <c r="X473" s="4"/>
      <c r="Y473" s="4"/>
      <c r="Z473" s="4"/>
    </row>
    <row r="474" spans="1:26">
      <c r="A474" s="5">
        <v>43252</v>
      </c>
      <c r="B474" s="4" t="s">
        <v>9</v>
      </c>
      <c r="C474" s="4" t="s">
        <v>19</v>
      </c>
      <c r="D474" s="4" t="s">
        <v>14</v>
      </c>
      <c r="E474" s="4" t="s">
        <v>12</v>
      </c>
      <c r="F474" s="4">
        <v>269992</v>
      </c>
      <c r="G474" s="4">
        <v>42211</v>
      </c>
      <c r="H474" s="4">
        <v>44367</v>
      </c>
      <c r="I474" s="6">
        <v>169883.78097427826</v>
      </c>
      <c r="J474" s="4"/>
      <c r="K474" s="4"/>
      <c r="L474" s="4"/>
      <c r="M474" s="4"/>
      <c r="N474" s="4"/>
      <c r="O474" s="4"/>
      <c r="P474" s="4"/>
      <c r="Q474" s="4"/>
      <c r="R474" s="4"/>
      <c r="S474" s="4"/>
      <c r="T474" s="4"/>
      <c r="U474" s="4"/>
      <c r="V474" s="4"/>
      <c r="W474" s="4"/>
      <c r="X474" s="4"/>
      <c r="Y474" s="4"/>
      <c r="Z474" s="4"/>
    </row>
    <row r="475" spans="1:26">
      <c r="A475" s="5">
        <v>43252</v>
      </c>
      <c r="B475" s="4" t="s">
        <v>9</v>
      </c>
      <c r="C475" s="4" t="s">
        <v>19</v>
      </c>
      <c r="D475" s="4" t="s">
        <v>14</v>
      </c>
      <c r="E475" s="4" t="s">
        <v>13</v>
      </c>
      <c r="F475" s="4">
        <v>1449</v>
      </c>
      <c r="G475" s="4">
        <v>1552</v>
      </c>
      <c r="H475" s="4">
        <v>39423</v>
      </c>
      <c r="I475" s="6">
        <v>26987.960150160285</v>
      </c>
      <c r="J475" s="4"/>
      <c r="K475" s="4"/>
      <c r="L475" s="4"/>
      <c r="M475" s="4"/>
      <c r="N475" s="4"/>
      <c r="O475" s="4"/>
      <c r="P475" s="4"/>
      <c r="Q475" s="4"/>
      <c r="R475" s="4"/>
      <c r="S475" s="4"/>
      <c r="T475" s="4"/>
      <c r="U475" s="4"/>
      <c r="V475" s="4"/>
      <c r="W475" s="4"/>
      <c r="X475" s="4"/>
      <c r="Y475" s="4"/>
      <c r="Z475" s="4"/>
    </row>
    <row r="476" spans="1:26">
      <c r="A476" s="5">
        <v>43252</v>
      </c>
      <c r="B476" s="4" t="s">
        <v>9</v>
      </c>
      <c r="C476" s="4" t="s">
        <v>19</v>
      </c>
      <c r="D476" s="4" t="s">
        <v>15</v>
      </c>
      <c r="E476" s="4" t="s">
        <v>12</v>
      </c>
      <c r="F476" s="4">
        <v>127402</v>
      </c>
      <c r="G476" s="4">
        <v>21663</v>
      </c>
      <c r="H476" s="4">
        <v>22448</v>
      </c>
      <c r="I476" s="6">
        <v>62808.518923784628</v>
      </c>
      <c r="J476" s="4"/>
      <c r="K476" s="4"/>
      <c r="L476" s="4"/>
      <c r="M476" s="4"/>
      <c r="N476" s="4"/>
      <c r="O476" s="4"/>
      <c r="P476" s="4"/>
      <c r="Q476" s="4"/>
      <c r="R476" s="4"/>
      <c r="S476" s="4"/>
      <c r="T476" s="4"/>
      <c r="U476" s="4"/>
      <c r="V476" s="4"/>
      <c r="W476" s="4"/>
      <c r="X476" s="4"/>
      <c r="Y476" s="4"/>
      <c r="Z476" s="4"/>
    </row>
    <row r="477" spans="1:26">
      <c r="A477" s="5">
        <v>43252</v>
      </c>
      <c r="B477" s="4" t="s">
        <v>9</v>
      </c>
      <c r="C477" s="4" t="s">
        <v>19</v>
      </c>
      <c r="D477" s="4" t="s">
        <v>15</v>
      </c>
      <c r="E477" s="4" t="s">
        <v>13</v>
      </c>
      <c r="F477" s="4">
        <v>449</v>
      </c>
      <c r="G477" s="4">
        <v>636</v>
      </c>
      <c r="H477" s="4">
        <v>21197</v>
      </c>
      <c r="I477" s="6">
        <v>11756.664187367911</v>
      </c>
      <c r="J477" s="4"/>
      <c r="K477" s="4"/>
      <c r="L477" s="4"/>
      <c r="M477" s="4"/>
      <c r="N477" s="4"/>
      <c r="O477" s="4"/>
      <c r="P477" s="4"/>
      <c r="Q477" s="4"/>
      <c r="R477" s="4"/>
      <c r="S477" s="4"/>
      <c r="T477" s="4"/>
      <c r="U477" s="4"/>
      <c r="V477" s="4"/>
      <c r="W477" s="4"/>
      <c r="X477" s="4"/>
      <c r="Y477" s="4"/>
      <c r="Z477" s="4"/>
    </row>
    <row r="478" spans="1:26">
      <c r="A478" s="5">
        <v>43252</v>
      </c>
      <c r="B478" s="4" t="s">
        <v>9</v>
      </c>
      <c r="C478" s="4" t="s">
        <v>19</v>
      </c>
      <c r="D478" s="4" t="s">
        <v>16</v>
      </c>
      <c r="E478" s="4" t="s">
        <v>12</v>
      </c>
      <c r="F478" s="4">
        <v>15161812</v>
      </c>
      <c r="G478" s="4">
        <v>66426</v>
      </c>
      <c r="H478" s="4">
        <v>68100</v>
      </c>
      <c r="I478" s="6">
        <v>391799.16664848232</v>
      </c>
      <c r="J478" s="4"/>
      <c r="K478" s="4"/>
      <c r="L478" s="4"/>
      <c r="M478" s="4"/>
      <c r="N478" s="4"/>
      <c r="O478" s="4"/>
      <c r="P478" s="4"/>
      <c r="Q478" s="4"/>
      <c r="R478" s="4"/>
      <c r="S478" s="4"/>
      <c r="T478" s="4"/>
      <c r="U478" s="4"/>
      <c r="V478" s="4"/>
      <c r="W478" s="4"/>
      <c r="X478" s="4"/>
      <c r="Y478" s="4"/>
      <c r="Z478" s="4"/>
    </row>
    <row r="479" spans="1:26">
      <c r="A479" s="5">
        <v>43252</v>
      </c>
      <c r="B479" s="4" t="s">
        <v>9</v>
      </c>
      <c r="C479" s="4" t="s">
        <v>19</v>
      </c>
      <c r="D479" s="4" t="s">
        <v>16</v>
      </c>
      <c r="E479" s="4" t="s">
        <v>13</v>
      </c>
      <c r="F479" s="4">
        <v>141693</v>
      </c>
      <c r="G479" s="4">
        <v>1995</v>
      </c>
      <c r="H479" s="4">
        <v>34324</v>
      </c>
      <c r="I479" s="6">
        <v>53164.463897785638</v>
      </c>
      <c r="J479" s="4"/>
      <c r="K479" s="4"/>
      <c r="L479" s="4"/>
      <c r="M479" s="4"/>
      <c r="N479" s="4"/>
      <c r="O479" s="4"/>
      <c r="P479" s="4"/>
      <c r="Q479" s="4"/>
      <c r="R479" s="4"/>
      <c r="S479" s="4"/>
      <c r="T479" s="4"/>
      <c r="U479" s="4"/>
      <c r="V479" s="4"/>
      <c r="W479" s="4"/>
      <c r="X479" s="4"/>
      <c r="Y479" s="4"/>
      <c r="Z479" s="4"/>
    </row>
    <row r="480" spans="1:26">
      <c r="A480" s="5">
        <v>43252</v>
      </c>
      <c r="B480" s="4" t="s">
        <v>9</v>
      </c>
      <c r="C480" s="4" t="s">
        <v>19</v>
      </c>
      <c r="D480" s="4" t="s">
        <v>17</v>
      </c>
      <c r="E480" s="4" t="s">
        <v>12</v>
      </c>
      <c r="F480" s="4">
        <v>211476</v>
      </c>
      <c r="G480" s="4">
        <v>23968</v>
      </c>
      <c r="H480" s="4">
        <v>24747</v>
      </c>
      <c r="I480" s="6">
        <v>145291.9888341238</v>
      </c>
      <c r="J480" s="4"/>
      <c r="K480" s="4"/>
      <c r="L480" s="4"/>
      <c r="M480" s="4"/>
      <c r="N480" s="4"/>
      <c r="O480" s="4"/>
      <c r="P480" s="4"/>
      <c r="Q480" s="4"/>
      <c r="R480" s="4"/>
      <c r="S480" s="4"/>
      <c r="T480" s="4"/>
      <c r="U480" s="4"/>
      <c r="V480" s="4"/>
      <c r="W480" s="4"/>
      <c r="X480" s="4"/>
      <c r="Y480" s="4"/>
      <c r="Z480" s="4"/>
    </row>
    <row r="481" spans="1:26">
      <c r="A481" s="5">
        <v>43252</v>
      </c>
      <c r="B481" s="4" t="s">
        <v>9</v>
      </c>
      <c r="C481" s="4" t="s">
        <v>19</v>
      </c>
      <c r="D481" s="4" t="s">
        <v>17</v>
      </c>
      <c r="E481" s="4" t="s">
        <v>13</v>
      </c>
      <c r="F481" s="4">
        <v>1430</v>
      </c>
      <c r="G481" s="4">
        <v>653</v>
      </c>
      <c r="H481" s="4">
        <v>6578</v>
      </c>
      <c r="I481" s="6">
        <v>17953.192003133394</v>
      </c>
      <c r="J481" s="4"/>
      <c r="K481" s="4"/>
      <c r="L481" s="4"/>
      <c r="M481" s="4"/>
      <c r="N481" s="4"/>
      <c r="O481" s="4"/>
      <c r="P481" s="4"/>
      <c r="Q481" s="4"/>
      <c r="R481" s="4"/>
      <c r="S481" s="4"/>
      <c r="T481" s="4"/>
      <c r="U481" s="4"/>
      <c r="V481" s="4"/>
      <c r="W481" s="4"/>
      <c r="X481" s="4"/>
      <c r="Y481" s="4"/>
      <c r="Z481" s="4"/>
    </row>
    <row r="482" spans="1:26">
      <c r="A482" s="5">
        <v>43252</v>
      </c>
      <c r="B482" s="4" t="s">
        <v>20</v>
      </c>
      <c r="C482" s="4" t="s">
        <v>10</v>
      </c>
      <c r="D482" s="4" t="s">
        <v>11</v>
      </c>
      <c r="E482" s="4" t="s">
        <v>12</v>
      </c>
      <c r="F482" s="4">
        <v>2141489</v>
      </c>
      <c r="G482" s="4">
        <v>5031</v>
      </c>
      <c r="H482" s="4">
        <v>5702</v>
      </c>
      <c r="I482" s="6">
        <v>1341.88394610981</v>
      </c>
      <c r="J482" s="4"/>
      <c r="K482" s="4"/>
      <c r="L482" s="4"/>
      <c r="M482" s="4"/>
      <c r="N482" s="4"/>
      <c r="O482" s="4"/>
      <c r="P482" s="4"/>
      <c r="Q482" s="4"/>
      <c r="R482" s="4"/>
      <c r="S482" s="4"/>
      <c r="T482" s="4"/>
      <c r="U482" s="4"/>
      <c r="V482" s="4"/>
      <c r="W482" s="4"/>
      <c r="X482" s="4"/>
      <c r="Y482" s="4"/>
      <c r="Z482" s="4"/>
    </row>
    <row r="483" spans="1:26">
      <c r="A483" s="5">
        <v>43252</v>
      </c>
      <c r="B483" s="4" t="s">
        <v>20</v>
      </c>
      <c r="C483" s="4" t="s">
        <v>10</v>
      </c>
      <c r="D483" s="4" t="s">
        <v>11</v>
      </c>
      <c r="E483" s="4" t="s">
        <v>13</v>
      </c>
      <c r="F483" s="4">
        <v>864</v>
      </c>
      <c r="G483" s="4">
        <v>22</v>
      </c>
      <c r="H483" s="4">
        <v>55</v>
      </c>
      <c r="I483" s="6">
        <v>12229.727777777776</v>
      </c>
      <c r="J483" s="4"/>
      <c r="K483" s="4"/>
      <c r="L483" s="4"/>
      <c r="M483" s="4"/>
      <c r="N483" s="4"/>
      <c r="O483" s="4"/>
      <c r="P483" s="4"/>
      <c r="Q483" s="4"/>
      <c r="R483" s="4"/>
      <c r="S483" s="4"/>
      <c r="T483" s="4"/>
      <c r="U483" s="4"/>
      <c r="V483" s="4"/>
      <c r="W483" s="4"/>
      <c r="X483" s="4"/>
      <c r="Y483" s="4"/>
      <c r="Z483" s="4"/>
    </row>
    <row r="484" spans="1:26">
      <c r="A484" s="5">
        <v>43252</v>
      </c>
      <c r="B484" s="4" t="s">
        <v>20</v>
      </c>
      <c r="C484" s="4" t="s">
        <v>10</v>
      </c>
      <c r="D484" s="4" t="s">
        <v>14</v>
      </c>
      <c r="E484" s="4" t="s">
        <v>12</v>
      </c>
      <c r="F484" s="4">
        <v>3878183</v>
      </c>
      <c r="G484" s="4">
        <v>8954</v>
      </c>
      <c r="H484" s="4">
        <v>9726</v>
      </c>
      <c r="I484" s="6">
        <v>1222.0138648087348</v>
      </c>
      <c r="J484" s="4"/>
      <c r="K484" s="4"/>
      <c r="L484" s="4"/>
      <c r="M484" s="4"/>
      <c r="N484" s="4"/>
      <c r="O484" s="4"/>
      <c r="P484" s="4"/>
      <c r="Q484" s="4"/>
      <c r="R484" s="4"/>
      <c r="S484" s="4"/>
      <c r="T484" s="4"/>
      <c r="U484" s="4"/>
      <c r="V484" s="4"/>
      <c r="W484" s="4"/>
      <c r="X484" s="4"/>
      <c r="Y484" s="4"/>
      <c r="Z484" s="4"/>
    </row>
    <row r="485" spans="1:26">
      <c r="A485" s="5">
        <v>43252</v>
      </c>
      <c r="B485" s="4" t="s">
        <v>20</v>
      </c>
      <c r="C485" s="4" t="s">
        <v>10</v>
      </c>
      <c r="D485" s="4" t="s">
        <v>14</v>
      </c>
      <c r="E485" s="4" t="s">
        <v>13</v>
      </c>
      <c r="F485" s="4">
        <v>1865</v>
      </c>
      <c r="G485" s="4">
        <v>45</v>
      </c>
      <c r="H485" s="4">
        <v>189</v>
      </c>
      <c r="I485" s="6">
        <v>21170.685755172413</v>
      </c>
      <c r="J485" s="4"/>
      <c r="K485" s="4"/>
      <c r="L485" s="4"/>
      <c r="M485" s="4"/>
      <c r="N485" s="4"/>
      <c r="O485" s="4"/>
      <c r="P485" s="4"/>
      <c r="Q485" s="4"/>
      <c r="R485" s="4"/>
      <c r="S485" s="4"/>
      <c r="T485" s="4"/>
      <c r="U485" s="4"/>
      <c r="V485" s="4"/>
      <c r="W485" s="4"/>
      <c r="X485" s="4"/>
      <c r="Y485" s="4"/>
      <c r="Z485" s="4"/>
    </row>
    <row r="486" spans="1:26">
      <c r="A486" s="5">
        <v>43252</v>
      </c>
      <c r="B486" s="4" t="s">
        <v>20</v>
      </c>
      <c r="C486" s="4" t="s">
        <v>10</v>
      </c>
      <c r="D486" s="4" t="s">
        <v>15</v>
      </c>
      <c r="E486" s="4" t="s">
        <v>12</v>
      </c>
      <c r="F486" s="4">
        <v>969241</v>
      </c>
      <c r="G486" s="4">
        <v>2261</v>
      </c>
      <c r="H486" s="4">
        <v>2452</v>
      </c>
      <c r="I486" s="6">
        <v>391.13438501057726</v>
      </c>
      <c r="J486" s="4"/>
      <c r="K486" s="4"/>
      <c r="L486" s="4"/>
      <c r="M486" s="4"/>
      <c r="N486" s="4"/>
      <c r="O486" s="4"/>
      <c r="P486" s="4"/>
      <c r="Q486" s="4"/>
      <c r="R486" s="4"/>
      <c r="S486" s="4"/>
      <c r="T486" s="4"/>
      <c r="U486" s="4"/>
      <c r="V486" s="4"/>
      <c r="W486" s="4"/>
      <c r="X486" s="4"/>
      <c r="Y486" s="4"/>
      <c r="Z486" s="4"/>
    </row>
    <row r="487" spans="1:26">
      <c r="A487" s="5">
        <v>43252</v>
      </c>
      <c r="B487" s="4" t="s">
        <v>20</v>
      </c>
      <c r="C487" s="4" t="s">
        <v>10</v>
      </c>
      <c r="D487" s="4" t="s">
        <v>15</v>
      </c>
      <c r="E487" s="4" t="s">
        <v>13</v>
      </c>
      <c r="F487" s="4">
        <v>253</v>
      </c>
      <c r="G487" s="4">
        <v>7</v>
      </c>
      <c r="H487" s="4">
        <v>21</v>
      </c>
      <c r="I487" s="6">
        <v>2555.8094366197183</v>
      </c>
      <c r="J487" s="4"/>
      <c r="K487" s="4"/>
      <c r="L487" s="4"/>
      <c r="M487" s="4"/>
      <c r="N487" s="4"/>
      <c r="O487" s="4"/>
      <c r="P487" s="4"/>
      <c r="Q487" s="4"/>
      <c r="R487" s="4"/>
      <c r="S487" s="4"/>
      <c r="T487" s="4"/>
      <c r="U487" s="4"/>
      <c r="V487" s="4"/>
      <c r="W487" s="4"/>
      <c r="X487" s="4"/>
      <c r="Y487" s="4"/>
      <c r="Z487" s="4"/>
    </row>
    <row r="488" spans="1:26">
      <c r="A488" s="5">
        <v>43252</v>
      </c>
      <c r="B488" s="4" t="s">
        <v>20</v>
      </c>
      <c r="C488" s="4" t="s">
        <v>10</v>
      </c>
      <c r="D488" s="4" t="s">
        <v>16</v>
      </c>
      <c r="E488" s="4" t="s">
        <v>12</v>
      </c>
      <c r="F488" s="4">
        <v>10430558</v>
      </c>
      <c r="G488" s="4">
        <v>32615</v>
      </c>
      <c r="H488" s="4">
        <v>34254</v>
      </c>
      <c r="I488" s="6">
        <v>5776.7702428732537</v>
      </c>
      <c r="J488" s="4"/>
      <c r="K488" s="4"/>
      <c r="L488" s="4"/>
      <c r="M488" s="4"/>
      <c r="N488" s="4"/>
      <c r="O488" s="4"/>
      <c r="P488" s="4"/>
      <c r="Q488" s="4"/>
      <c r="R488" s="4"/>
      <c r="S488" s="4"/>
      <c r="T488" s="4"/>
      <c r="U488" s="4"/>
      <c r="V488" s="4"/>
      <c r="W488" s="4"/>
      <c r="X488" s="4"/>
      <c r="Y488" s="4"/>
      <c r="Z488" s="4"/>
    </row>
    <row r="489" spans="1:26">
      <c r="A489" s="5">
        <v>43252</v>
      </c>
      <c r="B489" s="4" t="s">
        <v>20</v>
      </c>
      <c r="C489" s="4" t="s">
        <v>10</v>
      </c>
      <c r="D489" s="4" t="s">
        <v>16</v>
      </c>
      <c r="E489" s="4" t="s">
        <v>13</v>
      </c>
      <c r="F489" s="4">
        <v>5062</v>
      </c>
      <c r="G489" s="4">
        <v>219</v>
      </c>
      <c r="H489" s="4">
        <v>591</v>
      </c>
      <c r="I489" s="6">
        <v>96728.066882640574</v>
      </c>
      <c r="J489" s="4"/>
      <c r="K489" s="4"/>
      <c r="L489" s="4"/>
      <c r="M489" s="4"/>
      <c r="N489" s="4"/>
      <c r="O489" s="4"/>
      <c r="P489" s="4"/>
      <c r="Q489" s="4"/>
      <c r="R489" s="4"/>
      <c r="S489" s="4"/>
      <c r="T489" s="4"/>
      <c r="U489" s="4"/>
      <c r="V489" s="4"/>
      <c r="W489" s="4"/>
      <c r="X489" s="4"/>
      <c r="Y489" s="4"/>
      <c r="Z489" s="4"/>
    </row>
    <row r="490" spans="1:26">
      <c r="A490" s="5">
        <v>43252</v>
      </c>
      <c r="B490" s="4" t="s">
        <v>20</v>
      </c>
      <c r="C490" s="4" t="s">
        <v>10</v>
      </c>
      <c r="D490" s="4" t="s">
        <v>17</v>
      </c>
      <c r="E490" s="4" t="s">
        <v>12</v>
      </c>
      <c r="F490" s="4">
        <v>3304666</v>
      </c>
      <c r="G490" s="4">
        <v>10853</v>
      </c>
      <c r="H490" s="4">
        <v>11515</v>
      </c>
      <c r="I490" s="6">
        <v>1752.3890905191877</v>
      </c>
      <c r="J490" s="4"/>
      <c r="K490" s="4"/>
      <c r="L490" s="4"/>
      <c r="M490" s="4"/>
      <c r="N490" s="4"/>
      <c r="O490" s="4"/>
      <c r="P490" s="4"/>
      <c r="Q490" s="4"/>
      <c r="R490" s="4"/>
      <c r="S490" s="4"/>
      <c r="T490" s="4"/>
      <c r="U490" s="4"/>
      <c r="V490" s="4"/>
      <c r="W490" s="4"/>
      <c r="X490" s="4"/>
      <c r="Y490" s="4"/>
      <c r="Z490" s="4"/>
    </row>
    <row r="491" spans="1:26">
      <c r="A491" s="5">
        <v>43252</v>
      </c>
      <c r="B491" s="4" t="s">
        <v>20</v>
      </c>
      <c r="C491" s="4" t="s">
        <v>10</v>
      </c>
      <c r="D491" s="4" t="s">
        <v>17</v>
      </c>
      <c r="E491" s="4" t="s">
        <v>13</v>
      </c>
      <c r="F491" s="4">
        <v>1711</v>
      </c>
      <c r="G491" s="4">
        <v>66</v>
      </c>
      <c r="H491" s="4">
        <v>208</v>
      </c>
      <c r="I491" s="6">
        <v>31631.190709677416</v>
      </c>
      <c r="J491" s="4"/>
      <c r="K491" s="4"/>
      <c r="L491" s="4"/>
      <c r="M491" s="4"/>
      <c r="N491" s="4"/>
      <c r="O491" s="4"/>
      <c r="P491" s="4"/>
      <c r="Q491" s="4"/>
      <c r="R491" s="4"/>
      <c r="S491" s="4"/>
      <c r="T491" s="4"/>
      <c r="U491" s="4"/>
      <c r="V491" s="4"/>
      <c r="W491" s="4"/>
      <c r="X491" s="4"/>
      <c r="Y491" s="4"/>
      <c r="Z491" s="4"/>
    </row>
    <row r="492" spans="1:26">
      <c r="A492" s="5">
        <v>43252</v>
      </c>
      <c r="B492" s="4" t="s">
        <v>20</v>
      </c>
      <c r="C492" s="4" t="s">
        <v>18</v>
      </c>
      <c r="D492" s="4" t="s">
        <v>11</v>
      </c>
      <c r="E492" s="4" t="s">
        <v>12</v>
      </c>
      <c r="F492" s="4">
        <v>2395826</v>
      </c>
      <c r="G492" s="4">
        <v>14229</v>
      </c>
      <c r="H492" s="4">
        <v>27420</v>
      </c>
      <c r="I492" s="6">
        <v>8434.8676038027152</v>
      </c>
      <c r="J492" s="4"/>
      <c r="K492" s="4"/>
      <c r="L492" s="4"/>
      <c r="M492" s="4"/>
      <c r="N492" s="4"/>
      <c r="O492" s="4"/>
      <c r="P492" s="4"/>
      <c r="Q492" s="4"/>
      <c r="R492" s="4"/>
      <c r="S492" s="4"/>
      <c r="T492" s="4"/>
      <c r="U492" s="4"/>
      <c r="V492" s="4"/>
      <c r="W492" s="4"/>
      <c r="X492" s="4"/>
      <c r="Y492" s="4"/>
      <c r="Z492" s="4"/>
    </row>
    <row r="493" spans="1:26">
      <c r="A493" s="5">
        <v>43252</v>
      </c>
      <c r="B493" s="4" t="s">
        <v>20</v>
      </c>
      <c r="C493" s="4" t="s">
        <v>18</v>
      </c>
      <c r="D493" s="4" t="s">
        <v>11</v>
      </c>
      <c r="E493" s="4" t="s">
        <v>13</v>
      </c>
      <c r="F493" s="4">
        <v>1234</v>
      </c>
      <c r="G493" s="4">
        <v>13</v>
      </c>
      <c r="H493" s="4">
        <v>22</v>
      </c>
      <c r="I493" s="6">
        <v>114.8092</v>
      </c>
      <c r="J493" s="4"/>
      <c r="K493" s="4"/>
      <c r="L493" s="4"/>
      <c r="M493" s="4"/>
      <c r="N493" s="4"/>
      <c r="O493" s="4"/>
      <c r="P493" s="4"/>
      <c r="Q493" s="4"/>
      <c r="R493" s="4"/>
      <c r="S493" s="4"/>
      <c r="T493" s="4"/>
      <c r="U493" s="4"/>
      <c r="V493" s="4"/>
      <c r="W493" s="4"/>
      <c r="X493" s="4"/>
      <c r="Y493" s="4"/>
      <c r="Z493" s="4"/>
    </row>
    <row r="494" spans="1:26">
      <c r="A494" s="5">
        <v>43252</v>
      </c>
      <c r="B494" s="4" t="s">
        <v>20</v>
      </c>
      <c r="C494" s="4" t="s">
        <v>18</v>
      </c>
      <c r="D494" s="4" t="s">
        <v>14</v>
      </c>
      <c r="E494" s="4" t="s">
        <v>12</v>
      </c>
      <c r="F494" s="4">
        <v>4538778</v>
      </c>
      <c r="G494" s="4">
        <v>28081</v>
      </c>
      <c r="H494" s="4">
        <v>52498</v>
      </c>
      <c r="I494" s="6">
        <v>10714.532026885523</v>
      </c>
      <c r="J494" s="4"/>
      <c r="K494" s="4"/>
      <c r="L494" s="4"/>
      <c r="M494" s="4"/>
      <c r="N494" s="4"/>
      <c r="O494" s="4"/>
      <c r="P494" s="4"/>
      <c r="Q494" s="4"/>
      <c r="R494" s="4"/>
      <c r="S494" s="4"/>
      <c r="T494" s="4"/>
      <c r="U494" s="4"/>
      <c r="V494" s="4"/>
      <c r="W494" s="4"/>
      <c r="X494" s="4"/>
      <c r="Y494" s="4"/>
      <c r="Z494" s="4"/>
    </row>
    <row r="495" spans="1:26">
      <c r="A495" s="5">
        <v>43252</v>
      </c>
      <c r="B495" s="4" t="s">
        <v>20</v>
      </c>
      <c r="C495" s="4" t="s">
        <v>18</v>
      </c>
      <c r="D495" s="4" t="s">
        <v>14</v>
      </c>
      <c r="E495" s="4" t="s">
        <v>13</v>
      </c>
      <c r="F495" s="4">
        <v>2363</v>
      </c>
      <c r="G495" s="4">
        <v>25</v>
      </c>
      <c r="H495" s="4">
        <v>144</v>
      </c>
      <c r="I495" s="6">
        <v>242.08067305785124</v>
      </c>
      <c r="J495" s="4"/>
      <c r="K495" s="4"/>
      <c r="L495" s="4"/>
      <c r="M495" s="4"/>
      <c r="N495" s="4"/>
      <c r="O495" s="4"/>
      <c r="P495" s="4"/>
      <c r="Q495" s="4"/>
      <c r="R495" s="4"/>
      <c r="S495" s="4"/>
      <c r="T495" s="4"/>
      <c r="U495" s="4"/>
      <c r="V495" s="4"/>
      <c r="W495" s="4"/>
      <c r="X495" s="4"/>
      <c r="Y495" s="4"/>
      <c r="Z495" s="4"/>
    </row>
    <row r="496" spans="1:26">
      <c r="A496" s="5">
        <v>43252</v>
      </c>
      <c r="B496" s="4" t="s">
        <v>20</v>
      </c>
      <c r="C496" s="4" t="s">
        <v>18</v>
      </c>
      <c r="D496" s="4" t="s">
        <v>15</v>
      </c>
      <c r="E496" s="4" t="s">
        <v>12</v>
      </c>
      <c r="F496" s="4">
        <v>1432667</v>
      </c>
      <c r="G496" s="4">
        <v>9719</v>
      </c>
      <c r="H496" s="4">
        <v>18244</v>
      </c>
      <c r="I496" s="6">
        <v>2974.2346159794865</v>
      </c>
      <c r="J496" s="4"/>
      <c r="K496" s="4"/>
      <c r="L496" s="4"/>
      <c r="M496" s="4"/>
      <c r="N496" s="4"/>
      <c r="O496" s="4"/>
      <c r="P496" s="4"/>
      <c r="Q496" s="4"/>
      <c r="R496" s="4"/>
      <c r="S496" s="4"/>
      <c r="T496" s="4"/>
      <c r="U496" s="4"/>
      <c r="V496" s="4"/>
      <c r="W496" s="4"/>
      <c r="X496" s="4"/>
      <c r="Y496" s="4"/>
      <c r="Z496" s="4"/>
    </row>
    <row r="497" spans="1:26">
      <c r="A497" s="5">
        <v>43252</v>
      </c>
      <c r="B497" s="4" t="s">
        <v>20</v>
      </c>
      <c r="C497" s="4" t="s">
        <v>18</v>
      </c>
      <c r="D497" s="4" t="s">
        <v>15</v>
      </c>
      <c r="E497" s="4" t="s">
        <v>13</v>
      </c>
      <c r="F497" s="4">
        <v>494</v>
      </c>
      <c r="G497" s="4">
        <v>0</v>
      </c>
      <c r="H497" s="4">
        <v>0</v>
      </c>
      <c r="I497" s="6">
        <v>0</v>
      </c>
      <c r="J497" s="4"/>
      <c r="K497" s="4"/>
      <c r="L497" s="4"/>
      <c r="M497" s="4"/>
      <c r="N497" s="4"/>
      <c r="O497" s="4"/>
      <c r="P497" s="4"/>
      <c r="Q497" s="4"/>
      <c r="R497" s="4"/>
      <c r="S497" s="4"/>
      <c r="T497" s="4"/>
      <c r="U497" s="4"/>
      <c r="V497" s="4"/>
      <c r="W497" s="4"/>
      <c r="X497" s="4"/>
      <c r="Y497" s="4"/>
      <c r="Z497" s="4"/>
    </row>
    <row r="498" spans="1:26">
      <c r="A498" s="5">
        <v>43252</v>
      </c>
      <c r="B498" s="4" t="s">
        <v>20</v>
      </c>
      <c r="C498" s="4" t="s">
        <v>18</v>
      </c>
      <c r="D498" s="4" t="s">
        <v>16</v>
      </c>
      <c r="E498" s="4" t="s">
        <v>12</v>
      </c>
      <c r="F498" s="4">
        <v>21069666</v>
      </c>
      <c r="G498" s="4">
        <v>69519</v>
      </c>
      <c r="H498" s="4">
        <v>129485</v>
      </c>
      <c r="I498" s="6">
        <v>42725.874286886508</v>
      </c>
      <c r="J498" s="4"/>
      <c r="K498" s="4"/>
      <c r="L498" s="4"/>
      <c r="M498" s="4"/>
      <c r="N498" s="4"/>
      <c r="O498" s="4"/>
      <c r="P498" s="4"/>
      <c r="Q498" s="4"/>
      <c r="R498" s="4"/>
      <c r="S498" s="4"/>
      <c r="T498" s="4"/>
      <c r="U498" s="4"/>
      <c r="V498" s="4"/>
      <c r="W498" s="4"/>
      <c r="X498" s="4"/>
      <c r="Y498" s="4"/>
      <c r="Z498" s="4"/>
    </row>
    <row r="499" spans="1:26">
      <c r="A499" s="5">
        <v>43252</v>
      </c>
      <c r="B499" s="4" t="s">
        <v>20</v>
      </c>
      <c r="C499" s="4" t="s">
        <v>18</v>
      </c>
      <c r="D499" s="4" t="s">
        <v>16</v>
      </c>
      <c r="E499" s="4" t="s">
        <v>13</v>
      </c>
      <c r="F499" s="4">
        <v>25814</v>
      </c>
      <c r="G499" s="4">
        <v>83</v>
      </c>
      <c r="H499" s="4">
        <v>905</v>
      </c>
      <c r="I499" s="6">
        <v>1212.6790832049305</v>
      </c>
      <c r="J499" s="4"/>
      <c r="K499" s="4"/>
      <c r="L499" s="4"/>
      <c r="M499" s="4"/>
      <c r="N499" s="4"/>
      <c r="O499" s="4"/>
      <c r="P499" s="4"/>
      <c r="Q499" s="4"/>
      <c r="R499" s="4"/>
      <c r="S499" s="4"/>
      <c r="T499" s="4"/>
      <c r="U499" s="4"/>
      <c r="V499" s="4"/>
      <c r="W499" s="4"/>
      <c r="X499" s="4"/>
      <c r="Y499" s="4"/>
      <c r="Z499" s="4"/>
    </row>
    <row r="500" spans="1:26">
      <c r="A500" s="5">
        <v>43252</v>
      </c>
      <c r="B500" s="4" t="s">
        <v>20</v>
      </c>
      <c r="C500" s="4" t="s">
        <v>18</v>
      </c>
      <c r="D500" s="4" t="s">
        <v>17</v>
      </c>
      <c r="E500" s="4" t="s">
        <v>12</v>
      </c>
      <c r="F500" s="4">
        <v>3712273</v>
      </c>
      <c r="G500" s="4">
        <v>23468</v>
      </c>
      <c r="H500" s="4">
        <v>41226</v>
      </c>
      <c r="I500" s="6">
        <v>14052.237486305319</v>
      </c>
      <c r="J500" s="4"/>
      <c r="K500" s="4"/>
      <c r="L500" s="4"/>
      <c r="M500" s="4"/>
      <c r="N500" s="4"/>
      <c r="O500" s="4"/>
      <c r="P500" s="4"/>
      <c r="Q500" s="4"/>
      <c r="R500" s="4"/>
      <c r="S500" s="4"/>
      <c r="T500" s="4"/>
      <c r="U500" s="4"/>
      <c r="V500" s="4"/>
      <c r="W500" s="4"/>
      <c r="X500" s="4"/>
      <c r="Y500" s="4"/>
      <c r="Z500" s="4"/>
    </row>
    <row r="501" spans="1:26">
      <c r="A501" s="5">
        <v>43252</v>
      </c>
      <c r="B501" s="4" t="s">
        <v>20</v>
      </c>
      <c r="C501" s="4" t="s">
        <v>18</v>
      </c>
      <c r="D501" s="4" t="s">
        <v>17</v>
      </c>
      <c r="E501" s="4" t="s">
        <v>13</v>
      </c>
      <c r="F501" s="4">
        <v>1494</v>
      </c>
      <c r="G501" s="4">
        <v>17</v>
      </c>
      <c r="H501" s="4">
        <v>94</v>
      </c>
      <c r="I501" s="6">
        <v>58.724456521739128</v>
      </c>
      <c r="J501" s="4"/>
      <c r="K501" s="4"/>
      <c r="L501" s="4"/>
      <c r="M501" s="4"/>
      <c r="N501" s="4"/>
      <c r="O501" s="4"/>
      <c r="P501" s="4"/>
      <c r="Q501" s="4"/>
      <c r="R501" s="4"/>
      <c r="S501" s="4"/>
      <c r="T501" s="4"/>
      <c r="U501" s="4"/>
      <c r="V501" s="4"/>
      <c r="W501" s="4"/>
      <c r="X501" s="4"/>
      <c r="Y501" s="4"/>
      <c r="Z501" s="4"/>
    </row>
    <row r="502" spans="1:26">
      <c r="A502" s="5">
        <v>43252</v>
      </c>
      <c r="B502" s="4" t="s">
        <v>20</v>
      </c>
      <c r="C502" s="4" t="s">
        <v>19</v>
      </c>
      <c r="D502" s="4" t="s">
        <v>11</v>
      </c>
      <c r="E502" s="4" t="s">
        <v>12</v>
      </c>
      <c r="F502" s="4">
        <v>732939</v>
      </c>
      <c r="G502" s="4">
        <v>2241</v>
      </c>
      <c r="H502" s="4">
        <v>2410</v>
      </c>
      <c r="I502" s="6">
        <v>8439.2586047940986</v>
      </c>
      <c r="J502" s="4"/>
      <c r="K502" s="4"/>
      <c r="L502" s="4"/>
      <c r="M502" s="4"/>
      <c r="N502" s="4"/>
      <c r="O502" s="4"/>
      <c r="P502" s="4"/>
      <c r="Q502" s="4"/>
      <c r="R502" s="4"/>
      <c r="S502" s="4"/>
      <c r="T502" s="4"/>
      <c r="U502" s="4"/>
      <c r="V502" s="4"/>
      <c r="W502" s="4"/>
      <c r="X502" s="4"/>
      <c r="Y502" s="4"/>
      <c r="Z502" s="4"/>
    </row>
    <row r="503" spans="1:26">
      <c r="A503" s="5">
        <v>43252</v>
      </c>
      <c r="B503" s="4" t="s">
        <v>20</v>
      </c>
      <c r="C503" s="4" t="s">
        <v>19</v>
      </c>
      <c r="D503" s="4" t="s">
        <v>11</v>
      </c>
      <c r="E503" s="4" t="s">
        <v>13</v>
      </c>
      <c r="F503" s="4">
        <v>995</v>
      </c>
      <c r="G503" s="4">
        <v>36</v>
      </c>
      <c r="H503" s="4">
        <v>212</v>
      </c>
      <c r="I503" s="6">
        <v>998.60202380952387</v>
      </c>
      <c r="J503" s="4"/>
      <c r="K503" s="4"/>
      <c r="L503" s="4"/>
      <c r="M503" s="4"/>
      <c r="N503" s="4"/>
      <c r="O503" s="4"/>
      <c r="P503" s="4"/>
      <c r="Q503" s="4"/>
      <c r="R503" s="4"/>
      <c r="S503" s="4"/>
      <c r="T503" s="4"/>
      <c r="U503" s="4"/>
      <c r="V503" s="4"/>
      <c r="W503" s="4"/>
      <c r="X503" s="4"/>
      <c r="Y503" s="4"/>
      <c r="Z503" s="4"/>
    </row>
    <row r="504" spans="1:26">
      <c r="A504" s="5">
        <v>43252</v>
      </c>
      <c r="B504" s="4" t="s">
        <v>20</v>
      </c>
      <c r="C504" s="4" t="s">
        <v>19</v>
      </c>
      <c r="D504" s="4" t="s">
        <v>14</v>
      </c>
      <c r="E504" s="4" t="s">
        <v>12</v>
      </c>
      <c r="F504" s="4">
        <v>1724548</v>
      </c>
      <c r="G504" s="4">
        <v>5764</v>
      </c>
      <c r="H504" s="4">
        <v>5823</v>
      </c>
      <c r="I504" s="6">
        <v>17896.423189754049</v>
      </c>
      <c r="J504" s="4"/>
      <c r="K504" s="4"/>
      <c r="L504" s="4"/>
      <c r="M504" s="4"/>
      <c r="N504" s="4"/>
      <c r="O504" s="4"/>
      <c r="P504" s="4"/>
      <c r="Q504" s="4"/>
      <c r="R504" s="4"/>
      <c r="S504" s="4"/>
      <c r="T504" s="4"/>
      <c r="U504" s="4"/>
      <c r="V504" s="4"/>
      <c r="W504" s="4"/>
      <c r="X504" s="4"/>
      <c r="Y504" s="4"/>
      <c r="Z504" s="4"/>
    </row>
    <row r="505" spans="1:26">
      <c r="A505" s="5">
        <v>43252</v>
      </c>
      <c r="B505" s="4" t="s">
        <v>20</v>
      </c>
      <c r="C505" s="4" t="s">
        <v>19</v>
      </c>
      <c r="D505" s="4" t="s">
        <v>14</v>
      </c>
      <c r="E505" s="4" t="s">
        <v>13</v>
      </c>
      <c r="F505" s="4">
        <v>2601</v>
      </c>
      <c r="G505" s="4">
        <v>103</v>
      </c>
      <c r="H505" s="4">
        <v>427</v>
      </c>
      <c r="I505" s="6">
        <v>2017.2592122186493</v>
      </c>
      <c r="J505" s="4"/>
      <c r="K505" s="4"/>
      <c r="L505" s="4"/>
      <c r="M505" s="4"/>
      <c r="N505" s="4"/>
      <c r="O505" s="4"/>
      <c r="P505" s="4"/>
      <c r="Q505" s="4"/>
      <c r="R505" s="4"/>
      <c r="S505" s="4"/>
      <c r="T505" s="4"/>
      <c r="U505" s="4"/>
      <c r="V505" s="4"/>
      <c r="W505" s="4"/>
      <c r="X505" s="4"/>
      <c r="Y505" s="4"/>
      <c r="Z505" s="4"/>
    </row>
    <row r="506" spans="1:26">
      <c r="A506" s="5">
        <v>43252</v>
      </c>
      <c r="B506" s="4" t="s">
        <v>20</v>
      </c>
      <c r="C506" s="4" t="s">
        <v>19</v>
      </c>
      <c r="D506" s="4" t="s">
        <v>15</v>
      </c>
      <c r="E506" s="4" t="s">
        <v>12</v>
      </c>
      <c r="F506" s="4">
        <v>448346</v>
      </c>
      <c r="G506" s="4">
        <v>1564</v>
      </c>
      <c r="H506" s="4">
        <v>1584</v>
      </c>
      <c r="I506" s="6">
        <v>5743.1008208955227</v>
      </c>
      <c r="J506" s="4"/>
      <c r="K506" s="4"/>
      <c r="L506" s="4"/>
      <c r="M506" s="4"/>
      <c r="N506" s="4"/>
      <c r="O506" s="4"/>
      <c r="P506" s="4"/>
      <c r="Q506" s="4"/>
      <c r="R506" s="4"/>
      <c r="S506" s="4"/>
      <c r="T506" s="4"/>
      <c r="U506" s="4"/>
      <c r="V506" s="4"/>
      <c r="W506" s="4"/>
      <c r="X506" s="4"/>
      <c r="Y506" s="4"/>
      <c r="Z506" s="4"/>
    </row>
    <row r="507" spans="1:26">
      <c r="A507" s="5">
        <v>43252</v>
      </c>
      <c r="B507" s="4" t="s">
        <v>20</v>
      </c>
      <c r="C507" s="4" t="s">
        <v>19</v>
      </c>
      <c r="D507" s="4" t="s">
        <v>15</v>
      </c>
      <c r="E507" s="4" t="s">
        <v>13</v>
      </c>
      <c r="F507" s="4">
        <v>449</v>
      </c>
      <c r="G507" s="4">
        <v>12</v>
      </c>
      <c r="H507" s="4">
        <v>122</v>
      </c>
      <c r="I507" s="6">
        <v>168.20589473684211</v>
      </c>
      <c r="J507" s="4"/>
      <c r="K507" s="4"/>
      <c r="L507" s="4"/>
      <c r="M507" s="4"/>
      <c r="N507" s="4"/>
      <c r="O507" s="4"/>
      <c r="P507" s="4"/>
      <c r="Q507" s="4"/>
      <c r="R507" s="4"/>
      <c r="S507" s="4"/>
      <c r="T507" s="4"/>
      <c r="U507" s="4"/>
      <c r="V507" s="4"/>
      <c r="W507" s="4"/>
      <c r="X507" s="4"/>
      <c r="Y507" s="4"/>
      <c r="Z507" s="4"/>
    </row>
    <row r="508" spans="1:26">
      <c r="A508" s="5">
        <v>43252</v>
      </c>
      <c r="B508" s="4" t="s">
        <v>20</v>
      </c>
      <c r="C508" s="4" t="s">
        <v>19</v>
      </c>
      <c r="D508" s="4" t="s">
        <v>16</v>
      </c>
      <c r="E508" s="4" t="s">
        <v>12</v>
      </c>
      <c r="F508" s="4">
        <v>4026560</v>
      </c>
      <c r="G508" s="4">
        <v>11291</v>
      </c>
      <c r="H508" s="4">
        <v>11576</v>
      </c>
      <c r="I508" s="6">
        <v>53748.640030790943</v>
      </c>
      <c r="J508" s="4"/>
      <c r="K508" s="4"/>
      <c r="L508" s="4"/>
      <c r="M508" s="4"/>
      <c r="N508" s="4"/>
      <c r="O508" s="4"/>
      <c r="P508" s="4"/>
      <c r="Q508" s="4"/>
      <c r="R508" s="4"/>
      <c r="S508" s="4"/>
      <c r="T508" s="4"/>
      <c r="U508" s="4"/>
      <c r="V508" s="4"/>
      <c r="W508" s="4"/>
      <c r="X508" s="4"/>
      <c r="Y508" s="4"/>
      <c r="Z508" s="4"/>
    </row>
    <row r="509" spans="1:26">
      <c r="A509" s="5">
        <v>43252</v>
      </c>
      <c r="B509" s="4" t="s">
        <v>20</v>
      </c>
      <c r="C509" s="4" t="s">
        <v>19</v>
      </c>
      <c r="D509" s="4" t="s">
        <v>16</v>
      </c>
      <c r="E509" s="4" t="s">
        <v>13</v>
      </c>
      <c r="F509" s="4">
        <v>3999</v>
      </c>
      <c r="G509" s="4">
        <v>163</v>
      </c>
      <c r="H509" s="4">
        <v>835</v>
      </c>
      <c r="I509" s="6">
        <v>5044.2142857142853</v>
      </c>
      <c r="J509" s="4"/>
      <c r="K509" s="4"/>
      <c r="L509" s="4"/>
      <c r="M509" s="4"/>
      <c r="N509" s="4"/>
      <c r="O509" s="4"/>
      <c r="P509" s="4"/>
      <c r="Q509" s="4"/>
      <c r="R509" s="4"/>
      <c r="S509" s="4"/>
      <c r="T509" s="4"/>
      <c r="U509" s="4"/>
      <c r="V509" s="4"/>
      <c r="W509" s="4"/>
      <c r="X509" s="4"/>
      <c r="Y509" s="4"/>
      <c r="Z509" s="4"/>
    </row>
    <row r="510" spans="1:26">
      <c r="A510" s="5">
        <v>43252</v>
      </c>
      <c r="B510" s="4" t="s">
        <v>20</v>
      </c>
      <c r="C510" s="4" t="s">
        <v>19</v>
      </c>
      <c r="D510" s="4" t="s">
        <v>17</v>
      </c>
      <c r="E510" s="4" t="s">
        <v>12</v>
      </c>
      <c r="F510" s="4">
        <v>1230910</v>
      </c>
      <c r="G510" s="4">
        <v>4003</v>
      </c>
      <c r="H510" s="4">
        <v>4041</v>
      </c>
      <c r="I510" s="6">
        <v>15993.883466691137</v>
      </c>
      <c r="J510" s="4"/>
      <c r="K510" s="4"/>
      <c r="L510" s="4"/>
      <c r="M510" s="4"/>
      <c r="N510" s="4"/>
      <c r="O510" s="4"/>
      <c r="P510" s="4"/>
      <c r="Q510" s="4"/>
      <c r="R510" s="4"/>
      <c r="S510" s="4"/>
      <c r="T510" s="4"/>
      <c r="U510" s="4"/>
      <c r="V510" s="4"/>
      <c r="W510" s="4"/>
      <c r="X510" s="4"/>
      <c r="Y510" s="4"/>
      <c r="Z510" s="4"/>
    </row>
    <row r="511" spans="1:26">
      <c r="A511" s="5">
        <v>43252</v>
      </c>
      <c r="B511" s="4" t="s">
        <v>20</v>
      </c>
      <c r="C511" s="4" t="s">
        <v>19</v>
      </c>
      <c r="D511" s="4" t="s">
        <v>17</v>
      </c>
      <c r="E511" s="4" t="s">
        <v>13</v>
      </c>
      <c r="F511" s="4">
        <v>1430</v>
      </c>
      <c r="G511" s="4">
        <v>46</v>
      </c>
      <c r="H511" s="4">
        <v>543</v>
      </c>
      <c r="I511" s="6">
        <v>1181.5654112038142</v>
      </c>
      <c r="J511" s="4"/>
      <c r="K511" s="4"/>
      <c r="L511" s="4"/>
      <c r="M511" s="4"/>
      <c r="N511" s="4"/>
      <c r="O511" s="4"/>
      <c r="P511" s="4"/>
      <c r="Q511" s="4"/>
      <c r="R511" s="4"/>
      <c r="S511" s="4"/>
      <c r="T511" s="4"/>
      <c r="U511" s="4"/>
      <c r="V511" s="4"/>
      <c r="W511" s="4"/>
      <c r="X511" s="4"/>
      <c r="Y511" s="4"/>
      <c r="Z511" s="4"/>
    </row>
    <row r="512" spans="1:26">
      <c r="A512" s="5">
        <v>43252</v>
      </c>
      <c r="B512" s="4" t="s">
        <v>21</v>
      </c>
      <c r="C512" s="4" t="s">
        <v>10</v>
      </c>
      <c r="D512" s="4" t="s">
        <v>11</v>
      </c>
      <c r="E512" s="4" t="s">
        <v>12</v>
      </c>
      <c r="F512" s="4">
        <v>1283551</v>
      </c>
      <c r="G512" s="4">
        <v>10600</v>
      </c>
      <c r="H512" s="4">
        <v>13298</v>
      </c>
      <c r="I512" s="6">
        <v>19787.922322238355</v>
      </c>
      <c r="J512" s="4"/>
      <c r="K512" s="4"/>
      <c r="L512" s="4"/>
      <c r="M512" s="4"/>
      <c r="N512" s="4"/>
      <c r="O512" s="4"/>
      <c r="P512" s="4"/>
      <c r="Q512" s="4"/>
      <c r="R512" s="4"/>
      <c r="S512" s="4"/>
      <c r="T512" s="4"/>
      <c r="U512" s="4"/>
      <c r="V512" s="4"/>
      <c r="W512" s="4"/>
      <c r="X512" s="4"/>
      <c r="Y512" s="4"/>
      <c r="Z512" s="4"/>
    </row>
    <row r="513" spans="1:26">
      <c r="A513" s="5">
        <v>43252</v>
      </c>
      <c r="B513" s="4" t="s">
        <v>21</v>
      </c>
      <c r="C513" s="4" t="s">
        <v>10</v>
      </c>
      <c r="D513" s="4" t="s">
        <v>11</v>
      </c>
      <c r="E513" s="4" t="s">
        <v>13</v>
      </c>
      <c r="F513" s="4">
        <v>15415</v>
      </c>
      <c r="G513" s="4">
        <v>918</v>
      </c>
      <c r="H513" s="4">
        <v>15448</v>
      </c>
      <c r="I513" s="6">
        <v>85411.308669150676</v>
      </c>
      <c r="J513" s="4"/>
      <c r="K513" s="4"/>
      <c r="L513" s="4"/>
      <c r="M513" s="4"/>
      <c r="N513" s="4"/>
      <c r="O513" s="4"/>
      <c r="P513" s="4"/>
      <c r="Q513" s="4"/>
      <c r="R513" s="4"/>
      <c r="S513" s="4"/>
      <c r="T513" s="4"/>
      <c r="U513" s="4"/>
      <c r="V513" s="4"/>
      <c r="W513" s="4"/>
      <c r="X513" s="4"/>
      <c r="Y513" s="4"/>
      <c r="Z513" s="4"/>
    </row>
    <row r="514" spans="1:26">
      <c r="A514" s="5">
        <v>43252</v>
      </c>
      <c r="B514" s="4" t="s">
        <v>21</v>
      </c>
      <c r="C514" s="4" t="s">
        <v>10</v>
      </c>
      <c r="D514" s="4" t="s">
        <v>14</v>
      </c>
      <c r="E514" s="4" t="s">
        <v>12</v>
      </c>
      <c r="F514" s="4">
        <v>1972598</v>
      </c>
      <c r="G514" s="4">
        <v>12325</v>
      </c>
      <c r="H514" s="4">
        <v>14045</v>
      </c>
      <c r="I514" s="6">
        <v>29844.54073075296</v>
      </c>
      <c r="J514" s="4"/>
      <c r="K514" s="4"/>
      <c r="L514" s="4"/>
      <c r="M514" s="4"/>
      <c r="N514" s="4"/>
      <c r="O514" s="4"/>
      <c r="P514" s="4"/>
      <c r="Q514" s="4"/>
      <c r="R514" s="4"/>
      <c r="S514" s="4"/>
      <c r="T514" s="4"/>
      <c r="U514" s="4"/>
      <c r="V514" s="4"/>
      <c r="W514" s="4"/>
      <c r="X514" s="4"/>
      <c r="Y514" s="4"/>
      <c r="Z514" s="4"/>
    </row>
    <row r="515" spans="1:26">
      <c r="A515" s="5">
        <v>43252</v>
      </c>
      <c r="B515" s="4" t="s">
        <v>21</v>
      </c>
      <c r="C515" s="4" t="s">
        <v>10</v>
      </c>
      <c r="D515" s="4" t="s">
        <v>14</v>
      </c>
      <c r="E515" s="4" t="s">
        <v>13</v>
      </c>
      <c r="F515" s="4">
        <v>18656</v>
      </c>
      <c r="G515" s="4">
        <v>1207</v>
      </c>
      <c r="H515" s="4">
        <v>16589</v>
      </c>
      <c r="I515" s="6">
        <v>101083.25216136788</v>
      </c>
      <c r="J515" s="4"/>
      <c r="K515" s="4"/>
      <c r="L515" s="4"/>
      <c r="M515" s="4"/>
      <c r="N515" s="4"/>
      <c r="O515" s="4"/>
      <c r="P515" s="4"/>
      <c r="Q515" s="4"/>
      <c r="R515" s="4"/>
      <c r="S515" s="4"/>
      <c r="T515" s="4"/>
      <c r="U515" s="4"/>
      <c r="V515" s="4"/>
      <c r="W515" s="4"/>
      <c r="X515" s="4"/>
      <c r="Y515" s="4"/>
      <c r="Z515" s="4"/>
    </row>
    <row r="516" spans="1:26">
      <c r="A516" s="5">
        <v>43252</v>
      </c>
      <c r="B516" s="4" t="s">
        <v>21</v>
      </c>
      <c r="C516" s="4" t="s">
        <v>10</v>
      </c>
      <c r="D516" s="4" t="s">
        <v>15</v>
      </c>
      <c r="E516" s="4" t="s">
        <v>12</v>
      </c>
      <c r="F516" s="4">
        <v>523913</v>
      </c>
      <c r="G516" s="4">
        <v>3400</v>
      </c>
      <c r="H516" s="4">
        <v>3991</v>
      </c>
      <c r="I516" s="6">
        <v>7348.3490338164247</v>
      </c>
      <c r="J516" s="4"/>
      <c r="K516" s="4"/>
      <c r="L516" s="4"/>
      <c r="M516" s="4"/>
      <c r="N516" s="4"/>
      <c r="O516" s="4"/>
      <c r="P516" s="4"/>
      <c r="Q516" s="4"/>
      <c r="R516" s="4"/>
      <c r="S516" s="4"/>
      <c r="T516" s="4"/>
      <c r="U516" s="4"/>
      <c r="V516" s="4"/>
      <c r="W516" s="4"/>
      <c r="X516" s="4"/>
      <c r="Y516" s="4"/>
      <c r="Z516" s="4"/>
    </row>
    <row r="517" spans="1:26">
      <c r="A517" s="5">
        <v>43252</v>
      </c>
      <c r="B517" s="4" t="s">
        <v>21</v>
      </c>
      <c r="C517" s="4" t="s">
        <v>10</v>
      </c>
      <c r="D517" s="4" t="s">
        <v>15</v>
      </c>
      <c r="E517" s="4" t="s">
        <v>13</v>
      </c>
      <c r="F517" s="4">
        <v>4583</v>
      </c>
      <c r="G517" s="4">
        <v>304</v>
      </c>
      <c r="H517" s="4">
        <v>3309</v>
      </c>
      <c r="I517" s="6">
        <v>24280.928346853761</v>
      </c>
      <c r="J517" s="4"/>
      <c r="K517" s="4"/>
      <c r="L517" s="4"/>
      <c r="M517" s="4"/>
      <c r="N517" s="4"/>
      <c r="O517" s="4"/>
      <c r="P517" s="4"/>
      <c r="Q517" s="4"/>
      <c r="R517" s="4"/>
      <c r="S517" s="4"/>
      <c r="T517" s="4"/>
      <c r="U517" s="4"/>
      <c r="V517" s="4"/>
      <c r="W517" s="4"/>
      <c r="X517" s="4"/>
      <c r="Y517" s="4"/>
      <c r="Z517" s="4"/>
    </row>
    <row r="518" spans="1:26">
      <c r="A518" s="5">
        <v>43252</v>
      </c>
      <c r="B518" s="4" t="s">
        <v>21</v>
      </c>
      <c r="C518" s="4" t="s">
        <v>10</v>
      </c>
      <c r="D518" s="4" t="s">
        <v>16</v>
      </c>
      <c r="E518" s="4" t="s">
        <v>12</v>
      </c>
      <c r="F518" s="4">
        <v>6680752</v>
      </c>
      <c r="G518" s="4">
        <v>56166</v>
      </c>
      <c r="H518" s="4">
        <v>62206</v>
      </c>
      <c r="I518" s="6">
        <v>152765.54190380641</v>
      </c>
      <c r="J518" s="4"/>
      <c r="K518" s="4"/>
      <c r="L518" s="4"/>
      <c r="M518" s="4"/>
      <c r="N518" s="4"/>
      <c r="O518" s="4"/>
      <c r="P518" s="4"/>
      <c r="Q518" s="4"/>
      <c r="R518" s="4"/>
      <c r="S518" s="4"/>
      <c r="T518" s="4"/>
      <c r="U518" s="4"/>
      <c r="V518" s="4"/>
      <c r="W518" s="4"/>
      <c r="X518" s="4"/>
      <c r="Y518" s="4"/>
      <c r="Z518" s="4"/>
    </row>
    <row r="519" spans="1:26">
      <c r="A519" s="5">
        <v>43252</v>
      </c>
      <c r="B519" s="4" t="s">
        <v>21</v>
      </c>
      <c r="C519" s="4" t="s">
        <v>10</v>
      </c>
      <c r="D519" s="4" t="s">
        <v>16</v>
      </c>
      <c r="E519" s="4" t="s">
        <v>13</v>
      </c>
      <c r="F519" s="4">
        <v>82024</v>
      </c>
      <c r="G519" s="4">
        <v>5929</v>
      </c>
      <c r="H519" s="4">
        <v>85419</v>
      </c>
      <c r="I519" s="6">
        <v>480381.20894267614</v>
      </c>
      <c r="J519" s="4"/>
      <c r="K519" s="4"/>
      <c r="L519" s="4"/>
      <c r="M519" s="4"/>
      <c r="N519" s="4"/>
      <c r="O519" s="4"/>
      <c r="P519" s="4"/>
      <c r="Q519" s="4"/>
      <c r="R519" s="4"/>
      <c r="S519" s="4"/>
      <c r="T519" s="4"/>
      <c r="U519" s="4"/>
      <c r="V519" s="4"/>
      <c r="W519" s="4"/>
      <c r="X519" s="4"/>
      <c r="Y519" s="4"/>
      <c r="Z519" s="4"/>
    </row>
    <row r="520" spans="1:26">
      <c r="A520" s="5">
        <v>43252</v>
      </c>
      <c r="B520" s="4" t="s">
        <v>21</v>
      </c>
      <c r="C520" s="4" t="s">
        <v>10</v>
      </c>
      <c r="D520" s="4" t="s">
        <v>17</v>
      </c>
      <c r="E520" s="4" t="s">
        <v>12</v>
      </c>
      <c r="F520" s="4">
        <v>2185257</v>
      </c>
      <c r="G520" s="4">
        <v>23317</v>
      </c>
      <c r="H520" s="4">
        <v>25457</v>
      </c>
      <c r="I520" s="6">
        <v>62983.206117190464</v>
      </c>
      <c r="J520" s="4"/>
      <c r="K520" s="4"/>
      <c r="L520" s="4"/>
      <c r="M520" s="4"/>
      <c r="N520" s="4"/>
      <c r="O520" s="4"/>
      <c r="P520" s="4"/>
      <c r="Q520" s="4"/>
      <c r="R520" s="4"/>
      <c r="S520" s="4"/>
      <c r="T520" s="4"/>
      <c r="U520" s="4"/>
      <c r="V520" s="4"/>
      <c r="W520" s="4"/>
      <c r="X520" s="4"/>
      <c r="Y520" s="4"/>
      <c r="Z520" s="4"/>
    </row>
    <row r="521" spans="1:26">
      <c r="A521" s="5">
        <v>43252</v>
      </c>
      <c r="B521" s="4" t="s">
        <v>21</v>
      </c>
      <c r="C521" s="4" t="s">
        <v>10</v>
      </c>
      <c r="D521" s="4" t="s">
        <v>17</v>
      </c>
      <c r="E521" s="4" t="s">
        <v>13</v>
      </c>
      <c r="F521" s="4">
        <v>31338</v>
      </c>
      <c r="G521" s="4">
        <v>2621</v>
      </c>
      <c r="H521" s="4">
        <v>37887</v>
      </c>
      <c r="I521" s="6">
        <v>207469.212</v>
      </c>
      <c r="J521" s="4"/>
      <c r="K521" s="4"/>
      <c r="L521" s="4"/>
      <c r="M521" s="4"/>
      <c r="N521" s="4"/>
      <c r="O521" s="4"/>
      <c r="P521" s="4"/>
      <c r="Q521" s="4"/>
      <c r="R521" s="4"/>
      <c r="S521" s="4"/>
      <c r="T521" s="4"/>
      <c r="U521" s="4"/>
      <c r="V521" s="4"/>
      <c r="W521" s="4"/>
      <c r="X521" s="4"/>
      <c r="Y521" s="4"/>
      <c r="Z521" s="4"/>
    </row>
    <row r="522" spans="1:26">
      <c r="A522" s="5">
        <v>43252</v>
      </c>
      <c r="B522" s="4" t="s">
        <v>21</v>
      </c>
      <c r="C522" s="4" t="s">
        <v>18</v>
      </c>
      <c r="D522" s="4" t="s">
        <v>11</v>
      </c>
      <c r="E522" s="4" t="s">
        <v>12</v>
      </c>
      <c r="F522" s="4">
        <v>1500669</v>
      </c>
      <c r="G522" s="4">
        <v>27431</v>
      </c>
      <c r="H522" s="4">
        <v>119337</v>
      </c>
      <c r="I522" s="6">
        <v>63596.505378006885</v>
      </c>
      <c r="J522" s="4"/>
      <c r="K522" s="4"/>
      <c r="L522" s="4"/>
      <c r="M522" s="4"/>
      <c r="N522" s="4"/>
      <c r="O522" s="4"/>
      <c r="P522" s="4"/>
      <c r="Q522" s="4"/>
      <c r="R522" s="4"/>
      <c r="S522" s="4"/>
      <c r="T522" s="4"/>
      <c r="U522" s="4"/>
      <c r="V522" s="4"/>
      <c r="W522" s="4"/>
      <c r="X522" s="4"/>
      <c r="Y522" s="4"/>
      <c r="Z522" s="4"/>
    </row>
    <row r="523" spans="1:26">
      <c r="A523" s="5">
        <v>43252</v>
      </c>
      <c r="B523" s="4" t="s">
        <v>21</v>
      </c>
      <c r="C523" s="4" t="s">
        <v>18</v>
      </c>
      <c r="D523" s="4" t="s">
        <v>11</v>
      </c>
      <c r="E523" s="4" t="s">
        <v>13</v>
      </c>
      <c r="F523" s="4">
        <v>10586</v>
      </c>
      <c r="G523" s="4">
        <v>316</v>
      </c>
      <c r="H523" s="4">
        <v>14009</v>
      </c>
      <c r="I523" s="6">
        <v>11074.500018710047</v>
      </c>
      <c r="J523" s="4"/>
      <c r="K523" s="4"/>
      <c r="L523" s="4"/>
      <c r="M523" s="4"/>
      <c r="N523" s="4"/>
      <c r="O523" s="4"/>
      <c r="P523" s="4"/>
      <c r="Q523" s="4"/>
      <c r="R523" s="4"/>
      <c r="S523" s="4"/>
      <c r="T523" s="4"/>
      <c r="U523" s="4"/>
      <c r="V523" s="4"/>
      <c r="W523" s="4"/>
      <c r="X523" s="4"/>
      <c r="Y523" s="4"/>
      <c r="Z523" s="4"/>
    </row>
    <row r="524" spans="1:26">
      <c r="A524" s="5">
        <v>43252</v>
      </c>
      <c r="B524" s="4" t="s">
        <v>21</v>
      </c>
      <c r="C524" s="4" t="s">
        <v>18</v>
      </c>
      <c r="D524" s="4" t="s">
        <v>14</v>
      </c>
      <c r="E524" s="4" t="s">
        <v>12</v>
      </c>
      <c r="F524" s="4">
        <v>2355474</v>
      </c>
      <c r="G524" s="4">
        <v>39099</v>
      </c>
      <c r="H524" s="4">
        <v>146427</v>
      </c>
      <c r="I524" s="6">
        <v>70217.706243765322</v>
      </c>
      <c r="J524" s="4"/>
      <c r="K524" s="4"/>
      <c r="L524" s="4"/>
      <c r="M524" s="4"/>
      <c r="N524" s="4"/>
      <c r="O524" s="4"/>
      <c r="P524" s="4"/>
      <c r="Q524" s="4"/>
      <c r="R524" s="4"/>
      <c r="S524" s="4"/>
      <c r="T524" s="4"/>
      <c r="U524" s="4"/>
      <c r="V524" s="4"/>
      <c r="W524" s="4"/>
      <c r="X524" s="4"/>
      <c r="Y524" s="4"/>
      <c r="Z524" s="4"/>
    </row>
    <row r="525" spans="1:26">
      <c r="A525" s="5">
        <v>43252</v>
      </c>
      <c r="B525" s="4" t="s">
        <v>21</v>
      </c>
      <c r="C525" s="4" t="s">
        <v>18</v>
      </c>
      <c r="D525" s="4" t="s">
        <v>14</v>
      </c>
      <c r="E525" s="4" t="s">
        <v>13</v>
      </c>
      <c r="F525" s="4">
        <v>13763</v>
      </c>
      <c r="G525" s="4">
        <v>360</v>
      </c>
      <c r="H525" s="4">
        <v>8648</v>
      </c>
      <c r="I525" s="6">
        <v>10902.186802030457</v>
      </c>
      <c r="J525" s="4"/>
      <c r="K525" s="4"/>
      <c r="L525" s="4"/>
      <c r="M525" s="4"/>
      <c r="N525" s="4"/>
      <c r="O525" s="4"/>
      <c r="P525" s="4"/>
      <c r="Q525" s="4"/>
      <c r="R525" s="4"/>
      <c r="S525" s="4"/>
      <c r="T525" s="4"/>
      <c r="U525" s="4"/>
      <c r="V525" s="4"/>
      <c r="W525" s="4"/>
      <c r="X525" s="4"/>
      <c r="Y525" s="4"/>
      <c r="Z525" s="4"/>
    </row>
    <row r="526" spans="1:26">
      <c r="A526" s="5">
        <v>43252</v>
      </c>
      <c r="B526" s="4" t="s">
        <v>21</v>
      </c>
      <c r="C526" s="4" t="s">
        <v>18</v>
      </c>
      <c r="D526" s="4" t="s">
        <v>15</v>
      </c>
      <c r="E526" s="4" t="s">
        <v>12</v>
      </c>
      <c r="F526" s="4">
        <v>813620</v>
      </c>
      <c r="G526" s="4">
        <v>12260</v>
      </c>
      <c r="H526" s="4">
        <v>58568</v>
      </c>
      <c r="I526" s="6">
        <v>18662.485601328815</v>
      </c>
      <c r="J526" s="4"/>
      <c r="K526" s="4"/>
      <c r="L526" s="4"/>
      <c r="M526" s="4"/>
      <c r="N526" s="4"/>
      <c r="O526" s="4"/>
      <c r="P526" s="4"/>
      <c r="Q526" s="4"/>
      <c r="R526" s="4"/>
      <c r="S526" s="4"/>
      <c r="T526" s="4"/>
      <c r="U526" s="4"/>
      <c r="V526" s="4"/>
      <c r="W526" s="4"/>
      <c r="X526" s="4"/>
      <c r="Y526" s="4"/>
      <c r="Z526" s="4"/>
    </row>
    <row r="527" spans="1:26">
      <c r="A527" s="5">
        <v>43252</v>
      </c>
      <c r="B527" s="4" t="s">
        <v>21</v>
      </c>
      <c r="C527" s="4" t="s">
        <v>18</v>
      </c>
      <c r="D527" s="4" t="s">
        <v>15</v>
      </c>
      <c r="E527" s="4" t="s">
        <v>13</v>
      </c>
      <c r="F527" s="4">
        <v>4211</v>
      </c>
      <c r="G527" s="4">
        <v>132</v>
      </c>
      <c r="H527" s="4">
        <v>3439</v>
      </c>
      <c r="I527" s="6">
        <v>1877.6251919150675</v>
      </c>
      <c r="J527" s="4"/>
      <c r="K527" s="4"/>
      <c r="L527" s="4"/>
      <c r="M527" s="4"/>
      <c r="N527" s="4"/>
      <c r="O527" s="4"/>
      <c r="P527" s="4"/>
      <c r="Q527" s="4"/>
      <c r="R527" s="4"/>
      <c r="S527" s="4"/>
      <c r="T527" s="4"/>
      <c r="U527" s="4"/>
      <c r="V527" s="4"/>
      <c r="W527" s="4"/>
      <c r="X527" s="4"/>
      <c r="Y527" s="4"/>
      <c r="Z527" s="4"/>
    </row>
    <row r="528" spans="1:26">
      <c r="A528" s="5">
        <v>43252</v>
      </c>
      <c r="B528" s="4" t="s">
        <v>21</v>
      </c>
      <c r="C528" s="4" t="s">
        <v>18</v>
      </c>
      <c r="D528" s="4" t="s">
        <v>16</v>
      </c>
      <c r="E528" s="4" t="s">
        <v>12</v>
      </c>
      <c r="F528" s="4">
        <v>20631517</v>
      </c>
      <c r="G528" s="4">
        <v>119372</v>
      </c>
      <c r="H528" s="4">
        <v>426693</v>
      </c>
      <c r="I528" s="6">
        <v>270256.06437549629</v>
      </c>
      <c r="J528" s="4"/>
      <c r="K528" s="4"/>
      <c r="L528" s="4"/>
      <c r="M528" s="4"/>
      <c r="N528" s="4"/>
      <c r="O528" s="4"/>
      <c r="P528" s="4"/>
      <c r="Q528" s="4"/>
      <c r="R528" s="4"/>
      <c r="S528" s="4"/>
      <c r="T528" s="4"/>
      <c r="U528" s="4"/>
      <c r="V528" s="4"/>
      <c r="W528" s="4"/>
      <c r="X528" s="4"/>
      <c r="Y528" s="4"/>
      <c r="Z528" s="4"/>
    </row>
    <row r="529" spans="1:26">
      <c r="A529" s="5">
        <v>43252</v>
      </c>
      <c r="B529" s="4" t="s">
        <v>21</v>
      </c>
      <c r="C529" s="4" t="s">
        <v>18</v>
      </c>
      <c r="D529" s="4" t="s">
        <v>16</v>
      </c>
      <c r="E529" s="4" t="s">
        <v>13</v>
      </c>
      <c r="F529" s="4">
        <v>543362</v>
      </c>
      <c r="G529" s="4">
        <v>1256</v>
      </c>
      <c r="H529" s="4">
        <v>44002</v>
      </c>
      <c r="I529" s="6">
        <v>32611.246189596695</v>
      </c>
      <c r="J529" s="4"/>
      <c r="K529" s="4"/>
      <c r="L529" s="4"/>
      <c r="M529" s="4"/>
      <c r="N529" s="4"/>
      <c r="O529" s="4"/>
      <c r="P529" s="4"/>
      <c r="Q529" s="4"/>
      <c r="R529" s="4"/>
      <c r="S529" s="4"/>
      <c r="T529" s="4"/>
      <c r="U529" s="4"/>
      <c r="V529" s="4"/>
      <c r="W529" s="4"/>
      <c r="X529" s="4"/>
      <c r="Y529" s="4"/>
      <c r="Z529" s="4"/>
    </row>
    <row r="530" spans="1:26">
      <c r="A530" s="5">
        <v>43252</v>
      </c>
      <c r="B530" s="4" t="s">
        <v>21</v>
      </c>
      <c r="C530" s="4" t="s">
        <v>18</v>
      </c>
      <c r="D530" s="4" t="s">
        <v>17</v>
      </c>
      <c r="E530" s="4" t="s">
        <v>12</v>
      </c>
      <c r="F530" s="4">
        <v>2738544</v>
      </c>
      <c r="G530" s="4">
        <v>43576</v>
      </c>
      <c r="H530" s="4">
        <v>143651</v>
      </c>
      <c r="I530" s="6">
        <v>102463.37178766674</v>
      </c>
      <c r="J530" s="4"/>
      <c r="K530" s="4"/>
      <c r="L530" s="4"/>
      <c r="M530" s="4"/>
      <c r="N530" s="4"/>
      <c r="O530" s="4"/>
      <c r="P530" s="4"/>
      <c r="Q530" s="4"/>
      <c r="R530" s="4"/>
      <c r="S530" s="4"/>
      <c r="T530" s="4"/>
      <c r="U530" s="4"/>
      <c r="V530" s="4"/>
      <c r="W530" s="4"/>
      <c r="X530" s="4"/>
      <c r="Y530" s="4"/>
      <c r="Z530" s="4"/>
    </row>
    <row r="531" spans="1:26">
      <c r="A531" s="5">
        <v>43252</v>
      </c>
      <c r="B531" s="4" t="s">
        <v>21</v>
      </c>
      <c r="C531" s="4" t="s">
        <v>18</v>
      </c>
      <c r="D531" s="4" t="s">
        <v>17</v>
      </c>
      <c r="E531" s="4" t="s">
        <v>13</v>
      </c>
      <c r="F531" s="4">
        <v>24793</v>
      </c>
      <c r="G531" s="4">
        <v>605</v>
      </c>
      <c r="H531" s="4">
        <v>22734</v>
      </c>
      <c r="I531" s="6">
        <v>18262.440273883905</v>
      </c>
      <c r="J531" s="4"/>
      <c r="K531" s="4"/>
      <c r="L531" s="4"/>
      <c r="M531" s="4"/>
      <c r="N531" s="4"/>
      <c r="O531" s="4"/>
      <c r="P531" s="4"/>
      <c r="Q531" s="4"/>
      <c r="R531" s="4"/>
      <c r="S531" s="4"/>
      <c r="T531" s="4"/>
      <c r="U531" s="4"/>
      <c r="V531" s="4"/>
      <c r="W531" s="4"/>
      <c r="X531" s="4"/>
      <c r="Y531" s="4"/>
      <c r="Z531" s="4"/>
    </row>
    <row r="532" spans="1:26">
      <c r="A532" s="5">
        <v>43252</v>
      </c>
      <c r="B532" s="4" t="s">
        <v>21</v>
      </c>
      <c r="C532" s="4" t="s">
        <v>19</v>
      </c>
      <c r="D532" s="4" t="s">
        <v>11</v>
      </c>
      <c r="E532" s="4" t="s">
        <v>12</v>
      </c>
      <c r="F532" s="4">
        <v>519194</v>
      </c>
      <c r="G532" s="4">
        <v>7403</v>
      </c>
      <c r="H532" s="4">
        <v>7671</v>
      </c>
      <c r="I532" s="6">
        <v>81303.51240418118</v>
      </c>
      <c r="J532" s="4"/>
      <c r="K532" s="4"/>
      <c r="L532" s="4"/>
      <c r="M532" s="4"/>
      <c r="N532" s="4"/>
      <c r="O532" s="4"/>
      <c r="P532" s="4"/>
      <c r="Q532" s="4"/>
      <c r="R532" s="4"/>
      <c r="S532" s="4"/>
      <c r="T532" s="4"/>
      <c r="U532" s="4"/>
      <c r="V532" s="4"/>
      <c r="W532" s="4"/>
      <c r="X532" s="4"/>
      <c r="Y532" s="4"/>
      <c r="Z532" s="4"/>
    </row>
    <row r="533" spans="1:26">
      <c r="A533" s="5">
        <v>43252</v>
      </c>
      <c r="B533" s="4" t="s">
        <v>21</v>
      </c>
      <c r="C533" s="4" t="s">
        <v>19</v>
      </c>
      <c r="D533" s="4" t="s">
        <v>11</v>
      </c>
      <c r="E533" s="4" t="s">
        <v>13</v>
      </c>
      <c r="F533" s="4">
        <v>13587</v>
      </c>
      <c r="G533" s="4">
        <v>1191</v>
      </c>
      <c r="H533" s="4">
        <v>35045</v>
      </c>
      <c r="I533" s="6">
        <v>19993.226433570853</v>
      </c>
      <c r="J533" s="4"/>
      <c r="K533" s="4"/>
      <c r="L533" s="4"/>
      <c r="M533" s="4"/>
      <c r="N533" s="4"/>
      <c r="O533" s="4"/>
      <c r="P533" s="4"/>
      <c r="Q533" s="4"/>
      <c r="R533" s="4"/>
      <c r="S533" s="4"/>
      <c r="T533" s="4"/>
      <c r="U533" s="4"/>
      <c r="V533" s="4"/>
      <c r="W533" s="4"/>
      <c r="X533" s="4"/>
      <c r="Y533" s="4"/>
      <c r="Z533" s="4"/>
    </row>
    <row r="534" spans="1:26">
      <c r="A534" s="5">
        <v>43252</v>
      </c>
      <c r="B534" s="4" t="s">
        <v>21</v>
      </c>
      <c r="C534" s="4" t="s">
        <v>19</v>
      </c>
      <c r="D534" s="4" t="s">
        <v>14</v>
      </c>
      <c r="E534" s="4" t="s">
        <v>12</v>
      </c>
      <c r="F534" s="4">
        <v>932978</v>
      </c>
      <c r="G534" s="4">
        <v>14776</v>
      </c>
      <c r="H534" s="4">
        <v>15922</v>
      </c>
      <c r="I534" s="6">
        <v>148046.88598926988</v>
      </c>
      <c r="J534" s="4"/>
      <c r="K534" s="4"/>
      <c r="L534" s="4"/>
      <c r="M534" s="4"/>
      <c r="N534" s="4"/>
      <c r="O534" s="4"/>
      <c r="P534" s="4"/>
      <c r="Q534" s="4"/>
      <c r="R534" s="4"/>
      <c r="S534" s="4"/>
      <c r="T534" s="4"/>
      <c r="U534" s="4"/>
      <c r="V534" s="4"/>
      <c r="W534" s="4"/>
      <c r="X534" s="4"/>
      <c r="Y534" s="4"/>
      <c r="Z534" s="4"/>
    </row>
    <row r="535" spans="1:26">
      <c r="A535" s="5">
        <v>43252</v>
      </c>
      <c r="B535" s="4" t="s">
        <v>21</v>
      </c>
      <c r="C535" s="4" t="s">
        <v>19</v>
      </c>
      <c r="D535" s="4" t="s">
        <v>14</v>
      </c>
      <c r="E535" s="4" t="s">
        <v>13</v>
      </c>
      <c r="F535" s="4">
        <v>26555</v>
      </c>
      <c r="G535" s="4">
        <v>2280</v>
      </c>
      <c r="H535" s="4">
        <v>107273</v>
      </c>
      <c r="I535" s="6">
        <v>33612.137575924869</v>
      </c>
      <c r="J535" s="4"/>
      <c r="K535" s="4"/>
      <c r="L535" s="4"/>
      <c r="M535" s="4"/>
      <c r="N535" s="4"/>
      <c r="O535" s="4"/>
      <c r="P535" s="4"/>
      <c r="Q535" s="4"/>
      <c r="R535" s="4"/>
      <c r="S535" s="4"/>
      <c r="T535" s="4"/>
      <c r="U535" s="4"/>
      <c r="V535" s="4"/>
      <c r="W535" s="4"/>
      <c r="X535" s="4"/>
      <c r="Y535" s="4"/>
      <c r="Z535" s="4"/>
    </row>
    <row r="536" spans="1:26">
      <c r="A536" s="5">
        <v>43252</v>
      </c>
      <c r="B536" s="4" t="s">
        <v>21</v>
      </c>
      <c r="C536" s="4" t="s">
        <v>19</v>
      </c>
      <c r="D536" s="4" t="s">
        <v>15</v>
      </c>
      <c r="E536" s="4" t="s">
        <v>12</v>
      </c>
      <c r="F536" s="4">
        <v>282717</v>
      </c>
      <c r="G536" s="4">
        <v>3997</v>
      </c>
      <c r="H536" s="4">
        <v>4303</v>
      </c>
      <c r="I536" s="6">
        <v>40691.200796551726</v>
      </c>
      <c r="J536" s="4"/>
      <c r="K536" s="4"/>
      <c r="L536" s="4"/>
      <c r="M536" s="4"/>
      <c r="N536" s="4"/>
      <c r="O536" s="4"/>
      <c r="P536" s="4"/>
      <c r="Q536" s="4"/>
      <c r="R536" s="4"/>
      <c r="S536" s="4"/>
      <c r="T536" s="4"/>
      <c r="U536" s="4"/>
      <c r="V536" s="4"/>
      <c r="W536" s="4"/>
      <c r="X536" s="4"/>
      <c r="Y536" s="4"/>
      <c r="Z536" s="4"/>
    </row>
    <row r="537" spans="1:26">
      <c r="A537" s="5">
        <v>43252</v>
      </c>
      <c r="B537" s="4" t="s">
        <v>21</v>
      </c>
      <c r="C537" s="4" t="s">
        <v>19</v>
      </c>
      <c r="D537" s="4" t="s">
        <v>15</v>
      </c>
      <c r="E537" s="4" t="s">
        <v>13</v>
      </c>
      <c r="F537" s="4">
        <v>7561</v>
      </c>
      <c r="G537" s="4">
        <v>628</v>
      </c>
      <c r="H537" s="4">
        <v>28428</v>
      </c>
      <c r="I537" s="6">
        <v>9283.1772085572557</v>
      </c>
      <c r="J537" s="4"/>
      <c r="K537" s="4"/>
      <c r="L537" s="4"/>
      <c r="M537" s="4"/>
      <c r="N537" s="4"/>
      <c r="O537" s="4"/>
      <c r="P537" s="4"/>
      <c r="Q537" s="4"/>
      <c r="R537" s="4"/>
      <c r="S537" s="4"/>
      <c r="T537" s="4"/>
      <c r="U537" s="4"/>
      <c r="V537" s="4"/>
      <c r="W537" s="4"/>
      <c r="X537" s="4"/>
      <c r="Y537" s="4"/>
      <c r="Z537" s="4"/>
    </row>
    <row r="538" spans="1:26">
      <c r="A538" s="5">
        <v>43252</v>
      </c>
      <c r="B538" s="4" t="s">
        <v>21</v>
      </c>
      <c r="C538" s="4" t="s">
        <v>19</v>
      </c>
      <c r="D538" s="4" t="s">
        <v>16</v>
      </c>
      <c r="E538" s="4" t="s">
        <v>12</v>
      </c>
      <c r="F538" s="4">
        <v>2627907</v>
      </c>
      <c r="G538" s="4">
        <v>39204</v>
      </c>
      <c r="H538" s="4">
        <v>39976</v>
      </c>
      <c r="I538" s="6">
        <v>445853.79378914309</v>
      </c>
      <c r="J538" s="4"/>
      <c r="K538" s="4"/>
      <c r="L538" s="4"/>
      <c r="M538" s="4"/>
      <c r="N538" s="4"/>
      <c r="O538" s="4"/>
      <c r="P538" s="4"/>
      <c r="Q538" s="4"/>
      <c r="R538" s="4"/>
      <c r="S538" s="4"/>
      <c r="T538" s="4"/>
      <c r="U538" s="4"/>
      <c r="V538" s="4"/>
      <c r="W538" s="4"/>
      <c r="X538" s="4"/>
      <c r="Y538" s="4"/>
      <c r="Z538" s="4"/>
    </row>
    <row r="539" spans="1:26">
      <c r="A539" s="5">
        <v>43252</v>
      </c>
      <c r="B539" s="4" t="s">
        <v>21</v>
      </c>
      <c r="C539" s="4" t="s">
        <v>19</v>
      </c>
      <c r="D539" s="4" t="s">
        <v>16</v>
      </c>
      <c r="E539" s="4" t="s">
        <v>13</v>
      </c>
      <c r="F539" s="4">
        <v>68145</v>
      </c>
      <c r="G539" s="4">
        <v>5927</v>
      </c>
      <c r="H539" s="4">
        <v>392736</v>
      </c>
      <c r="I539" s="6">
        <v>90668.615968751124</v>
      </c>
      <c r="J539" s="4"/>
      <c r="K539" s="4"/>
      <c r="L539" s="4"/>
      <c r="M539" s="4"/>
      <c r="N539" s="4"/>
      <c r="O539" s="4"/>
      <c r="P539" s="4"/>
      <c r="Q539" s="4"/>
      <c r="R539" s="4"/>
      <c r="S539" s="4"/>
      <c r="T539" s="4"/>
      <c r="U539" s="4"/>
      <c r="V539" s="4"/>
      <c r="W539" s="4"/>
      <c r="X539" s="4"/>
      <c r="Y539" s="4"/>
      <c r="Z539" s="4"/>
    </row>
    <row r="540" spans="1:26">
      <c r="A540" s="5">
        <v>43252</v>
      </c>
      <c r="B540" s="4" t="s">
        <v>21</v>
      </c>
      <c r="C540" s="4" t="s">
        <v>19</v>
      </c>
      <c r="D540" s="4" t="s">
        <v>17</v>
      </c>
      <c r="E540" s="4" t="s">
        <v>12</v>
      </c>
      <c r="F540" s="4">
        <v>897215</v>
      </c>
      <c r="G540" s="4">
        <v>14730</v>
      </c>
      <c r="H540" s="4">
        <v>16254</v>
      </c>
      <c r="I540" s="6">
        <v>152201.21117711571</v>
      </c>
      <c r="J540" s="4"/>
      <c r="K540" s="4"/>
      <c r="L540" s="4"/>
      <c r="M540" s="4"/>
      <c r="N540" s="4"/>
      <c r="O540" s="4"/>
      <c r="P540" s="4"/>
      <c r="Q540" s="4"/>
      <c r="R540" s="4"/>
      <c r="S540" s="4"/>
      <c r="T540" s="4"/>
      <c r="U540" s="4"/>
      <c r="V540" s="4"/>
      <c r="W540" s="4"/>
      <c r="X540" s="4"/>
      <c r="Y540" s="4"/>
      <c r="Z540" s="4"/>
    </row>
    <row r="541" spans="1:26">
      <c r="A541" s="5">
        <v>43252</v>
      </c>
      <c r="B541" s="4" t="s">
        <v>21</v>
      </c>
      <c r="C541" s="4" t="s">
        <v>19</v>
      </c>
      <c r="D541" s="4" t="s">
        <v>17</v>
      </c>
      <c r="E541" s="4" t="s">
        <v>13</v>
      </c>
      <c r="F541" s="4">
        <v>23553</v>
      </c>
      <c r="G541" s="4">
        <v>2097</v>
      </c>
      <c r="H541" s="4">
        <v>89405</v>
      </c>
      <c r="I541" s="6">
        <v>36798.5595352073</v>
      </c>
      <c r="J541" s="4"/>
      <c r="K541" s="4"/>
      <c r="L541" s="4"/>
      <c r="M541" s="4"/>
      <c r="N541" s="4"/>
      <c r="O541" s="4"/>
      <c r="P541" s="4"/>
      <c r="Q541" s="4"/>
      <c r="R541" s="4"/>
      <c r="S541" s="4"/>
      <c r="T541" s="4"/>
      <c r="U541" s="4"/>
      <c r="V541" s="4"/>
      <c r="W541" s="4"/>
      <c r="X541" s="4"/>
      <c r="Y541" s="4"/>
      <c r="Z541" s="4"/>
    </row>
    <row r="542" spans="1:26">
      <c r="A542" s="5">
        <v>43282</v>
      </c>
      <c r="B542" s="4" t="s">
        <v>9</v>
      </c>
      <c r="C542" s="4" t="s">
        <v>10</v>
      </c>
      <c r="D542" s="4" t="s">
        <v>11</v>
      </c>
      <c r="E542" s="4" t="s">
        <v>12</v>
      </c>
      <c r="F542" s="4">
        <v>1107433</v>
      </c>
      <c r="G542" s="4">
        <v>50821</v>
      </c>
      <c r="H542" s="4">
        <v>60362</v>
      </c>
      <c r="I542" s="6">
        <v>45327.524949463404</v>
      </c>
      <c r="J542" s="4"/>
      <c r="K542" s="4"/>
      <c r="L542" s="4"/>
      <c r="M542" s="4"/>
      <c r="N542" s="4"/>
      <c r="O542" s="4"/>
      <c r="P542" s="4"/>
      <c r="Q542" s="4"/>
      <c r="R542" s="4"/>
      <c r="S542" s="4"/>
      <c r="T542" s="4"/>
      <c r="U542" s="4"/>
      <c r="V542" s="4"/>
      <c r="W542" s="4"/>
      <c r="X542" s="4"/>
      <c r="Y542" s="4"/>
      <c r="Z542" s="4"/>
    </row>
    <row r="543" spans="1:26">
      <c r="A543" s="5">
        <v>43282</v>
      </c>
      <c r="B543" s="4" t="s">
        <v>9</v>
      </c>
      <c r="C543" s="4" t="s">
        <v>10</v>
      </c>
      <c r="D543" s="4" t="s">
        <v>11</v>
      </c>
      <c r="E543" s="4" t="s">
        <v>13</v>
      </c>
      <c r="F543" s="4">
        <v>6594</v>
      </c>
      <c r="G543" s="4">
        <v>1122</v>
      </c>
      <c r="H543" s="4">
        <v>6616</v>
      </c>
      <c r="I543" s="6">
        <v>229701.04048968488</v>
      </c>
      <c r="J543" s="4"/>
      <c r="K543" s="4"/>
      <c r="L543" s="4"/>
      <c r="M543" s="4"/>
      <c r="N543" s="4"/>
      <c r="O543" s="4"/>
      <c r="P543" s="4"/>
      <c r="Q543" s="4"/>
      <c r="R543" s="4"/>
      <c r="S543" s="4"/>
      <c r="T543" s="4"/>
      <c r="U543" s="4"/>
      <c r="V543" s="4"/>
      <c r="W543" s="4"/>
      <c r="X543" s="4"/>
      <c r="Y543" s="4"/>
      <c r="Z543" s="4"/>
    </row>
    <row r="544" spans="1:26">
      <c r="A544" s="5">
        <v>43282</v>
      </c>
      <c r="B544" s="4" t="s">
        <v>9</v>
      </c>
      <c r="C544" s="4" t="s">
        <v>10</v>
      </c>
      <c r="D544" s="4" t="s">
        <v>14</v>
      </c>
      <c r="E544" s="4" t="s">
        <v>12</v>
      </c>
      <c r="F544" s="4">
        <v>2772715</v>
      </c>
      <c r="G544" s="4">
        <v>88911</v>
      </c>
      <c r="H544" s="4">
        <v>105094</v>
      </c>
      <c r="I544" s="6">
        <v>76377.459680951826</v>
      </c>
      <c r="J544" s="4"/>
      <c r="K544" s="4"/>
      <c r="L544" s="4"/>
      <c r="M544" s="4"/>
      <c r="N544" s="4"/>
      <c r="O544" s="4"/>
      <c r="P544" s="4"/>
      <c r="Q544" s="4"/>
      <c r="R544" s="4"/>
      <c r="S544" s="4"/>
      <c r="T544" s="4"/>
      <c r="U544" s="4"/>
      <c r="V544" s="4"/>
      <c r="W544" s="4"/>
      <c r="X544" s="4"/>
      <c r="Y544" s="4"/>
      <c r="Z544" s="4"/>
    </row>
    <row r="545" spans="1:26">
      <c r="A545" s="5">
        <v>43282</v>
      </c>
      <c r="B545" s="4" t="s">
        <v>9</v>
      </c>
      <c r="C545" s="4" t="s">
        <v>10</v>
      </c>
      <c r="D545" s="4" t="s">
        <v>14</v>
      </c>
      <c r="E545" s="4" t="s">
        <v>13</v>
      </c>
      <c r="F545" s="4">
        <v>11053</v>
      </c>
      <c r="G545" s="4">
        <v>2253</v>
      </c>
      <c r="H545" s="4">
        <v>16504</v>
      </c>
      <c r="I545" s="6">
        <v>354710.1370730818</v>
      </c>
      <c r="J545" s="4"/>
      <c r="K545" s="4"/>
      <c r="L545" s="4"/>
      <c r="M545" s="4"/>
      <c r="N545" s="4"/>
      <c r="O545" s="4"/>
      <c r="P545" s="4"/>
      <c r="Q545" s="4"/>
      <c r="R545" s="4"/>
      <c r="S545" s="4"/>
      <c r="T545" s="4"/>
      <c r="U545" s="4"/>
      <c r="V545" s="4"/>
      <c r="W545" s="4"/>
      <c r="X545" s="4"/>
      <c r="Y545" s="4"/>
      <c r="Z545" s="4"/>
    </row>
    <row r="546" spans="1:26">
      <c r="A546" s="5">
        <v>43282</v>
      </c>
      <c r="B546" s="4" t="s">
        <v>9</v>
      </c>
      <c r="C546" s="4" t="s">
        <v>10</v>
      </c>
      <c r="D546" s="4" t="s">
        <v>15</v>
      </c>
      <c r="E546" s="4" t="s">
        <v>12</v>
      </c>
      <c r="F546" s="4">
        <v>1119875</v>
      </c>
      <c r="G546" s="4">
        <v>36779</v>
      </c>
      <c r="H546" s="4">
        <v>47271</v>
      </c>
      <c r="I546" s="6">
        <v>35463.26417965447</v>
      </c>
      <c r="J546" s="4"/>
      <c r="K546" s="4"/>
      <c r="L546" s="4"/>
      <c r="M546" s="4"/>
      <c r="N546" s="4"/>
      <c r="O546" s="4"/>
      <c r="P546" s="4"/>
      <c r="Q546" s="4"/>
      <c r="R546" s="4"/>
      <c r="S546" s="4"/>
      <c r="T546" s="4"/>
      <c r="U546" s="4"/>
      <c r="V546" s="4"/>
      <c r="W546" s="4"/>
      <c r="X546" s="4"/>
      <c r="Y546" s="4"/>
      <c r="Z546" s="4"/>
    </row>
    <row r="547" spans="1:26">
      <c r="A547" s="5">
        <v>43282</v>
      </c>
      <c r="B547" s="4" t="s">
        <v>9</v>
      </c>
      <c r="C547" s="4" t="s">
        <v>10</v>
      </c>
      <c r="D547" s="4" t="s">
        <v>15</v>
      </c>
      <c r="E547" s="4" t="s">
        <v>13</v>
      </c>
      <c r="F547" s="4">
        <v>4229</v>
      </c>
      <c r="G547" s="4">
        <v>653</v>
      </c>
      <c r="H547" s="4">
        <v>5420</v>
      </c>
      <c r="I547" s="6">
        <v>88427.955885588555</v>
      </c>
      <c r="J547" s="4"/>
      <c r="K547" s="4"/>
      <c r="L547" s="4"/>
      <c r="M547" s="4"/>
      <c r="N547" s="4"/>
      <c r="O547" s="4"/>
      <c r="P547" s="4"/>
      <c r="Q547" s="4"/>
      <c r="R547" s="4"/>
      <c r="S547" s="4"/>
      <c r="T547" s="4"/>
      <c r="U547" s="4"/>
      <c r="V547" s="4"/>
      <c r="W547" s="4"/>
      <c r="X547" s="4"/>
      <c r="Y547" s="4"/>
      <c r="Z547" s="4"/>
    </row>
    <row r="548" spans="1:26">
      <c r="A548" s="5">
        <v>43282</v>
      </c>
      <c r="B548" s="4" t="s">
        <v>9</v>
      </c>
      <c r="C548" s="4" t="s">
        <v>10</v>
      </c>
      <c r="D548" s="4" t="s">
        <v>16</v>
      </c>
      <c r="E548" s="4" t="s">
        <v>12</v>
      </c>
      <c r="F548" s="4">
        <v>34510862</v>
      </c>
      <c r="G548" s="4">
        <v>229682</v>
      </c>
      <c r="H548" s="4">
        <v>258752</v>
      </c>
      <c r="I548" s="6">
        <v>196480.7820089368</v>
      </c>
      <c r="J548" s="4"/>
      <c r="K548" s="4"/>
      <c r="L548" s="4"/>
      <c r="M548" s="4"/>
      <c r="N548" s="4"/>
      <c r="O548" s="4"/>
      <c r="P548" s="4"/>
      <c r="Q548" s="4"/>
      <c r="R548" s="4"/>
      <c r="S548" s="4"/>
      <c r="T548" s="4"/>
      <c r="U548" s="4"/>
      <c r="V548" s="4"/>
      <c r="W548" s="4"/>
      <c r="X548" s="4"/>
      <c r="Y548" s="4"/>
      <c r="Z548" s="4"/>
    </row>
    <row r="549" spans="1:26">
      <c r="A549" s="5">
        <v>43282</v>
      </c>
      <c r="B549" s="4" t="s">
        <v>9</v>
      </c>
      <c r="C549" s="4" t="s">
        <v>10</v>
      </c>
      <c r="D549" s="4" t="s">
        <v>16</v>
      </c>
      <c r="E549" s="4" t="s">
        <v>13</v>
      </c>
      <c r="F549" s="4">
        <v>242359</v>
      </c>
      <c r="G549" s="4">
        <v>4886</v>
      </c>
      <c r="H549" s="4">
        <v>31899</v>
      </c>
      <c r="I549" s="6">
        <v>1071446.9035724404</v>
      </c>
      <c r="J549" s="4"/>
      <c r="K549" s="4"/>
      <c r="L549" s="4"/>
      <c r="M549" s="4"/>
      <c r="N549" s="4"/>
      <c r="O549" s="4"/>
      <c r="P549" s="4"/>
      <c r="Q549" s="4"/>
      <c r="R549" s="4"/>
      <c r="S549" s="4"/>
      <c r="T549" s="4"/>
      <c r="U549" s="4"/>
      <c r="V549" s="4"/>
      <c r="W549" s="4"/>
      <c r="X549" s="4"/>
      <c r="Y549" s="4"/>
      <c r="Z549" s="4"/>
    </row>
    <row r="550" spans="1:26">
      <c r="A550" s="5">
        <v>43282</v>
      </c>
      <c r="B550" s="4" t="s">
        <v>9</v>
      </c>
      <c r="C550" s="4" t="s">
        <v>10</v>
      </c>
      <c r="D550" s="4" t="s">
        <v>17</v>
      </c>
      <c r="E550" s="4" t="s">
        <v>12</v>
      </c>
      <c r="F550" s="4">
        <v>1703560</v>
      </c>
      <c r="G550" s="4">
        <v>76209</v>
      </c>
      <c r="H550" s="4">
        <v>86731</v>
      </c>
      <c r="I550" s="6">
        <v>84889.341654652482</v>
      </c>
      <c r="J550" s="4"/>
      <c r="K550" s="4"/>
      <c r="L550" s="4"/>
      <c r="M550" s="4"/>
      <c r="N550" s="4"/>
      <c r="O550" s="4"/>
      <c r="P550" s="4"/>
      <c r="Q550" s="4"/>
      <c r="R550" s="4"/>
      <c r="S550" s="4"/>
      <c r="T550" s="4"/>
      <c r="U550" s="4"/>
      <c r="V550" s="4"/>
      <c r="W550" s="4"/>
      <c r="X550" s="4"/>
      <c r="Y550" s="4"/>
      <c r="Z550" s="4"/>
    </row>
    <row r="551" spans="1:26">
      <c r="A551" s="5">
        <v>43282</v>
      </c>
      <c r="B551" s="4" t="s">
        <v>9</v>
      </c>
      <c r="C551" s="4" t="s">
        <v>10</v>
      </c>
      <c r="D551" s="4" t="s">
        <v>17</v>
      </c>
      <c r="E551" s="4" t="s">
        <v>13</v>
      </c>
      <c r="F551" s="4">
        <v>10161</v>
      </c>
      <c r="G551" s="4">
        <v>2051</v>
      </c>
      <c r="H551" s="4">
        <v>12039</v>
      </c>
      <c r="I551" s="6">
        <v>405732.2908651685</v>
      </c>
      <c r="J551" s="4"/>
      <c r="K551" s="4"/>
      <c r="L551" s="4"/>
      <c r="M551" s="4"/>
      <c r="N551" s="4"/>
      <c r="O551" s="4"/>
      <c r="P551" s="4"/>
      <c r="Q551" s="4"/>
      <c r="R551" s="4"/>
      <c r="S551" s="4"/>
      <c r="T551" s="4"/>
      <c r="U551" s="4"/>
      <c r="V551" s="4"/>
      <c r="W551" s="4"/>
      <c r="X551" s="4"/>
      <c r="Y551" s="4"/>
      <c r="Z551" s="4"/>
    </row>
    <row r="552" spans="1:26">
      <c r="A552" s="5">
        <v>43282</v>
      </c>
      <c r="B552" s="4" t="s">
        <v>9</v>
      </c>
      <c r="C552" s="4" t="s">
        <v>18</v>
      </c>
      <c r="D552" s="4" t="s">
        <v>11</v>
      </c>
      <c r="E552" s="4" t="s">
        <v>12</v>
      </c>
      <c r="F552" s="4">
        <v>6516889</v>
      </c>
      <c r="G552" s="4">
        <v>179275</v>
      </c>
      <c r="H552" s="4">
        <v>553096</v>
      </c>
      <c r="I552" s="6">
        <v>135581.6211886532</v>
      </c>
      <c r="J552" s="4"/>
      <c r="K552" s="4"/>
      <c r="L552" s="4"/>
      <c r="M552" s="4"/>
      <c r="N552" s="4"/>
      <c r="O552" s="4"/>
      <c r="P552" s="4"/>
      <c r="Q552" s="4"/>
      <c r="R552" s="4"/>
      <c r="S552" s="4"/>
      <c r="T552" s="4"/>
      <c r="U552" s="4"/>
      <c r="V552" s="4"/>
      <c r="W552" s="4"/>
      <c r="X552" s="4"/>
      <c r="Y552" s="4"/>
      <c r="Z552" s="4"/>
    </row>
    <row r="553" spans="1:26">
      <c r="A553" s="5">
        <v>43282</v>
      </c>
      <c r="B553" s="4" t="s">
        <v>9</v>
      </c>
      <c r="C553" s="4" t="s">
        <v>18</v>
      </c>
      <c r="D553" s="4" t="s">
        <v>11</v>
      </c>
      <c r="E553" s="4" t="s">
        <v>13</v>
      </c>
      <c r="F553" s="4">
        <v>37005</v>
      </c>
      <c r="G553" s="4">
        <v>668</v>
      </c>
      <c r="H553" s="4">
        <v>18542</v>
      </c>
      <c r="I553" s="6">
        <v>13610.348964295776</v>
      </c>
      <c r="J553" s="4"/>
      <c r="K553" s="4"/>
      <c r="L553" s="4"/>
      <c r="M553" s="4"/>
      <c r="N553" s="4"/>
      <c r="O553" s="4"/>
      <c r="P553" s="4"/>
      <c r="Q553" s="4"/>
      <c r="R553" s="4"/>
      <c r="S553" s="4"/>
      <c r="T553" s="4"/>
      <c r="U553" s="4"/>
      <c r="V553" s="4"/>
      <c r="W553" s="4"/>
      <c r="X553" s="4"/>
      <c r="Y553" s="4"/>
      <c r="Z553" s="4"/>
    </row>
    <row r="554" spans="1:26">
      <c r="A554" s="5">
        <v>43282</v>
      </c>
      <c r="B554" s="4" t="s">
        <v>9</v>
      </c>
      <c r="C554" s="4" t="s">
        <v>18</v>
      </c>
      <c r="D554" s="4" t="s">
        <v>14</v>
      </c>
      <c r="E554" s="4" t="s">
        <v>12</v>
      </c>
      <c r="F554" s="4">
        <v>15315971</v>
      </c>
      <c r="G554" s="4">
        <v>370395</v>
      </c>
      <c r="H554" s="4">
        <v>1116465</v>
      </c>
      <c r="I554" s="6">
        <v>180038.30121631164</v>
      </c>
      <c r="J554" s="4"/>
      <c r="K554" s="4"/>
      <c r="L554" s="4"/>
      <c r="M554" s="4"/>
      <c r="N554" s="4"/>
      <c r="O554" s="4"/>
      <c r="P554" s="4"/>
      <c r="Q554" s="4"/>
      <c r="R554" s="4"/>
      <c r="S554" s="4"/>
      <c r="T554" s="4"/>
      <c r="U554" s="4"/>
      <c r="V554" s="4"/>
      <c r="W554" s="4"/>
      <c r="X554" s="4"/>
      <c r="Y554" s="4"/>
      <c r="Z554" s="4"/>
    </row>
    <row r="555" spans="1:26">
      <c r="A555" s="5">
        <v>43282</v>
      </c>
      <c r="B555" s="4" t="s">
        <v>9</v>
      </c>
      <c r="C555" s="4" t="s">
        <v>18</v>
      </c>
      <c r="D555" s="4" t="s">
        <v>14</v>
      </c>
      <c r="E555" s="4" t="s">
        <v>13</v>
      </c>
      <c r="F555" s="4">
        <v>77564</v>
      </c>
      <c r="G555" s="4">
        <v>930</v>
      </c>
      <c r="H555" s="4">
        <v>13794</v>
      </c>
      <c r="I555" s="6">
        <v>15866.891907426523</v>
      </c>
      <c r="J555" s="4"/>
      <c r="K555" s="4"/>
      <c r="L555" s="4"/>
      <c r="M555" s="4"/>
      <c r="N555" s="4"/>
      <c r="O555" s="4"/>
      <c r="P555" s="4"/>
      <c r="Q555" s="4"/>
      <c r="R555" s="4"/>
      <c r="S555" s="4"/>
      <c r="T555" s="4"/>
      <c r="U555" s="4"/>
      <c r="V555" s="4"/>
      <c r="W555" s="4"/>
      <c r="X555" s="4"/>
      <c r="Y555" s="4"/>
      <c r="Z555" s="4"/>
    </row>
    <row r="556" spans="1:26">
      <c r="A556" s="5">
        <v>43282</v>
      </c>
      <c r="B556" s="4" t="s">
        <v>9</v>
      </c>
      <c r="C556" s="4" t="s">
        <v>18</v>
      </c>
      <c r="D556" s="4" t="s">
        <v>15</v>
      </c>
      <c r="E556" s="4" t="s">
        <v>12</v>
      </c>
      <c r="F556" s="4">
        <v>7599711</v>
      </c>
      <c r="G556" s="4">
        <v>199361</v>
      </c>
      <c r="H556" s="4">
        <v>656882</v>
      </c>
      <c r="I556" s="6">
        <v>72518.504220654329</v>
      </c>
      <c r="J556" s="4"/>
      <c r="K556" s="4"/>
      <c r="L556" s="4"/>
      <c r="M556" s="4"/>
      <c r="N556" s="4"/>
      <c r="O556" s="4"/>
      <c r="P556" s="4"/>
      <c r="Q556" s="4"/>
      <c r="R556" s="4"/>
      <c r="S556" s="4"/>
      <c r="T556" s="4"/>
      <c r="U556" s="4"/>
      <c r="V556" s="4"/>
      <c r="W556" s="4"/>
      <c r="X556" s="4"/>
      <c r="Y556" s="4"/>
      <c r="Z556" s="4"/>
    </row>
    <row r="557" spans="1:26">
      <c r="A557" s="5">
        <v>43282</v>
      </c>
      <c r="B557" s="4" t="s">
        <v>9</v>
      </c>
      <c r="C557" s="4" t="s">
        <v>18</v>
      </c>
      <c r="D557" s="4" t="s">
        <v>15</v>
      </c>
      <c r="E557" s="4" t="s">
        <v>13</v>
      </c>
      <c r="F557" s="4">
        <v>28312</v>
      </c>
      <c r="G557" s="4">
        <v>370</v>
      </c>
      <c r="H557" s="4">
        <v>5266</v>
      </c>
      <c r="I557" s="6">
        <v>6835.3525288651081</v>
      </c>
      <c r="J557" s="4"/>
      <c r="K557" s="4"/>
      <c r="L557" s="4"/>
      <c r="M557" s="4"/>
      <c r="N557" s="4"/>
      <c r="O557" s="4"/>
      <c r="P557" s="4"/>
      <c r="Q557" s="4"/>
      <c r="R557" s="4"/>
      <c r="S557" s="4"/>
      <c r="T557" s="4"/>
      <c r="U557" s="4"/>
      <c r="V557" s="4"/>
      <c r="W557" s="4"/>
      <c r="X557" s="4"/>
      <c r="Y557" s="4"/>
      <c r="Z557" s="4"/>
    </row>
    <row r="558" spans="1:26">
      <c r="A558" s="5">
        <v>43282</v>
      </c>
      <c r="B558" s="4" t="s">
        <v>9</v>
      </c>
      <c r="C558" s="4" t="s">
        <v>18</v>
      </c>
      <c r="D558" s="4" t="s">
        <v>16</v>
      </c>
      <c r="E558" s="4" t="s">
        <v>12</v>
      </c>
      <c r="F558" s="4">
        <v>97836003</v>
      </c>
      <c r="G558" s="4">
        <v>677120</v>
      </c>
      <c r="H558" s="4">
        <v>1939393</v>
      </c>
      <c r="I558" s="6">
        <v>467443.22926296719</v>
      </c>
      <c r="J558" s="4"/>
      <c r="K558" s="4"/>
      <c r="L558" s="4"/>
      <c r="M558" s="4"/>
      <c r="N558" s="4"/>
      <c r="O558" s="4"/>
      <c r="P558" s="4"/>
      <c r="Q558" s="4"/>
      <c r="R558" s="4"/>
      <c r="S558" s="4"/>
      <c r="T558" s="4"/>
      <c r="U558" s="4"/>
      <c r="V558" s="4"/>
      <c r="W558" s="4"/>
      <c r="X558" s="4"/>
      <c r="Y558" s="4"/>
      <c r="Z558" s="4"/>
    </row>
    <row r="559" spans="1:26">
      <c r="A559" s="5">
        <v>43282</v>
      </c>
      <c r="B559" s="4" t="s">
        <v>9</v>
      </c>
      <c r="C559" s="4" t="s">
        <v>18</v>
      </c>
      <c r="D559" s="4" t="s">
        <v>16</v>
      </c>
      <c r="E559" s="4" t="s">
        <v>13</v>
      </c>
      <c r="F559" s="4">
        <v>855167</v>
      </c>
      <c r="G559" s="4">
        <v>1938</v>
      </c>
      <c r="H559" s="4">
        <v>47716</v>
      </c>
      <c r="I559" s="6">
        <v>30676.483319107392</v>
      </c>
      <c r="J559" s="4"/>
      <c r="K559" s="4"/>
      <c r="L559" s="4"/>
      <c r="M559" s="4"/>
      <c r="N559" s="4"/>
      <c r="O559" s="4"/>
      <c r="P559" s="4"/>
      <c r="Q559" s="4"/>
      <c r="R559" s="4"/>
      <c r="S559" s="4"/>
      <c r="T559" s="4"/>
      <c r="U559" s="4"/>
      <c r="V559" s="4"/>
      <c r="W559" s="4"/>
      <c r="X559" s="4"/>
      <c r="Y559" s="4"/>
      <c r="Z559" s="4"/>
    </row>
    <row r="560" spans="1:26">
      <c r="A560" s="5">
        <v>43282</v>
      </c>
      <c r="B560" s="4" t="s">
        <v>9</v>
      </c>
      <c r="C560" s="4" t="s">
        <v>18</v>
      </c>
      <c r="D560" s="4" t="s">
        <v>17</v>
      </c>
      <c r="E560" s="4" t="s">
        <v>12</v>
      </c>
      <c r="F560" s="4">
        <v>9261493</v>
      </c>
      <c r="G560" s="4">
        <v>217666</v>
      </c>
      <c r="H560" s="4">
        <v>620548</v>
      </c>
      <c r="I560" s="6">
        <v>158748.23641954453</v>
      </c>
      <c r="J560" s="4"/>
      <c r="K560" s="4"/>
      <c r="L560" s="4"/>
      <c r="M560" s="4"/>
      <c r="N560" s="4"/>
      <c r="O560" s="4"/>
      <c r="P560" s="4"/>
      <c r="Q560" s="4"/>
      <c r="R560" s="4"/>
      <c r="S560" s="4"/>
      <c r="T560" s="4"/>
      <c r="U560" s="4"/>
      <c r="V560" s="4"/>
      <c r="W560" s="4"/>
      <c r="X560" s="4"/>
      <c r="Y560" s="4"/>
      <c r="Z560" s="4"/>
    </row>
    <row r="561" spans="1:26">
      <c r="A561" s="5">
        <v>43282</v>
      </c>
      <c r="B561" s="4" t="s">
        <v>9</v>
      </c>
      <c r="C561" s="4" t="s">
        <v>18</v>
      </c>
      <c r="D561" s="4" t="s">
        <v>17</v>
      </c>
      <c r="E561" s="4" t="s">
        <v>13</v>
      </c>
      <c r="F561" s="4">
        <v>70719</v>
      </c>
      <c r="G561" s="4">
        <v>779</v>
      </c>
      <c r="H561" s="4">
        <v>17220</v>
      </c>
      <c r="I561" s="6">
        <v>12351.938786485667</v>
      </c>
      <c r="J561" s="4"/>
      <c r="K561" s="4"/>
      <c r="L561" s="4"/>
      <c r="M561" s="4"/>
      <c r="N561" s="4"/>
      <c r="O561" s="4"/>
      <c r="P561" s="4"/>
      <c r="Q561" s="4"/>
      <c r="R561" s="4"/>
      <c r="S561" s="4"/>
      <c r="T561" s="4"/>
      <c r="U561" s="4"/>
      <c r="V561" s="4"/>
      <c r="W561" s="4"/>
      <c r="X561" s="4"/>
      <c r="Y561" s="4"/>
      <c r="Z561" s="4"/>
    </row>
    <row r="562" spans="1:26">
      <c r="A562" s="5">
        <v>43282</v>
      </c>
      <c r="B562" s="4" t="s">
        <v>9</v>
      </c>
      <c r="C562" s="4" t="s">
        <v>19</v>
      </c>
      <c r="D562" s="4" t="s">
        <v>11</v>
      </c>
      <c r="E562" s="4" t="s">
        <v>12</v>
      </c>
      <c r="F562" s="4">
        <v>112794</v>
      </c>
      <c r="G562" s="4">
        <v>18170</v>
      </c>
      <c r="H562" s="4">
        <v>19138</v>
      </c>
      <c r="I562" s="6">
        <v>96759.564278904872</v>
      </c>
      <c r="J562" s="4"/>
      <c r="K562" s="4"/>
      <c r="L562" s="4"/>
      <c r="M562" s="4"/>
      <c r="N562" s="4"/>
      <c r="O562" s="4"/>
      <c r="P562" s="4"/>
      <c r="Q562" s="4"/>
      <c r="R562" s="4"/>
      <c r="S562" s="4"/>
      <c r="T562" s="4"/>
      <c r="U562" s="4"/>
      <c r="V562" s="4"/>
      <c r="W562" s="4"/>
      <c r="X562" s="4"/>
      <c r="Y562" s="4"/>
      <c r="Z562" s="4"/>
    </row>
    <row r="563" spans="1:26">
      <c r="A563" s="5">
        <v>43282</v>
      </c>
      <c r="B563" s="4" t="s">
        <v>9</v>
      </c>
      <c r="C563" s="4" t="s">
        <v>19</v>
      </c>
      <c r="D563" s="4" t="s">
        <v>11</v>
      </c>
      <c r="E563" s="4" t="s">
        <v>13</v>
      </c>
      <c r="F563" s="4">
        <v>618</v>
      </c>
      <c r="G563" s="4">
        <v>705</v>
      </c>
      <c r="H563" s="4">
        <v>7365</v>
      </c>
      <c r="I563" s="6">
        <v>16511.504952901854</v>
      </c>
      <c r="J563" s="4"/>
      <c r="K563" s="4"/>
      <c r="L563" s="4"/>
      <c r="M563" s="4"/>
      <c r="N563" s="4"/>
      <c r="O563" s="4"/>
      <c r="P563" s="4"/>
      <c r="Q563" s="4"/>
      <c r="R563" s="4"/>
      <c r="S563" s="4"/>
      <c r="T563" s="4"/>
      <c r="U563" s="4"/>
      <c r="V563" s="4"/>
      <c r="W563" s="4"/>
      <c r="X563" s="4"/>
      <c r="Y563" s="4"/>
      <c r="Z563" s="4"/>
    </row>
    <row r="564" spans="1:26">
      <c r="A564" s="5">
        <v>43282</v>
      </c>
      <c r="B564" s="4" t="s">
        <v>9</v>
      </c>
      <c r="C564" s="4" t="s">
        <v>19</v>
      </c>
      <c r="D564" s="4" t="s">
        <v>14</v>
      </c>
      <c r="E564" s="4" t="s">
        <v>12</v>
      </c>
      <c r="F564" s="4">
        <v>276742</v>
      </c>
      <c r="G564" s="4">
        <v>42845</v>
      </c>
      <c r="H564" s="4">
        <v>45033</v>
      </c>
      <c r="I564" s="6">
        <v>172433.93307220846</v>
      </c>
      <c r="J564" s="4"/>
      <c r="K564" s="4"/>
      <c r="L564" s="4"/>
      <c r="M564" s="4"/>
      <c r="N564" s="4"/>
      <c r="O564" s="4"/>
      <c r="P564" s="4"/>
      <c r="Q564" s="4"/>
      <c r="R564" s="4"/>
      <c r="S564" s="4"/>
      <c r="T564" s="4"/>
      <c r="U564" s="4"/>
      <c r="V564" s="4"/>
      <c r="W564" s="4"/>
      <c r="X564" s="4"/>
      <c r="Y564" s="4"/>
      <c r="Z564" s="4"/>
    </row>
    <row r="565" spans="1:26">
      <c r="A565" s="5">
        <v>43282</v>
      </c>
      <c r="B565" s="4" t="s">
        <v>9</v>
      </c>
      <c r="C565" s="4" t="s">
        <v>19</v>
      </c>
      <c r="D565" s="4" t="s">
        <v>14</v>
      </c>
      <c r="E565" s="4" t="s">
        <v>13</v>
      </c>
      <c r="F565" s="4">
        <v>1486</v>
      </c>
      <c r="G565" s="4">
        <v>1576</v>
      </c>
      <c r="H565" s="4">
        <v>40032</v>
      </c>
      <c r="I565" s="6">
        <v>27404.865706090772</v>
      </c>
      <c r="J565" s="4"/>
      <c r="K565" s="4"/>
      <c r="L565" s="4"/>
      <c r="M565" s="4"/>
      <c r="N565" s="4"/>
      <c r="O565" s="4"/>
      <c r="P565" s="4"/>
      <c r="Q565" s="4"/>
      <c r="R565" s="4"/>
      <c r="S565" s="4"/>
      <c r="T565" s="4"/>
      <c r="U565" s="4"/>
      <c r="V565" s="4"/>
      <c r="W565" s="4"/>
      <c r="X565" s="4"/>
      <c r="Y565" s="4"/>
      <c r="Z565" s="4"/>
    </row>
    <row r="566" spans="1:26">
      <c r="A566" s="5">
        <v>43282</v>
      </c>
      <c r="B566" s="4" t="s">
        <v>9</v>
      </c>
      <c r="C566" s="4" t="s">
        <v>19</v>
      </c>
      <c r="D566" s="4" t="s">
        <v>15</v>
      </c>
      <c r="E566" s="4" t="s">
        <v>12</v>
      </c>
      <c r="F566" s="4">
        <v>130588</v>
      </c>
      <c r="G566" s="4">
        <v>21988</v>
      </c>
      <c r="H566" s="4">
        <v>22785</v>
      </c>
      <c r="I566" s="6">
        <v>63751.430135354276</v>
      </c>
      <c r="J566" s="4"/>
      <c r="K566" s="4"/>
      <c r="L566" s="4"/>
      <c r="M566" s="4"/>
      <c r="N566" s="4"/>
      <c r="O566" s="4"/>
      <c r="P566" s="4"/>
      <c r="Q566" s="4"/>
      <c r="R566" s="4"/>
      <c r="S566" s="4"/>
      <c r="T566" s="4"/>
      <c r="U566" s="4"/>
      <c r="V566" s="4"/>
      <c r="W566" s="4"/>
      <c r="X566" s="4"/>
      <c r="Y566" s="4"/>
      <c r="Z566" s="4"/>
    </row>
    <row r="567" spans="1:26">
      <c r="A567" s="5">
        <v>43282</v>
      </c>
      <c r="B567" s="4" t="s">
        <v>9</v>
      </c>
      <c r="C567" s="4" t="s">
        <v>19</v>
      </c>
      <c r="D567" s="4" t="s">
        <v>15</v>
      </c>
      <c r="E567" s="4" t="s">
        <v>13</v>
      </c>
      <c r="F567" s="4">
        <v>461</v>
      </c>
      <c r="G567" s="4">
        <v>646</v>
      </c>
      <c r="H567" s="4">
        <v>21530</v>
      </c>
      <c r="I567" s="6">
        <v>11941.358680663827</v>
      </c>
      <c r="J567" s="4"/>
      <c r="K567" s="4"/>
      <c r="L567" s="4"/>
      <c r="M567" s="4"/>
      <c r="N567" s="4"/>
      <c r="O567" s="4"/>
      <c r="P567" s="4"/>
      <c r="Q567" s="4"/>
      <c r="R567" s="4"/>
      <c r="S567" s="4"/>
      <c r="T567" s="4"/>
      <c r="U567" s="4"/>
      <c r="V567" s="4"/>
      <c r="W567" s="4"/>
      <c r="X567" s="4"/>
      <c r="Y567" s="4"/>
      <c r="Z567" s="4"/>
    </row>
    <row r="568" spans="1:26">
      <c r="A568" s="5">
        <v>43282</v>
      </c>
      <c r="B568" s="4" t="s">
        <v>9</v>
      </c>
      <c r="C568" s="4" t="s">
        <v>19</v>
      </c>
      <c r="D568" s="4" t="s">
        <v>16</v>
      </c>
      <c r="E568" s="4" t="s">
        <v>12</v>
      </c>
      <c r="F568" s="4">
        <v>15540858</v>
      </c>
      <c r="G568" s="4">
        <v>67423</v>
      </c>
      <c r="H568" s="4">
        <v>69122</v>
      </c>
      <c r="I568" s="6">
        <v>397679.03079407336</v>
      </c>
      <c r="J568" s="4"/>
      <c r="K568" s="4"/>
      <c r="L568" s="4"/>
      <c r="M568" s="4"/>
      <c r="N568" s="4"/>
      <c r="O568" s="4"/>
      <c r="P568" s="4"/>
      <c r="Q568" s="4"/>
      <c r="R568" s="4"/>
      <c r="S568" s="4"/>
      <c r="T568" s="4"/>
      <c r="U568" s="4"/>
      <c r="V568" s="4"/>
      <c r="W568" s="4"/>
      <c r="X568" s="4"/>
      <c r="Y568" s="4"/>
      <c r="Z568" s="4"/>
    </row>
    <row r="569" spans="1:26">
      <c r="A569" s="5">
        <v>43282</v>
      </c>
      <c r="B569" s="4" t="s">
        <v>9</v>
      </c>
      <c r="C569" s="4" t="s">
        <v>19</v>
      </c>
      <c r="D569" s="4" t="s">
        <v>16</v>
      </c>
      <c r="E569" s="4" t="s">
        <v>13</v>
      </c>
      <c r="F569" s="4">
        <v>145236</v>
      </c>
      <c r="G569" s="4">
        <v>2025</v>
      </c>
      <c r="H569" s="4">
        <v>34840</v>
      </c>
      <c r="I569" s="6">
        <v>53963.696602926568</v>
      </c>
      <c r="J569" s="4"/>
      <c r="K569" s="4"/>
      <c r="L569" s="4"/>
      <c r="M569" s="4"/>
      <c r="N569" s="4"/>
      <c r="O569" s="4"/>
      <c r="P569" s="4"/>
      <c r="Q569" s="4"/>
      <c r="R569" s="4"/>
      <c r="S569" s="4"/>
      <c r="T569" s="4"/>
      <c r="U569" s="4"/>
      <c r="V569" s="4"/>
      <c r="W569" s="4"/>
      <c r="X569" s="4"/>
      <c r="Y569" s="4"/>
      <c r="Z569" s="4"/>
    </row>
    <row r="570" spans="1:26">
      <c r="A570" s="5">
        <v>43282</v>
      </c>
      <c r="B570" s="4" t="s">
        <v>9</v>
      </c>
      <c r="C570" s="4" t="s">
        <v>19</v>
      </c>
      <c r="D570" s="4" t="s">
        <v>17</v>
      </c>
      <c r="E570" s="4" t="s">
        <v>12</v>
      </c>
      <c r="F570" s="4">
        <v>216763</v>
      </c>
      <c r="G570" s="4">
        <v>24328</v>
      </c>
      <c r="H570" s="4">
        <v>25118</v>
      </c>
      <c r="I570" s="6">
        <v>147470.16509215345</v>
      </c>
      <c r="J570" s="4"/>
      <c r="K570" s="4"/>
      <c r="L570" s="4"/>
      <c r="M570" s="4"/>
      <c r="N570" s="4"/>
      <c r="O570" s="4"/>
      <c r="P570" s="4"/>
      <c r="Q570" s="4"/>
      <c r="R570" s="4"/>
      <c r="S570" s="4"/>
      <c r="T570" s="4"/>
      <c r="U570" s="4"/>
      <c r="V570" s="4"/>
      <c r="W570" s="4"/>
      <c r="X570" s="4"/>
      <c r="Y570" s="4"/>
      <c r="Z570" s="4"/>
    </row>
    <row r="571" spans="1:26">
      <c r="A571" s="5">
        <v>43282</v>
      </c>
      <c r="B571" s="4" t="s">
        <v>9</v>
      </c>
      <c r="C571" s="4" t="s">
        <v>19</v>
      </c>
      <c r="D571" s="4" t="s">
        <v>17</v>
      </c>
      <c r="E571" s="4" t="s">
        <v>13</v>
      </c>
      <c r="F571" s="4">
        <v>1466</v>
      </c>
      <c r="G571" s="4">
        <v>663</v>
      </c>
      <c r="H571" s="4">
        <v>6679</v>
      </c>
      <c r="I571" s="6">
        <v>18228.849101387648</v>
      </c>
      <c r="J571" s="4"/>
      <c r="K571" s="4"/>
      <c r="L571" s="4"/>
      <c r="M571" s="4"/>
      <c r="N571" s="4"/>
      <c r="O571" s="4"/>
      <c r="P571" s="4"/>
      <c r="Q571" s="4"/>
      <c r="R571" s="4"/>
      <c r="S571" s="4"/>
      <c r="T571" s="4"/>
      <c r="U571" s="4"/>
      <c r="V571" s="4"/>
      <c r="W571" s="4"/>
      <c r="X571" s="4"/>
      <c r="Y571" s="4"/>
      <c r="Z571" s="4"/>
    </row>
    <row r="572" spans="1:26">
      <c r="A572" s="5">
        <v>43282</v>
      </c>
      <c r="B572" s="4" t="s">
        <v>20</v>
      </c>
      <c r="C572" s="4" t="s">
        <v>10</v>
      </c>
      <c r="D572" s="4" t="s">
        <v>11</v>
      </c>
      <c r="E572" s="4" t="s">
        <v>12</v>
      </c>
      <c r="F572" s="4">
        <v>2195027</v>
      </c>
      <c r="G572" s="4">
        <v>5107</v>
      </c>
      <c r="H572" s="4">
        <v>5788</v>
      </c>
      <c r="I572" s="6">
        <v>1362.1228130627114</v>
      </c>
      <c r="J572" s="4"/>
      <c r="K572" s="4"/>
      <c r="L572" s="4"/>
      <c r="M572" s="4"/>
      <c r="N572" s="4"/>
      <c r="O572" s="4"/>
      <c r="P572" s="4"/>
      <c r="Q572" s="4"/>
      <c r="R572" s="4"/>
      <c r="S572" s="4"/>
      <c r="T572" s="4"/>
      <c r="U572" s="4"/>
      <c r="V572" s="4"/>
      <c r="W572" s="4"/>
      <c r="X572" s="4"/>
      <c r="Y572" s="4"/>
      <c r="Z572" s="4"/>
    </row>
    <row r="573" spans="1:26">
      <c r="A573" s="5">
        <v>43282</v>
      </c>
      <c r="B573" s="4" t="s">
        <v>20</v>
      </c>
      <c r="C573" s="4" t="s">
        <v>10</v>
      </c>
      <c r="D573" s="4" t="s">
        <v>11</v>
      </c>
      <c r="E573" s="4" t="s">
        <v>13</v>
      </c>
      <c r="F573" s="4">
        <v>886</v>
      </c>
      <c r="G573" s="4">
        <v>23</v>
      </c>
      <c r="H573" s="4">
        <v>58</v>
      </c>
      <c r="I573" s="6">
        <v>12896.803838383838</v>
      </c>
      <c r="J573" s="4"/>
      <c r="K573" s="4"/>
      <c r="L573" s="4"/>
      <c r="M573" s="4"/>
      <c r="N573" s="4"/>
      <c r="O573" s="4"/>
      <c r="P573" s="4"/>
      <c r="Q573" s="4"/>
      <c r="R573" s="4"/>
      <c r="S573" s="4"/>
      <c r="T573" s="4"/>
      <c r="U573" s="4"/>
      <c r="V573" s="4"/>
      <c r="W573" s="4"/>
      <c r="X573" s="4"/>
      <c r="Y573" s="4"/>
      <c r="Z573" s="4"/>
    </row>
    <row r="574" spans="1:26">
      <c r="A574" s="5">
        <v>43282</v>
      </c>
      <c r="B574" s="4" t="s">
        <v>20</v>
      </c>
      <c r="C574" s="4" t="s">
        <v>10</v>
      </c>
      <c r="D574" s="4" t="s">
        <v>14</v>
      </c>
      <c r="E574" s="4" t="s">
        <v>12</v>
      </c>
      <c r="F574" s="4">
        <v>3975138</v>
      </c>
      <c r="G574" s="4">
        <v>9089</v>
      </c>
      <c r="H574" s="4">
        <v>9872</v>
      </c>
      <c r="I574" s="6">
        <v>1240.357893624494</v>
      </c>
      <c r="J574" s="4"/>
      <c r="K574" s="4"/>
      <c r="L574" s="4"/>
      <c r="M574" s="4"/>
      <c r="N574" s="4"/>
      <c r="O574" s="4"/>
      <c r="P574" s="4"/>
      <c r="Q574" s="4"/>
      <c r="R574" s="4"/>
      <c r="S574" s="4"/>
      <c r="T574" s="4"/>
      <c r="U574" s="4"/>
      <c r="V574" s="4"/>
      <c r="W574" s="4"/>
      <c r="X574" s="4"/>
      <c r="Y574" s="4"/>
      <c r="Z574" s="4"/>
    </row>
    <row r="575" spans="1:26">
      <c r="A575" s="5">
        <v>43282</v>
      </c>
      <c r="B575" s="4" t="s">
        <v>20</v>
      </c>
      <c r="C575" s="4" t="s">
        <v>10</v>
      </c>
      <c r="D575" s="4" t="s">
        <v>14</v>
      </c>
      <c r="E575" s="4" t="s">
        <v>13</v>
      </c>
      <c r="F575" s="4">
        <v>1912</v>
      </c>
      <c r="G575" s="4">
        <v>46</v>
      </c>
      <c r="H575" s="4">
        <v>193</v>
      </c>
      <c r="I575" s="6">
        <v>21618.742596551725</v>
      </c>
      <c r="J575" s="4"/>
      <c r="K575" s="4"/>
      <c r="L575" s="4"/>
      <c r="M575" s="4"/>
      <c r="N575" s="4"/>
      <c r="O575" s="4"/>
      <c r="P575" s="4"/>
      <c r="Q575" s="4"/>
      <c r="R575" s="4"/>
      <c r="S575" s="4"/>
      <c r="T575" s="4"/>
      <c r="U575" s="4"/>
      <c r="V575" s="4"/>
      <c r="W575" s="4"/>
      <c r="X575" s="4"/>
      <c r="Y575" s="4"/>
      <c r="Z575" s="4"/>
    </row>
    <row r="576" spans="1:26">
      <c r="A576" s="5">
        <v>43282</v>
      </c>
      <c r="B576" s="4" t="s">
        <v>20</v>
      </c>
      <c r="C576" s="4" t="s">
        <v>10</v>
      </c>
      <c r="D576" s="4" t="s">
        <v>15</v>
      </c>
      <c r="E576" s="4" t="s">
        <v>12</v>
      </c>
      <c r="F576" s="4">
        <v>993473</v>
      </c>
      <c r="G576" s="4">
        <v>2295</v>
      </c>
      <c r="H576" s="4">
        <v>2489</v>
      </c>
      <c r="I576" s="6">
        <v>397.03649440918713</v>
      </c>
      <c r="J576" s="4"/>
      <c r="K576" s="4"/>
      <c r="L576" s="4"/>
      <c r="M576" s="4"/>
      <c r="N576" s="4"/>
      <c r="O576" s="4"/>
      <c r="P576" s="4"/>
      <c r="Q576" s="4"/>
      <c r="R576" s="4"/>
      <c r="S576" s="4"/>
      <c r="T576" s="4"/>
      <c r="U576" s="4"/>
      <c r="V576" s="4"/>
      <c r="W576" s="4"/>
      <c r="X576" s="4"/>
      <c r="Y576" s="4"/>
      <c r="Z576" s="4"/>
    </row>
    <row r="577" spans="1:26">
      <c r="A577" s="5">
        <v>43282</v>
      </c>
      <c r="B577" s="4" t="s">
        <v>20</v>
      </c>
      <c r="C577" s="4" t="s">
        <v>10</v>
      </c>
      <c r="D577" s="4" t="s">
        <v>15</v>
      </c>
      <c r="E577" s="4" t="s">
        <v>13</v>
      </c>
      <c r="F577" s="4">
        <v>260</v>
      </c>
      <c r="G577" s="4">
        <v>8</v>
      </c>
      <c r="H577" s="4">
        <v>24</v>
      </c>
      <c r="I577" s="6">
        <v>2920.9250704225351</v>
      </c>
      <c r="J577" s="4"/>
      <c r="K577" s="4"/>
      <c r="L577" s="4"/>
      <c r="M577" s="4"/>
      <c r="N577" s="4"/>
      <c r="O577" s="4"/>
      <c r="P577" s="4"/>
      <c r="Q577" s="4"/>
      <c r="R577" s="4"/>
      <c r="S577" s="4"/>
      <c r="T577" s="4"/>
      <c r="U577" s="4"/>
      <c r="V577" s="4"/>
      <c r="W577" s="4"/>
      <c r="X577" s="4"/>
      <c r="Y577" s="4"/>
      <c r="Z577" s="4"/>
    </row>
    <row r="578" spans="1:26">
      <c r="A578" s="5">
        <v>43282</v>
      </c>
      <c r="B578" s="4" t="s">
        <v>20</v>
      </c>
      <c r="C578" s="4" t="s">
        <v>10</v>
      </c>
      <c r="D578" s="4" t="s">
        <v>16</v>
      </c>
      <c r="E578" s="4" t="s">
        <v>12</v>
      </c>
      <c r="F578" s="4">
        <v>10691322</v>
      </c>
      <c r="G578" s="4">
        <v>33105</v>
      </c>
      <c r="H578" s="4">
        <v>34769</v>
      </c>
      <c r="I578" s="6">
        <v>5863.622484219658</v>
      </c>
      <c r="J578" s="4"/>
      <c r="K578" s="4"/>
      <c r="L578" s="4"/>
      <c r="M578" s="4"/>
      <c r="N578" s="4"/>
      <c r="O578" s="4"/>
      <c r="P578" s="4"/>
      <c r="Q578" s="4"/>
      <c r="R578" s="4"/>
      <c r="S578" s="4"/>
      <c r="T578" s="4"/>
      <c r="U578" s="4"/>
      <c r="V578" s="4"/>
      <c r="W578" s="4"/>
      <c r="X578" s="4"/>
      <c r="Y578" s="4"/>
      <c r="Z578" s="4"/>
    </row>
    <row r="579" spans="1:26">
      <c r="A579" s="5">
        <v>43282</v>
      </c>
      <c r="B579" s="4" t="s">
        <v>20</v>
      </c>
      <c r="C579" s="4" t="s">
        <v>10</v>
      </c>
      <c r="D579" s="4" t="s">
        <v>16</v>
      </c>
      <c r="E579" s="4" t="s">
        <v>13</v>
      </c>
      <c r="F579" s="4">
        <v>5189</v>
      </c>
      <c r="G579" s="4">
        <v>223</v>
      </c>
      <c r="H579" s="4">
        <v>602</v>
      </c>
      <c r="I579" s="6">
        <v>98528.420073349625</v>
      </c>
      <c r="J579" s="4"/>
      <c r="K579" s="4"/>
      <c r="L579" s="4"/>
      <c r="M579" s="4"/>
      <c r="N579" s="4"/>
      <c r="O579" s="4"/>
      <c r="P579" s="4"/>
      <c r="Q579" s="4"/>
      <c r="R579" s="4"/>
      <c r="S579" s="4"/>
      <c r="T579" s="4"/>
      <c r="U579" s="4"/>
      <c r="V579" s="4"/>
      <c r="W579" s="4"/>
      <c r="X579" s="4"/>
      <c r="Y579" s="4"/>
      <c r="Z579" s="4"/>
    </row>
    <row r="580" spans="1:26">
      <c r="A580" s="5">
        <v>43282</v>
      </c>
      <c r="B580" s="4" t="s">
        <v>20</v>
      </c>
      <c r="C580" s="4" t="s">
        <v>10</v>
      </c>
      <c r="D580" s="4" t="s">
        <v>17</v>
      </c>
      <c r="E580" s="4" t="s">
        <v>12</v>
      </c>
      <c r="F580" s="4">
        <v>3387283</v>
      </c>
      <c r="G580" s="4">
        <v>11016</v>
      </c>
      <c r="H580" s="4">
        <v>11688</v>
      </c>
      <c r="I580" s="6">
        <v>1778.71677724605</v>
      </c>
      <c r="J580" s="4"/>
      <c r="K580" s="4"/>
      <c r="L580" s="4"/>
      <c r="M580" s="4"/>
      <c r="N580" s="4"/>
      <c r="O580" s="4"/>
      <c r="P580" s="4"/>
      <c r="Q580" s="4"/>
      <c r="R580" s="4"/>
      <c r="S580" s="4"/>
      <c r="T580" s="4"/>
      <c r="U580" s="4"/>
      <c r="V580" s="4"/>
      <c r="W580" s="4"/>
      <c r="X580" s="4"/>
      <c r="Y580" s="4"/>
      <c r="Z580" s="4"/>
    </row>
    <row r="581" spans="1:26">
      <c r="A581" s="5">
        <v>43282</v>
      </c>
      <c r="B581" s="4" t="s">
        <v>20</v>
      </c>
      <c r="C581" s="4" t="s">
        <v>10</v>
      </c>
      <c r="D581" s="4" t="s">
        <v>17</v>
      </c>
      <c r="E581" s="4" t="s">
        <v>13</v>
      </c>
      <c r="F581" s="4">
        <v>1754</v>
      </c>
      <c r="G581" s="4">
        <v>68</v>
      </c>
      <c r="H581" s="4">
        <v>215</v>
      </c>
      <c r="I581" s="6">
        <v>32695.701935483867</v>
      </c>
      <c r="J581" s="4"/>
      <c r="K581" s="4"/>
      <c r="L581" s="4"/>
      <c r="M581" s="4"/>
      <c r="N581" s="4"/>
      <c r="O581" s="4"/>
      <c r="P581" s="4"/>
      <c r="Q581" s="4"/>
      <c r="R581" s="4"/>
      <c r="S581" s="4"/>
      <c r="T581" s="4"/>
      <c r="U581" s="4"/>
      <c r="V581" s="4"/>
      <c r="W581" s="4"/>
      <c r="X581" s="4"/>
      <c r="Y581" s="4"/>
      <c r="Z581" s="4"/>
    </row>
    <row r="582" spans="1:26">
      <c r="A582" s="5">
        <v>43282</v>
      </c>
      <c r="B582" s="4" t="s">
        <v>20</v>
      </c>
      <c r="C582" s="4" t="s">
        <v>18</v>
      </c>
      <c r="D582" s="4" t="s">
        <v>11</v>
      </c>
      <c r="E582" s="4" t="s">
        <v>12</v>
      </c>
      <c r="F582" s="4">
        <v>2455722</v>
      </c>
      <c r="G582" s="4">
        <v>14443</v>
      </c>
      <c r="H582" s="4">
        <v>27832</v>
      </c>
      <c r="I582" s="6">
        <v>8561.6059500013562</v>
      </c>
      <c r="J582" s="4"/>
      <c r="K582" s="4"/>
      <c r="L582" s="4"/>
      <c r="M582" s="4"/>
      <c r="N582" s="4"/>
      <c r="O582" s="4"/>
      <c r="P582" s="4"/>
      <c r="Q582" s="4"/>
      <c r="R582" s="4"/>
      <c r="S582" s="4"/>
      <c r="T582" s="4"/>
      <c r="U582" s="4"/>
      <c r="V582" s="4"/>
      <c r="W582" s="4"/>
      <c r="X582" s="4"/>
      <c r="Y582" s="4"/>
      <c r="Z582" s="4"/>
    </row>
    <row r="583" spans="1:26">
      <c r="A583" s="5">
        <v>43282</v>
      </c>
      <c r="B583" s="4" t="s">
        <v>20</v>
      </c>
      <c r="C583" s="4" t="s">
        <v>18</v>
      </c>
      <c r="D583" s="4" t="s">
        <v>11</v>
      </c>
      <c r="E583" s="4" t="s">
        <v>13</v>
      </c>
      <c r="F583" s="4">
        <v>1265</v>
      </c>
      <c r="G583" s="4">
        <v>14</v>
      </c>
      <c r="H583" s="4">
        <v>24</v>
      </c>
      <c r="I583" s="6">
        <v>125.24640000000001</v>
      </c>
      <c r="J583" s="4"/>
      <c r="K583" s="4"/>
      <c r="L583" s="4"/>
      <c r="M583" s="4"/>
      <c r="N583" s="4"/>
      <c r="O583" s="4"/>
      <c r="P583" s="4"/>
      <c r="Q583" s="4"/>
      <c r="R583" s="4"/>
      <c r="S583" s="4"/>
      <c r="T583" s="4"/>
      <c r="U583" s="4"/>
      <c r="V583" s="4"/>
      <c r="W583" s="4"/>
      <c r="X583" s="4"/>
      <c r="Y583" s="4"/>
      <c r="Z583" s="4"/>
    </row>
    <row r="584" spans="1:26">
      <c r="A584" s="5">
        <v>43282</v>
      </c>
      <c r="B584" s="4" t="s">
        <v>20</v>
      </c>
      <c r="C584" s="4" t="s">
        <v>18</v>
      </c>
      <c r="D584" s="4" t="s">
        <v>14</v>
      </c>
      <c r="E584" s="4" t="s">
        <v>12</v>
      </c>
      <c r="F584" s="4">
        <v>4652248</v>
      </c>
      <c r="G584" s="4">
        <v>28503</v>
      </c>
      <c r="H584" s="4">
        <v>53287</v>
      </c>
      <c r="I584" s="6">
        <v>10875.562271260789</v>
      </c>
      <c r="J584" s="4"/>
      <c r="K584" s="4"/>
      <c r="L584" s="4"/>
      <c r="M584" s="4"/>
      <c r="N584" s="4"/>
      <c r="O584" s="4"/>
      <c r="P584" s="4"/>
      <c r="Q584" s="4"/>
      <c r="R584" s="4"/>
      <c r="S584" s="4"/>
      <c r="T584" s="4"/>
      <c r="U584" s="4"/>
      <c r="V584" s="4"/>
      <c r="W584" s="4"/>
      <c r="X584" s="4"/>
      <c r="Y584" s="4"/>
      <c r="Z584" s="4"/>
    </row>
    <row r="585" spans="1:26">
      <c r="A585" s="5">
        <v>43282</v>
      </c>
      <c r="B585" s="4" t="s">
        <v>20</v>
      </c>
      <c r="C585" s="4" t="s">
        <v>18</v>
      </c>
      <c r="D585" s="4" t="s">
        <v>14</v>
      </c>
      <c r="E585" s="4" t="s">
        <v>13</v>
      </c>
      <c r="F585" s="4">
        <v>2423</v>
      </c>
      <c r="G585" s="4">
        <v>26</v>
      </c>
      <c r="H585" s="4">
        <v>149</v>
      </c>
      <c r="I585" s="6">
        <v>250.48625198347105</v>
      </c>
      <c r="J585" s="4"/>
      <c r="K585" s="4"/>
      <c r="L585" s="4"/>
      <c r="M585" s="4"/>
      <c r="N585" s="4"/>
      <c r="O585" s="4"/>
      <c r="P585" s="4"/>
      <c r="Q585" s="4"/>
      <c r="R585" s="4"/>
      <c r="S585" s="4"/>
      <c r="T585" s="4"/>
      <c r="U585" s="4"/>
      <c r="V585" s="4"/>
      <c r="W585" s="4"/>
      <c r="X585" s="4"/>
      <c r="Y585" s="4"/>
      <c r="Z585" s="4"/>
    </row>
    <row r="586" spans="1:26">
      <c r="A586" s="5">
        <v>43282</v>
      </c>
      <c r="B586" s="4" t="s">
        <v>20</v>
      </c>
      <c r="C586" s="4" t="s">
        <v>18</v>
      </c>
      <c r="D586" s="4" t="s">
        <v>15</v>
      </c>
      <c r="E586" s="4" t="s">
        <v>12</v>
      </c>
      <c r="F586" s="4">
        <v>1468484</v>
      </c>
      <c r="G586" s="4">
        <v>9865</v>
      </c>
      <c r="H586" s="4">
        <v>18518</v>
      </c>
      <c r="I586" s="6">
        <v>3018.9035638406122</v>
      </c>
      <c r="J586" s="4"/>
      <c r="K586" s="4"/>
      <c r="L586" s="4"/>
      <c r="M586" s="4"/>
      <c r="N586" s="4"/>
      <c r="O586" s="4"/>
      <c r="P586" s="4"/>
      <c r="Q586" s="4"/>
      <c r="R586" s="4"/>
      <c r="S586" s="4"/>
      <c r="T586" s="4"/>
      <c r="U586" s="4"/>
      <c r="V586" s="4"/>
      <c r="W586" s="4"/>
      <c r="X586" s="4"/>
      <c r="Y586" s="4"/>
      <c r="Z586" s="4"/>
    </row>
    <row r="587" spans="1:26">
      <c r="A587" s="5">
        <v>43282</v>
      </c>
      <c r="B587" s="4" t="s">
        <v>20</v>
      </c>
      <c r="C587" s="4" t="s">
        <v>18</v>
      </c>
      <c r="D587" s="4" t="s">
        <v>15</v>
      </c>
      <c r="E587" s="4" t="s">
        <v>13</v>
      </c>
      <c r="F587" s="4">
        <v>507</v>
      </c>
      <c r="G587" s="4">
        <v>0</v>
      </c>
      <c r="H587" s="4">
        <v>0</v>
      </c>
      <c r="I587" s="6">
        <v>0</v>
      </c>
      <c r="J587" s="4"/>
      <c r="K587" s="4"/>
      <c r="L587" s="4"/>
      <c r="M587" s="4"/>
      <c r="N587" s="4"/>
      <c r="O587" s="4"/>
      <c r="P587" s="4"/>
      <c r="Q587" s="4"/>
      <c r="R587" s="4"/>
      <c r="S587" s="4"/>
      <c r="T587" s="4"/>
      <c r="U587" s="4"/>
      <c r="V587" s="4"/>
      <c r="W587" s="4"/>
      <c r="X587" s="4"/>
      <c r="Y587" s="4"/>
      <c r="Z587" s="4"/>
    </row>
    <row r="588" spans="1:26">
      <c r="A588" s="5">
        <v>43282</v>
      </c>
      <c r="B588" s="4" t="s">
        <v>20</v>
      </c>
      <c r="C588" s="4" t="s">
        <v>18</v>
      </c>
      <c r="D588" s="4" t="s">
        <v>16</v>
      </c>
      <c r="E588" s="4" t="s">
        <v>12</v>
      </c>
      <c r="F588" s="4">
        <v>21596408</v>
      </c>
      <c r="G588" s="4">
        <v>70562</v>
      </c>
      <c r="H588" s="4">
        <v>131427</v>
      </c>
      <c r="I588" s="6">
        <v>43366.671660058179</v>
      </c>
      <c r="J588" s="4"/>
      <c r="K588" s="4"/>
      <c r="L588" s="4"/>
      <c r="M588" s="4"/>
      <c r="N588" s="4"/>
      <c r="O588" s="4"/>
      <c r="P588" s="4"/>
      <c r="Q588" s="4"/>
      <c r="R588" s="4"/>
      <c r="S588" s="4"/>
      <c r="T588" s="4"/>
      <c r="U588" s="4"/>
      <c r="V588" s="4"/>
      <c r="W588" s="4"/>
      <c r="X588" s="4"/>
      <c r="Y588" s="4"/>
      <c r="Z588" s="4"/>
    </row>
    <row r="589" spans="1:26">
      <c r="A589" s="5">
        <v>43282</v>
      </c>
      <c r="B589" s="4" t="s">
        <v>20</v>
      </c>
      <c r="C589" s="4" t="s">
        <v>18</v>
      </c>
      <c r="D589" s="4" t="s">
        <v>16</v>
      </c>
      <c r="E589" s="4" t="s">
        <v>13</v>
      </c>
      <c r="F589" s="4">
        <v>26460</v>
      </c>
      <c r="G589" s="4">
        <v>85</v>
      </c>
      <c r="H589" s="4">
        <v>927</v>
      </c>
      <c r="I589" s="6">
        <v>1242.1585747303543</v>
      </c>
      <c r="J589" s="4"/>
      <c r="K589" s="4"/>
      <c r="L589" s="4"/>
      <c r="M589" s="4"/>
      <c r="N589" s="4"/>
      <c r="O589" s="4"/>
      <c r="P589" s="4"/>
      <c r="Q589" s="4"/>
      <c r="R589" s="4"/>
      <c r="S589" s="4"/>
      <c r="T589" s="4"/>
      <c r="U589" s="4"/>
      <c r="V589" s="4"/>
      <c r="W589" s="4"/>
      <c r="X589" s="4"/>
      <c r="Y589" s="4"/>
      <c r="Z589" s="4"/>
    </row>
    <row r="590" spans="1:26">
      <c r="A590" s="5">
        <v>43282</v>
      </c>
      <c r="B590" s="4" t="s">
        <v>20</v>
      </c>
      <c r="C590" s="4" t="s">
        <v>18</v>
      </c>
      <c r="D590" s="4" t="s">
        <v>17</v>
      </c>
      <c r="E590" s="4" t="s">
        <v>12</v>
      </c>
      <c r="F590" s="4">
        <v>3805080</v>
      </c>
      <c r="G590" s="4">
        <v>23821</v>
      </c>
      <c r="H590" s="4">
        <v>41846</v>
      </c>
      <c r="I590" s="6">
        <v>14263.569830978809</v>
      </c>
      <c r="J590" s="4"/>
      <c r="K590" s="4"/>
      <c r="L590" s="4"/>
      <c r="M590" s="4"/>
      <c r="N590" s="4"/>
      <c r="O590" s="4"/>
      <c r="P590" s="4"/>
      <c r="Q590" s="4"/>
      <c r="R590" s="4"/>
      <c r="S590" s="4"/>
      <c r="T590" s="4"/>
      <c r="U590" s="4"/>
      <c r="V590" s="4"/>
      <c r="W590" s="4"/>
      <c r="X590" s="4"/>
      <c r="Y590" s="4"/>
      <c r="Z590" s="4"/>
    </row>
    <row r="591" spans="1:26">
      <c r="A591" s="5">
        <v>43282</v>
      </c>
      <c r="B591" s="4" t="s">
        <v>20</v>
      </c>
      <c r="C591" s="4" t="s">
        <v>18</v>
      </c>
      <c r="D591" s="4" t="s">
        <v>17</v>
      </c>
      <c r="E591" s="4" t="s">
        <v>13</v>
      </c>
      <c r="F591" s="4">
        <v>1532</v>
      </c>
      <c r="G591" s="4">
        <v>18</v>
      </c>
      <c r="H591" s="4">
        <v>100</v>
      </c>
      <c r="I591" s="6">
        <v>62.472826086956523</v>
      </c>
      <c r="J591" s="4"/>
      <c r="K591" s="4"/>
      <c r="L591" s="4"/>
      <c r="M591" s="4"/>
      <c r="N591" s="4"/>
      <c r="O591" s="4"/>
      <c r="P591" s="4"/>
      <c r="Q591" s="4"/>
      <c r="R591" s="4"/>
      <c r="S591" s="4"/>
      <c r="T591" s="4"/>
      <c r="U591" s="4"/>
      <c r="V591" s="4"/>
      <c r="W591" s="4"/>
      <c r="X591" s="4"/>
      <c r="Y591" s="4"/>
      <c r="Z591" s="4"/>
    </row>
    <row r="592" spans="1:26">
      <c r="A592" s="5">
        <v>43282</v>
      </c>
      <c r="B592" s="4" t="s">
        <v>20</v>
      </c>
      <c r="C592" s="4" t="s">
        <v>19</v>
      </c>
      <c r="D592" s="4" t="s">
        <v>11</v>
      </c>
      <c r="E592" s="4" t="s">
        <v>12</v>
      </c>
      <c r="F592" s="4">
        <v>751263</v>
      </c>
      <c r="G592" s="4">
        <v>2275</v>
      </c>
      <c r="H592" s="4">
        <v>2447</v>
      </c>
      <c r="I592" s="6">
        <v>8568.8239858635516</v>
      </c>
      <c r="J592" s="4"/>
      <c r="K592" s="4"/>
      <c r="L592" s="4"/>
      <c r="M592" s="4"/>
      <c r="N592" s="4"/>
      <c r="O592" s="4"/>
      <c r="P592" s="4"/>
      <c r="Q592" s="4"/>
      <c r="R592" s="4"/>
      <c r="S592" s="4"/>
      <c r="T592" s="4"/>
      <c r="U592" s="4"/>
      <c r="V592" s="4"/>
      <c r="W592" s="4"/>
      <c r="X592" s="4"/>
      <c r="Y592" s="4"/>
      <c r="Z592" s="4"/>
    </row>
    <row r="593" spans="1:26">
      <c r="A593" s="5">
        <v>43282</v>
      </c>
      <c r="B593" s="4" t="s">
        <v>20</v>
      </c>
      <c r="C593" s="4" t="s">
        <v>19</v>
      </c>
      <c r="D593" s="4" t="s">
        <v>11</v>
      </c>
      <c r="E593" s="4" t="s">
        <v>13</v>
      </c>
      <c r="F593" s="4">
        <v>1020</v>
      </c>
      <c r="G593" s="4">
        <v>37</v>
      </c>
      <c r="H593" s="4">
        <v>218</v>
      </c>
      <c r="I593" s="6">
        <v>1026.8643452380952</v>
      </c>
      <c r="J593" s="4"/>
      <c r="K593" s="4"/>
      <c r="L593" s="4"/>
      <c r="M593" s="4"/>
      <c r="N593" s="4"/>
      <c r="O593" s="4"/>
      <c r="P593" s="4"/>
      <c r="Q593" s="4"/>
      <c r="R593" s="4"/>
      <c r="S593" s="4"/>
      <c r="T593" s="4"/>
      <c r="U593" s="4"/>
      <c r="V593" s="4"/>
      <c r="W593" s="4"/>
      <c r="X593" s="4"/>
      <c r="Y593" s="4"/>
      <c r="Z593" s="4"/>
    </row>
    <row r="594" spans="1:26">
      <c r="A594" s="5">
        <v>43282</v>
      </c>
      <c r="B594" s="4" t="s">
        <v>20</v>
      </c>
      <c r="C594" s="4" t="s">
        <v>19</v>
      </c>
      <c r="D594" s="4" t="s">
        <v>14</v>
      </c>
      <c r="E594" s="4" t="s">
        <v>12</v>
      </c>
      <c r="F594" s="4">
        <v>1767662</v>
      </c>
      <c r="G594" s="4">
        <v>5851</v>
      </c>
      <c r="H594" s="4">
        <v>5911</v>
      </c>
      <c r="I594" s="6">
        <v>18166.882616286479</v>
      </c>
      <c r="J594" s="4"/>
      <c r="K594" s="4"/>
      <c r="L594" s="4"/>
      <c r="M594" s="4"/>
      <c r="N594" s="4"/>
      <c r="O594" s="4"/>
      <c r="P594" s="4"/>
      <c r="Q594" s="4"/>
      <c r="R594" s="4"/>
      <c r="S594" s="4"/>
      <c r="T594" s="4"/>
      <c r="U594" s="4"/>
      <c r="V594" s="4"/>
      <c r="W594" s="4"/>
      <c r="X594" s="4"/>
      <c r="Y594" s="4"/>
      <c r="Z594" s="4"/>
    </row>
    <row r="595" spans="1:26">
      <c r="A595" s="5">
        <v>43282</v>
      </c>
      <c r="B595" s="4" t="s">
        <v>20</v>
      </c>
      <c r="C595" s="4" t="s">
        <v>19</v>
      </c>
      <c r="D595" s="4" t="s">
        <v>14</v>
      </c>
      <c r="E595" s="4" t="s">
        <v>13</v>
      </c>
      <c r="F595" s="4">
        <v>2667</v>
      </c>
      <c r="G595" s="4">
        <v>105</v>
      </c>
      <c r="H595" s="4">
        <v>435</v>
      </c>
      <c r="I595" s="6">
        <v>2055.0532958199356</v>
      </c>
      <c r="J595" s="4"/>
      <c r="K595" s="4"/>
      <c r="L595" s="4"/>
      <c r="M595" s="4"/>
      <c r="N595" s="4"/>
      <c r="O595" s="4"/>
      <c r="P595" s="4"/>
      <c r="Q595" s="4"/>
      <c r="R595" s="4"/>
      <c r="S595" s="4"/>
      <c r="T595" s="4"/>
      <c r="U595" s="4"/>
      <c r="V595" s="4"/>
      <c r="W595" s="4"/>
      <c r="X595" s="4"/>
      <c r="Y595" s="4"/>
      <c r="Z595" s="4"/>
    </row>
    <row r="596" spans="1:26">
      <c r="A596" s="5">
        <v>43282</v>
      </c>
      <c r="B596" s="4" t="s">
        <v>20</v>
      </c>
      <c r="C596" s="4" t="s">
        <v>19</v>
      </c>
      <c r="D596" s="4" t="s">
        <v>15</v>
      </c>
      <c r="E596" s="4" t="s">
        <v>12</v>
      </c>
      <c r="F596" s="4">
        <v>459555</v>
      </c>
      <c r="G596" s="4">
        <v>1588</v>
      </c>
      <c r="H596" s="4">
        <v>1609</v>
      </c>
      <c r="I596" s="6">
        <v>5833.7431949626862</v>
      </c>
      <c r="J596" s="4"/>
      <c r="K596" s="4"/>
      <c r="L596" s="4"/>
      <c r="M596" s="4"/>
      <c r="N596" s="4"/>
      <c r="O596" s="4"/>
      <c r="P596" s="4"/>
      <c r="Q596" s="4"/>
      <c r="R596" s="4"/>
      <c r="S596" s="4"/>
      <c r="T596" s="4"/>
      <c r="U596" s="4"/>
      <c r="V596" s="4"/>
      <c r="W596" s="4"/>
      <c r="X596" s="4"/>
      <c r="Y596" s="4"/>
      <c r="Z596" s="4"/>
    </row>
    <row r="597" spans="1:26">
      <c r="A597" s="5">
        <v>43282</v>
      </c>
      <c r="B597" s="4" t="s">
        <v>20</v>
      </c>
      <c r="C597" s="4" t="s">
        <v>19</v>
      </c>
      <c r="D597" s="4" t="s">
        <v>15</v>
      </c>
      <c r="E597" s="4" t="s">
        <v>13</v>
      </c>
      <c r="F597" s="4">
        <v>461</v>
      </c>
      <c r="G597" s="4">
        <v>13</v>
      </c>
      <c r="H597" s="4">
        <v>132</v>
      </c>
      <c r="I597" s="6">
        <v>181.99326315789475</v>
      </c>
      <c r="J597" s="4"/>
      <c r="K597" s="4"/>
      <c r="L597" s="4"/>
      <c r="M597" s="4"/>
      <c r="N597" s="4"/>
      <c r="O597" s="4"/>
      <c r="P597" s="4"/>
      <c r="Q597" s="4"/>
      <c r="R597" s="4"/>
      <c r="S597" s="4"/>
      <c r="T597" s="4"/>
      <c r="U597" s="4"/>
      <c r="V597" s="4"/>
      <c r="W597" s="4"/>
      <c r="X597" s="4"/>
      <c r="Y597" s="4"/>
      <c r="Z597" s="4"/>
    </row>
    <row r="598" spans="1:26">
      <c r="A598" s="5">
        <v>43282</v>
      </c>
      <c r="B598" s="4" t="s">
        <v>20</v>
      </c>
      <c r="C598" s="4" t="s">
        <v>19</v>
      </c>
      <c r="D598" s="4" t="s">
        <v>16</v>
      </c>
      <c r="E598" s="4" t="s">
        <v>12</v>
      </c>
      <c r="F598" s="4">
        <v>4127225</v>
      </c>
      <c r="G598" s="4">
        <v>11461</v>
      </c>
      <c r="H598" s="4">
        <v>11751</v>
      </c>
      <c r="I598" s="6">
        <v>54561.184260696646</v>
      </c>
      <c r="J598" s="4"/>
      <c r="K598" s="4"/>
      <c r="L598" s="4"/>
      <c r="M598" s="4"/>
      <c r="N598" s="4"/>
      <c r="O598" s="4"/>
      <c r="P598" s="4"/>
      <c r="Q598" s="4"/>
      <c r="R598" s="4"/>
      <c r="S598" s="4"/>
      <c r="T598" s="4"/>
      <c r="U598" s="4"/>
      <c r="V598" s="4"/>
      <c r="W598" s="4"/>
      <c r="X598" s="4"/>
      <c r="Y598" s="4"/>
      <c r="Z598" s="4"/>
    </row>
    <row r="599" spans="1:26">
      <c r="A599" s="5">
        <v>43282</v>
      </c>
      <c r="B599" s="4" t="s">
        <v>20</v>
      </c>
      <c r="C599" s="4" t="s">
        <v>19</v>
      </c>
      <c r="D599" s="4" t="s">
        <v>16</v>
      </c>
      <c r="E599" s="4" t="s">
        <v>13</v>
      </c>
      <c r="F599" s="4">
        <v>4099</v>
      </c>
      <c r="G599" s="4">
        <v>166</v>
      </c>
      <c r="H599" s="4">
        <v>851</v>
      </c>
      <c r="I599" s="6">
        <v>5140.8698887938399</v>
      </c>
      <c r="J599" s="4"/>
      <c r="K599" s="4"/>
      <c r="L599" s="4"/>
      <c r="M599" s="4"/>
      <c r="N599" s="4"/>
      <c r="O599" s="4"/>
      <c r="P599" s="4"/>
      <c r="Q599" s="4"/>
      <c r="R599" s="4"/>
      <c r="S599" s="4"/>
      <c r="T599" s="4"/>
      <c r="U599" s="4"/>
      <c r="V599" s="4"/>
      <c r="W599" s="4"/>
      <c r="X599" s="4"/>
      <c r="Y599" s="4"/>
      <c r="Z599" s="4"/>
    </row>
    <row r="600" spans="1:26">
      <c r="A600" s="5">
        <v>43282</v>
      </c>
      <c r="B600" s="4" t="s">
        <v>20</v>
      </c>
      <c r="C600" s="4" t="s">
        <v>19</v>
      </c>
      <c r="D600" s="4" t="s">
        <v>17</v>
      </c>
      <c r="E600" s="4" t="s">
        <v>12</v>
      </c>
      <c r="F600" s="4">
        <v>1261683</v>
      </c>
      <c r="G600" s="4">
        <v>4064</v>
      </c>
      <c r="H600" s="4">
        <v>4103</v>
      </c>
      <c r="I600" s="6">
        <v>16239.273413470362</v>
      </c>
      <c r="J600" s="4"/>
      <c r="K600" s="4"/>
      <c r="L600" s="4"/>
      <c r="M600" s="4"/>
      <c r="N600" s="4"/>
      <c r="O600" s="4"/>
      <c r="P600" s="4"/>
      <c r="Q600" s="4"/>
      <c r="R600" s="4"/>
      <c r="S600" s="4"/>
      <c r="T600" s="4"/>
      <c r="U600" s="4"/>
      <c r="V600" s="4"/>
      <c r="W600" s="4"/>
      <c r="X600" s="4"/>
      <c r="Y600" s="4"/>
      <c r="Z600" s="4"/>
    </row>
    <row r="601" spans="1:26">
      <c r="A601" s="5">
        <v>43282</v>
      </c>
      <c r="B601" s="4" t="s">
        <v>20</v>
      </c>
      <c r="C601" s="4" t="s">
        <v>19</v>
      </c>
      <c r="D601" s="4" t="s">
        <v>17</v>
      </c>
      <c r="E601" s="4" t="s">
        <v>13</v>
      </c>
      <c r="F601" s="4">
        <v>1466</v>
      </c>
      <c r="G601" s="4">
        <v>47</v>
      </c>
      <c r="H601" s="4">
        <v>555</v>
      </c>
      <c r="I601" s="6">
        <v>1207.6773539928486</v>
      </c>
      <c r="J601" s="4"/>
      <c r="K601" s="4"/>
      <c r="L601" s="4"/>
      <c r="M601" s="4"/>
      <c r="N601" s="4"/>
      <c r="O601" s="4"/>
      <c r="P601" s="4"/>
      <c r="Q601" s="4"/>
      <c r="R601" s="4"/>
      <c r="S601" s="4"/>
      <c r="T601" s="4"/>
      <c r="U601" s="4"/>
      <c r="V601" s="4"/>
      <c r="W601" s="4"/>
      <c r="X601" s="4"/>
      <c r="Y601" s="4"/>
      <c r="Z601" s="4"/>
    </row>
    <row r="602" spans="1:26">
      <c r="A602" s="5">
        <v>43282</v>
      </c>
      <c r="B602" s="4" t="s">
        <v>21</v>
      </c>
      <c r="C602" s="4" t="s">
        <v>10</v>
      </c>
      <c r="D602" s="4" t="s">
        <v>11</v>
      </c>
      <c r="E602" s="4" t="s">
        <v>12</v>
      </c>
      <c r="F602" s="4">
        <v>1315640</v>
      </c>
      <c r="G602" s="4">
        <v>10759</v>
      </c>
      <c r="H602" s="4">
        <v>13497</v>
      </c>
      <c r="I602" s="6">
        <v>20084.0417794594</v>
      </c>
      <c r="J602" s="4"/>
      <c r="K602" s="4"/>
      <c r="L602" s="4"/>
      <c r="M602" s="4"/>
      <c r="N602" s="4"/>
      <c r="O602" s="4"/>
      <c r="P602" s="4"/>
      <c r="Q602" s="4"/>
      <c r="R602" s="4"/>
      <c r="S602" s="4"/>
      <c r="T602" s="4"/>
      <c r="U602" s="4"/>
      <c r="V602" s="4"/>
      <c r="W602" s="4"/>
      <c r="X602" s="4"/>
      <c r="Y602" s="4"/>
      <c r="Z602" s="4"/>
    </row>
    <row r="603" spans="1:26">
      <c r="A603" s="5">
        <v>43282</v>
      </c>
      <c r="B603" s="4" t="s">
        <v>21</v>
      </c>
      <c r="C603" s="4" t="s">
        <v>10</v>
      </c>
      <c r="D603" s="4" t="s">
        <v>11</v>
      </c>
      <c r="E603" s="4" t="s">
        <v>13</v>
      </c>
      <c r="F603" s="4">
        <v>15801</v>
      </c>
      <c r="G603" s="4">
        <v>932</v>
      </c>
      <c r="H603" s="4">
        <v>15683</v>
      </c>
      <c r="I603" s="6">
        <v>86710.613274099553</v>
      </c>
      <c r="J603" s="4"/>
      <c r="K603" s="4"/>
      <c r="L603" s="4"/>
      <c r="M603" s="4"/>
      <c r="N603" s="4"/>
      <c r="O603" s="4"/>
      <c r="P603" s="4"/>
      <c r="Q603" s="4"/>
      <c r="R603" s="4"/>
      <c r="S603" s="4"/>
      <c r="T603" s="4"/>
      <c r="U603" s="4"/>
      <c r="V603" s="4"/>
      <c r="W603" s="4"/>
      <c r="X603" s="4"/>
      <c r="Y603" s="4"/>
      <c r="Z603" s="4"/>
    </row>
    <row r="604" spans="1:26">
      <c r="A604" s="5">
        <v>43282</v>
      </c>
      <c r="B604" s="4" t="s">
        <v>21</v>
      </c>
      <c r="C604" s="4" t="s">
        <v>10</v>
      </c>
      <c r="D604" s="4" t="s">
        <v>14</v>
      </c>
      <c r="E604" s="4" t="s">
        <v>12</v>
      </c>
      <c r="F604" s="4">
        <v>2021913</v>
      </c>
      <c r="G604" s="4">
        <v>12510</v>
      </c>
      <c r="H604" s="4">
        <v>14256</v>
      </c>
      <c r="I604" s="6">
        <v>30292.899441624366</v>
      </c>
      <c r="J604" s="4"/>
      <c r="K604" s="4"/>
      <c r="L604" s="4"/>
      <c r="M604" s="4"/>
      <c r="N604" s="4"/>
      <c r="O604" s="4"/>
      <c r="P604" s="4"/>
      <c r="Q604" s="4"/>
      <c r="R604" s="4"/>
      <c r="S604" s="4"/>
      <c r="T604" s="4"/>
      <c r="U604" s="4"/>
      <c r="V604" s="4"/>
      <c r="W604" s="4"/>
      <c r="X604" s="4"/>
      <c r="Y604" s="4"/>
      <c r="Z604" s="4"/>
    </row>
    <row r="605" spans="1:26">
      <c r="A605" s="5">
        <v>43282</v>
      </c>
      <c r="B605" s="4" t="s">
        <v>21</v>
      </c>
      <c r="C605" s="4" t="s">
        <v>10</v>
      </c>
      <c r="D605" s="4" t="s">
        <v>14</v>
      </c>
      <c r="E605" s="4" t="s">
        <v>13</v>
      </c>
      <c r="F605" s="4">
        <v>19123</v>
      </c>
      <c r="G605" s="4">
        <v>1226</v>
      </c>
      <c r="H605" s="4">
        <v>16850</v>
      </c>
      <c r="I605" s="6">
        <v>102673.62703713599</v>
      </c>
      <c r="J605" s="4"/>
      <c r="K605" s="4"/>
      <c r="L605" s="4"/>
      <c r="M605" s="4"/>
      <c r="N605" s="4"/>
      <c r="O605" s="4"/>
      <c r="P605" s="4"/>
      <c r="Q605" s="4"/>
      <c r="R605" s="4"/>
      <c r="S605" s="4"/>
      <c r="T605" s="4"/>
      <c r="U605" s="4"/>
      <c r="V605" s="4"/>
      <c r="W605" s="4"/>
      <c r="X605" s="4"/>
      <c r="Y605" s="4"/>
      <c r="Z605" s="4"/>
    </row>
    <row r="606" spans="1:26">
      <c r="A606" s="5">
        <v>43282</v>
      </c>
      <c r="B606" s="4" t="s">
        <v>21</v>
      </c>
      <c r="C606" s="4" t="s">
        <v>10</v>
      </c>
      <c r="D606" s="4" t="s">
        <v>15</v>
      </c>
      <c r="E606" s="4" t="s">
        <v>12</v>
      </c>
      <c r="F606" s="4">
        <v>537011</v>
      </c>
      <c r="G606" s="4">
        <v>3452</v>
      </c>
      <c r="H606" s="4">
        <v>4052</v>
      </c>
      <c r="I606" s="6">
        <v>7460.6640654031953</v>
      </c>
      <c r="J606" s="4"/>
      <c r="K606" s="4"/>
      <c r="L606" s="4"/>
      <c r="M606" s="4"/>
      <c r="N606" s="4"/>
      <c r="O606" s="4"/>
      <c r="P606" s="4"/>
      <c r="Q606" s="4"/>
      <c r="R606" s="4"/>
      <c r="S606" s="4"/>
      <c r="T606" s="4"/>
      <c r="U606" s="4"/>
      <c r="V606" s="4"/>
      <c r="W606" s="4"/>
      <c r="X606" s="4"/>
      <c r="Y606" s="4"/>
      <c r="Z606" s="4"/>
    </row>
    <row r="607" spans="1:26">
      <c r="A607" s="5">
        <v>43282</v>
      </c>
      <c r="B607" s="4" t="s">
        <v>21</v>
      </c>
      <c r="C607" s="4" t="s">
        <v>10</v>
      </c>
      <c r="D607" s="4" t="s">
        <v>15</v>
      </c>
      <c r="E607" s="4" t="s">
        <v>13</v>
      </c>
      <c r="F607" s="4">
        <v>4698</v>
      </c>
      <c r="G607" s="4">
        <v>309</v>
      </c>
      <c r="H607" s="4">
        <v>3363</v>
      </c>
      <c r="I607" s="6">
        <v>24677.171964481477</v>
      </c>
      <c r="J607" s="4"/>
      <c r="K607" s="4"/>
      <c r="L607" s="4"/>
      <c r="M607" s="4"/>
      <c r="N607" s="4"/>
      <c r="O607" s="4"/>
      <c r="P607" s="4"/>
      <c r="Q607" s="4"/>
      <c r="R607" s="4"/>
      <c r="S607" s="4"/>
      <c r="T607" s="4"/>
      <c r="U607" s="4"/>
      <c r="V607" s="4"/>
      <c r="W607" s="4"/>
      <c r="X607" s="4"/>
      <c r="Y607" s="4"/>
      <c r="Z607" s="4"/>
    </row>
    <row r="608" spans="1:26">
      <c r="A608" s="5">
        <v>43282</v>
      </c>
      <c r="B608" s="4" t="s">
        <v>21</v>
      </c>
      <c r="C608" s="4" t="s">
        <v>10</v>
      </c>
      <c r="D608" s="4" t="s">
        <v>16</v>
      </c>
      <c r="E608" s="4" t="s">
        <v>12</v>
      </c>
      <c r="F608" s="4">
        <v>6847771</v>
      </c>
      <c r="G608" s="4">
        <v>57009</v>
      </c>
      <c r="H608" s="4">
        <v>63139</v>
      </c>
      <c r="I608" s="6">
        <v>155056.80401029537</v>
      </c>
      <c r="J608" s="4"/>
      <c r="K608" s="4"/>
      <c r="L608" s="4"/>
      <c r="M608" s="4"/>
      <c r="N608" s="4"/>
      <c r="O608" s="4"/>
      <c r="P608" s="4"/>
      <c r="Q608" s="4"/>
      <c r="R608" s="4"/>
      <c r="S608" s="4"/>
      <c r="T608" s="4"/>
      <c r="U608" s="4"/>
      <c r="V608" s="4"/>
      <c r="W608" s="4"/>
      <c r="X608" s="4"/>
      <c r="Y608" s="4"/>
      <c r="Z608" s="4"/>
    </row>
    <row r="609" spans="1:26">
      <c r="A609" s="5">
        <v>43282</v>
      </c>
      <c r="B609" s="4" t="s">
        <v>21</v>
      </c>
      <c r="C609" s="4" t="s">
        <v>10</v>
      </c>
      <c r="D609" s="4" t="s">
        <v>16</v>
      </c>
      <c r="E609" s="4" t="s">
        <v>13</v>
      </c>
      <c r="F609" s="4">
        <v>84075</v>
      </c>
      <c r="G609" s="4">
        <v>6018</v>
      </c>
      <c r="H609" s="4">
        <v>86701</v>
      </c>
      <c r="I609" s="6">
        <v>487590.94810919074</v>
      </c>
      <c r="J609" s="4"/>
      <c r="K609" s="4"/>
      <c r="L609" s="4"/>
      <c r="M609" s="4"/>
      <c r="N609" s="4"/>
      <c r="O609" s="4"/>
      <c r="P609" s="4"/>
      <c r="Q609" s="4"/>
      <c r="R609" s="4"/>
      <c r="S609" s="4"/>
      <c r="T609" s="4"/>
      <c r="U609" s="4"/>
      <c r="V609" s="4"/>
      <c r="W609" s="4"/>
      <c r="X609" s="4"/>
      <c r="Y609" s="4"/>
      <c r="Z609" s="4"/>
    </row>
    <row r="610" spans="1:26">
      <c r="A610" s="5">
        <v>43282</v>
      </c>
      <c r="B610" s="4" t="s">
        <v>21</v>
      </c>
      <c r="C610" s="4" t="s">
        <v>10</v>
      </c>
      <c r="D610" s="4" t="s">
        <v>17</v>
      </c>
      <c r="E610" s="4" t="s">
        <v>12</v>
      </c>
      <c r="F610" s="4">
        <v>2239889</v>
      </c>
      <c r="G610" s="4">
        <v>23667</v>
      </c>
      <c r="H610" s="4">
        <v>25839</v>
      </c>
      <c r="I610" s="6">
        <v>63928.312953689929</v>
      </c>
      <c r="J610" s="4"/>
      <c r="K610" s="4"/>
      <c r="L610" s="4"/>
      <c r="M610" s="4"/>
      <c r="N610" s="4"/>
      <c r="O610" s="4"/>
      <c r="P610" s="4"/>
      <c r="Q610" s="4"/>
      <c r="R610" s="4"/>
      <c r="S610" s="4"/>
      <c r="T610" s="4"/>
      <c r="U610" s="4"/>
      <c r="V610" s="4"/>
      <c r="W610" s="4"/>
      <c r="X610" s="4"/>
      <c r="Y610" s="4"/>
      <c r="Z610" s="4"/>
    </row>
    <row r="611" spans="1:26">
      <c r="A611" s="5">
        <v>43282</v>
      </c>
      <c r="B611" s="4" t="s">
        <v>21</v>
      </c>
      <c r="C611" s="4" t="s">
        <v>10</v>
      </c>
      <c r="D611" s="4" t="s">
        <v>17</v>
      </c>
      <c r="E611" s="4" t="s">
        <v>13</v>
      </c>
      <c r="F611" s="4">
        <v>32122</v>
      </c>
      <c r="G611" s="4">
        <v>2661</v>
      </c>
      <c r="H611" s="4">
        <v>38465</v>
      </c>
      <c r="I611" s="6">
        <v>210634.34</v>
      </c>
      <c r="J611" s="4"/>
      <c r="K611" s="4"/>
      <c r="L611" s="4"/>
      <c r="M611" s="4"/>
      <c r="N611" s="4"/>
      <c r="O611" s="4"/>
      <c r="P611" s="4"/>
      <c r="Q611" s="4"/>
      <c r="R611" s="4"/>
      <c r="S611" s="4"/>
      <c r="T611" s="4"/>
      <c r="U611" s="4"/>
      <c r="V611" s="4"/>
      <c r="W611" s="4"/>
      <c r="X611" s="4"/>
      <c r="Y611" s="4"/>
      <c r="Z611" s="4"/>
    </row>
    <row r="612" spans="1:26">
      <c r="A612" s="5">
        <v>43282</v>
      </c>
      <c r="B612" s="4" t="s">
        <v>21</v>
      </c>
      <c r="C612" s="4" t="s">
        <v>18</v>
      </c>
      <c r="D612" s="4" t="s">
        <v>11</v>
      </c>
      <c r="E612" s="4" t="s">
        <v>12</v>
      </c>
      <c r="F612" s="4">
        <v>1538186</v>
      </c>
      <c r="G612" s="4">
        <v>27843</v>
      </c>
      <c r="H612" s="4">
        <v>121129</v>
      </c>
      <c r="I612" s="6">
        <v>64551.489478808719</v>
      </c>
      <c r="J612" s="4"/>
      <c r="K612" s="4"/>
      <c r="L612" s="4"/>
      <c r="M612" s="4"/>
      <c r="N612" s="4"/>
      <c r="O612" s="4"/>
      <c r="P612" s="4"/>
      <c r="Q612" s="4"/>
      <c r="R612" s="4"/>
      <c r="S612" s="4"/>
      <c r="T612" s="4"/>
      <c r="U612" s="4"/>
      <c r="V612" s="4"/>
      <c r="W612" s="4"/>
      <c r="X612" s="4"/>
      <c r="Y612" s="4"/>
      <c r="Z612" s="4"/>
    </row>
    <row r="613" spans="1:26">
      <c r="A613" s="5">
        <v>43282</v>
      </c>
      <c r="B613" s="4" t="s">
        <v>21</v>
      </c>
      <c r="C613" s="4" t="s">
        <v>18</v>
      </c>
      <c r="D613" s="4" t="s">
        <v>11</v>
      </c>
      <c r="E613" s="4" t="s">
        <v>13</v>
      </c>
      <c r="F613" s="4">
        <v>10851</v>
      </c>
      <c r="G613" s="4">
        <v>321</v>
      </c>
      <c r="H613" s="4">
        <v>14231</v>
      </c>
      <c r="I613" s="6">
        <v>11249.997128007901</v>
      </c>
      <c r="J613" s="4"/>
      <c r="K613" s="4"/>
      <c r="L613" s="4"/>
      <c r="M613" s="4"/>
      <c r="N613" s="4"/>
      <c r="O613" s="4"/>
      <c r="P613" s="4"/>
      <c r="Q613" s="4"/>
      <c r="R613" s="4"/>
      <c r="S613" s="4"/>
      <c r="T613" s="4"/>
      <c r="U613" s="4"/>
      <c r="V613" s="4"/>
      <c r="W613" s="4"/>
      <c r="X613" s="4"/>
      <c r="Y613" s="4"/>
      <c r="Z613" s="4"/>
    </row>
    <row r="614" spans="1:26">
      <c r="A614" s="5">
        <v>43282</v>
      </c>
      <c r="B614" s="4" t="s">
        <v>21</v>
      </c>
      <c r="C614" s="4" t="s">
        <v>18</v>
      </c>
      <c r="D614" s="4" t="s">
        <v>14</v>
      </c>
      <c r="E614" s="4" t="s">
        <v>12</v>
      </c>
      <c r="F614" s="4">
        <v>2414361</v>
      </c>
      <c r="G614" s="4">
        <v>39686</v>
      </c>
      <c r="H614" s="4">
        <v>148625</v>
      </c>
      <c r="I614" s="6">
        <v>71271.736704840107</v>
      </c>
      <c r="J614" s="4"/>
      <c r="K614" s="4"/>
      <c r="L614" s="4"/>
      <c r="M614" s="4"/>
      <c r="N614" s="4"/>
      <c r="O614" s="4"/>
      <c r="P614" s="4"/>
      <c r="Q614" s="4"/>
      <c r="R614" s="4"/>
      <c r="S614" s="4"/>
      <c r="T614" s="4"/>
      <c r="U614" s="4"/>
      <c r="V614" s="4"/>
      <c r="W614" s="4"/>
      <c r="X614" s="4"/>
      <c r="Y614" s="4"/>
      <c r="Z614" s="4"/>
    </row>
    <row r="615" spans="1:26">
      <c r="A615" s="5">
        <v>43282</v>
      </c>
      <c r="B615" s="4" t="s">
        <v>21</v>
      </c>
      <c r="C615" s="4" t="s">
        <v>18</v>
      </c>
      <c r="D615" s="4" t="s">
        <v>14</v>
      </c>
      <c r="E615" s="4" t="s">
        <v>13</v>
      </c>
      <c r="F615" s="4">
        <v>14108</v>
      </c>
      <c r="G615" s="4">
        <v>366</v>
      </c>
      <c r="H615" s="4">
        <v>8792</v>
      </c>
      <c r="I615" s="6">
        <v>11083.721827411167</v>
      </c>
      <c r="J615" s="4"/>
      <c r="K615" s="4"/>
      <c r="L615" s="4"/>
      <c r="M615" s="4"/>
      <c r="N615" s="4"/>
      <c r="O615" s="4"/>
      <c r="P615" s="4"/>
      <c r="Q615" s="4"/>
      <c r="R615" s="4"/>
      <c r="S615" s="4"/>
      <c r="T615" s="4"/>
      <c r="U615" s="4"/>
      <c r="V615" s="4"/>
      <c r="W615" s="4"/>
      <c r="X615" s="4"/>
      <c r="Y615" s="4"/>
      <c r="Z615" s="4"/>
    </row>
    <row r="616" spans="1:26">
      <c r="A616" s="5">
        <v>43282</v>
      </c>
      <c r="B616" s="4" t="s">
        <v>21</v>
      </c>
      <c r="C616" s="4" t="s">
        <v>18</v>
      </c>
      <c r="D616" s="4" t="s">
        <v>15</v>
      </c>
      <c r="E616" s="4" t="s">
        <v>12</v>
      </c>
      <c r="F616" s="4">
        <v>833961</v>
      </c>
      <c r="G616" s="4">
        <v>12444</v>
      </c>
      <c r="H616" s="4">
        <v>59447</v>
      </c>
      <c r="I616" s="6">
        <v>18942.575835647353</v>
      </c>
      <c r="J616" s="4"/>
      <c r="K616" s="4"/>
      <c r="L616" s="4"/>
      <c r="M616" s="4"/>
      <c r="N616" s="4"/>
      <c r="O616" s="4"/>
      <c r="P616" s="4"/>
      <c r="Q616" s="4"/>
      <c r="R616" s="4"/>
      <c r="S616" s="4"/>
      <c r="T616" s="4"/>
      <c r="U616" s="4"/>
      <c r="V616" s="4"/>
      <c r="W616" s="4"/>
      <c r="X616" s="4"/>
      <c r="Y616" s="4"/>
      <c r="Z616" s="4"/>
    </row>
    <row r="617" spans="1:26">
      <c r="A617" s="5">
        <v>43282</v>
      </c>
      <c r="B617" s="4" t="s">
        <v>21</v>
      </c>
      <c r="C617" s="4" t="s">
        <v>18</v>
      </c>
      <c r="D617" s="4" t="s">
        <v>15</v>
      </c>
      <c r="E617" s="4" t="s">
        <v>13</v>
      </c>
      <c r="F617" s="4">
        <v>4317</v>
      </c>
      <c r="G617" s="4">
        <v>134</v>
      </c>
      <c r="H617" s="4">
        <v>3491</v>
      </c>
      <c r="I617" s="6">
        <v>1906.0161514904044</v>
      </c>
      <c r="J617" s="4"/>
      <c r="K617" s="4"/>
      <c r="L617" s="4"/>
      <c r="M617" s="4"/>
      <c r="N617" s="4"/>
      <c r="O617" s="4"/>
      <c r="P617" s="4"/>
      <c r="Q617" s="4"/>
      <c r="R617" s="4"/>
      <c r="S617" s="4"/>
      <c r="T617" s="4"/>
      <c r="U617" s="4"/>
      <c r="V617" s="4"/>
      <c r="W617" s="4"/>
      <c r="X617" s="4"/>
      <c r="Y617" s="4"/>
      <c r="Z617" s="4"/>
    </row>
    <row r="618" spans="1:26">
      <c r="A618" s="5">
        <v>43282</v>
      </c>
      <c r="B618" s="4" t="s">
        <v>21</v>
      </c>
      <c r="C618" s="4" t="s">
        <v>18</v>
      </c>
      <c r="D618" s="4" t="s">
        <v>16</v>
      </c>
      <c r="E618" s="4" t="s">
        <v>12</v>
      </c>
      <c r="F618" s="4">
        <v>21147305</v>
      </c>
      <c r="G618" s="4">
        <v>121163</v>
      </c>
      <c r="H618" s="4">
        <v>433095</v>
      </c>
      <c r="I618" s="6">
        <v>274310.92190569232</v>
      </c>
      <c r="J618" s="4"/>
      <c r="K618" s="4"/>
      <c r="L618" s="4"/>
      <c r="M618" s="4"/>
      <c r="N618" s="4"/>
      <c r="O618" s="4"/>
      <c r="P618" s="4"/>
      <c r="Q618" s="4"/>
      <c r="R618" s="4"/>
      <c r="S618" s="4"/>
      <c r="T618" s="4"/>
      <c r="U618" s="4"/>
      <c r="V618" s="4"/>
      <c r="W618" s="4"/>
      <c r="X618" s="4"/>
      <c r="Y618" s="4"/>
      <c r="Z618" s="4"/>
    </row>
    <row r="619" spans="1:26">
      <c r="A619" s="5">
        <v>43282</v>
      </c>
      <c r="B619" s="4" t="s">
        <v>21</v>
      </c>
      <c r="C619" s="4" t="s">
        <v>18</v>
      </c>
      <c r="D619" s="4" t="s">
        <v>16</v>
      </c>
      <c r="E619" s="4" t="s">
        <v>13</v>
      </c>
      <c r="F619" s="4">
        <v>556947</v>
      </c>
      <c r="G619" s="4">
        <v>1275</v>
      </c>
      <c r="H619" s="4">
        <v>44668</v>
      </c>
      <c r="I619" s="6">
        <v>33104.83943450082</v>
      </c>
      <c r="J619" s="4"/>
      <c r="K619" s="4"/>
      <c r="L619" s="4"/>
      <c r="M619" s="4"/>
      <c r="N619" s="4"/>
      <c r="O619" s="4"/>
      <c r="P619" s="4"/>
      <c r="Q619" s="4"/>
      <c r="R619" s="4"/>
      <c r="S619" s="4"/>
      <c r="T619" s="4"/>
      <c r="U619" s="4"/>
      <c r="V619" s="4"/>
      <c r="W619" s="4"/>
      <c r="X619" s="4"/>
      <c r="Y619" s="4"/>
      <c r="Z619" s="4"/>
    </row>
    <row r="620" spans="1:26">
      <c r="A620" s="5">
        <v>43282</v>
      </c>
      <c r="B620" s="4" t="s">
        <v>21</v>
      </c>
      <c r="C620" s="4" t="s">
        <v>18</v>
      </c>
      <c r="D620" s="4" t="s">
        <v>17</v>
      </c>
      <c r="E620" s="4" t="s">
        <v>12</v>
      </c>
      <c r="F620" s="4">
        <v>2807008</v>
      </c>
      <c r="G620" s="4">
        <v>44230</v>
      </c>
      <c r="H620" s="4">
        <v>145807</v>
      </c>
      <c r="I620" s="6">
        <v>104001.20326516574</v>
      </c>
      <c r="J620" s="4"/>
      <c r="K620" s="4"/>
      <c r="L620" s="4"/>
      <c r="M620" s="4"/>
      <c r="N620" s="4"/>
      <c r="O620" s="4"/>
      <c r="P620" s="4"/>
      <c r="Q620" s="4"/>
      <c r="R620" s="4"/>
      <c r="S620" s="4"/>
      <c r="T620" s="4"/>
      <c r="U620" s="4"/>
      <c r="V620" s="4"/>
      <c r="W620" s="4"/>
      <c r="X620" s="4"/>
      <c r="Y620" s="4"/>
      <c r="Z620" s="4"/>
    </row>
    <row r="621" spans="1:26">
      <c r="A621" s="5">
        <v>43282</v>
      </c>
      <c r="B621" s="4" t="s">
        <v>21</v>
      </c>
      <c r="C621" s="4" t="s">
        <v>18</v>
      </c>
      <c r="D621" s="4" t="s">
        <v>17</v>
      </c>
      <c r="E621" s="4" t="s">
        <v>13</v>
      </c>
      <c r="F621" s="4">
        <v>25413</v>
      </c>
      <c r="G621" s="4">
        <v>615</v>
      </c>
      <c r="H621" s="4">
        <v>23110</v>
      </c>
      <c r="I621" s="6">
        <v>18564.484680630645</v>
      </c>
      <c r="J621" s="4"/>
      <c r="K621" s="4"/>
      <c r="L621" s="4"/>
      <c r="M621" s="4"/>
      <c r="N621" s="4"/>
      <c r="O621" s="4"/>
      <c r="P621" s="4"/>
      <c r="Q621" s="4"/>
      <c r="R621" s="4"/>
      <c r="S621" s="4"/>
      <c r="T621" s="4"/>
      <c r="U621" s="4"/>
      <c r="V621" s="4"/>
      <c r="W621" s="4"/>
      <c r="X621" s="4"/>
      <c r="Y621" s="4"/>
      <c r="Z621" s="4"/>
    </row>
    <row r="622" spans="1:26">
      <c r="A622" s="5">
        <v>43282</v>
      </c>
      <c r="B622" s="4" t="s">
        <v>21</v>
      </c>
      <c r="C622" s="4" t="s">
        <v>19</v>
      </c>
      <c r="D622" s="4" t="s">
        <v>11</v>
      </c>
      <c r="E622" s="4" t="s">
        <v>12</v>
      </c>
      <c r="F622" s="4">
        <v>532174</v>
      </c>
      <c r="G622" s="4">
        <v>7515</v>
      </c>
      <c r="H622" s="4">
        <v>7787</v>
      </c>
      <c r="I622" s="6">
        <v>82532.974982578395</v>
      </c>
      <c r="J622" s="4"/>
      <c r="K622" s="4"/>
      <c r="L622" s="4"/>
      <c r="M622" s="4"/>
      <c r="N622" s="4"/>
      <c r="O622" s="4"/>
      <c r="P622" s="4"/>
      <c r="Q622" s="4"/>
      <c r="R622" s="4"/>
      <c r="S622" s="4"/>
      <c r="T622" s="4"/>
      <c r="U622" s="4"/>
      <c r="V622" s="4"/>
      <c r="W622" s="4"/>
      <c r="X622" s="4"/>
      <c r="Y622" s="4"/>
      <c r="Z622" s="4"/>
    </row>
    <row r="623" spans="1:26">
      <c r="A623" s="5">
        <v>43282</v>
      </c>
      <c r="B623" s="4" t="s">
        <v>21</v>
      </c>
      <c r="C623" s="4" t="s">
        <v>19</v>
      </c>
      <c r="D623" s="4" t="s">
        <v>11</v>
      </c>
      <c r="E623" s="4" t="s">
        <v>13</v>
      </c>
      <c r="F623" s="4">
        <v>13927</v>
      </c>
      <c r="G623" s="4">
        <v>1209</v>
      </c>
      <c r="H623" s="4">
        <v>35575</v>
      </c>
      <c r="I623" s="6">
        <v>20295.592249230507</v>
      </c>
      <c r="J623" s="4"/>
      <c r="K623" s="4"/>
      <c r="L623" s="4"/>
      <c r="M623" s="4"/>
      <c r="N623" s="4"/>
      <c r="O623" s="4"/>
      <c r="P623" s="4"/>
      <c r="Q623" s="4"/>
      <c r="R623" s="4"/>
      <c r="S623" s="4"/>
      <c r="T623" s="4"/>
      <c r="U623" s="4"/>
      <c r="V623" s="4"/>
      <c r="W623" s="4"/>
      <c r="X623" s="4"/>
      <c r="Y623" s="4"/>
      <c r="Z623" s="4"/>
    </row>
    <row r="624" spans="1:26">
      <c r="A624" s="5">
        <v>43282</v>
      </c>
      <c r="B624" s="4" t="s">
        <v>21</v>
      </c>
      <c r="C624" s="4" t="s">
        <v>19</v>
      </c>
      <c r="D624" s="4" t="s">
        <v>14</v>
      </c>
      <c r="E624" s="4" t="s">
        <v>12</v>
      </c>
      <c r="F624" s="4">
        <v>956303</v>
      </c>
      <c r="G624" s="4">
        <v>14998</v>
      </c>
      <c r="H624" s="4">
        <v>16161</v>
      </c>
      <c r="I624" s="6">
        <v>150269.16998320504</v>
      </c>
      <c r="J624" s="4"/>
      <c r="K624" s="4"/>
      <c r="L624" s="4"/>
      <c r="M624" s="4"/>
      <c r="N624" s="4"/>
      <c r="O624" s="4"/>
      <c r="P624" s="4"/>
      <c r="Q624" s="4"/>
      <c r="R624" s="4"/>
      <c r="S624" s="4"/>
      <c r="T624" s="4"/>
      <c r="U624" s="4"/>
      <c r="V624" s="4"/>
      <c r="W624" s="4"/>
      <c r="X624" s="4"/>
      <c r="Y624" s="4"/>
      <c r="Z624" s="4"/>
    </row>
    <row r="625" spans="1:26">
      <c r="A625" s="5">
        <v>43282</v>
      </c>
      <c r="B625" s="4" t="s">
        <v>21</v>
      </c>
      <c r="C625" s="4" t="s">
        <v>19</v>
      </c>
      <c r="D625" s="4" t="s">
        <v>14</v>
      </c>
      <c r="E625" s="4" t="s">
        <v>13</v>
      </c>
      <c r="F625" s="4">
        <v>27219</v>
      </c>
      <c r="G625" s="4">
        <v>2315</v>
      </c>
      <c r="H625" s="4">
        <v>108919</v>
      </c>
      <c r="I625" s="6">
        <v>34127.883182461206</v>
      </c>
      <c r="J625" s="4"/>
      <c r="K625" s="4"/>
      <c r="L625" s="4"/>
      <c r="M625" s="4"/>
      <c r="N625" s="4"/>
      <c r="O625" s="4"/>
      <c r="P625" s="4"/>
      <c r="Q625" s="4"/>
      <c r="R625" s="4"/>
      <c r="S625" s="4"/>
      <c r="T625" s="4"/>
      <c r="U625" s="4"/>
      <c r="V625" s="4"/>
      <c r="W625" s="4"/>
      <c r="X625" s="4"/>
      <c r="Y625" s="4"/>
      <c r="Z625" s="4"/>
    </row>
    <row r="626" spans="1:26">
      <c r="A626" s="5">
        <v>43282</v>
      </c>
      <c r="B626" s="4" t="s">
        <v>21</v>
      </c>
      <c r="C626" s="4" t="s">
        <v>19</v>
      </c>
      <c r="D626" s="4" t="s">
        <v>15</v>
      </c>
      <c r="E626" s="4" t="s">
        <v>12</v>
      </c>
      <c r="F626" s="4">
        <v>289785</v>
      </c>
      <c r="G626" s="4">
        <v>4057</v>
      </c>
      <c r="H626" s="4">
        <v>4368</v>
      </c>
      <c r="I626" s="6">
        <v>41305.871503448281</v>
      </c>
      <c r="J626" s="4"/>
      <c r="K626" s="4"/>
      <c r="L626" s="4"/>
      <c r="M626" s="4"/>
      <c r="N626" s="4"/>
      <c r="O626" s="4"/>
      <c r="P626" s="4"/>
      <c r="Q626" s="4"/>
      <c r="R626" s="4"/>
      <c r="S626" s="4"/>
      <c r="T626" s="4"/>
      <c r="U626" s="4"/>
      <c r="V626" s="4"/>
      <c r="W626" s="4"/>
      <c r="X626" s="4"/>
      <c r="Y626" s="4"/>
      <c r="Z626" s="4"/>
    </row>
    <row r="627" spans="1:26">
      <c r="A627" s="5">
        <v>43282</v>
      </c>
      <c r="B627" s="4" t="s">
        <v>21</v>
      </c>
      <c r="C627" s="4" t="s">
        <v>19</v>
      </c>
      <c r="D627" s="4" t="s">
        <v>15</v>
      </c>
      <c r="E627" s="4" t="s">
        <v>13</v>
      </c>
      <c r="F627" s="4">
        <v>7751</v>
      </c>
      <c r="G627" s="4">
        <v>638</v>
      </c>
      <c r="H627" s="4">
        <v>28880</v>
      </c>
      <c r="I627" s="6">
        <v>9430.7780281107898</v>
      </c>
      <c r="J627" s="4"/>
      <c r="K627" s="4"/>
      <c r="L627" s="4"/>
      <c r="M627" s="4"/>
      <c r="N627" s="4"/>
      <c r="O627" s="4"/>
      <c r="P627" s="4"/>
      <c r="Q627" s="4"/>
      <c r="R627" s="4"/>
      <c r="S627" s="4"/>
      <c r="T627" s="4"/>
      <c r="U627" s="4"/>
      <c r="V627" s="4"/>
      <c r="W627" s="4"/>
      <c r="X627" s="4"/>
      <c r="Y627" s="4"/>
      <c r="Z627" s="4"/>
    </row>
    <row r="628" spans="1:26">
      <c r="A628" s="5">
        <v>43282</v>
      </c>
      <c r="B628" s="4" t="s">
        <v>21</v>
      </c>
      <c r="C628" s="4" t="s">
        <v>19</v>
      </c>
      <c r="D628" s="4" t="s">
        <v>16</v>
      </c>
      <c r="E628" s="4" t="s">
        <v>12</v>
      </c>
      <c r="F628" s="4">
        <v>2693605</v>
      </c>
      <c r="G628" s="4">
        <v>39793</v>
      </c>
      <c r="H628" s="4">
        <v>40577</v>
      </c>
      <c r="I628" s="6">
        <v>452556.76882584696</v>
      </c>
      <c r="J628" s="4"/>
      <c r="K628" s="4"/>
      <c r="L628" s="4"/>
      <c r="M628" s="4"/>
      <c r="N628" s="4"/>
      <c r="O628" s="4"/>
      <c r="P628" s="4"/>
      <c r="Q628" s="4"/>
      <c r="R628" s="4"/>
      <c r="S628" s="4"/>
      <c r="T628" s="4"/>
      <c r="U628" s="4"/>
      <c r="V628" s="4"/>
      <c r="W628" s="4"/>
      <c r="X628" s="4"/>
      <c r="Y628" s="4"/>
      <c r="Z628" s="4"/>
    </row>
    <row r="629" spans="1:26">
      <c r="A629" s="5">
        <v>43282</v>
      </c>
      <c r="B629" s="4" t="s">
        <v>21</v>
      </c>
      <c r="C629" s="4" t="s">
        <v>19</v>
      </c>
      <c r="D629" s="4" t="s">
        <v>16</v>
      </c>
      <c r="E629" s="4" t="s">
        <v>13</v>
      </c>
      <c r="F629" s="4">
        <v>69849</v>
      </c>
      <c r="G629" s="4">
        <v>6016</v>
      </c>
      <c r="H629" s="4">
        <v>398634</v>
      </c>
      <c r="I629" s="6">
        <v>92030.252021936205</v>
      </c>
      <c r="J629" s="4"/>
      <c r="K629" s="4"/>
      <c r="L629" s="4"/>
      <c r="M629" s="4"/>
      <c r="N629" s="4"/>
      <c r="O629" s="4"/>
      <c r="P629" s="4"/>
      <c r="Q629" s="4"/>
      <c r="R629" s="4"/>
      <c r="S629" s="4"/>
      <c r="T629" s="4"/>
      <c r="U629" s="4"/>
      <c r="V629" s="4"/>
      <c r="W629" s="4"/>
      <c r="X629" s="4"/>
      <c r="Y629" s="4"/>
      <c r="Z629" s="4"/>
    </row>
    <row r="630" spans="1:26">
      <c r="A630" s="5">
        <v>43282</v>
      </c>
      <c r="B630" s="4" t="s">
        <v>21</v>
      </c>
      <c r="C630" s="4" t="s">
        <v>19</v>
      </c>
      <c r="D630" s="4" t="s">
        <v>17</v>
      </c>
      <c r="E630" s="4" t="s">
        <v>12</v>
      </c>
      <c r="F630" s="4">
        <v>919646</v>
      </c>
      <c r="G630" s="4">
        <v>14951</v>
      </c>
      <c r="H630" s="4">
        <v>16497</v>
      </c>
      <c r="I630" s="6">
        <v>154476.64456680682</v>
      </c>
      <c r="J630" s="4"/>
      <c r="K630" s="4"/>
      <c r="L630" s="4"/>
      <c r="M630" s="4"/>
      <c r="N630" s="4"/>
      <c r="O630" s="4"/>
      <c r="P630" s="4"/>
      <c r="Q630" s="4"/>
      <c r="R630" s="4"/>
      <c r="S630" s="4"/>
      <c r="T630" s="4"/>
      <c r="U630" s="4"/>
      <c r="V630" s="4"/>
      <c r="W630" s="4"/>
      <c r="X630" s="4"/>
      <c r="Y630" s="4"/>
      <c r="Z630" s="4"/>
    </row>
    <row r="631" spans="1:26">
      <c r="A631" s="5">
        <v>43282</v>
      </c>
      <c r="B631" s="4" t="s">
        <v>21</v>
      </c>
      <c r="C631" s="4" t="s">
        <v>19</v>
      </c>
      <c r="D631" s="4" t="s">
        <v>17</v>
      </c>
      <c r="E631" s="4" t="s">
        <v>13</v>
      </c>
      <c r="F631" s="4">
        <v>24142</v>
      </c>
      <c r="G631" s="4">
        <v>2129</v>
      </c>
      <c r="H631" s="4">
        <v>90769</v>
      </c>
      <c r="I631" s="6">
        <v>37359.973720163653</v>
      </c>
      <c r="J631" s="4"/>
      <c r="K631" s="4"/>
      <c r="L631" s="4"/>
      <c r="M631" s="4"/>
      <c r="N631" s="4"/>
      <c r="O631" s="4"/>
      <c r="P631" s="4"/>
      <c r="Q631" s="4"/>
      <c r="R631" s="4"/>
      <c r="S631" s="4"/>
      <c r="T631" s="4"/>
      <c r="U631" s="4"/>
      <c r="V631" s="4"/>
      <c r="W631" s="4"/>
      <c r="X631" s="4"/>
      <c r="Y631" s="4"/>
      <c r="Z631" s="4"/>
    </row>
    <row r="632" spans="1:26">
      <c r="A632" s="5">
        <v>43313</v>
      </c>
      <c r="B632" s="4" t="s">
        <v>9</v>
      </c>
      <c r="C632" s="4" t="s">
        <v>10</v>
      </c>
      <c r="D632" s="4" t="s">
        <v>11</v>
      </c>
      <c r="E632" s="4" t="s">
        <v>12</v>
      </c>
      <c r="F632" s="4">
        <v>1129582</v>
      </c>
      <c r="G632" s="4">
        <v>52346</v>
      </c>
      <c r="H632" s="4">
        <v>62173</v>
      </c>
      <c r="I632" s="6">
        <v>46687.45582788821</v>
      </c>
      <c r="J632" s="4"/>
      <c r="K632" s="4"/>
      <c r="L632" s="4"/>
      <c r="M632" s="4"/>
      <c r="N632" s="4"/>
      <c r="O632" s="4"/>
      <c r="P632" s="4"/>
      <c r="Q632" s="4"/>
      <c r="R632" s="4"/>
      <c r="S632" s="4"/>
      <c r="T632" s="4"/>
      <c r="U632" s="4"/>
      <c r="V632" s="4"/>
      <c r="W632" s="4"/>
      <c r="X632" s="4"/>
      <c r="Y632" s="4"/>
      <c r="Z632" s="4"/>
    </row>
    <row r="633" spans="1:26">
      <c r="A633" s="5">
        <v>43313</v>
      </c>
      <c r="B633" s="4" t="s">
        <v>9</v>
      </c>
      <c r="C633" s="4" t="s">
        <v>10</v>
      </c>
      <c r="D633" s="4" t="s">
        <v>11</v>
      </c>
      <c r="E633" s="4" t="s">
        <v>13</v>
      </c>
      <c r="F633" s="4">
        <v>6726</v>
      </c>
      <c r="G633" s="4">
        <v>1156</v>
      </c>
      <c r="H633" s="4">
        <v>6817</v>
      </c>
      <c r="I633" s="6">
        <v>236679.56363636363</v>
      </c>
      <c r="J633" s="4"/>
      <c r="K633" s="4"/>
      <c r="L633" s="4"/>
      <c r="M633" s="4"/>
      <c r="N633" s="4"/>
      <c r="O633" s="4"/>
      <c r="P633" s="4"/>
      <c r="Q633" s="4"/>
      <c r="R633" s="4"/>
      <c r="S633" s="4"/>
      <c r="T633" s="4"/>
      <c r="U633" s="4"/>
      <c r="V633" s="4"/>
      <c r="W633" s="4"/>
      <c r="X633" s="4"/>
      <c r="Y633" s="4"/>
      <c r="Z633" s="4"/>
    </row>
    <row r="634" spans="1:26">
      <c r="A634" s="5">
        <v>43313</v>
      </c>
      <c r="B634" s="4" t="s">
        <v>9</v>
      </c>
      <c r="C634" s="4" t="s">
        <v>10</v>
      </c>
      <c r="D634" s="4" t="s">
        <v>14</v>
      </c>
      <c r="E634" s="4" t="s">
        <v>12</v>
      </c>
      <c r="F634" s="4">
        <v>2828170</v>
      </c>
      <c r="G634" s="4">
        <v>91579</v>
      </c>
      <c r="H634" s="4">
        <v>108248</v>
      </c>
      <c r="I634" s="6">
        <v>78669.6410408175</v>
      </c>
      <c r="J634" s="4"/>
      <c r="K634" s="4"/>
      <c r="L634" s="4"/>
      <c r="M634" s="4"/>
      <c r="N634" s="4"/>
      <c r="O634" s="4"/>
      <c r="P634" s="4"/>
      <c r="Q634" s="4"/>
      <c r="R634" s="4"/>
      <c r="S634" s="4"/>
      <c r="T634" s="4"/>
      <c r="U634" s="4"/>
      <c r="V634" s="4"/>
      <c r="W634" s="4"/>
      <c r="X634" s="4"/>
      <c r="Y634" s="4"/>
      <c r="Z634" s="4"/>
    </row>
    <row r="635" spans="1:26">
      <c r="A635" s="5">
        <v>43313</v>
      </c>
      <c r="B635" s="4" t="s">
        <v>9</v>
      </c>
      <c r="C635" s="4" t="s">
        <v>10</v>
      </c>
      <c r="D635" s="4" t="s">
        <v>14</v>
      </c>
      <c r="E635" s="4" t="s">
        <v>13</v>
      </c>
      <c r="F635" s="4">
        <v>11275</v>
      </c>
      <c r="G635" s="4">
        <v>2321</v>
      </c>
      <c r="H635" s="4">
        <v>17003</v>
      </c>
      <c r="I635" s="6">
        <v>365434.83159558958</v>
      </c>
      <c r="J635" s="4"/>
      <c r="K635" s="4"/>
      <c r="L635" s="4"/>
      <c r="M635" s="4"/>
      <c r="N635" s="4"/>
      <c r="O635" s="4"/>
      <c r="P635" s="4"/>
      <c r="Q635" s="4"/>
      <c r="R635" s="4"/>
      <c r="S635" s="4"/>
      <c r="T635" s="4"/>
      <c r="U635" s="4"/>
      <c r="V635" s="4"/>
      <c r="W635" s="4"/>
      <c r="X635" s="4"/>
      <c r="Y635" s="4"/>
      <c r="Z635" s="4"/>
    </row>
    <row r="636" spans="1:26">
      <c r="A636" s="5">
        <v>43313</v>
      </c>
      <c r="B636" s="4" t="s">
        <v>9</v>
      </c>
      <c r="C636" s="4" t="s">
        <v>10</v>
      </c>
      <c r="D636" s="4" t="s">
        <v>15</v>
      </c>
      <c r="E636" s="4" t="s">
        <v>12</v>
      </c>
      <c r="F636" s="4">
        <v>1142273</v>
      </c>
      <c r="G636" s="4">
        <v>37883</v>
      </c>
      <c r="H636" s="4">
        <v>48690</v>
      </c>
      <c r="I636" s="6">
        <v>36527.814789350261</v>
      </c>
      <c r="J636" s="4"/>
      <c r="K636" s="4"/>
      <c r="L636" s="4"/>
      <c r="M636" s="4"/>
      <c r="N636" s="4"/>
      <c r="O636" s="4"/>
      <c r="P636" s="4"/>
      <c r="Q636" s="4"/>
      <c r="R636" s="4"/>
      <c r="S636" s="4"/>
      <c r="T636" s="4"/>
      <c r="U636" s="4"/>
      <c r="V636" s="4"/>
      <c r="W636" s="4"/>
      <c r="X636" s="4"/>
      <c r="Y636" s="4"/>
      <c r="Z636" s="4"/>
    </row>
    <row r="637" spans="1:26">
      <c r="A637" s="5">
        <v>43313</v>
      </c>
      <c r="B637" s="4" t="s">
        <v>9</v>
      </c>
      <c r="C637" s="4" t="s">
        <v>10</v>
      </c>
      <c r="D637" s="4" t="s">
        <v>15</v>
      </c>
      <c r="E637" s="4" t="s">
        <v>13</v>
      </c>
      <c r="F637" s="4">
        <v>4314</v>
      </c>
      <c r="G637" s="4">
        <v>673</v>
      </c>
      <c r="H637" s="4">
        <v>5586</v>
      </c>
      <c r="I637" s="6">
        <v>91136.265973597358</v>
      </c>
      <c r="J637" s="4"/>
      <c r="K637" s="4"/>
      <c r="L637" s="4"/>
      <c r="M637" s="4"/>
      <c r="N637" s="4"/>
      <c r="O637" s="4"/>
      <c r="P637" s="4"/>
      <c r="Q637" s="4"/>
      <c r="R637" s="4"/>
      <c r="S637" s="4"/>
      <c r="T637" s="4"/>
      <c r="U637" s="4"/>
      <c r="V637" s="4"/>
      <c r="W637" s="4"/>
      <c r="X637" s="4"/>
      <c r="Y637" s="4"/>
      <c r="Z637" s="4"/>
    </row>
    <row r="638" spans="1:26">
      <c r="A638" s="5">
        <v>43313</v>
      </c>
      <c r="B638" s="4" t="s">
        <v>9</v>
      </c>
      <c r="C638" s="4" t="s">
        <v>10</v>
      </c>
      <c r="D638" s="4" t="s">
        <v>16</v>
      </c>
      <c r="E638" s="4" t="s">
        <v>12</v>
      </c>
      <c r="F638" s="4">
        <v>35201080</v>
      </c>
      <c r="G638" s="4">
        <v>236573</v>
      </c>
      <c r="H638" s="4">
        <v>266515</v>
      </c>
      <c r="I638" s="6">
        <v>202375.53957887008</v>
      </c>
      <c r="J638" s="4"/>
      <c r="K638" s="4"/>
      <c r="L638" s="4"/>
      <c r="M638" s="4"/>
      <c r="N638" s="4"/>
      <c r="O638" s="4"/>
      <c r="P638" s="4"/>
      <c r="Q638" s="4"/>
      <c r="R638" s="4"/>
      <c r="S638" s="4"/>
      <c r="T638" s="4"/>
      <c r="U638" s="4"/>
      <c r="V638" s="4"/>
      <c r="W638" s="4"/>
      <c r="X638" s="4"/>
      <c r="Y638" s="4"/>
      <c r="Z638" s="4"/>
    </row>
    <row r="639" spans="1:26">
      <c r="A639" s="5">
        <v>43313</v>
      </c>
      <c r="B639" s="4" t="s">
        <v>9</v>
      </c>
      <c r="C639" s="4" t="s">
        <v>10</v>
      </c>
      <c r="D639" s="4" t="s">
        <v>16</v>
      </c>
      <c r="E639" s="4" t="s">
        <v>13</v>
      </c>
      <c r="F639" s="4">
        <v>247207</v>
      </c>
      <c r="G639" s="4">
        <v>5033</v>
      </c>
      <c r="H639" s="4">
        <v>32859</v>
      </c>
      <c r="I639" s="6">
        <v>1103692.0845320174</v>
      </c>
      <c r="J639" s="4"/>
      <c r="K639" s="4"/>
      <c r="L639" s="4"/>
      <c r="M639" s="4"/>
      <c r="N639" s="4"/>
      <c r="O639" s="4"/>
      <c r="P639" s="4"/>
      <c r="Q639" s="4"/>
      <c r="R639" s="4"/>
      <c r="S639" s="4"/>
      <c r="T639" s="4"/>
      <c r="U639" s="4"/>
      <c r="V639" s="4"/>
      <c r="W639" s="4"/>
      <c r="X639" s="4"/>
      <c r="Y639" s="4"/>
      <c r="Z639" s="4"/>
    </row>
    <row r="640" spans="1:26">
      <c r="A640" s="5">
        <v>43313</v>
      </c>
      <c r="B640" s="4" t="s">
        <v>9</v>
      </c>
      <c r="C640" s="4" t="s">
        <v>10</v>
      </c>
      <c r="D640" s="4" t="s">
        <v>17</v>
      </c>
      <c r="E640" s="4" t="s">
        <v>12</v>
      </c>
      <c r="F640" s="4">
        <v>1737632</v>
      </c>
      <c r="G640" s="4">
        <v>78496</v>
      </c>
      <c r="H640" s="4">
        <v>89333</v>
      </c>
      <c r="I640" s="6">
        <v>87436.090417902145</v>
      </c>
      <c r="J640" s="4"/>
      <c r="K640" s="4"/>
      <c r="L640" s="4"/>
      <c r="M640" s="4"/>
      <c r="N640" s="4"/>
      <c r="O640" s="4"/>
      <c r="P640" s="4"/>
      <c r="Q640" s="4"/>
      <c r="R640" s="4"/>
      <c r="S640" s="4"/>
      <c r="T640" s="4"/>
      <c r="U640" s="4"/>
      <c r="V640" s="4"/>
      <c r="W640" s="4"/>
      <c r="X640" s="4"/>
      <c r="Y640" s="4"/>
      <c r="Z640" s="4"/>
    </row>
    <row r="641" spans="1:26">
      <c r="A641" s="5">
        <v>43313</v>
      </c>
      <c r="B641" s="4" t="s">
        <v>9</v>
      </c>
      <c r="C641" s="4" t="s">
        <v>10</v>
      </c>
      <c r="D641" s="4" t="s">
        <v>17</v>
      </c>
      <c r="E641" s="4" t="s">
        <v>13</v>
      </c>
      <c r="F641" s="4">
        <v>10365</v>
      </c>
      <c r="G641" s="4">
        <v>2113</v>
      </c>
      <c r="H641" s="4">
        <v>12403</v>
      </c>
      <c r="I641" s="6">
        <v>417999.63482022466</v>
      </c>
      <c r="J641" s="4"/>
      <c r="K641" s="4"/>
      <c r="L641" s="4"/>
      <c r="M641" s="4"/>
      <c r="N641" s="4"/>
      <c r="O641" s="4"/>
      <c r="P641" s="4"/>
      <c r="Q641" s="4"/>
      <c r="R641" s="4"/>
      <c r="S641" s="4"/>
      <c r="T641" s="4"/>
      <c r="U641" s="4"/>
      <c r="V641" s="4"/>
      <c r="W641" s="4"/>
      <c r="X641" s="4"/>
      <c r="Y641" s="4"/>
      <c r="Z641" s="4"/>
    </row>
    <row r="642" spans="1:26">
      <c r="A642" s="5">
        <v>43313</v>
      </c>
      <c r="B642" s="4" t="s">
        <v>9</v>
      </c>
      <c r="C642" s="4" t="s">
        <v>18</v>
      </c>
      <c r="D642" s="4" t="s">
        <v>11</v>
      </c>
      <c r="E642" s="4" t="s">
        <v>12</v>
      </c>
      <c r="F642" s="4">
        <v>6647227</v>
      </c>
      <c r="G642" s="4">
        <v>184654</v>
      </c>
      <c r="H642" s="4">
        <v>569691</v>
      </c>
      <c r="I642" s="6">
        <v>139649.5895045074</v>
      </c>
      <c r="J642" s="4"/>
      <c r="K642" s="4"/>
      <c r="L642" s="4"/>
      <c r="M642" s="4"/>
      <c r="N642" s="4"/>
      <c r="O642" s="4"/>
      <c r="P642" s="4"/>
      <c r="Q642" s="4"/>
      <c r="R642" s="4"/>
      <c r="S642" s="4"/>
      <c r="T642" s="4"/>
      <c r="U642" s="4"/>
      <c r="V642" s="4"/>
      <c r="W642" s="4"/>
      <c r="X642" s="4"/>
      <c r="Y642" s="4"/>
      <c r="Z642" s="4"/>
    </row>
    <row r="643" spans="1:26">
      <c r="A643" s="5">
        <v>43313</v>
      </c>
      <c r="B643" s="4" t="s">
        <v>9</v>
      </c>
      <c r="C643" s="4" t="s">
        <v>18</v>
      </c>
      <c r="D643" s="4" t="s">
        <v>11</v>
      </c>
      <c r="E643" s="4" t="s">
        <v>13</v>
      </c>
      <c r="F643" s="4">
        <v>37746</v>
      </c>
      <c r="G643" s="4">
        <v>689</v>
      </c>
      <c r="H643" s="4">
        <v>19124</v>
      </c>
      <c r="I643" s="6">
        <v>14037.553316427162</v>
      </c>
      <c r="J643" s="4"/>
      <c r="K643" s="4"/>
      <c r="L643" s="4"/>
      <c r="M643" s="4"/>
      <c r="N643" s="4"/>
      <c r="O643" s="4"/>
      <c r="P643" s="4"/>
      <c r="Q643" s="4"/>
      <c r="R643" s="4"/>
      <c r="S643" s="4"/>
      <c r="T643" s="4"/>
      <c r="U643" s="4"/>
      <c r="V643" s="4"/>
      <c r="W643" s="4"/>
      <c r="X643" s="4"/>
      <c r="Y643" s="4"/>
      <c r="Z643" s="4"/>
    </row>
    <row r="644" spans="1:26">
      <c r="A644" s="5">
        <v>43313</v>
      </c>
      <c r="B644" s="4" t="s">
        <v>9</v>
      </c>
      <c r="C644" s="4" t="s">
        <v>18</v>
      </c>
      <c r="D644" s="4" t="s">
        <v>14</v>
      </c>
      <c r="E644" s="4" t="s">
        <v>12</v>
      </c>
      <c r="F644" s="4">
        <v>15622291</v>
      </c>
      <c r="G644" s="4">
        <v>381507</v>
      </c>
      <c r="H644" s="4">
        <v>1149959</v>
      </c>
      <c r="I644" s="6">
        <v>185439.45831567358</v>
      </c>
      <c r="J644" s="4"/>
      <c r="K644" s="4"/>
      <c r="L644" s="4"/>
      <c r="M644" s="4"/>
      <c r="N644" s="4"/>
      <c r="O644" s="4"/>
      <c r="P644" s="4"/>
      <c r="Q644" s="4"/>
      <c r="R644" s="4"/>
      <c r="S644" s="4"/>
      <c r="T644" s="4"/>
      <c r="U644" s="4"/>
      <c r="V644" s="4"/>
      <c r="W644" s="4"/>
      <c r="X644" s="4"/>
      <c r="Y644" s="4"/>
      <c r="Z644" s="4"/>
    </row>
    <row r="645" spans="1:26">
      <c r="A645" s="5">
        <v>43313</v>
      </c>
      <c r="B645" s="4" t="s">
        <v>9</v>
      </c>
      <c r="C645" s="4" t="s">
        <v>18</v>
      </c>
      <c r="D645" s="4" t="s">
        <v>14</v>
      </c>
      <c r="E645" s="4" t="s">
        <v>13</v>
      </c>
      <c r="F645" s="4">
        <v>79116</v>
      </c>
      <c r="G645" s="4">
        <v>958</v>
      </c>
      <c r="H645" s="4">
        <v>14209</v>
      </c>
      <c r="I645" s="6">
        <v>16344.255989025914</v>
      </c>
      <c r="J645" s="4"/>
      <c r="K645" s="4"/>
      <c r="L645" s="4"/>
      <c r="M645" s="4"/>
      <c r="N645" s="4"/>
      <c r="O645" s="4"/>
      <c r="P645" s="4"/>
      <c r="Q645" s="4"/>
      <c r="R645" s="4"/>
      <c r="S645" s="4"/>
      <c r="T645" s="4"/>
      <c r="U645" s="4"/>
      <c r="V645" s="4"/>
      <c r="W645" s="4"/>
      <c r="X645" s="4"/>
      <c r="Y645" s="4"/>
      <c r="Z645" s="4"/>
    </row>
    <row r="646" spans="1:26">
      <c r="A646" s="5">
        <v>43313</v>
      </c>
      <c r="B646" s="4" t="s">
        <v>9</v>
      </c>
      <c r="C646" s="4" t="s">
        <v>18</v>
      </c>
      <c r="D646" s="4" t="s">
        <v>15</v>
      </c>
      <c r="E646" s="4" t="s">
        <v>12</v>
      </c>
      <c r="F646" s="4">
        <v>7751706</v>
      </c>
      <c r="G646" s="4">
        <v>205342</v>
      </c>
      <c r="H646" s="4">
        <v>676589</v>
      </c>
      <c r="I646" s="6">
        <v>74694.118962231107</v>
      </c>
      <c r="J646" s="4"/>
      <c r="K646" s="4"/>
      <c r="L646" s="4"/>
      <c r="M646" s="4"/>
      <c r="N646" s="4"/>
      <c r="O646" s="4"/>
      <c r="P646" s="4"/>
      <c r="Q646" s="4"/>
      <c r="R646" s="4"/>
      <c r="S646" s="4"/>
      <c r="T646" s="4"/>
      <c r="U646" s="4"/>
      <c r="V646" s="4"/>
      <c r="W646" s="4"/>
      <c r="X646" s="4"/>
      <c r="Y646" s="4"/>
      <c r="Z646" s="4"/>
    </row>
    <row r="647" spans="1:26">
      <c r="A647" s="5">
        <v>43313</v>
      </c>
      <c r="B647" s="4" t="s">
        <v>9</v>
      </c>
      <c r="C647" s="4" t="s">
        <v>18</v>
      </c>
      <c r="D647" s="4" t="s">
        <v>15</v>
      </c>
      <c r="E647" s="4" t="s">
        <v>13</v>
      </c>
      <c r="F647" s="4">
        <v>28879</v>
      </c>
      <c r="G647" s="4">
        <v>382</v>
      </c>
      <c r="H647" s="4">
        <v>5436</v>
      </c>
      <c r="I647" s="6">
        <v>7056.0152576738947</v>
      </c>
      <c r="J647" s="4"/>
      <c r="K647" s="4"/>
      <c r="L647" s="4"/>
      <c r="M647" s="4"/>
      <c r="N647" s="4"/>
      <c r="O647" s="4"/>
      <c r="P647" s="4"/>
      <c r="Q647" s="4"/>
      <c r="R647" s="4"/>
      <c r="S647" s="4"/>
      <c r="T647" s="4"/>
      <c r="U647" s="4"/>
      <c r="V647" s="4"/>
      <c r="W647" s="4"/>
      <c r="X647" s="4"/>
      <c r="Y647" s="4"/>
      <c r="Z647" s="4"/>
    </row>
    <row r="648" spans="1:26">
      <c r="A648" s="5">
        <v>43313</v>
      </c>
      <c r="B648" s="4" t="s">
        <v>9</v>
      </c>
      <c r="C648" s="4" t="s">
        <v>18</v>
      </c>
      <c r="D648" s="4" t="s">
        <v>16</v>
      </c>
      <c r="E648" s="4" t="s">
        <v>12</v>
      </c>
      <c r="F648" s="4">
        <v>99792724</v>
      </c>
      <c r="G648" s="4">
        <v>697434</v>
      </c>
      <c r="H648" s="4">
        <v>1997576</v>
      </c>
      <c r="I648" s="6">
        <v>481466.81778174971</v>
      </c>
      <c r="J648" s="4"/>
      <c r="K648" s="4"/>
      <c r="L648" s="4"/>
      <c r="M648" s="4"/>
      <c r="N648" s="4"/>
      <c r="O648" s="4"/>
      <c r="P648" s="4"/>
      <c r="Q648" s="4"/>
      <c r="R648" s="4"/>
      <c r="S648" s="4"/>
      <c r="T648" s="4"/>
      <c r="U648" s="4"/>
      <c r="V648" s="4"/>
      <c r="W648" s="4"/>
      <c r="X648" s="4"/>
      <c r="Y648" s="4"/>
      <c r="Z648" s="4"/>
    </row>
    <row r="649" spans="1:26">
      <c r="A649" s="5">
        <v>43313</v>
      </c>
      <c r="B649" s="4" t="s">
        <v>9</v>
      </c>
      <c r="C649" s="4" t="s">
        <v>18</v>
      </c>
      <c r="D649" s="4" t="s">
        <v>16</v>
      </c>
      <c r="E649" s="4" t="s">
        <v>13</v>
      </c>
      <c r="F649" s="4">
        <v>872271</v>
      </c>
      <c r="G649" s="4">
        <v>1997</v>
      </c>
      <c r="H649" s="4">
        <v>49169</v>
      </c>
      <c r="I649" s="6">
        <v>31610.612966660894</v>
      </c>
      <c r="J649" s="4"/>
      <c r="K649" s="4"/>
      <c r="L649" s="4"/>
      <c r="M649" s="4"/>
      <c r="N649" s="4"/>
      <c r="O649" s="4"/>
      <c r="P649" s="4"/>
      <c r="Q649" s="4"/>
      <c r="R649" s="4"/>
      <c r="S649" s="4"/>
      <c r="T649" s="4"/>
      <c r="U649" s="4"/>
      <c r="V649" s="4"/>
      <c r="W649" s="4"/>
      <c r="X649" s="4"/>
      <c r="Y649" s="4"/>
      <c r="Z649" s="4"/>
    </row>
    <row r="650" spans="1:26">
      <c r="A650" s="5">
        <v>43313</v>
      </c>
      <c r="B650" s="4" t="s">
        <v>9</v>
      </c>
      <c r="C650" s="4" t="s">
        <v>18</v>
      </c>
      <c r="D650" s="4" t="s">
        <v>17</v>
      </c>
      <c r="E650" s="4" t="s">
        <v>12</v>
      </c>
      <c r="F650" s="4">
        <v>9446723</v>
      </c>
      <c r="G650" s="4">
        <v>224196</v>
      </c>
      <c r="H650" s="4">
        <v>639164</v>
      </c>
      <c r="I650" s="6">
        <v>163510.57095158109</v>
      </c>
      <c r="J650" s="4"/>
      <c r="K650" s="4"/>
      <c r="L650" s="4"/>
      <c r="M650" s="4"/>
      <c r="N650" s="4"/>
      <c r="O650" s="4"/>
      <c r="P650" s="4"/>
      <c r="Q650" s="4"/>
      <c r="R650" s="4"/>
      <c r="S650" s="4"/>
      <c r="T650" s="4"/>
      <c r="U650" s="4"/>
      <c r="V650" s="4"/>
      <c r="W650" s="4"/>
      <c r="X650" s="4"/>
      <c r="Y650" s="4"/>
      <c r="Z650" s="4"/>
    </row>
    <row r="651" spans="1:26">
      <c r="A651" s="5">
        <v>43313</v>
      </c>
      <c r="B651" s="4" t="s">
        <v>9</v>
      </c>
      <c r="C651" s="4" t="s">
        <v>18</v>
      </c>
      <c r="D651" s="4" t="s">
        <v>17</v>
      </c>
      <c r="E651" s="4" t="s">
        <v>13</v>
      </c>
      <c r="F651" s="4">
        <v>72134</v>
      </c>
      <c r="G651" s="4">
        <v>803</v>
      </c>
      <c r="H651" s="4">
        <v>17751</v>
      </c>
      <c r="I651" s="6">
        <v>12732.826097497507</v>
      </c>
      <c r="J651" s="4"/>
      <c r="K651" s="4"/>
      <c r="L651" s="4"/>
      <c r="M651" s="4"/>
      <c r="N651" s="4"/>
      <c r="O651" s="4"/>
      <c r="P651" s="4"/>
      <c r="Q651" s="4"/>
      <c r="R651" s="4"/>
      <c r="S651" s="4"/>
      <c r="T651" s="4"/>
      <c r="U651" s="4"/>
      <c r="V651" s="4"/>
      <c r="W651" s="4"/>
      <c r="X651" s="4"/>
      <c r="Y651" s="4"/>
      <c r="Z651" s="4"/>
    </row>
    <row r="652" spans="1:26">
      <c r="A652" s="5">
        <v>43313</v>
      </c>
      <c r="B652" s="4" t="s">
        <v>9</v>
      </c>
      <c r="C652" s="4" t="s">
        <v>19</v>
      </c>
      <c r="D652" s="4" t="s">
        <v>11</v>
      </c>
      <c r="E652" s="4" t="s">
        <v>12</v>
      </c>
      <c r="F652" s="4">
        <v>115050</v>
      </c>
      <c r="G652" s="4">
        <v>18716</v>
      </c>
      <c r="H652" s="4">
        <v>19713</v>
      </c>
      <c r="I652" s="6">
        <v>99666.699270041368</v>
      </c>
      <c r="J652" s="4"/>
      <c r="K652" s="4"/>
      <c r="L652" s="4"/>
      <c r="M652" s="4"/>
      <c r="N652" s="4"/>
      <c r="O652" s="4"/>
      <c r="P652" s="4"/>
      <c r="Q652" s="4"/>
      <c r="R652" s="4"/>
      <c r="S652" s="4"/>
      <c r="T652" s="4"/>
      <c r="U652" s="4"/>
      <c r="V652" s="4"/>
      <c r="W652" s="4"/>
      <c r="X652" s="4"/>
      <c r="Y652" s="4"/>
      <c r="Z652" s="4"/>
    </row>
    <row r="653" spans="1:26">
      <c r="A653" s="5">
        <v>43313</v>
      </c>
      <c r="B653" s="4" t="s">
        <v>9</v>
      </c>
      <c r="C653" s="4" t="s">
        <v>19</v>
      </c>
      <c r="D653" s="4" t="s">
        <v>11</v>
      </c>
      <c r="E653" s="4" t="s">
        <v>13</v>
      </c>
      <c r="F653" s="4">
        <v>631</v>
      </c>
      <c r="G653" s="4">
        <v>727</v>
      </c>
      <c r="H653" s="4">
        <v>7595</v>
      </c>
      <c r="I653" s="6">
        <v>17027.139187683581</v>
      </c>
      <c r="J653" s="4"/>
      <c r="K653" s="4"/>
      <c r="L653" s="4"/>
      <c r="M653" s="4"/>
      <c r="N653" s="4"/>
      <c r="O653" s="4"/>
      <c r="P653" s="4"/>
      <c r="Q653" s="4"/>
      <c r="R653" s="4"/>
      <c r="S653" s="4"/>
      <c r="T653" s="4"/>
      <c r="U653" s="4"/>
      <c r="V653" s="4"/>
      <c r="W653" s="4"/>
      <c r="X653" s="4"/>
      <c r="Y653" s="4"/>
      <c r="Z653" s="4"/>
    </row>
    <row r="654" spans="1:26">
      <c r="A654" s="5">
        <v>43313</v>
      </c>
      <c r="B654" s="4" t="s">
        <v>9</v>
      </c>
      <c r="C654" s="4" t="s">
        <v>19</v>
      </c>
      <c r="D654" s="4" t="s">
        <v>14</v>
      </c>
      <c r="E654" s="4" t="s">
        <v>12</v>
      </c>
      <c r="F654" s="4">
        <v>282277</v>
      </c>
      <c r="G654" s="4">
        <v>44131</v>
      </c>
      <c r="H654" s="4">
        <v>46385</v>
      </c>
      <c r="I654" s="6">
        <v>177610.81841215087</v>
      </c>
      <c r="J654" s="4"/>
      <c r="K654" s="4"/>
      <c r="L654" s="4"/>
      <c r="M654" s="4"/>
      <c r="N654" s="4"/>
      <c r="O654" s="4"/>
      <c r="P654" s="4"/>
      <c r="Q654" s="4"/>
      <c r="R654" s="4"/>
      <c r="S654" s="4"/>
      <c r="T654" s="4"/>
      <c r="U654" s="4"/>
      <c r="V654" s="4"/>
      <c r="W654" s="4"/>
      <c r="X654" s="4"/>
      <c r="Y654" s="4"/>
      <c r="Z654" s="4"/>
    </row>
    <row r="655" spans="1:26">
      <c r="A655" s="5">
        <v>43313</v>
      </c>
      <c r="B655" s="4" t="s">
        <v>9</v>
      </c>
      <c r="C655" s="4" t="s">
        <v>19</v>
      </c>
      <c r="D655" s="4" t="s">
        <v>14</v>
      </c>
      <c r="E655" s="4" t="s">
        <v>13</v>
      </c>
      <c r="F655" s="4">
        <v>1516</v>
      </c>
      <c r="G655" s="4">
        <v>1624</v>
      </c>
      <c r="H655" s="4">
        <v>41251</v>
      </c>
      <c r="I655" s="6">
        <v>28239.361391935214</v>
      </c>
      <c r="J655" s="4"/>
      <c r="K655" s="4"/>
      <c r="L655" s="4"/>
      <c r="M655" s="4"/>
      <c r="N655" s="4"/>
      <c r="O655" s="4"/>
      <c r="P655" s="4"/>
      <c r="Q655" s="4"/>
      <c r="R655" s="4"/>
      <c r="S655" s="4"/>
      <c r="T655" s="4"/>
      <c r="U655" s="4"/>
      <c r="V655" s="4"/>
      <c r="W655" s="4"/>
      <c r="X655" s="4"/>
      <c r="Y655" s="4"/>
      <c r="Z655" s="4"/>
    </row>
    <row r="656" spans="1:26">
      <c r="A656" s="5">
        <v>43313</v>
      </c>
      <c r="B656" s="4" t="s">
        <v>9</v>
      </c>
      <c r="C656" s="4" t="s">
        <v>19</v>
      </c>
      <c r="D656" s="4" t="s">
        <v>15</v>
      </c>
      <c r="E656" s="4" t="s">
        <v>12</v>
      </c>
      <c r="F656" s="4">
        <v>133200</v>
      </c>
      <c r="G656" s="4">
        <v>22648</v>
      </c>
      <c r="H656" s="4">
        <v>23468</v>
      </c>
      <c r="I656" s="6">
        <v>65662.434163550322</v>
      </c>
      <c r="J656" s="4"/>
      <c r="K656" s="4"/>
      <c r="L656" s="4"/>
      <c r="M656" s="4"/>
      <c r="N656" s="4"/>
      <c r="O656" s="4"/>
      <c r="P656" s="4"/>
      <c r="Q656" s="4"/>
      <c r="R656" s="4"/>
      <c r="S656" s="4"/>
      <c r="T656" s="4"/>
      <c r="U656" s="4"/>
      <c r="V656" s="4"/>
      <c r="W656" s="4"/>
      <c r="X656" s="4"/>
      <c r="Y656" s="4"/>
      <c r="Z656" s="4"/>
    </row>
    <row r="657" spans="1:26">
      <c r="A657" s="5">
        <v>43313</v>
      </c>
      <c r="B657" s="4" t="s">
        <v>9</v>
      </c>
      <c r="C657" s="4" t="s">
        <v>19</v>
      </c>
      <c r="D657" s="4" t="s">
        <v>15</v>
      </c>
      <c r="E657" s="4" t="s">
        <v>13</v>
      </c>
      <c r="F657" s="4">
        <v>471</v>
      </c>
      <c r="G657" s="4">
        <v>666</v>
      </c>
      <c r="H657" s="4">
        <v>22197</v>
      </c>
      <c r="I657" s="6">
        <v>12311.302305373663</v>
      </c>
      <c r="J657" s="4"/>
      <c r="K657" s="4"/>
      <c r="L657" s="4"/>
      <c r="M657" s="4"/>
      <c r="N657" s="4"/>
      <c r="O657" s="4"/>
      <c r="P657" s="4"/>
      <c r="Q657" s="4"/>
      <c r="R657" s="4"/>
      <c r="S657" s="4"/>
      <c r="T657" s="4"/>
      <c r="U657" s="4"/>
      <c r="V657" s="4"/>
      <c r="W657" s="4"/>
      <c r="X657" s="4"/>
      <c r="Y657" s="4"/>
      <c r="Z657" s="4"/>
    </row>
    <row r="658" spans="1:26">
      <c r="A658" s="5">
        <v>43313</v>
      </c>
      <c r="B658" s="4" t="s">
        <v>9</v>
      </c>
      <c r="C658" s="4" t="s">
        <v>19</v>
      </c>
      <c r="D658" s="4" t="s">
        <v>16</v>
      </c>
      <c r="E658" s="4" t="s">
        <v>12</v>
      </c>
      <c r="F658" s="4">
        <v>15851676</v>
      </c>
      <c r="G658" s="4">
        <v>69446</v>
      </c>
      <c r="H658" s="4">
        <v>71196</v>
      </c>
      <c r="I658" s="6">
        <v>409611.35783708293</v>
      </c>
      <c r="J658" s="4"/>
      <c r="K658" s="4"/>
      <c r="L658" s="4"/>
      <c r="M658" s="4"/>
      <c r="N658" s="4"/>
      <c r="O658" s="4"/>
      <c r="P658" s="4"/>
      <c r="Q658" s="4"/>
      <c r="R658" s="4"/>
      <c r="S658" s="4"/>
      <c r="T658" s="4"/>
      <c r="U658" s="4"/>
      <c r="V658" s="4"/>
      <c r="W658" s="4"/>
      <c r="X658" s="4"/>
      <c r="Y658" s="4"/>
      <c r="Z658" s="4"/>
    </row>
    <row r="659" spans="1:26">
      <c r="A659" s="5">
        <v>43313</v>
      </c>
      <c r="B659" s="4" t="s">
        <v>9</v>
      </c>
      <c r="C659" s="4" t="s">
        <v>19</v>
      </c>
      <c r="D659" s="4" t="s">
        <v>16</v>
      </c>
      <c r="E659" s="4" t="s">
        <v>13</v>
      </c>
      <c r="F659" s="4">
        <v>148141</v>
      </c>
      <c r="G659" s="4">
        <v>2086</v>
      </c>
      <c r="H659" s="4">
        <v>35890</v>
      </c>
      <c r="I659" s="6">
        <v>55590.042223852884</v>
      </c>
      <c r="J659" s="4"/>
      <c r="K659" s="4"/>
      <c r="L659" s="4"/>
      <c r="M659" s="4"/>
      <c r="N659" s="4"/>
      <c r="O659" s="4"/>
      <c r="P659" s="4"/>
      <c r="Q659" s="4"/>
      <c r="R659" s="4"/>
      <c r="S659" s="4"/>
      <c r="T659" s="4"/>
      <c r="U659" s="4"/>
      <c r="V659" s="4"/>
      <c r="W659" s="4"/>
      <c r="X659" s="4"/>
      <c r="Y659" s="4"/>
      <c r="Z659" s="4"/>
    </row>
    <row r="660" spans="1:26">
      <c r="A660" s="5">
        <v>43313</v>
      </c>
      <c r="B660" s="4" t="s">
        <v>9</v>
      </c>
      <c r="C660" s="4" t="s">
        <v>19</v>
      </c>
      <c r="D660" s="4" t="s">
        <v>17</v>
      </c>
      <c r="E660" s="4" t="s">
        <v>12</v>
      </c>
      <c r="F660" s="4">
        <v>221099</v>
      </c>
      <c r="G660" s="4">
        <v>25058</v>
      </c>
      <c r="H660" s="4">
        <v>25872</v>
      </c>
      <c r="I660" s="6">
        <v>151896.97074863422</v>
      </c>
      <c r="J660" s="4"/>
      <c r="K660" s="4"/>
      <c r="L660" s="4"/>
      <c r="M660" s="4"/>
      <c r="N660" s="4"/>
      <c r="O660" s="4"/>
      <c r="P660" s="4"/>
      <c r="Q660" s="4"/>
      <c r="R660" s="4"/>
      <c r="S660" s="4"/>
      <c r="T660" s="4"/>
      <c r="U660" s="4"/>
      <c r="V660" s="4"/>
      <c r="W660" s="4"/>
      <c r="X660" s="4"/>
      <c r="Y660" s="4"/>
      <c r="Z660" s="4"/>
    </row>
    <row r="661" spans="1:26">
      <c r="A661" s="5">
        <v>43313</v>
      </c>
      <c r="B661" s="4" t="s">
        <v>9</v>
      </c>
      <c r="C661" s="4" t="s">
        <v>19</v>
      </c>
      <c r="D661" s="4" t="s">
        <v>17</v>
      </c>
      <c r="E661" s="4" t="s">
        <v>13</v>
      </c>
      <c r="F661" s="4">
        <v>1496</v>
      </c>
      <c r="G661" s="4">
        <v>683</v>
      </c>
      <c r="H661" s="4">
        <v>6880</v>
      </c>
      <c r="I661" s="6">
        <v>18777.434019695615</v>
      </c>
      <c r="J661" s="4"/>
      <c r="K661" s="4"/>
      <c r="L661" s="4"/>
      <c r="M661" s="4"/>
      <c r="N661" s="4"/>
      <c r="O661" s="4"/>
      <c r="P661" s="4"/>
      <c r="Q661" s="4"/>
      <c r="R661" s="4"/>
      <c r="S661" s="4"/>
      <c r="T661" s="4"/>
      <c r="U661" s="4"/>
      <c r="V661" s="4"/>
      <c r="W661" s="4"/>
      <c r="X661" s="4"/>
      <c r="Y661" s="4"/>
      <c r="Z661" s="4"/>
    </row>
    <row r="662" spans="1:26">
      <c r="A662" s="5">
        <v>43313</v>
      </c>
      <c r="B662" s="4" t="s">
        <v>20</v>
      </c>
      <c r="C662" s="4" t="s">
        <v>10</v>
      </c>
      <c r="D662" s="4" t="s">
        <v>11</v>
      </c>
      <c r="E662" s="4" t="s">
        <v>12</v>
      </c>
      <c r="F662" s="4">
        <v>2238928</v>
      </c>
      <c r="G662" s="4">
        <v>5261</v>
      </c>
      <c r="H662" s="4">
        <v>5963</v>
      </c>
      <c r="I662" s="6">
        <v>1403.3065539552433</v>
      </c>
      <c r="J662" s="4"/>
      <c r="K662" s="4"/>
      <c r="L662" s="4"/>
      <c r="M662" s="4"/>
      <c r="N662" s="4"/>
      <c r="O662" s="4"/>
      <c r="P662" s="4"/>
      <c r="Q662" s="4"/>
      <c r="R662" s="4"/>
      <c r="S662" s="4"/>
      <c r="T662" s="4"/>
      <c r="U662" s="4"/>
      <c r="V662" s="4"/>
      <c r="W662" s="4"/>
      <c r="X662" s="4"/>
      <c r="Y662" s="4"/>
      <c r="Z662" s="4"/>
    </row>
    <row r="663" spans="1:26">
      <c r="A663" s="5">
        <v>43313</v>
      </c>
      <c r="B663" s="4" t="s">
        <v>20</v>
      </c>
      <c r="C663" s="4" t="s">
        <v>10</v>
      </c>
      <c r="D663" s="4" t="s">
        <v>11</v>
      </c>
      <c r="E663" s="4" t="s">
        <v>13</v>
      </c>
      <c r="F663" s="4">
        <v>904</v>
      </c>
      <c r="G663" s="4">
        <v>24</v>
      </c>
      <c r="H663" s="4">
        <v>60</v>
      </c>
      <c r="I663" s="6">
        <v>13341.52121212121</v>
      </c>
      <c r="J663" s="4"/>
      <c r="K663" s="4"/>
      <c r="L663" s="4"/>
      <c r="M663" s="4"/>
      <c r="N663" s="4"/>
      <c r="O663" s="4"/>
      <c r="P663" s="4"/>
      <c r="Q663" s="4"/>
      <c r="R663" s="4"/>
      <c r="S663" s="4"/>
      <c r="T663" s="4"/>
      <c r="U663" s="4"/>
      <c r="V663" s="4"/>
      <c r="W663" s="4"/>
      <c r="X663" s="4"/>
      <c r="Y663" s="4"/>
      <c r="Z663" s="4"/>
    </row>
    <row r="664" spans="1:26">
      <c r="A664" s="5">
        <v>43313</v>
      </c>
      <c r="B664" s="4" t="s">
        <v>20</v>
      </c>
      <c r="C664" s="4" t="s">
        <v>10</v>
      </c>
      <c r="D664" s="4" t="s">
        <v>14</v>
      </c>
      <c r="E664" s="4" t="s">
        <v>12</v>
      </c>
      <c r="F664" s="4">
        <v>4054641</v>
      </c>
      <c r="G664" s="4">
        <v>9362</v>
      </c>
      <c r="H664" s="4">
        <v>10169</v>
      </c>
      <c r="I664" s="6">
        <v>1277.6741714209359</v>
      </c>
      <c r="J664" s="4"/>
      <c r="K664" s="4"/>
      <c r="L664" s="4"/>
      <c r="M664" s="4"/>
      <c r="N664" s="4"/>
      <c r="O664" s="4"/>
      <c r="P664" s="4"/>
      <c r="Q664" s="4"/>
      <c r="R664" s="4"/>
      <c r="S664" s="4"/>
      <c r="T664" s="4"/>
      <c r="U664" s="4"/>
      <c r="V664" s="4"/>
      <c r="W664" s="4"/>
      <c r="X664" s="4"/>
      <c r="Y664" s="4"/>
      <c r="Z664" s="4"/>
    </row>
    <row r="665" spans="1:26">
      <c r="A665" s="5">
        <v>43313</v>
      </c>
      <c r="B665" s="4" t="s">
        <v>20</v>
      </c>
      <c r="C665" s="4" t="s">
        <v>10</v>
      </c>
      <c r="D665" s="4" t="s">
        <v>14</v>
      </c>
      <c r="E665" s="4" t="s">
        <v>13</v>
      </c>
      <c r="F665" s="4">
        <v>1951</v>
      </c>
      <c r="G665" s="4">
        <v>48</v>
      </c>
      <c r="H665" s="4">
        <v>201</v>
      </c>
      <c r="I665" s="6">
        <v>22514.856279310345</v>
      </c>
      <c r="J665" s="4"/>
      <c r="K665" s="4"/>
      <c r="L665" s="4"/>
      <c r="M665" s="4"/>
      <c r="N665" s="4"/>
      <c r="O665" s="4"/>
      <c r="P665" s="4"/>
      <c r="Q665" s="4"/>
      <c r="R665" s="4"/>
      <c r="S665" s="4"/>
      <c r="T665" s="4"/>
      <c r="U665" s="4"/>
      <c r="V665" s="4"/>
      <c r="W665" s="4"/>
      <c r="X665" s="4"/>
      <c r="Y665" s="4"/>
      <c r="Z665" s="4"/>
    </row>
    <row r="666" spans="1:26">
      <c r="A666" s="5">
        <v>43313</v>
      </c>
      <c r="B666" s="4" t="s">
        <v>20</v>
      </c>
      <c r="C666" s="4" t="s">
        <v>10</v>
      </c>
      <c r="D666" s="4" t="s">
        <v>15</v>
      </c>
      <c r="E666" s="4" t="s">
        <v>12</v>
      </c>
      <c r="F666" s="4">
        <v>1013343</v>
      </c>
      <c r="G666" s="4">
        <v>2364</v>
      </c>
      <c r="H666" s="4">
        <v>2564</v>
      </c>
      <c r="I666" s="6">
        <v>409.00022967663949</v>
      </c>
      <c r="J666" s="4"/>
      <c r="K666" s="4"/>
      <c r="L666" s="4"/>
      <c r="M666" s="4"/>
      <c r="N666" s="4"/>
      <c r="O666" s="4"/>
      <c r="P666" s="4"/>
      <c r="Q666" s="4"/>
      <c r="R666" s="4"/>
      <c r="S666" s="4"/>
      <c r="T666" s="4"/>
      <c r="U666" s="4"/>
      <c r="V666" s="4"/>
      <c r="W666" s="4"/>
      <c r="X666" s="4"/>
      <c r="Y666" s="4"/>
      <c r="Z666" s="4"/>
    </row>
    <row r="667" spans="1:26">
      <c r="A667" s="5">
        <v>43313</v>
      </c>
      <c r="B667" s="4" t="s">
        <v>20</v>
      </c>
      <c r="C667" s="4" t="s">
        <v>10</v>
      </c>
      <c r="D667" s="4" t="s">
        <v>15</v>
      </c>
      <c r="E667" s="4" t="s">
        <v>13</v>
      </c>
      <c r="F667" s="4">
        <v>266</v>
      </c>
      <c r="G667" s="4">
        <v>9</v>
      </c>
      <c r="H667" s="4">
        <v>27</v>
      </c>
      <c r="I667" s="6">
        <v>3286.0407042253523</v>
      </c>
      <c r="J667" s="4"/>
      <c r="K667" s="4"/>
      <c r="L667" s="4"/>
      <c r="M667" s="4"/>
      <c r="N667" s="4"/>
      <c r="O667" s="4"/>
      <c r="P667" s="4"/>
      <c r="Q667" s="4"/>
      <c r="R667" s="4"/>
      <c r="S667" s="4"/>
      <c r="T667" s="4"/>
      <c r="U667" s="4"/>
      <c r="V667" s="4"/>
      <c r="W667" s="4"/>
      <c r="X667" s="4"/>
      <c r="Y667" s="4"/>
      <c r="Z667" s="4"/>
    </row>
    <row r="668" spans="1:26">
      <c r="A668" s="5">
        <v>43313</v>
      </c>
      <c r="B668" s="4" t="s">
        <v>20</v>
      </c>
      <c r="C668" s="4" t="s">
        <v>10</v>
      </c>
      <c r="D668" s="4" t="s">
        <v>16</v>
      </c>
      <c r="E668" s="4" t="s">
        <v>12</v>
      </c>
      <c r="F668" s="4">
        <v>10905149</v>
      </c>
      <c r="G668" s="4">
        <v>34099</v>
      </c>
      <c r="H668" s="4">
        <v>35813</v>
      </c>
      <c r="I668" s="6">
        <v>6039.6879987160582</v>
      </c>
      <c r="J668" s="4"/>
      <c r="K668" s="4"/>
      <c r="L668" s="4"/>
      <c r="M668" s="4"/>
      <c r="N668" s="4"/>
      <c r="O668" s="4"/>
      <c r="P668" s="4"/>
      <c r="Q668" s="4"/>
      <c r="R668" s="4"/>
      <c r="S668" s="4"/>
      <c r="T668" s="4"/>
      <c r="U668" s="4"/>
      <c r="V668" s="4"/>
      <c r="W668" s="4"/>
      <c r="X668" s="4"/>
      <c r="Y668" s="4"/>
      <c r="Z668" s="4"/>
    </row>
    <row r="669" spans="1:26">
      <c r="A669" s="5">
        <v>43313</v>
      </c>
      <c r="B669" s="4" t="s">
        <v>20</v>
      </c>
      <c r="C669" s="4" t="s">
        <v>10</v>
      </c>
      <c r="D669" s="4" t="s">
        <v>16</v>
      </c>
      <c r="E669" s="4" t="s">
        <v>13</v>
      </c>
      <c r="F669" s="4">
        <v>5293</v>
      </c>
      <c r="G669" s="4">
        <v>230</v>
      </c>
      <c r="H669" s="4">
        <v>620</v>
      </c>
      <c r="I669" s="6">
        <v>101474.45256723715</v>
      </c>
      <c r="J669" s="4"/>
      <c r="K669" s="4"/>
      <c r="L669" s="4"/>
      <c r="M669" s="4"/>
      <c r="N669" s="4"/>
      <c r="O669" s="4"/>
      <c r="P669" s="4"/>
      <c r="Q669" s="4"/>
      <c r="R669" s="4"/>
      <c r="S669" s="4"/>
      <c r="T669" s="4"/>
      <c r="U669" s="4"/>
      <c r="V669" s="4"/>
      <c r="W669" s="4"/>
      <c r="X669" s="4"/>
      <c r="Y669" s="4"/>
      <c r="Z669" s="4"/>
    </row>
    <row r="670" spans="1:26">
      <c r="A670" s="5">
        <v>43313</v>
      </c>
      <c r="B670" s="4" t="s">
        <v>20</v>
      </c>
      <c r="C670" s="4" t="s">
        <v>10</v>
      </c>
      <c r="D670" s="4" t="s">
        <v>17</v>
      </c>
      <c r="E670" s="4" t="s">
        <v>12</v>
      </c>
      <c r="F670" s="4">
        <v>3455029</v>
      </c>
      <c r="G670" s="4">
        <v>11347</v>
      </c>
      <c r="H670" s="4">
        <v>12039</v>
      </c>
      <c r="I670" s="6">
        <v>1832.133066501129</v>
      </c>
      <c r="J670" s="4"/>
      <c r="K670" s="4"/>
      <c r="L670" s="4"/>
      <c r="M670" s="4"/>
      <c r="N670" s="4"/>
      <c r="O670" s="4"/>
      <c r="P670" s="4"/>
      <c r="Q670" s="4"/>
      <c r="R670" s="4"/>
      <c r="S670" s="4"/>
      <c r="T670" s="4"/>
      <c r="U670" s="4"/>
      <c r="V670" s="4"/>
      <c r="W670" s="4"/>
      <c r="X670" s="4"/>
      <c r="Y670" s="4"/>
      <c r="Z670" s="4"/>
    </row>
    <row r="671" spans="1:26">
      <c r="A671" s="5">
        <v>43313</v>
      </c>
      <c r="B671" s="4" t="s">
        <v>20</v>
      </c>
      <c r="C671" s="4" t="s">
        <v>10</v>
      </c>
      <c r="D671" s="4" t="s">
        <v>17</v>
      </c>
      <c r="E671" s="4" t="s">
        <v>13</v>
      </c>
      <c r="F671" s="4">
        <v>1790</v>
      </c>
      <c r="G671" s="4">
        <v>71</v>
      </c>
      <c r="H671" s="4">
        <v>224</v>
      </c>
      <c r="I671" s="6">
        <v>34064.359225806445</v>
      </c>
      <c r="J671" s="4"/>
      <c r="K671" s="4"/>
      <c r="L671" s="4"/>
      <c r="M671" s="4"/>
      <c r="N671" s="4"/>
      <c r="O671" s="4"/>
      <c r="P671" s="4"/>
      <c r="Q671" s="4"/>
      <c r="R671" s="4"/>
      <c r="S671" s="4"/>
      <c r="T671" s="4"/>
      <c r="U671" s="4"/>
      <c r="V671" s="4"/>
      <c r="W671" s="4"/>
      <c r="X671" s="4"/>
      <c r="Y671" s="4"/>
      <c r="Z671" s="4"/>
    </row>
    <row r="672" spans="1:26">
      <c r="A672" s="5">
        <v>43313</v>
      </c>
      <c r="B672" s="4" t="s">
        <v>20</v>
      </c>
      <c r="C672" s="4" t="s">
        <v>18</v>
      </c>
      <c r="D672" s="4" t="s">
        <v>11</v>
      </c>
      <c r="E672" s="4" t="s">
        <v>12</v>
      </c>
      <c r="F672" s="4">
        <v>2504837</v>
      </c>
      <c r="G672" s="4">
        <v>14877</v>
      </c>
      <c r="H672" s="4">
        <v>28669</v>
      </c>
      <c r="I672" s="6">
        <v>8819.0816678854862</v>
      </c>
      <c r="J672" s="4"/>
      <c r="K672" s="4"/>
      <c r="L672" s="4"/>
      <c r="M672" s="4"/>
      <c r="N672" s="4"/>
      <c r="O672" s="4"/>
      <c r="P672" s="4"/>
      <c r="Q672" s="4"/>
      <c r="R672" s="4"/>
      <c r="S672" s="4"/>
      <c r="T672" s="4"/>
      <c r="U672" s="4"/>
      <c r="V672" s="4"/>
      <c r="W672" s="4"/>
      <c r="X672" s="4"/>
      <c r="Y672" s="4"/>
      <c r="Z672" s="4"/>
    </row>
    <row r="673" spans="1:26">
      <c r="A673" s="5">
        <v>43313</v>
      </c>
      <c r="B673" s="4" t="s">
        <v>20</v>
      </c>
      <c r="C673" s="4" t="s">
        <v>18</v>
      </c>
      <c r="D673" s="4" t="s">
        <v>11</v>
      </c>
      <c r="E673" s="4" t="s">
        <v>13</v>
      </c>
      <c r="F673" s="4">
        <v>1291</v>
      </c>
      <c r="G673" s="4">
        <v>15</v>
      </c>
      <c r="H673" s="4">
        <v>25</v>
      </c>
      <c r="I673" s="6">
        <v>130.465</v>
      </c>
      <c r="J673" s="4"/>
      <c r="K673" s="4"/>
      <c r="L673" s="4"/>
      <c r="M673" s="4"/>
      <c r="N673" s="4"/>
      <c r="O673" s="4"/>
      <c r="P673" s="4"/>
      <c r="Q673" s="4"/>
      <c r="R673" s="4"/>
      <c r="S673" s="4"/>
      <c r="T673" s="4"/>
      <c r="U673" s="4"/>
      <c r="V673" s="4"/>
      <c r="W673" s="4"/>
      <c r="X673" s="4"/>
      <c r="Y673" s="4"/>
      <c r="Z673" s="4"/>
    </row>
    <row r="674" spans="1:26">
      <c r="A674" s="5">
        <v>43313</v>
      </c>
      <c r="B674" s="4" t="s">
        <v>20</v>
      </c>
      <c r="C674" s="4" t="s">
        <v>18</v>
      </c>
      <c r="D674" s="4" t="s">
        <v>14</v>
      </c>
      <c r="E674" s="4" t="s">
        <v>12</v>
      </c>
      <c r="F674" s="4">
        <v>4745293</v>
      </c>
      <c r="G674" s="4">
        <v>29359</v>
      </c>
      <c r="H674" s="4">
        <v>54887</v>
      </c>
      <c r="I674" s="6">
        <v>11202.112830196689</v>
      </c>
      <c r="J674" s="4"/>
      <c r="K674" s="4"/>
      <c r="L674" s="4"/>
      <c r="M674" s="4"/>
      <c r="N674" s="4"/>
      <c r="O674" s="4"/>
      <c r="P674" s="4"/>
      <c r="Q674" s="4"/>
      <c r="R674" s="4"/>
      <c r="S674" s="4"/>
      <c r="T674" s="4"/>
      <c r="U674" s="4"/>
      <c r="V674" s="4"/>
      <c r="W674" s="4"/>
      <c r="X674" s="4"/>
      <c r="Y674" s="4"/>
      <c r="Z674" s="4"/>
    </row>
    <row r="675" spans="1:26">
      <c r="A675" s="5">
        <v>43313</v>
      </c>
      <c r="B675" s="4" t="s">
        <v>20</v>
      </c>
      <c r="C675" s="4" t="s">
        <v>18</v>
      </c>
      <c r="D675" s="4" t="s">
        <v>14</v>
      </c>
      <c r="E675" s="4" t="s">
        <v>13</v>
      </c>
      <c r="F675" s="4">
        <v>2472</v>
      </c>
      <c r="G675" s="4">
        <v>27</v>
      </c>
      <c r="H675" s="4">
        <v>155</v>
      </c>
      <c r="I675" s="6">
        <v>260.57294669421486</v>
      </c>
      <c r="J675" s="4"/>
      <c r="K675" s="4"/>
      <c r="L675" s="4"/>
      <c r="M675" s="4"/>
      <c r="N675" s="4"/>
      <c r="O675" s="4"/>
      <c r="P675" s="4"/>
      <c r="Q675" s="4"/>
      <c r="R675" s="4"/>
      <c r="S675" s="4"/>
      <c r="T675" s="4"/>
      <c r="U675" s="4"/>
      <c r="V675" s="4"/>
      <c r="W675" s="4"/>
      <c r="X675" s="4"/>
      <c r="Y675" s="4"/>
      <c r="Z675" s="4"/>
    </row>
    <row r="676" spans="1:26">
      <c r="A676" s="5">
        <v>43313</v>
      </c>
      <c r="B676" s="4" t="s">
        <v>20</v>
      </c>
      <c r="C676" s="4" t="s">
        <v>18</v>
      </c>
      <c r="D676" s="4" t="s">
        <v>15</v>
      </c>
      <c r="E676" s="4" t="s">
        <v>12</v>
      </c>
      <c r="F676" s="4">
        <v>1497854</v>
      </c>
      <c r="G676" s="4">
        <v>10161</v>
      </c>
      <c r="H676" s="4">
        <v>19074</v>
      </c>
      <c r="I676" s="6">
        <v>3109.5456624201229</v>
      </c>
      <c r="J676" s="4"/>
      <c r="K676" s="4"/>
      <c r="L676" s="4"/>
      <c r="M676" s="4"/>
      <c r="N676" s="4"/>
      <c r="O676" s="4"/>
      <c r="P676" s="4"/>
      <c r="Q676" s="4"/>
      <c r="R676" s="4"/>
      <c r="S676" s="4"/>
      <c r="T676" s="4"/>
      <c r="U676" s="4"/>
      <c r="V676" s="4"/>
      <c r="W676" s="4"/>
      <c r="X676" s="4"/>
      <c r="Y676" s="4"/>
      <c r="Z676" s="4"/>
    </row>
    <row r="677" spans="1:26">
      <c r="A677" s="5">
        <v>43313</v>
      </c>
      <c r="B677" s="4" t="s">
        <v>20</v>
      </c>
      <c r="C677" s="4" t="s">
        <v>18</v>
      </c>
      <c r="D677" s="4" t="s">
        <v>15</v>
      </c>
      <c r="E677" s="4" t="s">
        <v>13</v>
      </c>
      <c r="F677" s="4">
        <v>518</v>
      </c>
      <c r="G677" s="4">
        <v>0</v>
      </c>
      <c r="H677" s="4">
        <v>0</v>
      </c>
      <c r="I677" s="6">
        <v>0</v>
      </c>
      <c r="J677" s="4"/>
      <c r="K677" s="4"/>
      <c r="L677" s="4"/>
      <c r="M677" s="4"/>
      <c r="N677" s="4"/>
      <c r="O677" s="4"/>
      <c r="P677" s="4"/>
      <c r="Q677" s="4"/>
      <c r="R677" s="4"/>
      <c r="S677" s="4"/>
      <c r="T677" s="4"/>
      <c r="U677" s="4"/>
      <c r="V677" s="4"/>
      <c r="W677" s="4"/>
      <c r="X677" s="4"/>
      <c r="Y677" s="4"/>
      <c r="Z677" s="4"/>
    </row>
    <row r="678" spans="1:26">
      <c r="A678" s="5">
        <v>43313</v>
      </c>
      <c r="B678" s="4" t="s">
        <v>20</v>
      </c>
      <c r="C678" s="4" t="s">
        <v>18</v>
      </c>
      <c r="D678" s="4" t="s">
        <v>16</v>
      </c>
      <c r="E678" s="4" t="s">
        <v>12</v>
      </c>
      <c r="F678" s="4">
        <v>22028337</v>
      </c>
      <c r="G678" s="4">
        <v>72679</v>
      </c>
      <c r="H678" s="4">
        <v>135370</v>
      </c>
      <c r="I678" s="6">
        <v>44667.734503732689</v>
      </c>
      <c r="J678" s="4"/>
      <c r="K678" s="4"/>
      <c r="L678" s="4"/>
      <c r="M678" s="4"/>
      <c r="N678" s="4"/>
      <c r="O678" s="4"/>
      <c r="P678" s="4"/>
      <c r="Q678" s="4"/>
      <c r="R678" s="4"/>
      <c r="S678" s="4"/>
      <c r="T678" s="4"/>
      <c r="U678" s="4"/>
      <c r="V678" s="4"/>
      <c r="W678" s="4"/>
      <c r="X678" s="4"/>
      <c r="Y678" s="4"/>
      <c r="Z678" s="4"/>
    </row>
    <row r="679" spans="1:26">
      <c r="A679" s="5">
        <v>43313</v>
      </c>
      <c r="B679" s="4" t="s">
        <v>20</v>
      </c>
      <c r="C679" s="4" t="s">
        <v>18</v>
      </c>
      <c r="D679" s="4" t="s">
        <v>16</v>
      </c>
      <c r="E679" s="4" t="s">
        <v>13</v>
      </c>
      <c r="F679" s="4">
        <v>26990</v>
      </c>
      <c r="G679" s="4">
        <v>88</v>
      </c>
      <c r="H679" s="4">
        <v>959</v>
      </c>
      <c r="I679" s="6">
        <v>1285.0378351309707</v>
      </c>
      <c r="J679" s="4"/>
      <c r="K679" s="4"/>
      <c r="L679" s="4"/>
      <c r="M679" s="4"/>
      <c r="N679" s="4"/>
      <c r="O679" s="4"/>
      <c r="P679" s="4"/>
      <c r="Q679" s="4"/>
      <c r="R679" s="4"/>
      <c r="S679" s="4"/>
      <c r="T679" s="4"/>
      <c r="U679" s="4"/>
      <c r="V679" s="4"/>
      <c r="W679" s="4"/>
      <c r="X679" s="4"/>
      <c r="Y679" s="4"/>
      <c r="Z679" s="4"/>
    </row>
    <row r="680" spans="1:26">
      <c r="A680" s="5">
        <v>43313</v>
      </c>
      <c r="B680" s="4" t="s">
        <v>20</v>
      </c>
      <c r="C680" s="4" t="s">
        <v>18</v>
      </c>
      <c r="D680" s="4" t="s">
        <v>17</v>
      </c>
      <c r="E680" s="4" t="s">
        <v>12</v>
      </c>
      <c r="F680" s="4">
        <v>3881182</v>
      </c>
      <c r="G680" s="4">
        <v>24536</v>
      </c>
      <c r="H680" s="4">
        <v>43102</v>
      </c>
      <c r="I680" s="6">
        <v>14691.688258252847</v>
      </c>
      <c r="J680" s="4"/>
      <c r="K680" s="4"/>
      <c r="L680" s="4"/>
      <c r="M680" s="4"/>
      <c r="N680" s="4"/>
      <c r="O680" s="4"/>
      <c r="P680" s="4"/>
      <c r="Q680" s="4"/>
      <c r="R680" s="4"/>
      <c r="S680" s="4"/>
      <c r="T680" s="4"/>
      <c r="U680" s="4"/>
      <c r="V680" s="4"/>
      <c r="W680" s="4"/>
      <c r="X680" s="4"/>
      <c r="Y680" s="4"/>
      <c r="Z680" s="4"/>
    </row>
    <row r="681" spans="1:26">
      <c r="A681" s="5">
        <v>43313</v>
      </c>
      <c r="B681" s="4" t="s">
        <v>20</v>
      </c>
      <c r="C681" s="4" t="s">
        <v>18</v>
      </c>
      <c r="D681" s="4" t="s">
        <v>17</v>
      </c>
      <c r="E681" s="4" t="s">
        <v>13</v>
      </c>
      <c r="F681" s="4">
        <v>1563</v>
      </c>
      <c r="G681" s="4">
        <v>19</v>
      </c>
      <c r="H681" s="4">
        <v>105</v>
      </c>
      <c r="I681" s="6">
        <v>65.596467391304344</v>
      </c>
      <c r="J681" s="4"/>
      <c r="K681" s="4"/>
      <c r="L681" s="4"/>
      <c r="M681" s="4"/>
      <c r="N681" s="4"/>
      <c r="O681" s="4"/>
      <c r="P681" s="4"/>
      <c r="Q681" s="4"/>
      <c r="R681" s="4"/>
      <c r="S681" s="4"/>
      <c r="T681" s="4"/>
      <c r="U681" s="4"/>
      <c r="V681" s="4"/>
      <c r="W681" s="4"/>
      <c r="X681" s="4"/>
      <c r="Y681" s="4"/>
      <c r="Z681" s="4"/>
    </row>
    <row r="682" spans="1:26">
      <c r="A682" s="5">
        <v>43313</v>
      </c>
      <c r="B682" s="4" t="s">
        <v>20</v>
      </c>
      <c r="C682" s="4" t="s">
        <v>19</v>
      </c>
      <c r="D682" s="4" t="s">
        <v>11</v>
      </c>
      <c r="E682" s="4" t="s">
        <v>12</v>
      </c>
      <c r="F682" s="4">
        <v>766289</v>
      </c>
      <c r="G682" s="4">
        <v>2344</v>
      </c>
      <c r="H682" s="4">
        <v>2521</v>
      </c>
      <c r="I682" s="6">
        <v>8827.9547480024576</v>
      </c>
      <c r="J682" s="4"/>
      <c r="K682" s="4"/>
      <c r="L682" s="4"/>
      <c r="M682" s="4"/>
      <c r="N682" s="4"/>
      <c r="O682" s="4"/>
      <c r="P682" s="4"/>
      <c r="Q682" s="4"/>
      <c r="R682" s="4"/>
      <c r="S682" s="4"/>
      <c r="T682" s="4"/>
      <c r="U682" s="4"/>
      <c r="V682" s="4"/>
      <c r="W682" s="4"/>
      <c r="X682" s="4"/>
      <c r="Y682" s="4"/>
      <c r="Z682" s="4"/>
    </row>
    <row r="683" spans="1:26">
      <c r="A683" s="5">
        <v>43313</v>
      </c>
      <c r="B683" s="4" t="s">
        <v>20</v>
      </c>
      <c r="C683" s="4" t="s">
        <v>19</v>
      </c>
      <c r="D683" s="4" t="s">
        <v>11</v>
      </c>
      <c r="E683" s="4" t="s">
        <v>13</v>
      </c>
      <c r="F683" s="4">
        <v>1041</v>
      </c>
      <c r="G683" s="4">
        <v>39</v>
      </c>
      <c r="H683" s="4">
        <v>229</v>
      </c>
      <c r="I683" s="6">
        <v>1078.6786011904762</v>
      </c>
      <c r="J683" s="4"/>
      <c r="K683" s="4"/>
      <c r="L683" s="4"/>
      <c r="M683" s="4"/>
      <c r="N683" s="4"/>
      <c r="O683" s="4"/>
      <c r="P683" s="4"/>
      <c r="Q683" s="4"/>
      <c r="R683" s="4"/>
      <c r="S683" s="4"/>
      <c r="T683" s="4"/>
      <c r="U683" s="4"/>
      <c r="V683" s="4"/>
      <c r="W683" s="4"/>
      <c r="X683" s="4"/>
      <c r="Y683" s="4"/>
      <c r="Z683" s="4"/>
    </row>
    <row r="684" spans="1:26">
      <c r="A684" s="5">
        <v>43313</v>
      </c>
      <c r="B684" s="4" t="s">
        <v>20</v>
      </c>
      <c r="C684" s="4" t="s">
        <v>19</v>
      </c>
      <c r="D684" s="4" t="s">
        <v>14</v>
      </c>
      <c r="E684" s="4" t="s">
        <v>12</v>
      </c>
      <c r="F684" s="4">
        <v>1803016</v>
      </c>
      <c r="G684" s="4">
        <v>6027</v>
      </c>
      <c r="H684" s="4">
        <v>6089</v>
      </c>
      <c r="I684" s="6">
        <v>18713.948274499809</v>
      </c>
      <c r="J684" s="4"/>
      <c r="K684" s="4"/>
      <c r="L684" s="4"/>
      <c r="M684" s="4"/>
      <c r="N684" s="4"/>
      <c r="O684" s="4"/>
      <c r="P684" s="4"/>
      <c r="Q684" s="4"/>
      <c r="R684" s="4"/>
      <c r="S684" s="4"/>
      <c r="T684" s="4"/>
      <c r="U684" s="4"/>
      <c r="V684" s="4"/>
      <c r="W684" s="4"/>
      <c r="X684" s="4"/>
      <c r="Y684" s="4"/>
      <c r="Z684" s="4"/>
    </row>
    <row r="685" spans="1:26">
      <c r="A685" s="5">
        <v>43313</v>
      </c>
      <c r="B685" s="4" t="s">
        <v>20</v>
      </c>
      <c r="C685" s="4" t="s">
        <v>19</v>
      </c>
      <c r="D685" s="4" t="s">
        <v>14</v>
      </c>
      <c r="E685" s="4" t="s">
        <v>13</v>
      </c>
      <c r="F685" s="4">
        <v>2721</v>
      </c>
      <c r="G685" s="4">
        <v>109</v>
      </c>
      <c r="H685" s="4">
        <v>451</v>
      </c>
      <c r="I685" s="6">
        <v>2130.6414630225077</v>
      </c>
      <c r="J685" s="4"/>
      <c r="K685" s="4"/>
      <c r="L685" s="4"/>
      <c r="M685" s="4"/>
      <c r="N685" s="4"/>
      <c r="O685" s="4"/>
      <c r="P685" s="4"/>
      <c r="Q685" s="4"/>
      <c r="R685" s="4"/>
      <c r="S685" s="4"/>
      <c r="T685" s="4"/>
      <c r="U685" s="4"/>
      <c r="V685" s="4"/>
      <c r="W685" s="4"/>
      <c r="X685" s="4"/>
      <c r="Y685" s="4"/>
      <c r="Z685" s="4"/>
    </row>
    <row r="686" spans="1:26">
      <c r="A686" s="5">
        <v>43313</v>
      </c>
      <c r="B686" s="4" t="s">
        <v>20</v>
      </c>
      <c r="C686" s="4" t="s">
        <v>19</v>
      </c>
      <c r="D686" s="4" t="s">
        <v>15</v>
      </c>
      <c r="E686" s="4" t="s">
        <v>12</v>
      </c>
      <c r="F686" s="4">
        <v>468747</v>
      </c>
      <c r="G686" s="4">
        <v>1636</v>
      </c>
      <c r="H686" s="4">
        <v>1657</v>
      </c>
      <c r="I686" s="6">
        <v>6007.7765531716414</v>
      </c>
      <c r="J686" s="4"/>
      <c r="K686" s="4"/>
      <c r="L686" s="4"/>
      <c r="M686" s="4"/>
      <c r="N686" s="4"/>
      <c r="O686" s="4"/>
      <c r="P686" s="4"/>
      <c r="Q686" s="4"/>
      <c r="R686" s="4"/>
      <c r="S686" s="4"/>
      <c r="T686" s="4"/>
      <c r="U686" s="4"/>
      <c r="V686" s="4"/>
      <c r="W686" s="4"/>
      <c r="X686" s="4"/>
      <c r="Y686" s="4"/>
      <c r="Z686" s="4"/>
    </row>
    <row r="687" spans="1:26">
      <c r="A687" s="5">
        <v>43313</v>
      </c>
      <c r="B687" s="4" t="s">
        <v>20</v>
      </c>
      <c r="C687" s="4" t="s">
        <v>19</v>
      </c>
      <c r="D687" s="4" t="s">
        <v>15</v>
      </c>
      <c r="E687" s="4" t="s">
        <v>13</v>
      </c>
      <c r="F687" s="4">
        <v>471</v>
      </c>
      <c r="G687" s="4">
        <v>14</v>
      </c>
      <c r="H687" s="4">
        <v>142</v>
      </c>
      <c r="I687" s="6">
        <v>195.78063157894738</v>
      </c>
      <c r="J687" s="4"/>
      <c r="K687" s="4"/>
      <c r="L687" s="4"/>
      <c r="M687" s="4"/>
      <c r="N687" s="4"/>
      <c r="O687" s="4"/>
      <c r="P687" s="4"/>
      <c r="Q687" s="4"/>
      <c r="R687" s="4"/>
      <c r="S687" s="4"/>
      <c r="T687" s="4"/>
      <c r="U687" s="4"/>
      <c r="V687" s="4"/>
      <c r="W687" s="4"/>
      <c r="X687" s="4"/>
      <c r="Y687" s="4"/>
      <c r="Z687" s="4"/>
    </row>
    <row r="688" spans="1:26">
      <c r="A688" s="5">
        <v>43313</v>
      </c>
      <c r="B688" s="4" t="s">
        <v>20</v>
      </c>
      <c r="C688" s="4" t="s">
        <v>19</v>
      </c>
      <c r="D688" s="4" t="s">
        <v>16</v>
      </c>
      <c r="E688" s="4" t="s">
        <v>12</v>
      </c>
      <c r="F688" s="4">
        <v>4209770</v>
      </c>
      <c r="G688" s="4">
        <v>11805</v>
      </c>
      <c r="H688" s="4">
        <v>12103</v>
      </c>
      <c r="I688" s="6">
        <v>56195.558940278395</v>
      </c>
      <c r="J688" s="4"/>
      <c r="K688" s="4"/>
      <c r="L688" s="4"/>
      <c r="M688" s="4"/>
      <c r="N688" s="4"/>
      <c r="O688" s="4"/>
      <c r="P688" s="4"/>
      <c r="Q688" s="4"/>
      <c r="R688" s="4"/>
      <c r="S688" s="4"/>
      <c r="T688" s="4"/>
      <c r="U688" s="4"/>
      <c r="V688" s="4"/>
      <c r="W688" s="4"/>
      <c r="X688" s="4"/>
      <c r="Y688" s="4"/>
      <c r="Z688" s="4"/>
    </row>
    <row r="689" spans="1:26">
      <c r="A689" s="5">
        <v>43313</v>
      </c>
      <c r="B689" s="4" t="s">
        <v>20</v>
      </c>
      <c r="C689" s="4" t="s">
        <v>19</v>
      </c>
      <c r="D689" s="4" t="s">
        <v>16</v>
      </c>
      <c r="E689" s="4" t="s">
        <v>13</v>
      </c>
      <c r="F689" s="4">
        <v>4181</v>
      </c>
      <c r="G689" s="4">
        <v>172</v>
      </c>
      <c r="H689" s="4">
        <v>881</v>
      </c>
      <c r="I689" s="6">
        <v>5322.0991445680065</v>
      </c>
      <c r="J689" s="4"/>
      <c r="K689" s="4"/>
      <c r="L689" s="4"/>
      <c r="M689" s="4"/>
      <c r="N689" s="4"/>
      <c r="O689" s="4"/>
      <c r="P689" s="4"/>
      <c r="Q689" s="4"/>
      <c r="R689" s="4"/>
      <c r="S689" s="4"/>
      <c r="T689" s="4"/>
      <c r="U689" s="4"/>
      <c r="V689" s="4"/>
      <c r="W689" s="4"/>
      <c r="X689" s="4"/>
      <c r="Y689" s="4"/>
      <c r="Z689" s="4"/>
    </row>
    <row r="690" spans="1:26">
      <c r="A690" s="5">
        <v>43313</v>
      </c>
      <c r="B690" s="4" t="s">
        <v>20</v>
      </c>
      <c r="C690" s="4" t="s">
        <v>19</v>
      </c>
      <c r="D690" s="4" t="s">
        <v>17</v>
      </c>
      <c r="E690" s="4" t="s">
        <v>12</v>
      </c>
      <c r="F690" s="4">
        <v>1286917</v>
      </c>
      <c r="G690" s="4">
        <v>4186</v>
      </c>
      <c r="H690" s="4">
        <v>4226</v>
      </c>
      <c r="I690" s="6">
        <v>16726.095404661406</v>
      </c>
      <c r="J690" s="4"/>
      <c r="K690" s="4"/>
      <c r="L690" s="4"/>
      <c r="M690" s="4"/>
      <c r="N690" s="4"/>
      <c r="O690" s="4"/>
      <c r="P690" s="4"/>
      <c r="Q690" s="4"/>
      <c r="R690" s="4"/>
      <c r="S690" s="4"/>
      <c r="T690" s="4"/>
      <c r="U690" s="4"/>
      <c r="V690" s="4"/>
      <c r="W690" s="4"/>
      <c r="X690" s="4"/>
      <c r="Y690" s="4"/>
      <c r="Z690" s="4"/>
    </row>
    <row r="691" spans="1:26">
      <c r="A691" s="5">
        <v>43313</v>
      </c>
      <c r="B691" s="4" t="s">
        <v>20</v>
      </c>
      <c r="C691" s="4" t="s">
        <v>19</v>
      </c>
      <c r="D691" s="4" t="s">
        <v>17</v>
      </c>
      <c r="E691" s="4" t="s">
        <v>13</v>
      </c>
      <c r="F691" s="4">
        <v>1496</v>
      </c>
      <c r="G691" s="4">
        <v>49</v>
      </c>
      <c r="H691" s="4">
        <v>579</v>
      </c>
      <c r="I691" s="6">
        <v>1259.9012395709178</v>
      </c>
      <c r="J691" s="4"/>
      <c r="K691" s="4"/>
      <c r="L691" s="4"/>
      <c r="M691" s="4"/>
      <c r="N691" s="4"/>
      <c r="O691" s="4"/>
      <c r="P691" s="4"/>
      <c r="Q691" s="4"/>
      <c r="R691" s="4"/>
      <c r="S691" s="4"/>
      <c r="T691" s="4"/>
      <c r="U691" s="4"/>
      <c r="V691" s="4"/>
      <c r="W691" s="4"/>
      <c r="X691" s="4"/>
      <c r="Y691" s="4"/>
      <c r="Z691" s="4"/>
    </row>
    <row r="692" spans="1:26">
      <c r="A692" s="5">
        <v>43313</v>
      </c>
      <c r="B692" s="4" t="s">
        <v>21</v>
      </c>
      <c r="C692" s="4" t="s">
        <v>10</v>
      </c>
      <c r="D692" s="4" t="s">
        <v>11</v>
      </c>
      <c r="E692" s="4" t="s">
        <v>12</v>
      </c>
      <c r="F692" s="4">
        <v>1341953</v>
      </c>
      <c r="G692" s="4">
        <v>11082</v>
      </c>
      <c r="H692" s="4">
        <v>13902</v>
      </c>
      <c r="I692" s="6">
        <v>20686.696956215794</v>
      </c>
      <c r="J692" s="4"/>
      <c r="K692" s="4"/>
      <c r="L692" s="4"/>
      <c r="M692" s="4"/>
      <c r="N692" s="4"/>
      <c r="O692" s="4"/>
      <c r="P692" s="4"/>
      <c r="Q692" s="4"/>
      <c r="R692" s="4"/>
      <c r="S692" s="4"/>
      <c r="T692" s="4"/>
      <c r="U692" s="4"/>
      <c r="V692" s="4"/>
      <c r="W692" s="4"/>
      <c r="X692" s="4"/>
      <c r="Y692" s="4"/>
      <c r="Z692" s="4"/>
    </row>
    <row r="693" spans="1:26">
      <c r="A693" s="5">
        <v>43313</v>
      </c>
      <c r="B693" s="4" t="s">
        <v>21</v>
      </c>
      <c r="C693" s="4" t="s">
        <v>10</v>
      </c>
      <c r="D693" s="4" t="s">
        <v>11</v>
      </c>
      <c r="E693" s="4" t="s">
        <v>13</v>
      </c>
      <c r="F693" s="4">
        <v>16118</v>
      </c>
      <c r="G693" s="4">
        <v>960</v>
      </c>
      <c r="H693" s="4">
        <v>16154</v>
      </c>
      <c r="I693" s="6">
        <v>89314.751439763073</v>
      </c>
      <c r="J693" s="4"/>
      <c r="K693" s="4"/>
      <c r="L693" s="4"/>
      <c r="M693" s="4"/>
      <c r="N693" s="4"/>
      <c r="O693" s="4"/>
      <c r="P693" s="4"/>
      <c r="Q693" s="4"/>
      <c r="R693" s="4"/>
      <c r="S693" s="4"/>
      <c r="T693" s="4"/>
      <c r="U693" s="4"/>
      <c r="V693" s="4"/>
      <c r="W693" s="4"/>
      <c r="X693" s="4"/>
      <c r="Y693" s="4"/>
      <c r="Z693" s="4"/>
    </row>
    <row r="694" spans="1:26">
      <c r="A694" s="5">
        <v>43313</v>
      </c>
      <c r="B694" s="4" t="s">
        <v>21</v>
      </c>
      <c r="C694" s="4" t="s">
        <v>10</v>
      </c>
      <c r="D694" s="4" t="s">
        <v>14</v>
      </c>
      <c r="E694" s="4" t="s">
        <v>12</v>
      </c>
      <c r="F694" s="4">
        <v>2062352</v>
      </c>
      <c r="G694" s="4">
        <v>12886</v>
      </c>
      <c r="H694" s="4">
        <v>14685</v>
      </c>
      <c r="I694" s="6">
        <v>31204.491322969545</v>
      </c>
      <c r="J694" s="4"/>
      <c r="K694" s="4"/>
      <c r="L694" s="4"/>
      <c r="M694" s="4"/>
      <c r="N694" s="4"/>
      <c r="O694" s="4"/>
      <c r="P694" s="4"/>
      <c r="Q694" s="4"/>
      <c r="R694" s="4"/>
      <c r="S694" s="4"/>
      <c r="T694" s="4"/>
      <c r="U694" s="4"/>
      <c r="V694" s="4"/>
      <c r="W694" s="4"/>
      <c r="X694" s="4"/>
      <c r="Y694" s="4"/>
      <c r="Z694" s="4"/>
    </row>
    <row r="695" spans="1:26">
      <c r="A695" s="5">
        <v>43313</v>
      </c>
      <c r="B695" s="4" t="s">
        <v>21</v>
      </c>
      <c r="C695" s="4" t="s">
        <v>10</v>
      </c>
      <c r="D695" s="4" t="s">
        <v>14</v>
      </c>
      <c r="E695" s="4" t="s">
        <v>13</v>
      </c>
      <c r="F695" s="4">
        <v>19506</v>
      </c>
      <c r="G695" s="4">
        <v>1263</v>
      </c>
      <c r="H695" s="4">
        <v>17358</v>
      </c>
      <c r="I695" s="6">
        <v>105769.06932407159</v>
      </c>
      <c r="J695" s="4"/>
      <c r="K695" s="4"/>
      <c r="L695" s="4"/>
      <c r="M695" s="4"/>
      <c r="N695" s="4"/>
      <c r="O695" s="4"/>
      <c r="P695" s="4"/>
      <c r="Q695" s="4"/>
      <c r="R695" s="4"/>
      <c r="S695" s="4"/>
      <c r="T695" s="4"/>
      <c r="U695" s="4"/>
      <c r="V695" s="4"/>
      <c r="W695" s="4"/>
      <c r="X695" s="4"/>
      <c r="Y695" s="4"/>
      <c r="Z695" s="4"/>
    </row>
    <row r="696" spans="1:26">
      <c r="A696" s="5">
        <v>43313</v>
      </c>
      <c r="B696" s="4" t="s">
        <v>21</v>
      </c>
      <c r="C696" s="4" t="s">
        <v>10</v>
      </c>
      <c r="D696" s="4" t="s">
        <v>15</v>
      </c>
      <c r="E696" s="4" t="s">
        <v>12</v>
      </c>
      <c r="F696" s="4">
        <v>547752</v>
      </c>
      <c r="G696" s="4">
        <v>3556</v>
      </c>
      <c r="H696" s="4">
        <v>4174</v>
      </c>
      <c r="I696" s="6">
        <v>7685.2941285767374</v>
      </c>
      <c r="J696" s="4"/>
      <c r="K696" s="4"/>
      <c r="L696" s="4"/>
      <c r="M696" s="4"/>
      <c r="N696" s="4"/>
      <c r="O696" s="4"/>
      <c r="P696" s="4"/>
      <c r="Q696" s="4"/>
      <c r="R696" s="4"/>
      <c r="S696" s="4"/>
      <c r="T696" s="4"/>
      <c r="U696" s="4"/>
      <c r="V696" s="4"/>
      <c r="W696" s="4"/>
      <c r="X696" s="4"/>
      <c r="Y696" s="4"/>
      <c r="Z696" s="4"/>
    </row>
    <row r="697" spans="1:26">
      <c r="A697" s="5">
        <v>43313</v>
      </c>
      <c r="B697" s="4" t="s">
        <v>21</v>
      </c>
      <c r="C697" s="4" t="s">
        <v>10</v>
      </c>
      <c r="D697" s="4" t="s">
        <v>15</v>
      </c>
      <c r="E697" s="4" t="s">
        <v>13</v>
      </c>
      <c r="F697" s="4">
        <v>4792</v>
      </c>
      <c r="G697" s="4">
        <v>319</v>
      </c>
      <c r="H697" s="4">
        <v>3472</v>
      </c>
      <c r="I697" s="6">
        <v>25476.997044507785</v>
      </c>
      <c r="J697" s="4"/>
      <c r="K697" s="4"/>
      <c r="L697" s="4"/>
      <c r="M697" s="4"/>
      <c r="N697" s="4"/>
      <c r="O697" s="4"/>
      <c r="P697" s="4"/>
      <c r="Q697" s="4"/>
      <c r="R697" s="4"/>
      <c r="S697" s="4"/>
      <c r="T697" s="4"/>
      <c r="U697" s="4"/>
      <c r="V697" s="4"/>
      <c r="W697" s="4"/>
      <c r="X697" s="4"/>
      <c r="Y697" s="4"/>
      <c r="Z697" s="4"/>
    </row>
    <row r="698" spans="1:26">
      <c r="A698" s="5">
        <v>43313</v>
      </c>
      <c r="B698" s="4" t="s">
        <v>21</v>
      </c>
      <c r="C698" s="4" t="s">
        <v>10</v>
      </c>
      <c r="D698" s="4" t="s">
        <v>16</v>
      </c>
      <c r="E698" s="4" t="s">
        <v>12</v>
      </c>
      <c r="F698" s="4">
        <v>6984727</v>
      </c>
      <c r="G698" s="4">
        <v>58720</v>
      </c>
      <c r="H698" s="4">
        <v>65034</v>
      </c>
      <c r="I698" s="6">
        <v>159710.54644523273</v>
      </c>
      <c r="J698" s="4"/>
      <c r="K698" s="4"/>
      <c r="L698" s="4"/>
      <c r="M698" s="4"/>
      <c r="N698" s="4"/>
      <c r="O698" s="4"/>
      <c r="P698" s="4"/>
      <c r="Q698" s="4"/>
      <c r="R698" s="4"/>
      <c r="S698" s="4"/>
      <c r="T698" s="4"/>
      <c r="U698" s="4"/>
      <c r="V698" s="4"/>
      <c r="W698" s="4"/>
      <c r="X698" s="4"/>
      <c r="Y698" s="4"/>
      <c r="Z698" s="4"/>
    </row>
    <row r="699" spans="1:26">
      <c r="A699" s="5">
        <v>43313</v>
      </c>
      <c r="B699" s="4" t="s">
        <v>21</v>
      </c>
      <c r="C699" s="4" t="s">
        <v>10</v>
      </c>
      <c r="D699" s="4" t="s">
        <v>16</v>
      </c>
      <c r="E699" s="4" t="s">
        <v>13</v>
      </c>
      <c r="F699" s="4">
        <v>85757</v>
      </c>
      <c r="G699" s="4">
        <v>6199</v>
      </c>
      <c r="H699" s="4">
        <v>89308</v>
      </c>
      <c r="I699" s="6">
        <v>502252.25076683785</v>
      </c>
      <c r="J699" s="4"/>
      <c r="K699" s="4"/>
      <c r="L699" s="4"/>
      <c r="M699" s="4"/>
      <c r="N699" s="4"/>
      <c r="O699" s="4"/>
      <c r="P699" s="4"/>
      <c r="Q699" s="4"/>
      <c r="R699" s="4"/>
      <c r="S699" s="4"/>
      <c r="T699" s="4"/>
      <c r="U699" s="4"/>
      <c r="V699" s="4"/>
      <c r="W699" s="4"/>
      <c r="X699" s="4"/>
      <c r="Y699" s="4"/>
      <c r="Z699" s="4"/>
    </row>
    <row r="700" spans="1:26">
      <c r="A700" s="5">
        <v>43313</v>
      </c>
      <c r="B700" s="4" t="s">
        <v>21</v>
      </c>
      <c r="C700" s="4" t="s">
        <v>10</v>
      </c>
      <c r="D700" s="4" t="s">
        <v>17</v>
      </c>
      <c r="E700" s="4" t="s">
        <v>12</v>
      </c>
      <c r="F700" s="4">
        <v>2284687</v>
      </c>
      <c r="G700" s="4">
        <v>24378</v>
      </c>
      <c r="H700" s="4">
        <v>26615</v>
      </c>
      <c r="I700" s="6">
        <v>65848.215846683597</v>
      </c>
      <c r="J700" s="4"/>
      <c r="K700" s="4"/>
      <c r="L700" s="4"/>
      <c r="M700" s="4"/>
      <c r="N700" s="4"/>
      <c r="O700" s="4"/>
      <c r="P700" s="4"/>
      <c r="Q700" s="4"/>
      <c r="R700" s="4"/>
      <c r="S700" s="4"/>
      <c r="T700" s="4"/>
      <c r="U700" s="4"/>
      <c r="V700" s="4"/>
      <c r="W700" s="4"/>
      <c r="X700" s="4"/>
      <c r="Y700" s="4"/>
      <c r="Z700" s="4"/>
    </row>
    <row r="701" spans="1:26">
      <c r="A701" s="5">
        <v>43313</v>
      </c>
      <c r="B701" s="4" t="s">
        <v>21</v>
      </c>
      <c r="C701" s="4" t="s">
        <v>10</v>
      </c>
      <c r="D701" s="4" t="s">
        <v>17</v>
      </c>
      <c r="E701" s="4" t="s">
        <v>13</v>
      </c>
      <c r="F701" s="4">
        <v>32765</v>
      </c>
      <c r="G701" s="4">
        <v>2741</v>
      </c>
      <c r="H701" s="4">
        <v>39622</v>
      </c>
      <c r="I701" s="6">
        <v>216970.07199999999</v>
      </c>
      <c r="J701" s="4"/>
      <c r="K701" s="4"/>
      <c r="L701" s="4"/>
      <c r="M701" s="4"/>
      <c r="N701" s="4"/>
      <c r="O701" s="4"/>
      <c r="P701" s="4"/>
      <c r="Q701" s="4"/>
      <c r="R701" s="4"/>
      <c r="S701" s="4"/>
      <c r="T701" s="4"/>
      <c r="U701" s="4"/>
      <c r="V701" s="4"/>
      <c r="W701" s="4"/>
      <c r="X701" s="4"/>
      <c r="Y701" s="4"/>
      <c r="Z701" s="4"/>
    </row>
    <row r="702" spans="1:26">
      <c r="A702" s="5">
        <v>43313</v>
      </c>
      <c r="B702" s="4" t="s">
        <v>21</v>
      </c>
      <c r="C702" s="4" t="s">
        <v>18</v>
      </c>
      <c r="D702" s="4" t="s">
        <v>11</v>
      </c>
      <c r="E702" s="4" t="s">
        <v>12</v>
      </c>
      <c r="F702" s="4">
        <v>1568950</v>
      </c>
      <c r="G702" s="4">
        <v>28679</v>
      </c>
      <c r="H702" s="4">
        <v>124766</v>
      </c>
      <c r="I702" s="6">
        <v>66489.702187857969</v>
      </c>
      <c r="J702" s="4"/>
      <c r="K702" s="4"/>
      <c r="L702" s="4"/>
      <c r="M702" s="4"/>
      <c r="N702" s="4"/>
      <c r="O702" s="4"/>
      <c r="P702" s="4"/>
      <c r="Q702" s="4"/>
      <c r="R702" s="4"/>
      <c r="S702" s="4"/>
      <c r="T702" s="4"/>
      <c r="U702" s="4"/>
      <c r="V702" s="4"/>
      <c r="W702" s="4"/>
      <c r="X702" s="4"/>
      <c r="Y702" s="4"/>
      <c r="Z702" s="4"/>
    </row>
    <row r="703" spans="1:26">
      <c r="A703" s="5">
        <v>43313</v>
      </c>
      <c r="B703" s="4" t="s">
        <v>21</v>
      </c>
      <c r="C703" s="4" t="s">
        <v>18</v>
      </c>
      <c r="D703" s="4" t="s">
        <v>11</v>
      </c>
      <c r="E703" s="4" t="s">
        <v>13</v>
      </c>
      <c r="F703" s="4">
        <v>11069</v>
      </c>
      <c r="G703" s="4">
        <v>331</v>
      </c>
      <c r="H703" s="4">
        <v>14674</v>
      </c>
      <c r="I703" s="6">
        <v>11600.200819084248</v>
      </c>
      <c r="J703" s="4"/>
      <c r="K703" s="4"/>
      <c r="L703" s="4"/>
      <c r="M703" s="4"/>
      <c r="N703" s="4"/>
      <c r="O703" s="4"/>
      <c r="P703" s="4"/>
      <c r="Q703" s="4"/>
      <c r="R703" s="4"/>
      <c r="S703" s="4"/>
      <c r="T703" s="4"/>
      <c r="U703" s="4"/>
      <c r="V703" s="4"/>
      <c r="W703" s="4"/>
      <c r="X703" s="4"/>
      <c r="Y703" s="4"/>
      <c r="Z703" s="4"/>
    </row>
    <row r="704" spans="1:26">
      <c r="A704" s="5">
        <v>43313</v>
      </c>
      <c r="B704" s="4" t="s">
        <v>21</v>
      </c>
      <c r="C704" s="4" t="s">
        <v>18</v>
      </c>
      <c r="D704" s="4" t="s">
        <v>14</v>
      </c>
      <c r="E704" s="4" t="s">
        <v>12</v>
      </c>
      <c r="F704" s="4">
        <v>2462649</v>
      </c>
      <c r="G704" s="4">
        <v>40877</v>
      </c>
      <c r="H704" s="4">
        <v>153086</v>
      </c>
      <c r="I704" s="6">
        <v>73410.967772562843</v>
      </c>
      <c r="J704" s="4"/>
      <c r="K704" s="4"/>
      <c r="L704" s="4"/>
      <c r="M704" s="4"/>
      <c r="N704" s="4"/>
      <c r="O704" s="4"/>
      <c r="P704" s="4"/>
      <c r="Q704" s="4"/>
      <c r="R704" s="4"/>
      <c r="S704" s="4"/>
      <c r="T704" s="4"/>
      <c r="U704" s="4"/>
      <c r="V704" s="4"/>
      <c r="W704" s="4"/>
      <c r="X704" s="4"/>
      <c r="Y704" s="4"/>
      <c r="Z704" s="4"/>
    </row>
    <row r="705" spans="1:26">
      <c r="A705" s="5">
        <v>43313</v>
      </c>
      <c r="B705" s="4" t="s">
        <v>21</v>
      </c>
      <c r="C705" s="4" t="s">
        <v>18</v>
      </c>
      <c r="D705" s="4" t="s">
        <v>14</v>
      </c>
      <c r="E705" s="4" t="s">
        <v>13</v>
      </c>
      <c r="F705" s="4">
        <v>14391</v>
      </c>
      <c r="G705" s="4">
        <v>377</v>
      </c>
      <c r="H705" s="4">
        <v>9057</v>
      </c>
      <c r="I705" s="6">
        <v>11417.796700507613</v>
      </c>
      <c r="J705" s="4"/>
      <c r="K705" s="4"/>
      <c r="L705" s="4"/>
      <c r="M705" s="4"/>
      <c r="N705" s="4"/>
      <c r="O705" s="4"/>
      <c r="P705" s="4"/>
      <c r="Q705" s="4"/>
      <c r="R705" s="4"/>
      <c r="S705" s="4"/>
      <c r="T705" s="4"/>
      <c r="U705" s="4"/>
      <c r="V705" s="4"/>
      <c r="W705" s="4"/>
      <c r="X705" s="4"/>
      <c r="Y705" s="4"/>
      <c r="Z705" s="4"/>
    </row>
    <row r="706" spans="1:26">
      <c r="A706" s="5">
        <v>43313</v>
      </c>
      <c r="B706" s="4" t="s">
        <v>21</v>
      </c>
      <c r="C706" s="4" t="s">
        <v>18</v>
      </c>
      <c r="D706" s="4" t="s">
        <v>15</v>
      </c>
      <c r="E706" s="4" t="s">
        <v>12</v>
      </c>
      <c r="F706" s="4">
        <v>850641</v>
      </c>
      <c r="G706" s="4">
        <v>12818</v>
      </c>
      <c r="H706" s="4">
        <v>61234</v>
      </c>
      <c r="I706" s="6">
        <v>19511.997051491748</v>
      </c>
      <c r="J706" s="4"/>
      <c r="K706" s="4"/>
      <c r="L706" s="4"/>
      <c r="M706" s="4"/>
      <c r="N706" s="4"/>
      <c r="O706" s="4"/>
      <c r="P706" s="4"/>
      <c r="Q706" s="4"/>
      <c r="R706" s="4"/>
      <c r="S706" s="4"/>
      <c r="T706" s="4"/>
      <c r="U706" s="4"/>
      <c r="V706" s="4"/>
      <c r="W706" s="4"/>
      <c r="X706" s="4"/>
      <c r="Y706" s="4"/>
      <c r="Z706" s="4"/>
    </row>
    <row r="707" spans="1:26">
      <c r="A707" s="5">
        <v>43313</v>
      </c>
      <c r="B707" s="4" t="s">
        <v>21</v>
      </c>
      <c r="C707" s="4" t="s">
        <v>18</v>
      </c>
      <c r="D707" s="4" t="s">
        <v>15</v>
      </c>
      <c r="E707" s="4" t="s">
        <v>13</v>
      </c>
      <c r="F707" s="4">
        <v>4404</v>
      </c>
      <c r="G707" s="4">
        <v>139</v>
      </c>
      <c r="H707" s="4">
        <v>3621</v>
      </c>
      <c r="I707" s="6">
        <v>1976.9935504287464</v>
      </c>
      <c r="J707" s="4"/>
      <c r="K707" s="4"/>
      <c r="L707" s="4"/>
      <c r="M707" s="4"/>
      <c r="N707" s="4"/>
      <c r="O707" s="4"/>
      <c r="P707" s="4"/>
      <c r="Q707" s="4"/>
      <c r="R707" s="4"/>
      <c r="S707" s="4"/>
      <c r="T707" s="4"/>
      <c r="U707" s="4"/>
      <c r="V707" s="4"/>
      <c r="W707" s="4"/>
      <c r="X707" s="4"/>
      <c r="Y707" s="4"/>
      <c r="Z707" s="4"/>
    </row>
    <row r="708" spans="1:26">
      <c r="A708" s="5">
        <v>43313</v>
      </c>
      <c r="B708" s="4" t="s">
        <v>21</v>
      </c>
      <c r="C708" s="4" t="s">
        <v>18</v>
      </c>
      <c r="D708" s="4" t="s">
        <v>16</v>
      </c>
      <c r="E708" s="4" t="s">
        <v>12</v>
      </c>
      <c r="F708" s="4">
        <v>21570252</v>
      </c>
      <c r="G708" s="4">
        <v>124798</v>
      </c>
      <c r="H708" s="4">
        <v>446088</v>
      </c>
      <c r="I708" s="6">
        <v>282540.34456889704</v>
      </c>
      <c r="J708" s="4"/>
      <c r="K708" s="4"/>
      <c r="L708" s="4"/>
      <c r="M708" s="4"/>
      <c r="N708" s="4"/>
      <c r="O708" s="4"/>
      <c r="P708" s="4"/>
      <c r="Q708" s="4"/>
      <c r="R708" s="4"/>
      <c r="S708" s="4"/>
      <c r="T708" s="4"/>
      <c r="U708" s="4"/>
      <c r="V708" s="4"/>
      <c r="W708" s="4"/>
      <c r="X708" s="4"/>
      <c r="Y708" s="4"/>
      <c r="Z708" s="4"/>
    </row>
    <row r="709" spans="1:26">
      <c r="A709" s="5">
        <v>43313</v>
      </c>
      <c r="B709" s="4" t="s">
        <v>21</v>
      </c>
      <c r="C709" s="4" t="s">
        <v>18</v>
      </c>
      <c r="D709" s="4" t="s">
        <v>16</v>
      </c>
      <c r="E709" s="4" t="s">
        <v>13</v>
      </c>
      <c r="F709" s="4">
        <v>568086</v>
      </c>
      <c r="G709" s="4">
        <v>1314</v>
      </c>
      <c r="H709" s="4">
        <v>46034</v>
      </c>
      <c r="I709" s="6">
        <v>34117.22437825313</v>
      </c>
      <c r="J709" s="4"/>
      <c r="K709" s="4"/>
      <c r="L709" s="4"/>
      <c r="M709" s="4"/>
      <c r="N709" s="4"/>
      <c r="O709" s="4"/>
      <c r="P709" s="4"/>
      <c r="Q709" s="4"/>
      <c r="R709" s="4"/>
      <c r="S709" s="4"/>
      <c r="T709" s="4"/>
      <c r="U709" s="4"/>
      <c r="V709" s="4"/>
      <c r="W709" s="4"/>
      <c r="X709" s="4"/>
      <c r="Y709" s="4"/>
      <c r="Z709" s="4"/>
    </row>
    <row r="710" spans="1:26">
      <c r="A710" s="5">
        <v>43313</v>
      </c>
      <c r="B710" s="4" t="s">
        <v>21</v>
      </c>
      <c r="C710" s="4" t="s">
        <v>18</v>
      </c>
      <c r="D710" s="4" t="s">
        <v>17</v>
      </c>
      <c r="E710" s="4" t="s">
        <v>12</v>
      </c>
      <c r="F710" s="4">
        <v>2863149</v>
      </c>
      <c r="G710" s="4">
        <v>45557</v>
      </c>
      <c r="H710" s="4">
        <v>150181</v>
      </c>
      <c r="I710" s="6">
        <v>107121.08957434043</v>
      </c>
      <c r="J710" s="4"/>
      <c r="K710" s="4"/>
      <c r="L710" s="4"/>
      <c r="M710" s="4"/>
      <c r="N710" s="4"/>
      <c r="O710" s="4"/>
      <c r="P710" s="4"/>
      <c r="Q710" s="4"/>
      <c r="R710" s="4"/>
      <c r="S710" s="4"/>
      <c r="T710" s="4"/>
      <c r="U710" s="4"/>
      <c r="V710" s="4"/>
      <c r="W710" s="4"/>
      <c r="X710" s="4"/>
      <c r="Y710" s="4"/>
      <c r="Z710" s="4"/>
    </row>
    <row r="711" spans="1:26">
      <c r="A711" s="5">
        <v>43313</v>
      </c>
      <c r="B711" s="4" t="s">
        <v>21</v>
      </c>
      <c r="C711" s="4" t="s">
        <v>18</v>
      </c>
      <c r="D711" s="4" t="s">
        <v>17</v>
      </c>
      <c r="E711" s="4" t="s">
        <v>13</v>
      </c>
      <c r="F711" s="4">
        <v>25922</v>
      </c>
      <c r="G711" s="4">
        <v>634</v>
      </c>
      <c r="H711" s="4">
        <v>23824</v>
      </c>
      <c r="I711" s="6">
        <v>19138.047729612485</v>
      </c>
      <c r="J711" s="4"/>
      <c r="K711" s="4"/>
      <c r="L711" s="4"/>
      <c r="M711" s="4"/>
      <c r="N711" s="4"/>
      <c r="O711" s="4"/>
      <c r="P711" s="4"/>
      <c r="Q711" s="4"/>
      <c r="R711" s="4"/>
      <c r="S711" s="4"/>
      <c r="T711" s="4"/>
      <c r="U711" s="4"/>
      <c r="V711" s="4"/>
      <c r="W711" s="4"/>
      <c r="X711" s="4"/>
      <c r="Y711" s="4"/>
      <c r="Z711" s="4"/>
    </row>
    <row r="712" spans="1:26">
      <c r="A712" s="5">
        <v>43313</v>
      </c>
      <c r="B712" s="4" t="s">
        <v>21</v>
      </c>
      <c r="C712" s="4" t="s">
        <v>19</v>
      </c>
      <c r="D712" s="4" t="s">
        <v>11</v>
      </c>
      <c r="E712" s="4" t="s">
        <v>12</v>
      </c>
      <c r="F712" s="4">
        <v>542818</v>
      </c>
      <c r="G712" s="4">
        <v>7741</v>
      </c>
      <c r="H712" s="4">
        <v>8021</v>
      </c>
      <c r="I712" s="6">
        <v>85013.097770034845</v>
      </c>
      <c r="J712" s="4"/>
      <c r="K712" s="4"/>
      <c r="L712" s="4"/>
      <c r="M712" s="4"/>
      <c r="N712" s="4"/>
      <c r="O712" s="4"/>
      <c r="P712" s="4"/>
      <c r="Q712" s="4"/>
      <c r="R712" s="4"/>
      <c r="S712" s="4"/>
      <c r="T712" s="4"/>
      <c r="U712" s="4"/>
      <c r="V712" s="4"/>
      <c r="W712" s="4"/>
      <c r="X712" s="4"/>
      <c r="Y712" s="4"/>
      <c r="Z712" s="4"/>
    </row>
    <row r="713" spans="1:26">
      <c r="A713" s="5">
        <v>43313</v>
      </c>
      <c r="B713" s="4" t="s">
        <v>21</v>
      </c>
      <c r="C713" s="4" t="s">
        <v>19</v>
      </c>
      <c r="D713" s="4" t="s">
        <v>11</v>
      </c>
      <c r="E713" s="4" t="s">
        <v>13</v>
      </c>
      <c r="F713" s="4">
        <v>14206</v>
      </c>
      <c r="G713" s="4">
        <v>1246</v>
      </c>
      <c r="H713" s="4">
        <v>36664</v>
      </c>
      <c r="I713" s="6">
        <v>20916.868425180248</v>
      </c>
      <c r="J713" s="4"/>
      <c r="K713" s="4"/>
      <c r="L713" s="4"/>
      <c r="M713" s="4"/>
      <c r="N713" s="4"/>
      <c r="O713" s="4"/>
      <c r="P713" s="4"/>
      <c r="Q713" s="4"/>
      <c r="R713" s="4"/>
      <c r="S713" s="4"/>
      <c r="T713" s="4"/>
      <c r="U713" s="4"/>
      <c r="V713" s="4"/>
      <c r="W713" s="4"/>
      <c r="X713" s="4"/>
      <c r="Y713" s="4"/>
      <c r="Z713" s="4"/>
    </row>
    <row r="714" spans="1:26">
      <c r="A714" s="5">
        <v>43313</v>
      </c>
      <c r="B714" s="4" t="s">
        <v>21</v>
      </c>
      <c r="C714" s="4" t="s">
        <v>19</v>
      </c>
      <c r="D714" s="4" t="s">
        <v>14</v>
      </c>
      <c r="E714" s="4" t="s">
        <v>12</v>
      </c>
      <c r="F714" s="4">
        <v>975430</v>
      </c>
      <c r="G714" s="4">
        <v>15448</v>
      </c>
      <c r="H714" s="4">
        <v>16646</v>
      </c>
      <c r="I714" s="6">
        <v>154778.8257867973</v>
      </c>
      <c r="J714" s="4"/>
      <c r="K714" s="4"/>
      <c r="L714" s="4"/>
      <c r="M714" s="4"/>
      <c r="N714" s="4"/>
      <c r="O714" s="4"/>
      <c r="P714" s="4"/>
      <c r="Q714" s="4"/>
      <c r="R714" s="4"/>
      <c r="S714" s="4"/>
      <c r="T714" s="4"/>
      <c r="U714" s="4"/>
      <c r="V714" s="4"/>
      <c r="W714" s="4"/>
      <c r="X714" s="4"/>
      <c r="Y714" s="4"/>
      <c r="Z714" s="4"/>
    </row>
    <row r="715" spans="1:26">
      <c r="A715" s="5">
        <v>43313</v>
      </c>
      <c r="B715" s="4" t="s">
        <v>21</v>
      </c>
      <c r="C715" s="4" t="s">
        <v>19</v>
      </c>
      <c r="D715" s="4" t="s">
        <v>14</v>
      </c>
      <c r="E715" s="4" t="s">
        <v>13</v>
      </c>
      <c r="F715" s="4">
        <v>27764</v>
      </c>
      <c r="G715" s="4">
        <v>2385</v>
      </c>
      <c r="H715" s="4">
        <v>112213</v>
      </c>
      <c r="I715" s="6">
        <v>35160.001060912415</v>
      </c>
      <c r="J715" s="4"/>
      <c r="K715" s="4"/>
      <c r="L715" s="4"/>
      <c r="M715" s="4"/>
      <c r="N715" s="4"/>
      <c r="O715" s="4"/>
      <c r="P715" s="4"/>
      <c r="Q715" s="4"/>
      <c r="R715" s="4"/>
      <c r="S715" s="4"/>
      <c r="T715" s="4"/>
      <c r="U715" s="4"/>
      <c r="V715" s="4"/>
      <c r="W715" s="4"/>
      <c r="X715" s="4"/>
      <c r="Y715" s="4"/>
      <c r="Z715" s="4"/>
    </row>
    <row r="716" spans="1:26">
      <c r="A716" s="5">
        <v>43313</v>
      </c>
      <c r="B716" s="4" t="s">
        <v>21</v>
      </c>
      <c r="C716" s="4" t="s">
        <v>19</v>
      </c>
      <c r="D716" s="4" t="s">
        <v>15</v>
      </c>
      <c r="E716" s="4" t="s">
        <v>12</v>
      </c>
      <c r="F716" s="4">
        <v>295581</v>
      </c>
      <c r="G716" s="4">
        <v>4179</v>
      </c>
      <c r="H716" s="4">
        <v>4499</v>
      </c>
      <c r="I716" s="6">
        <v>42544.669389655173</v>
      </c>
      <c r="J716" s="4"/>
      <c r="K716" s="4"/>
      <c r="L716" s="4"/>
      <c r="M716" s="4"/>
      <c r="N716" s="4"/>
      <c r="O716" s="4"/>
      <c r="P716" s="4"/>
      <c r="Q716" s="4"/>
      <c r="R716" s="4"/>
      <c r="S716" s="4"/>
      <c r="T716" s="4"/>
      <c r="U716" s="4"/>
      <c r="V716" s="4"/>
      <c r="W716" s="4"/>
      <c r="X716" s="4"/>
      <c r="Y716" s="4"/>
      <c r="Z716" s="4"/>
    </row>
    <row r="717" spans="1:26">
      <c r="A717" s="5">
        <v>43313</v>
      </c>
      <c r="B717" s="4" t="s">
        <v>21</v>
      </c>
      <c r="C717" s="4" t="s">
        <v>19</v>
      </c>
      <c r="D717" s="4" t="s">
        <v>15</v>
      </c>
      <c r="E717" s="4" t="s">
        <v>13</v>
      </c>
      <c r="F717" s="4">
        <v>7907</v>
      </c>
      <c r="G717" s="4">
        <v>658</v>
      </c>
      <c r="H717" s="4">
        <v>29786</v>
      </c>
      <c r="I717" s="6">
        <v>9726.6327681893345</v>
      </c>
      <c r="J717" s="4"/>
      <c r="K717" s="4"/>
      <c r="L717" s="4"/>
      <c r="M717" s="4"/>
      <c r="N717" s="4"/>
      <c r="O717" s="4"/>
      <c r="P717" s="4"/>
      <c r="Q717" s="4"/>
      <c r="R717" s="4"/>
      <c r="S717" s="4"/>
      <c r="T717" s="4"/>
      <c r="U717" s="4"/>
      <c r="V717" s="4"/>
      <c r="W717" s="4"/>
      <c r="X717" s="4"/>
      <c r="Y717" s="4"/>
      <c r="Z717" s="4"/>
    </row>
    <row r="718" spans="1:26">
      <c r="A718" s="5">
        <v>43313</v>
      </c>
      <c r="B718" s="4" t="s">
        <v>21</v>
      </c>
      <c r="C718" s="4" t="s">
        <v>19</v>
      </c>
      <c r="D718" s="4" t="s">
        <v>16</v>
      </c>
      <c r="E718" s="4" t="s">
        <v>12</v>
      </c>
      <c r="F718" s="4">
        <v>2747478</v>
      </c>
      <c r="G718" s="4">
        <v>40987</v>
      </c>
      <c r="H718" s="4">
        <v>41794</v>
      </c>
      <c r="I718" s="6">
        <v>466130.01444925566</v>
      </c>
      <c r="J718" s="4"/>
      <c r="K718" s="4"/>
      <c r="L718" s="4"/>
      <c r="M718" s="4"/>
      <c r="N718" s="4"/>
      <c r="O718" s="4"/>
      <c r="P718" s="4"/>
      <c r="Q718" s="4"/>
      <c r="R718" s="4"/>
      <c r="S718" s="4"/>
      <c r="T718" s="4"/>
      <c r="U718" s="4"/>
      <c r="V718" s="4"/>
      <c r="W718" s="4"/>
      <c r="X718" s="4"/>
      <c r="Y718" s="4"/>
      <c r="Z718" s="4"/>
    </row>
    <row r="719" spans="1:26">
      <c r="A719" s="5">
        <v>43313</v>
      </c>
      <c r="B719" s="4" t="s">
        <v>21</v>
      </c>
      <c r="C719" s="4" t="s">
        <v>19</v>
      </c>
      <c r="D719" s="4" t="s">
        <v>16</v>
      </c>
      <c r="E719" s="4" t="s">
        <v>13</v>
      </c>
      <c r="F719" s="4">
        <v>71246</v>
      </c>
      <c r="G719" s="4">
        <v>6197</v>
      </c>
      <c r="H719" s="4">
        <v>410627</v>
      </c>
      <c r="I719" s="6">
        <v>94799.004342358152</v>
      </c>
      <c r="J719" s="4"/>
      <c r="K719" s="4"/>
      <c r="L719" s="4"/>
      <c r="M719" s="4"/>
      <c r="N719" s="4"/>
      <c r="O719" s="4"/>
      <c r="P719" s="4"/>
      <c r="Q719" s="4"/>
      <c r="R719" s="4"/>
      <c r="S719" s="4"/>
      <c r="T719" s="4"/>
      <c r="U719" s="4"/>
      <c r="V719" s="4"/>
      <c r="W719" s="4"/>
      <c r="X719" s="4"/>
      <c r="Y719" s="4"/>
      <c r="Z719" s="4"/>
    </row>
    <row r="720" spans="1:26">
      <c r="A720" s="5">
        <v>43313</v>
      </c>
      <c r="B720" s="4" t="s">
        <v>21</v>
      </c>
      <c r="C720" s="4" t="s">
        <v>19</v>
      </c>
      <c r="D720" s="4" t="s">
        <v>17</v>
      </c>
      <c r="E720" s="4" t="s">
        <v>12</v>
      </c>
      <c r="F720" s="4">
        <v>938039</v>
      </c>
      <c r="G720" s="4">
        <v>15400</v>
      </c>
      <c r="H720" s="4">
        <v>16993</v>
      </c>
      <c r="I720" s="6">
        <v>159121.15058033267</v>
      </c>
      <c r="J720" s="4"/>
      <c r="K720" s="4"/>
      <c r="L720" s="4"/>
      <c r="M720" s="4"/>
      <c r="N720" s="4"/>
      <c r="O720" s="4"/>
      <c r="P720" s="4"/>
      <c r="Q720" s="4"/>
      <c r="R720" s="4"/>
      <c r="S720" s="4"/>
      <c r="T720" s="4"/>
      <c r="U720" s="4"/>
      <c r="V720" s="4"/>
      <c r="W720" s="4"/>
      <c r="X720" s="4"/>
      <c r="Y720" s="4"/>
      <c r="Z720" s="4"/>
    </row>
    <row r="721" spans="1:26">
      <c r="A721" s="5">
        <v>43313</v>
      </c>
      <c r="B721" s="4" t="s">
        <v>21</v>
      </c>
      <c r="C721" s="4" t="s">
        <v>19</v>
      </c>
      <c r="D721" s="4" t="s">
        <v>17</v>
      </c>
      <c r="E721" s="4" t="s">
        <v>13</v>
      </c>
      <c r="F721" s="4">
        <v>24625</v>
      </c>
      <c r="G721" s="4">
        <v>2193</v>
      </c>
      <c r="H721" s="4">
        <v>93498</v>
      </c>
      <c r="I721" s="6">
        <v>38483.213684053604</v>
      </c>
      <c r="J721" s="4"/>
      <c r="K721" s="4"/>
      <c r="L721" s="4"/>
      <c r="M721" s="4"/>
      <c r="N721" s="4"/>
      <c r="O721" s="4"/>
      <c r="P721" s="4"/>
      <c r="Q721" s="4"/>
      <c r="R721" s="4"/>
      <c r="S721" s="4"/>
      <c r="T721" s="4"/>
      <c r="U721" s="4"/>
      <c r="V721" s="4"/>
      <c r="W721" s="4"/>
      <c r="X721" s="4"/>
      <c r="Y721" s="4"/>
      <c r="Z721" s="4"/>
    </row>
    <row r="722" spans="1:26">
      <c r="A722" s="5">
        <v>43344</v>
      </c>
      <c r="B722" s="4" t="s">
        <v>9</v>
      </c>
      <c r="C722" s="4" t="s">
        <v>10</v>
      </c>
      <c r="D722" s="4" t="s">
        <v>11</v>
      </c>
      <c r="E722" s="4" t="s">
        <v>12</v>
      </c>
      <c r="F722" s="4">
        <v>1152174</v>
      </c>
      <c r="G722" s="4">
        <v>53393</v>
      </c>
      <c r="H722" s="4">
        <v>63417</v>
      </c>
      <c r="I722" s="6">
        <v>47621.610445646606</v>
      </c>
      <c r="J722" s="4"/>
      <c r="K722" s="4"/>
      <c r="L722" s="4"/>
      <c r="M722" s="4"/>
      <c r="N722" s="4"/>
      <c r="O722" s="4"/>
      <c r="P722" s="4"/>
      <c r="Q722" s="4"/>
      <c r="R722" s="4"/>
      <c r="S722" s="4"/>
      <c r="T722" s="4"/>
      <c r="U722" s="4"/>
      <c r="V722" s="4"/>
      <c r="W722" s="4"/>
      <c r="X722" s="4"/>
      <c r="Y722" s="4"/>
      <c r="Z722" s="4"/>
    </row>
    <row r="723" spans="1:26">
      <c r="A723" s="5">
        <v>43344</v>
      </c>
      <c r="B723" s="4" t="s">
        <v>9</v>
      </c>
      <c r="C723" s="4" t="s">
        <v>10</v>
      </c>
      <c r="D723" s="4" t="s">
        <v>11</v>
      </c>
      <c r="E723" s="4" t="s">
        <v>13</v>
      </c>
      <c r="F723" s="4">
        <v>6861</v>
      </c>
      <c r="G723" s="4">
        <v>1180</v>
      </c>
      <c r="H723" s="4">
        <v>6958</v>
      </c>
      <c r="I723" s="6">
        <v>241574.94554522785</v>
      </c>
      <c r="J723" s="4"/>
      <c r="K723" s="4"/>
      <c r="L723" s="4"/>
      <c r="M723" s="4"/>
      <c r="N723" s="4"/>
      <c r="O723" s="4"/>
      <c r="P723" s="4"/>
      <c r="Q723" s="4"/>
      <c r="R723" s="4"/>
      <c r="S723" s="4"/>
      <c r="T723" s="4"/>
      <c r="U723" s="4"/>
      <c r="V723" s="4"/>
      <c r="W723" s="4"/>
      <c r="X723" s="4"/>
      <c r="Y723" s="4"/>
      <c r="Z723" s="4"/>
    </row>
    <row r="724" spans="1:26">
      <c r="A724" s="5">
        <v>43344</v>
      </c>
      <c r="B724" s="4" t="s">
        <v>9</v>
      </c>
      <c r="C724" s="4" t="s">
        <v>10</v>
      </c>
      <c r="D724" s="4" t="s">
        <v>14</v>
      </c>
      <c r="E724" s="4" t="s">
        <v>12</v>
      </c>
      <c r="F724" s="4">
        <v>2884734</v>
      </c>
      <c r="G724" s="4">
        <v>93411</v>
      </c>
      <c r="H724" s="4">
        <v>110413</v>
      </c>
      <c r="I724" s="6">
        <v>80243.062931784254</v>
      </c>
      <c r="J724" s="4"/>
      <c r="K724" s="4"/>
      <c r="L724" s="4"/>
      <c r="M724" s="4"/>
      <c r="N724" s="4"/>
      <c r="O724" s="4"/>
      <c r="P724" s="4"/>
      <c r="Q724" s="4"/>
      <c r="R724" s="4"/>
      <c r="S724" s="4"/>
      <c r="T724" s="4"/>
      <c r="U724" s="4"/>
      <c r="V724" s="4"/>
      <c r="W724" s="4"/>
      <c r="X724" s="4"/>
      <c r="Y724" s="4"/>
      <c r="Z724" s="4"/>
    </row>
    <row r="725" spans="1:26">
      <c r="A725" s="5">
        <v>43344</v>
      </c>
      <c r="B725" s="4" t="s">
        <v>9</v>
      </c>
      <c r="C725" s="4" t="s">
        <v>10</v>
      </c>
      <c r="D725" s="4" t="s">
        <v>14</v>
      </c>
      <c r="E725" s="4" t="s">
        <v>13</v>
      </c>
      <c r="F725" s="4">
        <v>11501</v>
      </c>
      <c r="G725" s="4">
        <v>2368</v>
      </c>
      <c r="H725" s="4">
        <v>17347</v>
      </c>
      <c r="I725" s="6">
        <v>372828.2081802442</v>
      </c>
      <c r="J725" s="4"/>
      <c r="K725" s="4"/>
      <c r="L725" s="4"/>
      <c r="M725" s="4"/>
      <c r="N725" s="4"/>
      <c r="O725" s="4"/>
      <c r="P725" s="4"/>
      <c r="Q725" s="4"/>
      <c r="R725" s="4"/>
      <c r="S725" s="4"/>
      <c r="T725" s="4"/>
      <c r="U725" s="4"/>
      <c r="V725" s="4"/>
      <c r="W725" s="4"/>
      <c r="X725" s="4"/>
      <c r="Y725" s="4"/>
      <c r="Z725" s="4"/>
    </row>
    <row r="726" spans="1:26">
      <c r="A726" s="5">
        <v>43344</v>
      </c>
      <c r="B726" s="4" t="s">
        <v>9</v>
      </c>
      <c r="C726" s="4" t="s">
        <v>10</v>
      </c>
      <c r="D726" s="4" t="s">
        <v>15</v>
      </c>
      <c r="E726" s="4" t="s">
        <v>12</v>
      </c>
      <c r="F726" s="4">
        <v>1165119</v>
      </c>
      <c r="G726" s="4">
        <v>38641</v>
      </c>
      <c r="H726" s="4">
        <v>49664</v>
      </c>
      <c r="I726" s="6">
        <v>37258.521127506501</v>
      </c>
      <c r="J726" s="4"/>
      <c r="K726" s="4"/>
      <c r="L726" s="4"/>
      <c r="M726" s="4"/>
      <c r="N726" s="4"/>
      <c r="O726" s="4"/>
      <c r="P726" s="4"/>
      <c r="Q726" s="4"/>
      <c r="R726" s="4"/>
      <c r="S726" s="4"/>
      <c r="T726" s="4"/>
      <c r="U726" s="4"/>
      <c r="V726" s="4"/>
      <c r="W726" s="4"/>
      <c r="X726" s="4"/>
      <c r="Y726" s="4"/>
      <c r="Z726" s="4"/>
    </row>
    <row r="727" spans="1:26">
      <c r="A727" s="5">
        <v>43344</v>
      </c>
      <c r="B727" s="4" t="s">
        <v>9</v>
      </c>
      <c r="C727" s="4" t="s">
        <v>10</v>
      </c>
      <c r="D727" s="4" t="s">
        <v>15</v>
      </c>
      <c r="E727" s="4" t="s">
        <v>13</v>
      </c>
      <c r="F727" s="4">
        <v>4401</v>
      </c>
      <c r="G727" s="4">
        <v>687</v>
      </c>
      <c r="H727" s="4">
        <v>5703</v>
      </c>
      <c r="I727" s="6">
        <v>93045.135132013194</v>
      </c>
      <c r="J727" s="4"/>
      <c r="K727" s="4"/>
      <c r="L727" s="4"/>
      <c r="M727" s="4"/>
      <c r="N727" s="4"/>
      <c r="O727" s="4"/>
      <c r="P727" s="4"/>
      <c r="Q727" s="4"/>
      <c r="R727" s="4"/>
      <c r="S727" s="4"/>
      <c r="T727" s="4"/>
      <c r="U727" s="4"/>
      <c r="V727" s="4"/>
      <c r="W727" s="4"/>
      <c r="X727" s="4"/>
      <c r="Y727" s="4"/>
      <c r="Z727" s="4"/>
    </row>
    <row r="728" spans="1:26">
      <c r="A728" s="5">
        <v>43344</v>
      </c>
      <c r="B728" s="4" t="s">
        <v>9</v>
      </c>
      <c r="C728" s="4" t="s">
        <v>10</v>
      </c>
      <c r="D728" s="4" t="s">
        <v>16</v>
      </c>
      <c r="E728" s="4" t="s">
        <v>12</v>
      </c>
      <c r="F728" s="4">
        <v>35905102</v>
      </c>
      <c r="G728" s="4">
        <v>241305</v>
      </c>
      <c r="H728" s="4">
        <v>271846</v>
      </c>
      <c r="I728" s="6">
        <v>206423.58190855116</v>
      </c>
      <c r="J728" s="4"/>
      <c r="K728" s="4"/>
      <c r="L728" s="4"/>
      <c r="M728" s="4"/>
      <c r="N728" s="4"/>
      <c r="O728" s="4"/>
      <c r="P728" s="4"/>
      <c r="Q728" s="4"/>
      <c r="R728" s="4"/>
      <c r="S728" s="4"/>
      <c r="T728" s="4"/>
      <c r="U728" s="4"/>
      <c r="V728" s="4"/>
      <c r="W728" s="4"/>
      <c r="X728" s="4"/>
      <c r="Y728" s="4"/>
      <c r="Z728" s="4"/>
    </row>
    <row r="729" spans="1:26">
      <c r="A729" s="5">
        <v>43344</v>
      </c>
      <c r="B729" s="4" t="s">
        <v>9</v>
      </c>
      <c r="C729" s="4" t="s">
        <v>10</v>
      </c>
      <c r="D729" s="4" t="s">
        <v>16</v>
      </c>
      <c r="E729" s="4" t="s">
        <v>13</v>
      </c>
      <c r="F729" s="4">
        <v>252152</v>
      </c>
      <c r="G729" s="4">
        <v>5134</v>
      </c>
      <c r="H729" s="4">
        <v>33518</v>
      </c>
      <c r="I729" s="6">
        <v>1125827.0577115603</v>
      </c>
      <c r="J729" s="4"/>
      <c r="K729" s="4"/>
      <c r="L729" s="4"/>
      <c r="M729" s="4"/>
      <c r="N729" s="4"/>
      <c r="O729" s="4"/>
      <c r="P729" s="4"/>
      <c r="Q729" s="4"/>
      <c r="R729" s="4"/>
      <c r="S729" s="4"/>
      <c r="T729" s="4"/>
      <c r="U729" s="4"/>
      <c r="V729" s="4"/>
      <c r="W729" s="4"/>
      <c r="X729" s="4"/>
      <c r="Y729" s="4"/>
      <c r="Z729" s="4"/>
    </row>
    <row r="730" spans="1:26">
      <c r="A730" s="5">
        <v>43344</v>
      </c>
      <c r="B730" s="4" t="s">
        <v>9</v>
      </c>
      <c r="C730" s="4" t="s">
        <v>10</v>
      </c>
      <c r="D730" s="4" t="s">
        <v>17</v>
      </c>
      <c r="E730" s="4" t="s">
        <v>12</v>
      </c>
      <c r="F730" s="4">
        <v>1772385</v>
      </c>
      <c r="G730" s="4">
        <v>80066</v>
      </c>
      <c r="H730" s="4">
        <v>91120</v>
      </c>
      <c r="I730" s="6">
        <v>89185.145006652005</v>
      </c>
      <c r="J730" s="4"/>
      <c r="K730" s="4"/>
      <c r="L730" s="4"/>
      <c r="M730" s="4"/>
      <c r="N730" s="4"/>
      <c r="O730" s="4"/>
      <c r="P730" s="4"/>
      <c r="Q730" s="4"/>
      <c r="R730" s="4"/>
      <c r="S730" s="4"/>
      <c r="T730" s="4"/>
      <c r="U730" s="4"/>
      <c r="V730" s="4"/>
      <c r="W730" s="4"/>
      <c r="X730" s="4"/>
      <c r="Y730" s="4"/>
      <c r="Z730" s="4"/>
    </row>
    <row r="731" spans="1:26">
      <c r="A731" s="5">
        <v>43344</v>
      </c>
      <c r="B731" s="4" t="s">
        <v>9</v>
      </c>
      <c r="C731" s="4" t="s">
        <v>10</v>
      </c>
      <c r="D731" s="4" t="s">
        <v>17</v>
      </c>
      <c r="E731" s="4" t="s">
        <v>13</v>
      </c>
      <c r="F731" s="4">
        <v>10573</v>
      </c>
      <c r="G731" s="4">
        <v>2156</v>
      </c>
      <c r="H731" s="4">
        <v>12656</v>
      </c>
      <c r="I731" s="6">
        <v>426526.11289887637</v>
      </c>
      <c r="J731" s="4"/>
      <c r="K731" s="4"/>
      <c r="L731" s="4"/>
      <c r="M731" s="4"/>
      <c r="N731" s="4"/>
      <c r="O731" s="4"/>
      <c r="P731" s="4"/>
      <c r="Q731" s="4"/>
      <c r="R731" s="4"/>
      <c r="S731" s="4"/>
      <c r="T731" s="4"/>
      <c r="U731" s="4"/>
      <c r="V731" s="4"/>
      <c r="W731" s="4"/>
      <c r="X731" s="4"/>
      <c r="Y731" s="4"/>
      <c r="Z731" s="4"/>
    </row>
    <row r="732" spans="1:26">
      <c r="A732" s="5">
        <v>43344</v>
      </c>
      <c r="B732" s="4" t="s">
        <v>9</v>
      </c>
      <c r="C732" s="4" t="s">
        <v>18</v>
      </c>
      <c r="D732" s="4" t="s">
        <v>11</v>
      </c>
      <c r="E732" s="4" t="s">
        <v>12</v>
      </c>
      <c r="F732" s="4">
        <v>6780172</v>
      </c>
      <c r="G732" s="4">
        <v>188348</v>
      </c>
      <c r="H732" s="4">
        <v>581087</v>
      </c>
      <c r="I732" s="6">
        <v>142443.11568272219</v>
      </c>
      <c r="J732" s="4"/>
      <c r="K732" s="4"/>
      <c r="L732" s="4"/>
      <c r="M732" s="4"/>
      <c r="N732" s="4"/>
      <c r="O732" s="4"/>
      <c r="P732" s="4"/>
      <c r="Q732" s="4"/>
      <c r="R732" s="4"/>
      <c r="S732" s="4"/>
      <c r="T732" s="4"/>
      <c r="U732" s="4"/>
      <c r="V732" s="4"/>
      <c r="W732" s="4"/>
      <c r="X732" s="4"/>
      <c r="Y732" s="4"/>
      <c r="Z732" s="4"/>
    </row>
    <row r="733" spans="1:26">
      <c r="A733" s="5">
        <v>43344</v>
      </c>
      <c r="B733" s="4" t="s">
        <v>9</v>
      </c>
      <c r="C733" s="4" t="s">
        <v>18</v>
      </c>
      <c r="D733" s="4" t="s">
        <v>11</v>
      </c>
      <c r="E733" s="4" t="s">
        <v>13</v>
      </c>
      <c r="F733" s="4">
        <v>38501</v>
      </c>
      <c r="G733" s="4">
        <v>703</v>
      </c>
      <c r="H733" s="4">
        <v>19513</v>
      </c>
      <c r="I733" s="6">
        <v>14323.09024594453</v>
      </c>
      <c r="J733" s="4"/>
      <c r="K733" s="4"/>
      <c r="L733" s="4"/>
      <c r="M733" s="4"/>
      <c r="N733" s="4"/>
      <c r="O733" s="4"/>
      <c r="P733" s="4"/>
      <c r="Q733" s="4"/>
      <c r="R733" s="4"/>
      <c r="S733" s="4"/>
      <c r="T733" s="4"/>
      <c r="U733" s="4"/>
      <c r="V733" s="4"/>
      <c r="W733" s="4"/>
      <c r="X733" s="4"/>
      <c r="Y733" s="4"/>
      <c r="Z733" s="4"/>
    </row>
    <row r="734" spans="1:26">
      <c r="A734" s="5">
        <v>43344</v>
      </c>
      <c r="B734" s="4" t="s">
        <v>9</v>
      </c>
      <c r="C734" s="4" t="s">
        <v>18</v>
      </c>
      <c r="D734" s="4" t="s">
        <v>14</v>
      </c>
      <c r="E734" s="4" t="s">
        <v>12</v>
      </c>
      <c r="F734" s="4">
        <v>15934737</v>
      </c>
      <c r="G734" s="4">
        <v>389138</v>
      </c>
      <c r="H734" s="4">
        <v>1172961</v>
      </c>
      <c r="I734" s="6">
        <v>189148.70222800187</v>
      </c>
      <c r="J734" s="4"/>
      <c r="K734" s="4"/>
      <c r="L734" s="4"/>
      <c r="M734" s="4"/>
      <c r="N734" s="4"/>
      <c r="O734" s="4"/>
      <c r="P734" s="4"/>
      <c r="Q734" s="4"/>
      <c r="R734" s="4"/>
      <c r="S734" s="4"/>
      <c r="T734" s="4"/>
      <c r="U734" s="4"/>
      <c r="V734" s="4"/>
      <c r="W734" s="4"/>
      <c r="X734" s="4"/>
      <c r="Y734" s="4"/>
      <c r="Z734" s="4"/>
    </row>
    <row r="735" spans="1:26">
      <c r="A735" s="5">
        <v>43344</v>
      </c>
      <c r="B735" s="4" t="s">
        <v>9</v>
      </c>
      <c r="C735" s="4" t="s">
        <v>18</v>
      </c>
      <c r="D735" s="4" t="s">
        <v>14</v>
      </c>
      <c r="E735" s="4" t="s">
        <v>13</v>
      </c>
      <c r="F735" s="4">
        <v>80699</v>
      </c>
      <c r="G735" s="4">
        <v>978</v>
      </c>
      <c r="H735" s="4">
        <v>14506</v>
      </c>
      <c r="I735" s="6">
        <v>16685.887632965721</v>
      </c>
      <c r="J735" s="4"/>
      <c r="K735" s="4"/>
      <c r="L735" s="4"/>
      <c r="M735" s="4"/>
      <c r="N735" s="4"/>
      <c r="O735" s="4"/>
      <c r="P735" s="4"/>
      <c r="Q735" s="4"/>
      <c r="R735" s="4"/>
      <c r="S735" s="4"/>
      <c r="T735" s="4"/>
      <c r="U735" s="4"/>
      <c r="V735" s="4"/>
      <c r="W735" s="4"/>
      <c r="X735" s="4"/>
      <c r="Y735" s="4"/>
      <c r="Z735" s="4"/>
    </row>
    <row r="736" spans="1:26">
      <c r="A736" s="5">
        <v>43344</v>
      </c>
      <c r="B736" s="4" t="s">
        <v>9</v>
      </c>
      <c r="C736" s="4" t="s">
        <v>18</v>
      </c>
      <c r="D736" s="4" t="s">
        <v>15</v>
      </c>
      <c r="E736" s="4" t="s">
        <v>12</v>
      </c>
      <c r="F736" s="4">
        <v>7906741</v>
      </c>
      <c r="G736" s="4">
        <v>209449</v>
      </c>
      <c r="H736" s="4">
        <v>690122</v>
      </c>
      <c r="I736" s="6">
        <v>76188.136027119646</v>
      </c>
      <c r="J736" s="4"/>
      <c r="K736" s="4"/>
      <c r="L736" s="4"/>
      <c r="M736" s="4"/>
      <c r="N736" s="4"/>
      <c r="O736" s="4"/>
      <c r="P736" s="4"/>
      <c r="Q736" s="4"/>
      <c r="R736" s="4"/>
      <c r="S736" s="4"/>
      <c r="T736" s="4"/>
      <c r="U736" s="4"/>
      <c r="V736" s="4"/>
      <c r="W736" s="4"/>
      <c r="X736" s="4"/>
      <c r="Y736" s="4"/>
      <c r="Z736" s="4"/>
    </row>
    <row r="737" spans="1:26">
      <c r="A737" s="5">
        <v>43344</v>
      </c>
      <c r="B737" s="4" t="s">
        <v>9</v>
      </c>
      <c r="C737" s="4" t="s">
        <v>18</v>
      </c>
      <c r="D737" s="4" t="s">
        <v>15</v>
      </c>
      <c r="E737" s="4" t="s">
        <v>13</v>
      </c>
      <c r="F737" s="4">
        <v>29457</v>
      </c>
      <c r="G737" s="4">
        <v>390</v>
      </c>
      <c r="H737" s="4">
        <v>5550</v>
      </c>
      <c r="I737" s="6">
        <v>7203.9890875809624</v>
      </c>
      <c r="J737" s="4"/>
      <c r="K737" s="4"/>
      <c r="L737" s="4"/>
      <c r="M737" s="4"/>
      <c r="N737" s="4"/>
      <c r="O737" s="4"/>
      <c r="P737" s="4"/>
      <c r="Q737" s="4"/>
      <c r="R737" s="4"/>
      <c r="S737" s="4"/>
      <c r="T737" s="4"/>
      <c r="U737" s="4"/>
      <c r="V737" s="4"/>
      <c r="W737" s="4"/>
      <c r="X737" s="4"/>
      <c r="Y737" s="4"/>
      <c r="Z737" s="4"/>
    </row>
    <row r="738" spans="1:26">
      <c r="A738" s="5">
        <v>43344</v>
      </c>
      <c r="B738" s="4" t="s">
        <v>9</v>
      </c>
      <c r="C738" s="4" t="s">
        <v>18</v>
      </c>
      <c r="D738" s="4" t="s">
        <v>16</v>
      </c>
      <c r="E738" s="4" t="s">
        <v>12</v>
      </c>
      <c r="F738" s="4">
        <v>101788579</v>
      </c>
      <c r="G738" s="4">
        <v>711383</v>
      </c>
      <c r="H738" s="4">
        <v>2037529</v>
      </c>
      <c r="I738" s="6">
        <v>491096.51085517183</v>
      </c>
      <c r="J738" s="4"/>
      <c r="K738" s="4"/>
      <c r="L738" s="4"/>
      <c r="M738" s="4"/>
      <c r="N738" s="4"/>
      <c r="O738" s="4"/>
      <c r="P738" s="4"/>
      <c r="Q738" s="4"/>
      <c r="R738" s="4"/>
      <c r="S738" s="4"/>
      <c r="T738" s="4"/>
      <c r="U738" s="4"/>
      <c r="V738" s="4"/>
      <c r="W738" s="4"/>
      <c r="X738" s="4"/>
      <c r="Y738" s="4"/>
      <c r="Z738" s="4"/>
    </row>
    <row r="739" spans="1:26">
      <c r="A739" s="5">
        <v>43344</v>
      </c>
      <c r="B739" s="4" t="s">
        <v>9</v>
      </c>
      <c r="C739" s="4" t="s">
        <v>18</v>
      </c>
      <c r="D739" s="4" t="s">
        <v>16</v>
      </c>
      <c r="E739" s="4" t="s">
        <v>13</v>
      </c>
      <c r="F739" s="4">
        <v>889717</v>
      </c>
      <c r="G739" s="4">
        <v>2037</v>
      </c>
      <c r="H739" s="4">
        <v>50154</v>
      </c>
      <c r="I739" s="6">
        <v>32243.8667194759</v>
      </c>
      <c r="J739" s="4"/>
      <c r="K739" s="4"/>
      <c r="L739" s="4"/>
      <c r="M739" s="4"/>
      <c r="N739" s="4"/>
      <c r="O739" s="4"/>
      <c r="P739" s="4"/>
      <c r="Q739" s="4"/>
      <c r="R739" s="4"/>
      <c r="S739" s="4"/>
      <c r="T739" s="4"/>
      <c r="U739" s="4"/>
      <c r="V739" s="4"/>
      <c r="W739" s="4"/>
      <c r="X739" s="4"/>
      <c r="Y739" s="4"/>
      <c r="Z739" s="4"/>
    </row>
    <row r="740" spans="1:26">
      <c r="A740" s="5">
        <v>43344</v>
      </c>
      <c r="B740" s="4" t="s">
        <v>9</v>
      </c>
      <c r="C740" s="4" t="s">
        <v>18</v>
      </c>
      <c r="D740" s="4" t="s">
        <v>17</v>
      </c>
      <c r="E740" s="4" t="s">
        <v>12</v>
      </c>
      <c r="F740" s="4">
        <v>9635658</v>
      </c>
      <c r="G740" s="4">
        <v>228680</v>
      </c>
      <c r="H740" s="4">
        <v>651948</v>
      </c>
      <c r="I740" s="6">
        <v>166780.96656060321</v>
      </c>
      <c r="J740" s="4"/>
      <c r="K740" s="4"/>
      <c r="L740" s="4"/>
      <c r="M740" s="4"/>
      <c r="N740" s="4"/>
      <c r="O740" s="4"/>
      <c r="P740" s="4"/>
      <c r="Q740" s="4"/>
      <c r="R740" s="4"/>
      <c r="S740" s="4"/>
      <c r="T740" s="4"/>
      <c r="U740" s="4"/>
      <c r="V740" s="4"/>
      <c r="W740" s="4"/>
      <c r="X740" s="4"/>
      <c r="Y740" s="4"/>
      <c r="Z740" s="4"/>
    </row>
    <row r="741" spans="1:26">
      <c r="A741" s="5">
        <v>43344</v>
      </c>
      <c r="B741" s="4" t="s">
        <v>9</v>
      </c>
      <c r="C741" s="4" t="s">
        <v>18</v>
      </c>
      <c r="D741" s="4" t="s">
        <v>17</v>
      </c>
      <c r="E741" s="4" t="s">
        <v>13</v>
      </c>
      <c r="F741" s="4">
        <v>73577</v>
      </c>
      <c r="G741" s="4">
        <v>820</v>
      </c>
      <c r="H741" s="4">
        <v>18127</v>
      </c>
      <c r="I741" s="6">
        <v>13002.531613392895</v>
      </c>
      <c r="J741" s="4"/>
      <c r="K741" s="4"/>
      <c r="L741" s="4"/>
      <c r="M741" s="4"/>
      <c r="N741" s="4"/>
      <c r="O741" s="4"/>
      <c r="P741" s="4"/>
      <c r="Q741" s="4"/>
      <c r="R741" s="4"/>
      <c r="S741" s="4"/>
      <c r="T741" s="4"/>
      <c r="U741" s="4"/>
      <c r="V741" s="4"/>
      <c r="W741" s="4"/>
      <c r="X741" s="4"/>
      <c r="Y741" s="4"/>
      <c r="Z741" s="4"/>
    </row>
    <row r="742" spans="1:26">
      <c r="A742" s="5">
        <v>43344</v>
      </c>
      <c r="B742" s="4" t="s">
        <v>9</v>
      </c>
      <c r="C742" s="4" t="s">
        <v>19</v>
      </c>
      <c r="D742" s="4" t="s">
        <v>11</v>
      </c>
      <c r="E742" s="4" t="s">
        <v>12</v>
      </c>
      <c r="F742" s="4">
        <v>117351</v>
      </c>
      <c r="G742" s="4">
        <v>19091</v>
      </c>
      <c r="H742" s="4">
        <v>20108</v>
      </c>
      <c r="I742" s="6">
        <v>101663.77461177862</v>
      </c>
      <c r="J742" s="4"/>
      <c r="K742" s="4"/>
      <c r="L742" s="4"/>
      <c r="M742" s="4"/>
      <c r="N742" s="4"/>
      <c r="O742" s="4"/>
      <c r="P742" s="4"/>
      <c r="Q742" s="4"/>
      <c r="R742" s="4"/>
      <c r="S742" s="4"/>
      <c r="T742" s="4"/>
      <c r="U742" s="4"/>
      <c r="V742" s="4"/>
      <c r="W742" s="4"/>
      <c r="X742" s="4"/>
      <c r="Y742" s="4"/>
      <c r="Z742" s="4"/>
    </row>
    <row r="743" spans="1:26">
      <c r="A743" s="5">
        <v>43344</v>
      </c>
      <c r="B743" s="4" t="s">
        <v>9</v>
      </c>
      <c r="C743" s="4" t="s">
        <v>19</v>
      </c>
      <c r="D743" s="4" t="s">
        <v>11</v>
      </c>
      <c r="E743" s="4" t="s">
        <v>13</v>
      </c>
      <c r="F743" s="4">
        <v>644</v>
      </c>
      <c r="G743" s="4">
        <v>742</v>
      </c>
      <c r="H743" s="4">
        <v>7752</v>
      </c>
      <c r="I743" s="6">
        <v>17379.115600121542</v>
      </c>
      <c r="J743" s="4"/>
      <c r="K743" s="4"/>
      <c r="L743" s="4"/>
      <c r="M743" s="4"/>
      <c r="N743" s="4"/>
      <c r="O743" s="4"/>
      <c r="P743" s="4"/>
      <c r="Q743" s="4"/>
      <c r="R743" s="4"/>
      <c r="S743" s="4"/>
      <c r="T743" s="4"/>
      <c r="U743" s="4"/>
      <c r="V743" s="4"/>
      <c r="W743" s="4"/>
      <c r="X743" s="4"/>
      <c r="Y743" s="4"/>
      <c r="Z743" s="4"/>
    </row>
    <row r="744" spans="1:26">
      <c r="A744" s="5">
        <v>43344</v>
      </c>
      <c r="B744" s="4" t="s">
        <v>9</v>
      </c>
      <c r="C744" s="4" t="s">
        <v>19</v>
      </c>
      <c r="D744" s="4" t="s">
        <v>14</v>
      </c>
      <c r="E744" s="4" t="s">
        <v>12</v>
      </c>
      <c r="F744" s="4">
        <v>287923</v>
      </c>
      <c r="G744" s="4">
        <v>45014</v>
      </c>
      <c r="H744" s="4">
        <v>47313</v>
      </c>
      <c r="I744" s="6">
        <v>181164.18349755512</v>
      </c>
      <c r="J744" s="4"/>
      <c r="K744" s="4"/>
      <c r="L744" s="4"/>
      <c r="M744" s="4"/>
      <c r="N744" s="4"/>
      <c r="O744" s="4"/>
      <c r="P744" s="4"/>
      <c r="Q744" s="4"/>
      <c r="R744" s="4"/>
      <c r="S744" s="4"/>
      <c r="T744" s="4"/>
      <c r="U744" s="4"/>
      <c r="V744" s="4"/>
      <c r="W744" s="4"/>
      <c r="X744" s="4"/>
      <c r="Y744" s="4"/>
      <c r="Z744" s="4"/>
    </row>
    <row r="745" spans="1:26">
      <c r="A745" s="5">
        <v>43344</v>
      </c>
      <c r="B745" s="4" t="s">
        <v>9</v>
      </c>
      <c r="C745" s="4" t="s">
        <v>19</v>
      </c>
      <c r="D745" s="4" t="s">
        <v>14</v>
      </c>
      <c r="E745" s="4" t="s">
        <v>13</v>
      </c>
      <c r="F745" s="4">
        <v>1547</v>
      </c>
      <c r="G745" s="4">
        <v>1657</v>
      </c>
      <c r="H745" s="4">
        <v>42090</v>
      </c>
      <c r="I745" s="6">
        <v>28813.718964062766</v>
      </c>
      <c r="J745" s="4"/>
      <c r="K745" s="4"/>
      <c r="L745" s="4"/>
      <c r="M745" s="4"/>
      <c r="N745" s="4"/>
      <c r="O745" s="4"/>
      <c r="P745" s="4"/>
      <c r="Q745" s="4"/>
      <c r="R745" s="4"/>
      <c r="S745" s="4"/>
      <c r="T745" s="4"/>
      <c r="U745" s="4"/>
      <c r="V745" s="4"/>
      <c r="W745" s="4"/>
      <c r="X745" s="4"/>
      <c r="Y745" s="4"/>
      <c r="Z745" s="4"/>
    </row>
    <row r="746" spans="1:26">
      <c r="A746" s="5">
        <v>43344</v>
      </c>
      <c r="B746" s="4" t="s">
        <v>9</v>
      </c>
      <c r="C746" s="4" t="s">
        <v>19</v>
      </c>
      <c r="D746" s="4" t="s">
        <v>15</v>
      </c>
      <c r="E746" s="4" t="s">
        <v>12</v>
      </c>
      <c r="F746" s="4">
        <v>135864</v>
      </c>
      <c r="G746" s="4">
        <v>23101</v>
      </c>
      <c r="H746" s="4">
        <v>23938</v>
      </c>
      <c r="I746" s="6">
        <v>66977.473538736478</v>
      </c>
      <c r="J746" s="4"/>
      <c r="K746" s="4"/>
      <c r="L746" s="4"/>
      <c r="M746" s="4"/>
      <c r="N746" s="4"/>
      <c r="O746" s="4"/>
      <c r="P746" s="4"/>
      <c r="Q746" s="4"/>
      <c r="R746" s="4"/>
      <c r="S746" s="4"/>
      <c r="T746" s="4"/>
      <c r="U746" s="4"/>
      <c r="V746" s="4"/>
      <c r="W746" s="4"/>
      <c r="X746" s="4"/>
      <c r="Y746" s="4"/>
      <c r="Z746" s="4"/>
    </row>
    <row r="747" spans="1:26">
      <c r="A747" s="5">
        <v>43344</v>
      </c>
      <c r="B747" s="4" t="s">
        <v>9</v>
      </c>
      <c r="C747" s="4" t="s">
        <v>19</v>
      </c>
      <c r="D747" s="4" t="s">
        <v>15</v>
      </c>
      <c r="E747" s="4" t="s">
        <v>13</v>
      </c>
      <c r="F747" s="4">
        <v>481</v>
      </c>
      <c r="G747" s="4">
        <v>680</v>
      </c>
      <c r="H747" s="4">
        <v>22663</v>
      </c>
      <c r="I747" s="6">
        <v>12569.763668364343</v>
      </c>
      <c r="J747" s="4"/>
      <c r="K747" s="4"/>
      <c r="L747" s="4"/>
      <c r="M747" s="4"/>
      <c r="N747" s="4"/>
      <c r="O747" s="4"/>
      <c r="P747" s="4"/>
      <c r="Q747" s="4"/>
      <c r="R747" s="4"/>
      <c r="S747" s="4"/>
      <c r="T747" s="4"/>
      <c r="U747" s="4"/>
      <c r="V747" s="4"/>
      <c r="W747" s="4"/>
      <c r="X747" s="4"/>
      <c r="Y747" s="4"/>
      <c r="Z747" s="4"/>
    </row>
    <row r="748" spans="1:26">
      <c r="A748" s="5">
        <v>43344</v>
      </c>
      <c r="B748" s="4" t="s">
        <v>9</v>
      </c>
      <c r="C748" s="4" t="s">
        <v>19</v>
      </c>
      <c r="D748" s="4" t="s">
        <v>16</v>
      </c>
      <c r="E748" s="4" t="s">
        <v>12</v>
      </c>
      <c r="F748" s="4">
        <v>16168710</v>
      </c>
      <c r="G748" s="4">
        <v>70835</v>
      </c>
      <c r="H748" s="4">
        <v>72620</v>
      </c>
      <c r="I748" s="6">
        <v>417804.04525716277</v>
      </c>
      <c r="J748" s="4"/>
      <c r="K748" s="4"/>
      <c r="L748" s="4"/>
      <c r="M748" s="4"/>
      <c r="N748" s="4"/>
      <c r="O748" s="4"/>
      <c r="P748" s="4"/>
      <c r="Q748" s="4"/>
      <c r="R748" s="4"/>
      <c r="S748" s="4"/>
      <c r="T748" s="4"/>
      <c r="U748" s="4"/>
      <c r="V748" s="4"/>
      <c r="W748" s="4"/>
      <c r="X748" s="4"/>
      <c r="Y748" s="4"/>
      <c r="Z748" s="4"/>
    </row>
    <row r="749" spans="1:26">
      <c r="A749" s="5">
        <v>43344</v>
      </c>
      <c r="B749" s="4" t="s">
        <v>9</v>
      </c>
      <c r="C749" s="4" t="s">
        <v>19</v>
      </c>
      <c r="D749" s="4" t="s">
        <v>16</v>
      </c>
      <c r="E749" s="4" t="s">
        <v>13</v>
      </c>
      <c r="F749" s="4">
        <v>151104</v>
      </c>
      <c r="G749" s="4">
        <v>2128</v>
      </c>
      <c r="H749" s="4">
        <v>36612</v>
      </c>
      <c r="I749" s="6">
        <v>56708.348450813653</v>
      </c>
      <c r="J749" s="4"/>
      <c r="K749" s="4"/>
      <c r="L749" s="4"/>
      <c r="M749" s="4"/>
      <c r="N749" s="4"/>
      <c r="O749" s="4"/>
      <c r="P749" s="4"/>
      <c r="Q749" s="4"/>
      <c r="R749" s="4"/>
      <c r="S749" s="4"/>
      <c r="T749" s="4"/>
      <c r="U749" s="4"/>
      <c r="V749" s="4"/>
      <c r="W749" s="4"/>
      <c r="X749" s="4"/>
      <c r="Y749" s="4"/>
      <c r="Z749" s="4"/>
    </row>
    <row r="750" spans="1:26">
      <c r="A750" s="5">
        <v>43344</v>
      </c>
      <c r="B750" s="4" t="s">
        <v>9</v>
      </c>
      <c r="C750" s="4" t="s">
        <v>19</v>
      </c>
      <c r="D750" s="4" t="s">
        <v>17</v>
      </c>
      <c r="E750" s="4" t="s">
        <v>12</v>
      </c>
      <c r="F750" s="4">
        <v>225521</v>
      </c>
      <c r="G750" s="4">
        <v>25560</v>
      </c>
      <c r="H750" s="4">
        <v>26391</v>
      </c>
      <c r="I750" s="6">
        <v>154944.06907186168</v>
      </c>
      <c r="J750" s="4"/>
      <c r="K750" s="4"/>
      <c r="L750" s="4"/>
      <c r="M750" s="4"/>
      <c r="N750" s="4"/>
      <c r="O750" s="4"/>
      <c r="P750" s="4"/>
      <c r="Q750" s="4"/>
      <c r="R750" s="4"/>
      <c r="S750" s="4"/>
      <c r="T750" s="4"/>
      <c r="U750" s="4"/>
      <c r="V750" s="4"/>
      <c r="W750" s="4"/>
      <c r="X750" s="4"/>
      <c r="Y750" s="4"/>
      <c r="Z750" s="4"/>
    </row>
    <row r="751" spans="1:26">
      <c r="A751" s="5">
        <v>43344</v>
      </c>
      <c r="B751" s="4" t="s">
        <v>9</v>
      </c>
      <c r="C751" s="4" t="s">
        <v>19</v>
      </c>
      <c r="D751" s="4" t="s">
        <v>17</v>
      </c>
      <c r="E751" s="4" t="s">
        <v>13</v>
      </c>
      <c r="F751" s="4">
        <v>1526</v>
      </c>
      <c r="G751" s="4">
        <v>697</v>
      </c>
      <c r="H751" s="4">
        <v>7021</v>
      </c>
      <c r="I751" s="6">
        <v>19162.262245971353</v>
      </c>
      <c r="J751" s="4"/>
      <c r="K751" s="4"/>
      <c r="L751" s="4"/>
      <c r="M751" s="4"/>
      <c r="N751" s="4"/>
      <c r="O751" s="4"/>
      <c r="P751" s="4"/>
      <c r="Q751" s="4"/>
      <c r="R751" s="4"/>
      <c r="S751" s="4"/>
      <c r="T751" s="4"/>
      <c r="U751" s="4"/>
      <c r="V751" s="4"/>
      <c r="W751" s="4"/>
      <c r="X751" s="4"/>
      <c r="Y751" s="4"/>
      <c r="Z751" s="4"/>
    </row>
    <row r="752" spans="1:26">
      <c r="A752" s="5">
        <v>43344</v>
      </c>
      <c r="B752" s="4" t="s">
        <v>20</v>
      </c>
      <c r="C752" s="4" t="s">
        <v>10</v>
      </c>
      <c r="D752" s="4" t="s">
        <v>11</v>
      </c>
      <c r="E752" s="4" t="s">
        <v>12</v>
      </c>
      <c r="F752" s="4">
        <v>2283707</v>
      </c>
      <c r="G752" s="4">
        <v>5367</v>
      </c>
      <c r="H752" s="4">
        <v>6083</v>
      </c>
      <c r="I752" s="6">
        <v>1431.5468334244081</v>
      </c>
      <c r="J752" s="4"/>
      <c r="K752" s="4"/>
      <c r="L752" s="4"/>
      <c r="M752" s="4"/>
      <c r="N752" s="4"/>
      <c r="O752" s="4"/>
      <c r="P752" s="4"/>
      <c r="Q752" s="4"/>
      <c r="R752" s="4"/>
      <c r="S752" s="4"/>
      <c r="T752" s="4"/>
      <c r="U752" s="4"/>
      <c r="V752" s="4"/>
      <c r="W752" s="4"/>
      <c r="X752" s="4"/>
      <c r="Y752" s="4"/>
      <c r="Z752" s="4"/>
    </row>
    <row r="753" spans="1:26">
      <c r="A753" s="5">
        <v>43344</v>
      </c>
      <c r="B753" s="4" t="s">
        <v>20</v>
      </c>
      <c r="C753" s="4" t="s">
        <v>10</v>
      </c>
      <c r="D753" s="4" t="s">
        <v>11</v>
      </c>
      <c r="E753" s="4" t="s">
        <v>13</v>
      </c>
      <c r="F753" s="4">
        <v>923</v>
      </c>
      <c r="G753" s="4">
        <v>25</v>
      </c>
      <c r="H753" s="4">
        <v>63</v>
      </c>
      <c r="I753" s="6">
        <v>14008.597272727271</v>
      </c>
      <c r="J753" s="4"/>
      <c r="K753" s="4"/>
      <c r="L753" s="4"/>
      <c r="M753" s="4"/>
      <c r="N753" s="4"/>
      <c r="O753" s="4"/>
      <c r="P753" s="4"/>
      <c r="Q753" s="4"/>
      <c r="R753" s="4"/>
      <c r="S753" s="4"/>
      <c r="T753" s="4"/>
      <c r="U753" s="4"/>
      <c r="V753" s="4"/>
      <c r="W753" s="4"/>
      <c r="X753" s="4"/>
      <c r="Y753" s="4"/>
      <c r="Z753" s="4"/>
    </row>
    <row r="754" spans="1:26">
      <c r="A754" s="5">
        <v>43344</v>
      </c>
      <c r="B754" s="4" t="s">
        <v>20</v>
      </c>
      <c r="C754" s="4" t="s">
        <v>10</v>
      </c>
      <c r="D754" s="4" t="s">
        <v>14</v>
      </c>
      <c r="E754" s="4" t="s">
        <v>12</v>
      </c>
      <c r="F754" s="4">
        <v>4135734</v>
      </c>
      <c r="G754" s="4">
        <v>9550</v>
      </c>
      <c r="H754" s="4">
        <v>10373</v>
      </c>
      <c r="I754" s="6">
        <v>1303.3055541498052</v>
      </c>
      <c r="J754" s="4"/>
      <c r="K754" s="4"/>
      <c r="L754" s="4"/>
      <c r="M754" s="4"/>
      <c r="N754" s="4"/>
      <c r="O754" s="4"/>
      <c r="P754" s="4"/>
      <c r="Q754" s="4"/>
      <c r="R754" s="4"/>
      <c r="S754" s="4"/>
      <c r="T754" s="4"/>
      <c r="U754" s="4"/>
      <c r="V754" s="4"/>
      <c r="W754" s="4"/>
      <c r="X754" s="4"/>
      <c r="Y754" s="4"/>
      <c r="Z754" s="4"/>
    </row>
    <row r="755" spans="1:26">
      <c r="A755" s="5">
        <v>43344</v>
      </c>
      <c r="B755" s="4" t="s">
        <v>20</v>
      </c>
      <c r="C755" s="4" t="s">
        <v>10</v>
      </c>
      <c r="D755" s="4" t="s">
        <v>14</v>
      </c>
      <c r="E755" s="4" t="s">
        <v>13</v>
      </c>
      <c r="F755" s="4">
        <v>1991</v>
      </c>
      <c r="G755" s="4">
        <v>49</v>
      </c>
      <c r="H755" s="4">
        <v>205</v>
      </c>
      <c r="I755" s="6">
        <v>22962.913120689656</v>
      </c>
      <c r="J755" s="4"/>
      <c r="K755" s="4"/>
      <c r="L755" s="4"/>
      <c r="M755" s="4"/>
      <c r="N755" s="4"/>
      <c r="O755" s="4"/>
      <c r="P755" s="4"/>
      <c r="Q755" s="4"/>
      <c r="R755" s="4"/>
      <c r="S755" s="4"/>
      <c r="T755" s="4"/>
      <c r="U755" s="4"/>
      <c r="V755" s="4"/>
      <c r="W755" s="4"/>
      <c r="X755" s="4"/>
      <c r="Y755" s="4"/>
      <c r="Z755" s="4"/>
    </row>
    <row r="756" spans="1:26">
      <c r="A756" s="5">
        <v>43344</v>
      </c>
      <c r="B756" s="4" t="s">
        <v>20</v>
      </c>
      <c r="C756" s="4" t="s">
        <v>10</v>
      </c>
      <c r="D756" s="4" t="s">
        <v>15</v>
      </c>
      <c r="E756" s="4" t="s">
        <v>12</v>
      </c>
      <c r="F756" s="4">
        <v>1033610</v>
      </c>
      <c r="G756" s="4">
        <v>2412</v>
      </c>
      <c r="H756" s="4">
        <v>2616</v>
      </c>
      <c r="I756" s="6">
        <v>417.29508612873985</v>
      </c>
      <c r="J756" s="4"/>
      <c r="K756" s="4"/>
      <c r="L756" s="4"/>
      <c r="M756" s="4"/>
      <c r="N756" s="4"/>
      <c r="O756" s="4"/>
      <c r="P756" s="4"/>
      <c r="Q756" s="4"/>
      <c r="R756" s="4"/>
      <c r="S756" s="4"/>
      <c r="T756" s="4"/>
      <c r="U756" s="4"/>
      <c r="V756" s="4"/>
      <c r="W756" s="4"/>
      <c r="X756" s="4"/>
      <c r="Y756" s="4"/>
      <c r="Z756" s="4"/>
    </row>
    <row r="757" spans="1:26">
      <c r="A757" s="5">
        <v>43344</v>
      </c>
      <c r="B757" s="4" t="s">
        <v>20</v>
      </c>
      <c r="C757" s="4" t="s">
        <v>10</v>
      </c>
      <c r="D757" s="4" t="s">
        <v>15</v>
      </c>
      <c r="E757" s="4" t="s">
        <v>13</v>
      </c>
      <c r="F757" s="4">
        <v>272</v>
      </c>
      <c r="G757" s="4">
        <v>10</v>
      </c>
      <c r="H757" s="4">
        <v>30</v>
      </c>
      <c r="I757" s="6">
        <v>3651.1563380281691</v>
      </c>
      <c r="J757" s="4"/>
      <c r="K757" s="4"/>
      <c r="L757" s="4"/>
      <c r="M757" s="4"/>
      <c r="N757" s="4"/>
      <c r="O757" s="4"/>
      <c r="P757" s="4"/>
      <c r="Q757" s="4"/>
      <c r="R757" s="4"/>
      <c r="S757" s="4"/>
      <c r="T757" s="4"/>
      <c r="U757" s="4"/>
      <c r="V757" s="4"/>
      <c r="W757" s="4"/>
      <c r="X757" s="4"/>
      <c r="Y757" s="4"/>
      <c r="Z757" s="4"/>
    </row>
    <row r="758" spans="1:26">
      <c r="A758" s="5">
        <v>43344</v>
      </c>
      <c r="B758" s="4" t="s">
        <v>20</v>
      </c>
      <c r="C758" s="4" t="s">
        <v>10</v>
      </c>
      <c r="D758" s="4" t="s">
        <v>16</v>
      </c>
      <c r="E758" s="4" t="s">
        <v>12</v>
      </c>
      <c r="F758" s="4">
        <v>11123252</v>
      </c>
      <c r="G758" s="4">
        <v>34781</v>
      </c>
      <c r="H758" s="4">
        <v>36529</v>
      </c>
      <c r="I758" s="6">
        <v>6160.4379109568836</v>
      </c>
      <c r="J758" s="4"/>
      <c r="K758" s="4"/>
      <c r="L758" s="4"/>
      <c r="M758" s="4"/>
      <c r="N758" s="4"/>
      <c r="O758" s="4"/>
      <c r="P758" s="4"/>
      <c r="Q758" s="4"/>
      <c r="R758" s="4"/>
      <c r="S758" s="4"/>
      <c r="T758" s="4"/>
      <c r="U758" s="4"/>
      <c r="V758" s="4"/>
      <c r="W758" s="4"/>
      <c r="X758" s="4"/>
      <c r="Y758" s="4"/>
      <c r="Z758" s="4"/>
    </row>
    <row r="759" spans="1:26">
      <c r="A759" s="5">
        <v>43344</v>
      </c>
      <c r="B759" s="4" t="s">
        <v>20</v>
      </c>
      <c r="C759" s="4" t="s">
        <v>10</v>
      </c>
      <c r="D759" s="4" t="s">
        <v>16</v>
      </c>
      <c r="E759" s="4" t="s">
        <v>13</v>
      </c>
      <c r="F759" s="4">
        <v>5399</v>
      </c>
      <c r="G759" s="4">
        <v>235</v>
      </c>
      <c r="H759" s="4">
        <v>634</v>
      </c>
      <c r="I759" s="6">
        <v>103765.81117359412</v>
      </c>
      <c r="J759" s="4"/>
      <c r="K759" s="4"/>
      <c r="L759" s="4"/>
      <c r="M759" s="4"/>
      <c r="N759" s="4"/>
      <c r="O759" s="4"/>
      <c r="P759" s="4"/>
      <c r="Q759" s="4"/>
      <c r="R759" s="4"/>
      <c r="S759" s="4"/>
      <c r="T759" s="4"/>
      <c r="U759" s="4"/>
      <c r="V759" s="4"/>
      <c r="W759" s="4"/>
      <c r="X759" s="4"/>
      <c r="Y759" s="4"/>
      <c r="Z759" s="4"/>
    </row>
    <row r="760" spans="1:26">
      <c r="A760" s="5">
        <v>43344</v>
      </c>
      <c r="B760" s="4" t="s">
        <v>20</v>
      </c>
      <c r="C760" s="4" t="s">
        <v>10</v>
      </c>
      <c r="D760" s="4" t="s">
        <v>17</v>
      </c>
      <c r="E760" s="4" t="s">
        <v>12</v>
      </c>
      <c r="F760" s="4">
        <v>3524130</v>
      </c>
      <c r="G760" s="4">
        <v>11574</v>
      </c>
      <c r="H760" s="4">
        <v>12280</v>
      </c>
      <c r="I760" s="6">
        <v>1868.809208126411</v>
      </c>
      <c r="J760" s="4"/>
      <c r="K760" s="4"/>
      <c r="L760" s="4"/>
      <c r="M760" s="4"/>
      <c r="N760" s="4"/>
      <c r="O760" s="4"/>
      <c r="P760" s="4"/>
      <c r="Q760" s="4"/>
      <c r="R760" s="4"/>
      <c r="S760" s="4"/>
      <c r="T760" s="4"/>
      <c r="U760" s="4"/>
      <c r="V760" s="4"/>
      <c r="W760" s="4"/>
      <c r="X760" s="4"/>
      <c r="Y760" s="4"/>
      <c r="Z760" s="4"/>
    </row>
    <row r="761" spans="1:26">
      <c r="A761" s="5">
        <v>43344</v>
      </c>
      <c r="B761" s="4" t="s">
        <v>20</v>
      </c>
      <c r="C761" s="4" t="s">
        <v>10</v>
      </c>
      <c r="D761" s="4" t="s">
        <v>17</v>
      </c>
      <c r="E761" s="4" t="s">
        <v>13</v>
      </c>
      <c r="F761" s="4">
        <v>1826</v>
      </c>
      <c r="G761" s="4">
        <v>73</v>
      </c>
      <c r="H761" s="4">
        <v>230</v>
      </c>
      <c r="I761" s="6">
        <v>34976.797419354836</v>
      </c>
      <c r="J761" s="4"/>
      <c r="K761" s="4"/>
      <c r="L761" s="4"/>
      <c r="M761" s="4"/>
      <c r="N761" s="4"/>
      <c r="O761" s="4"/>
      <c r="P761" s="4"/>
      <c r="Q761" s="4"/>
      <c r="R761" s="4"/>
      <c r="S761" s="4"/>
      <c r="T761" s="4"/>
      <c r="U761" s="4"/>
      <c r="V761" s="4"/>
      <c r="W761" s="4"/>
      <c r="X761" s="4"/>
      <c r="Y761" s="4"/>
      <c r="Z761" s="4"/>
    </row>
    <row r="762" spans="1:26">
      <c r="A762" s="5">
        <v>43344</v>
      </c>
      <c r="B762" s="4" t="s">
        <v>20</v>
      </c>
      <c r="C762" s="4" t="s">
        <v>18</v>
      </c>
      <c r="D762" s="4" t="s">
        <v>11</v>
      </c>
      <c r="E762" s="4" t="s">
        <v>12</v>
      </c>
      <c r="F762" s="4">
        <v>2554934</v>
      </c>
      <c r="G762" s="4">
        <v>15175</v>
      </c>
      <c r="H762" s="4">
        <v>29243</v>
      </c>
      <c r="I762" s="6">
        <v>8995.6540239971837</v>
      </c>
      <c r="J762" s="4"/>
      <c r="K762" s="4"/>
      <c r="L762" s="4"/>
      <c r="M762" s="4"/>
      <c r="N762" s="4"/>
      <c r="O762" s="4"/>
      <c r="P762" s="4"/>
      <c r="Q762" s="4"/>
      <c r="R762" s="4"/>
      <c r="S762" s="4"/>
      <c r="T762" s="4"/>
      <c r="U762" s="4"/>
      <c r="V762" s="4"/>
      <c r="W762" s="4"/>
      <c r="X762" s="4"/>
      <c r="Y762" s="4"/>
      <c r="Z762" s="4"/>
    </row>
    <row r="763" spans="1:26">
      <c r="A763" s="5">
        <v>43344</v>
      </c>
      <c r="B763" s="4" t="s">
        <v>20</v>
      </c>
      <c r="C763" s="4" t="s">
        <v>18</v>
      </c>
      <c r="D763" s="4" t="s">
        <v>11</v>
      </c>
      <c r="E763" s="4" t="s">
        <v>13</v>
      </c>
      <c r="F763" s="4">
        <v>1317</v>
      </c>
      <c r="G763" s="4">
        <v>16</v>
      </c>
      <c r="H763" s="4">
        <v>27</v>
      </c>
      <c r="I763" s="6">
        <v>140.90220000000002</v>
      </c>
      <c r="J763" s="4"/>
      <c r="K763" s="4"/>
      <c r="L763" s="4"/>
      <c r="M763" s="4"/>
      <c r="N763" s="4"/>
      <c r="O763" s="4"/>
      <c r="P763" s="4"/>
      <c r="Q763" s="4"/>
      <c r="R763" s="4"/>
      <c r="S763" s="4"/>
      <c r="T763" s="4"/>
      <c r="U763" s="4"/>
      <c r="V763" s="4"/>
      <c r="W763" s="4"/>
      <c r="X763" s="4"/>
      <c r="Y763" s="4"/>
      <c r="Z763" s="4"/>
    </row>
    <row r="764" spans="1:26">
      <c r="A764" s="5">
        <v>43344</v>
      </c>
      <c r="B764" s="4" t="s">
        <v>20</v>
      </c>
      <c r="C764" s="4" t="s">
        <v>18</v>
      </c>
      <c r="D764" s="4" t="s">
        <v>14</v>
      </c>
      <c r="E764" s="4" t="s">
        <v>12</v>
      </c>
      <c r="F764" s="4">
        <v>4840199</v>
      </c>
      <c r="G764" s="4">
        <v>29947</v>
      </c>
      <c r="H764" s="4">
        <v>55986</v>
      </c>
      <c r="I764" s="6">
        <v>11426.412245365784</v>
      </c>
      <c r="J764" s="4"/>
      <c r="K764" s="4"/>
      <c r="L764" s="4"/>
      <c r="M764" s="4"/>
      <c r="N764" s="4"/>
      <c r="O764" s="4"/>
      <c r="P764" s="4"/>
      <c r="Q764" s="4"/>
      <c r="R764" s="4"/>
      <c r="S764" s="4"/>
      <c r="T764" s="4"/>
      <c r="U764" s="4"/>
      <c r="V764" s="4"/>
      <c r="W764" s="4"/>
      <c r="X764" s="4"/>
      <c r="Y764" s="4"/>
      <c r="Z764" s="4"/>
    </row>
    <row r="765" spans="1:26">
      <c r="A765" s="5">
        <v>43344</v>
      </c>
      <c r="B765" s="4" t="s">
        <v>20</v>
      </c>
      <c r="C765" s="4" t="s">
        <v>18</v>
      </c>
      <c r="D765" s="4" t="s">
        <v>14</v>
      </c>
      <c r="E765" s="4" t="s">
        <v>13</v>
      </c>
      <c r="F765" s="4">
        <v>2522</v>
      </c>
      <c r="G765" s="4">
        <v>28</v>
      </c>
      <c r="H765" s="4">
        <v>161</v>
      </c>
      <c r="I765" s="6">
        <v>270.65964140495868</v>
      </c>
      <c r="J765" s="4"/>
      <c r="K765" s="4"/>
      <c r="L765" s="4"/>
      <c r="M765" s="4"/>
      <c r="N765" s="4"/>
      <c r="O765" s="4"/>
      <c r="P765" s="4"/>
      <c r="Q765" s="4"/>
      <c r="R765" s="4"/>
      <c r="S765" s="4"/>
      <c r="T765" s="4"/>
      <c r="U765" s="4"/>
      <c r="V765" s="4"/>
      <c r="W765" s="4"/>
      <c r="X765" s="4"/>
      <c r="Y765" s="4"/>
      <c r="Z765" s="4"/>
    </row>
    <row r="766" spans="1:26">
      <c r="A766" s="5">
        <v>43344</v>
      </c>
      <c r="B766" s="4" t="s">
        <v>20</v>
      </c>
      <c r="C766" s="4" t="s">
        <v>18</v>
      </c>
      <c r="D766" s="4" t="s">
        <v>15</v>
      </c>
      <c r="E766" s="4" t="s">
        <v>12</v>
      </c>
      <c r="F766" s="4">
        <v>1527812</v>
      </c>
      <c r="G766" s="4">
        <v>10365</v>
      </c>
      <c r="H766" s="4">
        <v>19457</v>
      </c>
      <c r="I766" s="6">
        <v>3171.9843742114049</v>
      </c>
      <c r="J766" s="4"/>
      <c r="K766" s="4"/>
      <c r="L766" s="4"/>
      <c r="M766" s="4"/>
      <c r="N766" s="4"/>
      <c r="O766" s="4"/>
      <c r="P766" s="4"/>
      <c r="Q766" s="4"/>
      <c r="R766" s="4"/>
      <c r="S766" s="4"/>
      <c r="T766" s="4"/>
      <c r="U766" s="4"/>
      <c r="V766" s="4"/>
      <c r="W766" s="4"/>
      <c r="X766" s="4"/>
      <c r="Y766" s="4"/>
      <c r="Z766" s="4"/>
    </row>
    <row r="767" spans="1:26">
      <c r="A767" s="5">
        <v>43344</v>
      </c>
      <c r="B767" s="4" t="s">
        <v>20</v>
      </c>
      <c r="C767" s="4" t="s">
        <v>18</v>
      </c>
      <c r="D767" s="4" t="s">
        <v>15</v>
      </c>
      <c r="E767" s="4" t="s">
        <v>13</v>
      </c>
      <c r="F767" s="4">
        <v>529</v>
      </c>
      <c r="G767" s="4">
        <v>0</v>
      </c>
      <c r="H767" s="4">
        <v>0</v>
      </c>
      <c r="I767" s="6">
        <v>0</v>
      </c>
      <c r="J767" s="4"/>
      <c r="K767" s="4"/>
      <c r="L767" s="4"/>
      <c r="M767" s="4"/>
      <c r="N767" s="4"/>
      <c r="O767" s="4"/>
      <c r="P767" s="4"/>
      <c r="Q767" s="4"/>
      <c r="R767" s="4"/>
      <c r="S767" s="4"/>
      <c r="T767" s="4"/>
      <c r="U767" s="4"/>
      <c r="V767" s="4"/>
      <c r="W767" s="4"/>
      <c r="X767" s="4"/>
      <c r="Y767" s="4"/>
      <c r="Z767" s="4"/>
    </row>
    <row r="768" spans="1:26">
      <c r="A768" s="5">
        <v>43344</v>
      </c>
      <c r="B768" s="4" t="s">
        <v>20</v>
      </c>
      <c r="C768" s="4" t="s">
        <v>18</v>
      </c>
      <c r="D768" s="4" t="s">
        <v>16</v>
      </c>
      <c r="E768" s="4" t="s">
        <v>12</v>
      </c>
      <c r="F768" s="4">
        <v>22468904</v>
      </c>
      <c r="G768" s="4">
        <v>74133</v>
      </c>
      <c r="H768" s="4">
        <v>138079</v>
      </c>
      <c r="I768" s="6">
        <v>45561.617142209543</v>
      </c>
      <c r="J768" s="4"/>
      <c r="K768" s="4"/>
      <c r="L768" s="4"/>
      <c r="M768" s="4"/>
      <c r="N768" s="4"/>
      <c r="O768" s="4"/>
      <c r="P768" s="4"/>
      <c r="Q768" s="4"/>
      <c r="R768" s="4"/>
      <c r="S768" s="4"/>
      <c r="T768" s="4"/>
      <c r="U768" s="4"/>
      <c r="V768" s="4"/>
      <c r="W768" s="4"/>
      <c r="X768" s="4"/>
      <c r="Y768" s="4"/>
      <c r="Z768" s="4"/>
    </row>
    <row r="769" spans="1:26">
      <c r="A769" s="5">
        <v>43344</v>
      </c>
      <c r="B769" s="4" t="s">
        <v>20</v>
      </c>
      <c r="C769" s="4" t="s">
        <v>18</v>
      </c>
      <c r="D769" s="4" t="s">
        <v>16</v>
      </c>
      <c r="E769" s="4" t="s">
        <v>13</v>
      </c>
      <c r="F769" s="4">
        <v>27530</v>
      </c>
      <c r="G769" s="4">
        <v>90</v>
      </c>
      <c r="H769" s="4">
        <v>981</v>
      </c>
      <c r="I769" s="6">
        <v>1314.5173266563945</v>
      </c>
      <c r="J769" s="4"/>
      <c r="K769" s="4"/>
      <c r="L769" s="4"/>
      <c r="M769" s="4"/>
      <c r="N769" s="4"/>
      <c r="O769" s="4"/>
      <c r="P769" s="4"/>
      <c r="Q769" s="4"/>
      <c r="R769" s="4"/>
      <c r="S769" s="4"/>
      <c r="T769" s="4"/>
      <c r="U769" s="4"/>
      <c r="V769" s="4"/>
      <c r="W769" s="4"/>
      <c r="X769" s="4"/>
      <c r="Y769" s="4"/>
      <c r="Z769" s="4"/>
    </row>
    <row r="770" spans="1:26">
      <c r="A770" s="5">
        <v>43344</v>
      </c>
      <c r="B770" s="4" t="s">
        <v>20</v>
      </c>
      <c r="C770" s="4" t="s">
        <v>18</v>
      </c>
      <c r="D770" s="4" t="s">
        <v>17</v>
      </c>
      <c r="E770" s="4" t="s">
        <v>12</v>
      </c>
      <c r="F770" s="4">
        <v>3958806</v>
      </c>
      <c r="G770" s="4">
        <v>25027</v>
      </c>
      <c r="H770" s="4">
        <v>43965</v>
      </c>
      <c r="I770" s="6">
        <v>14985.849247693528</v>
      </c>
      <c r="J770" s="4"/>
      <c r="K770" s="4"/>
      <c r="L770" s="4"/>
      <c r="M770" s="4"/>
      <c r="N770" s="4"/>
      <c r="O770" s="4"/>
      <c r="P770" s="4"/>
      <c r="Q770" s="4"/>
      <c r="R770" s="4"/>
      <c r="S770" s="4"/>
      <c r="T770" s="4"/>
      <c r="U770" s="4"/>
      <c r="V770" s="4"/>
      <c r="W770" s="4"/>
      <c r="X770" s="4"/>
      <c r="Y770" s="4"/>
      <c r="Z770" s="4"/>
    </row>
    <row r="771" spans="1:26">
      <c r="A771" s="5">
        <v>43344</v>
      </c>
      <c r="B771" s="4" t="s">
        <v>20</v>
      </c>
      <c r="C771" s="4" t="s">
        <v>18</v>
      </c>
      <c r="D771" s="4" t="s">
        <v>17</v>
      </c>
      <c r="E771" s="4" t="s">
        <v>13</v>
      </c>
      <c r="F771" s="4">
        <v>1595</v>
      </c>
      <c r="G771" s="4">
        <v>20</v>
      </c>
      <c r="H771" s="4">
        <v>111</v>
      </c>
      <c r="I771" s="6">
        <v>69.344836956521746</v>
      </c>
      <c r="J771" s="4"/>
      <c r="K771" s="4"/>
      <c r="L771" s="4"/>
      <c r="M771" s="4"/>
      <c r="N771" s="4"/>
      <c r="O771" s="4"/>
      <c r="P771" s="4"/>
      <c r="Q771" s="4"/>
      <c r="R771" s="4"/>
      <c r="S771" s="4"/>
      <c r="T771" s="4"/>
      <c r="U771" s="4"/>
      <c r="V771" s="4"/>
      <c r="W771" s="4"/>
      <c r="X771" s="4"/>
      <c r="Y771" s="4"/>
      <c r="Z771" s="4"/>
    </row>
    <row r="772" spans="1:26">
      <c r="A772" s="5">
        <v>43344</v>
      </c>
      <c r="B772" s="4" t="s">
        <v>20</v>
      </c>
      <c r="C772" s="4" t="s">
        <v>19</v>
      </c>
      <c r="D772" s="4" t="s">
        <v>11</v>
      </c>
      <c r="E772" s="4" t="s">
        <v>12</v>
      </c>
      <c r="F772" s="4">
        <v>781615</v>
      </c>
      <c r="G772" s="4">
        <v>2391</v>
      </c>
      <c r="H772" s="4">
        <v>2572</v>
      </c>
      <c r="I772" s="6">
        <v>9006.5448678549474</v>
      </c>
      <c r="J772" s="4"/>
      <c r="K772" s="4"/>
      <c r="L772" s="4"/>
      <c r="M772" s="4"/>
      <c r="N772" s="4"/>
      <c r="O772" s="4"/>
      <c r="P772" s="4"/>
      <c r="Q772" s="4"/>
      <c r="R772" s="4"/>
      <c r="S772" s="4"/>
      <c r="T772" s="4"/>
      <c r="U772" s="4"/>
      <c r="V772" s="4"/>
      <c r="W772" s="4"/>
      <c r="X772" s="4"/>
      <c r="Y772" s="4"/>
      <c r="Z772" s="4"/>
    </row>
    <row r="773" spans="1:26">
      <c r="A773" s="5">
        <v>43344</v>
      </c>
      <c r="B773" s="4" t="s">
        <v>20</v>
      </c>
      <c r="C773" s="4" t="s">
        <v>19</v>
      </c>
      <c r="D773" s="4" t="s">
        <v>11</v>
      </c>
      <c r="E773" s="4" t="s">
        <v>13</v>
      </c>
      <c r="F773" s="4">
        <v>1062</v>
      </c>
      <c r="G773" s="4">
        <v>40</v>
      </c>
      <c r="H773" s="4">
        <v>235</v>
      </c>
      <c r="I773" s="6">
        <v>1106.9409226190478</v>
      </c>
      <c r="J773" s="4"/>
      <c r="K773" s="4"/>
      <c r="L773" s="4"/>
      <c r="M773" s="4"/>
      <c r="N773" s="4"/>
      <c r="O773" s="4"/>
      <c r="P773" s="4"/>
      <c r="Q773" s="4"/>
      <c r="R773" s="4"/>
      <c r="S773" s="4"/>
      <c r="T773" s="4"/>
      <c r="U773" s="4"/>
      <c r="V773" s="4"/>
      <c r="W773" s="4"/>
      <c r="X773" s="4"/>
      <c r="Y773" s="4"/>
      <c r="Z773" s="4"/>
    </row>
    <row r="774" spans="1:26">
      <c r="A774" s="5">
        <v>43344</v>
      </c>
      <c r="B774" s="4" t="s">
        <v>20</v>
      </c>
      <c r="C774" s="4" t="s">
        <v>19</v>
      </c>
      <c r="D774" s="4" t="s">
        <v>14</v>
      </c>
      <c r="E774" s="4" t="s">
        <v>12</v>
      </c>
      <c r="F774" s="4">
        <v>1839077</v>
      </c>
      <c r="G774" s="4">
        <v>6148</v>
      </c>
      <c r="H774" s="4">
        <v>6211</v>
      </c>
      <c r="I774" s="6">
        <v>19088.903388556137</v>
      </c>
      <c r="J774" s="4"/>
      <c r="K774" s="4"/>
      <c r="L774" s="4"/>
      <c r="M774" s="4"/>
      <c r="N774" s="4"/>
      <c r="O774" s="4"/>
      <c r="P774" s="4"/>
      <c r="Q774" s="4"/>
      <c r="R774" s="4"/>
      <c r="S774" s="4"/>
      <c r="T774" s="4"/>
      <c r="U774" s="4"/>
      <c r="V774" s="4"/>
      <c r="W774" s="4"/>
      <c r="X774" s="4"/>
      <c r="Y774" s="4"/>
      <c r="Z774" s="4"/>
    </row>
    <row r="775" spans="1:26">
      <c r="A775" s="5">
        <v>43344</v>
      </c>
      <c r="B775" s="4" t="s">
        <v>20</v>
      </c>
      <c r="C775" s="4" t="s">
        <v>19</v>
      </c>
      <c r="D775" s="4" t="s">
        <v>14</v>
      </c>
      <c r="E775" s="4" t="s">
        <v>13</v>
      </c>
      <c r="F775" s="4">
        <v>2776</v>
      </c>
      <c r="G775" s="4">
        <v>112</v>
      </c>
      <c r="H775" s="4">
        <v>464</v>
      </c>
      <c r="I775" s="6">
        <v>2192.0568488745976</v>
      </c>
      <c r="J775" s="4"/>
      <c r="K775" s="4"/>
      <c r="L775" s="4"/>
      <c r="M775" s="4"/>
      <c r="N775" s="4"/>
      <c r="O775" s="4"/>
      <c r="P775" s="4"/>
      <c r="Q775" s="4"/>
      <c r="R775" s="4"/>
      <c r="S775" s="4"/>
      <c r="T775" s="4"/>
      <c r="U775" s="4"/>
      <c r="V775" s="4"/>
      <c r="W775" s="4"/>
      <c r="X775" s="4"/>
      <c r="Y775" s="4"/>
      <c r="Z775" s="4"/>
    </row>
    <row r="776" spans="1:26">
      <c r="A776" s="5">
        <v>43344</v>
      </c>
      <c r="B776" s="4" t="s">
        <v>20</v>
      </c>
      <c r="C776" s="4" t="s">
        <v>19</v>
      </c>
      <c r="D776" s="4" t="s">
        <v>15</v>
      </c>
      <c r="E776" s="4" t="s">
        <v>12</v>
      </c>
      <c r="F776" s="4">
        <v>478122</v>
      </c>
      <c r="G776" s="4">
        <v>1669</v>
      </c>
      <c r="H776" s="4">
        <v>1691</v>
      </c>
      <c r="I776" s="6">
        <v>6131.0501819029851</v>
      </c>
      <c r="J776" s="4"/>
      <c r="K776" s="4"/>
      <c r="L776" s="4"/>
      <c r="M776" s="4"/>
      <c r="N776" s="4"/>
      <c r="O776" s="4"/>
      <c r="P776" s="4"/>
      <c r="Q776" s="4"/>
      <c r="R776" s="4"/>
      <c r="S776" s="4"/>
      <c r="T776" s="4"/>
      <c r="U776" s="4"/>
      <c r="V776" s="4"/>
      <c r="W776" s="4"/>
      <c r="X776" s="4"/>
      <c r="Y776" s="4"/>
      <c r="Z776" s="4"/>
    </row>
    <row r="777" spans="1:26">
      <c r="A777" s="5">
        <v>43344</v>
      </c>
      <c r="B777" s="4" t="s">
        <v>20</v>
      </c>
      <c r="C777" s="4" t="s">
        <v>19</v>
      </c>
      <c r="D777" s="4" t="s">
        <v>15</v>
      </c>
      <c r="E777" s="4" t="s">
        <v>13</v>
      </c>
      <c r="F777" s="4">
        <v>481</v>
      </c>
      <c r="G777" s="4">
        <v>15</v>
      </c>
      <c r="H777" s="4">
        <v>152</v>
      </c>
      <c r="I777" s="6">
        <v>209.56800000000001</v>
      </c>
      <c r="J777" s="4"/>
      <c r="K777" s="4"/>
      <c r="L777" s="4"/>
      <c r="M777" s="4"/>
      <c r="N777" s="4"/>
      <c r="O777" s="4"/>
      <c r="P777" s="4"/>
      <c r="Q777" s="4"/>
      <c r="R777" s="4"/>
      <c r="S777" s="4"/>
      <c r="T777" s="4"/>
      <c r="U777" s="4"/>
      <c r="V777" s="4"/>
      <c r="W777" s="4"/>
      <c r="X777" s="4"/>
      <c r="Y777" s="4"/>
      <c r="Z777" s="4"/>
    </row>
    <row r="778" spans="1:26">
      <c r="A778" s="5">
        <v>43344</v>
      </c>
      <c r="B778" s="4" t="s">
        <v>20</v>
      </c>
      <c r="C778" s="4" t="s">
        <v>19</v>
      </c>
      <c r="D778" s="4" t="s">
        <v>16</v>
      </c>
      <c r="E778" s="4" t="s">
        <v>12</v>
      </c>
      <c r="F778" s="4">
        <v>4293966</v>
      </c>
      <c r="G778" s="4">
        <v>12042</v>
      </c>
      <c r="H778" s="4">
        <v>12346</v>
      </c>
      <c r="I778" s="6">
        <v>57323.83464237603</v>
      </c>
      <c r="J778" s="4"/>
      <c r="K778" s="4"/>
      <c r="L778" s="4"/>
      <c r="M778" s="4"/>
      <c r="N778" s="4"/>
      <c r="O778" s="4"/>
      <c r="P778" s="4"/>
      <c r="Q778" s="4"/>
      <c r="R778" s="4"/>
      <c r="S778" s="4"/>
      <c r="T778" s="4"/>
      <c r="U778" s="4"/>
      <c r="V778" s="4"/>
      <c r="W778" s="4"/>
      <c r="X778" s="4"/>
      <c r="Y778" s="4"/>
      <c r="Z778" s="4"/>
    </row>
    <row r="779" spans="1:26">
      <c r="A779" s="5">
        <v>43344</v>
      </c>
      <c r="B779" s="4" t="s">
        <v>20</v>
      </c>
      <c r="C779" s="4" t="s">
        <v>19</v>
      </c>
      <c r="D779" s="4" t="s">
        <v>16</v>
      </c>
      <c r="E779" s="4" t="s">
        <v>13</v>
      </c>
      <c r="F779" s="4">
        <v>4265</v>
      </c>
      <c r="G779" s="4">
        <v>176</v>
      </c>
      <c r="H779" s="4">
        <v>902</v>
      </c>
      <c r="I779" s="6">
        <v>5448.9596236099223</v>
      </c>
      <c r="J779" s="4"/>
      <c r="K779" s="4"/>
      <c r="L779" s="4"/>
      <c r="M779" s="4"/>
      <c r="N779" s="4"/>
      <c r="O779" s="4"/>
      <c r="P779" s="4"/>
      <c r="Q779" s="4"/>
      <c r="R779" s="4"/>
      <c r="S779" s="4"/>
      <c r="T779" s="4"/>
      <c r="U779" s="4"/>
      <c r="V779" s="4"/>
      <c r="W779" s="4"/>
      <c r="X779" s="4"/>
      <c r="Y779" s="4"/>
      <c r="Z779" s="4"/>
    </row>
    <row r="780" spans="1:26">
      <c r="A780" s="5">
        <v>43344</v>
      </c>
      <c r="B780" s="4" t="s">
        <v>20</v>
      </c>
      <c r="C780" s="4" t="s">
        <v>19</v>
      </c>
      <c r="D780" s="4" t="s">
        <v>17</v>
      </c>
      <c r="E780" s="4" t="s">
        <v>12</v>
      </c>
      <c r="F780" s="4">
        <v>1312656</v>
      </c>
      <c r="G780" s="4">
        <v>4270</v>
      </c>
      <c r="H780" s="4">
        <v>4311</v>
      </c>
      <c r="I780" s="6">
        <v>17062.517105890991</v>
      </c>
      <c r="J780" s="4"/>
      <c r="K780" s="4"/>
      <c r="L780" s="4"/>
      <c r="M780" s="4"/>
      <c r="N780" s="4"/>
      <c r="O780" s="4"/>
      <c r="P780" s="4"/>
      <c r="Q780" s="4"/>
      <c r="R780" s="4"/>
      <c r="S780" s="4"/>
      <c r="T780" s="4"/>
      <c r="U780" s="4"/>
      <c r="V780" s="4"/>
      <c r="W780" s="4"/>
      <c r="X780" s="4"/>
      <c r="Y780" s="4"/>
      <c r="Z780" s="4"/>
    </row>
    <row r="781" spans="1:26">
      <c r="A781" s="5">
        <v>43344</v>
      </c>
      <c r="B781" s="4" t="s">
        <v>20</v>
      </c>
      <c r="C781" s="4" t="s">
        <v>19</v>
      </c>
      <c r="D781" s="4" t="s">
        <v>17</v>
      </c>
      <c r="E781" s="4" t="s">
        <v>13</v>
      </c>
      <c r="F781" s="4">
        <v>1526</v>
      </c>
      <c r="G781" s="4">
        <v>50</v>
      </c>
      <c r="H781" s="4">
        <v>590</v>
      </c>
      <c r="I781" s="6">
        <v>1283.8371871275328</v>
      </c>
      <c r="J781" s="4"/>
      <c r="K781" s="4"/>
      <c r="L781" s="4"/>
      <c r="M781" s="4"/>
      <c r="N781" s="4"/>
      <c r="O781" s="4"/>
      <c r="P781" s="4"/>
      <c r="Q781" s="4"/>
      <c r="R781" s="4"/>
      <c r="S781" s="4"/>
      <c r="T781" s="4"/>
      <c r="U781" s="4"/>
      <c r="V781" s="4"/>
      <c r="W781" s="4"/>
      <c r="X781" s="4"/>
      <c r="Y781" s="4"/>
      <c r="Z781" s="4"/>
    </row>
    <row r="782" spans="1:26">
      <c r="A782" s="5">
        <v>43344</v>
      </c>
      <c r="B782" s="4" t="s">
        <v>21</v>
      </c>
      <c r="C782" s="4" t="s">
        <v>10</v>
      </c>
      <c r="D782" s="4" t="s">
        <v>11</v>
      </c>
      <c r="E782" s="4" t="s">
        <v>12</v>
      </c>
      <c r="F782" s="4">
        <v>1368793</v>
      </c>
      <c r="G782" s="4">
        <v>11304</v>
      </c>
      <c r="H782" s="4">
        <v>14181</v>
      </c>
      <c r="I782" s="6">
        <v>21101.859411314643</v>
      </c>
      <c r="J782" s="4"/>
      <c r="K782" s="4"/>
      <c r="L782" s="4"/>
      <c r="M782" s="4"/>
      <c r="N782" s="4"/>
      <c r="O782" s="4"/>
      <c r="P782" s="4"/>
      <c r="Q782" s="4"/>
      <c r="R782" s="4"/>
      <c r="S782" s="4"/>
      <c r="T782" s="4"/>
      <c r="U782" s="4"/>
      <c r="V782" s="4"/>
      <c r="W782" s="4"/>
      <c r="X782" s="4"/>
      <c r="Y782" s="4"/>
      <c r="Z782" s="4"/>
    </row>
    <row r="783" spans="1:26">
      <c r="A783" s="5">
        <v>43344</v>
      </c>
      <c r="B783" s="4" t="s">
        <v>21</v>
      </c>
      <c r="C783" s="4" t="s">
        <v>10</v>
      </c>
      <c r="D783" s="4" t="s">
        <v>11</v>
      </c>
      <c r="E783" s="4" t="s">
        <v>13</v>
      </c>
      <c r="F783" s="4">
        <v>16441</v>
      </c>
      <c r="G783" s="4">
        <v>980</v>
      </c>
      <c r="H783" s="4">
        <v>16491</v>
      </c>
      <c r="I783" s="6">
        <v>91178.009532817436</v>
      </c>
      <c r="J783" s="4"/>
      <c r="K783" s="4"/>
      <c r="L783" s="4"/>
      <c r="M783" s="4"/>
      <c r="N783" s="4"/>
      <c r="O783" s="4"/>
      <c r="P783" s="4"/>
      <c r="Q783" s="4"/>
      <c r="R783" s="4"/>
      <c r="S783" s="4"/>
      <c r="T783" s="4"/>
      <c r="U783" s="4"/>
      <c r="V783" s="4"/>
      <c r="W783" s="4"/>
      <c r="X783" s="4"/>
      <c r="Y783" s="4"/>
      <c r="Z783" s="4"/>
    </row>
    <row r="784" spans="1:26">
      <c r="A784" s="5">
        <v>43344</v>
      </c>
      <c r="B784" s="4" t="s">
        <v>21</v>
      </c>
      <c r="C784" s="4" t="s">
        <v>10</v>
      </c>
      <c r="D784" s="4" t="s">
        <v>14</v>
      </c>
      <c r="E784" s="4" t="s">
        <v>12</v>
      </c>
      <c r="F784" s="4">
        <v>2103600</v>
      </c>
      <c r="G784" s="4">
        <v>13144</v>
      </c>
      <c r="H784" s="4">
        <v>14979</v>
      </c>
      <c r="I784" s="6">
        <v>31829.218626269037</v>
      </c>
      <c r="J784" s="4"/>
      <c r="K784" s="4"/>
      <c r="L784" s="4"/>
      <c r="M784" s="4"/>
      <c r="N784" s="4"/>
      <c r="O784" s="4"/>
      <c r="P784" s="4"/>
      <c r="Q784" s="4"/>
      <c r="R784" s="4"/>
      <c r="S784" s="4"/>
      <c r="T784" s="4"/>
      <c r="U784" s="4"/>
      <c r="V784" s="4"/>
      <c r="W784" s="4"/>
      <c r="X784" s="4"/>
      <c r="Y784" s="4"/>
      <c r="Z784" s="4"/>
    </row>
    <row r="785" spans="1:26">
      <c r="A785" s="5">
        <v>43344</v>
      </c>
      <c r="B785" s="4" t="s">
        <v>21</v>
      </c>
      <c r="C785" s="4" t="s">
        <v>10</v>
      </c>
      <c r="D785" s="4" t="s">
        <v>14</v>
      </c>
      <c r="E785" s="4" t="s">
        <v>13</v>
      </c>
      <c r="F785" s="4">
        <v>19897</v>
      </c>
      <c r="G785" s="4">
        <v>1289</v>
      </c>
      <c r="H785" s="4">
        <v>17716</v>
      </c>
      <c r="I785" s="6">
        <v>107950.50306171519</v>
      </c>
      <c r="J785" s="4"/>
      <c r="K785" s="4"/>
      <c r="L785" s="4"/>
      <c r="M785" s="4"/>
      <c r="N785" s="4"/>
      <c r="O785" s="4"/>
      <c r="P785" s="4"/>
      <c r="Q785" s="4"/>
      <c r="R785" s="4"/>
      <c r="S785" s="4"/>
      <c r="T785" s="4"/>
      <c r="U785" s="4"/>
      <c r="V785" s="4"/>
      <c r="W785" s="4"/>
      <c r="X785" s="4"/>
      <c r="Y785" s="4"/>
      <c r="Z785" s="4"/>
    </row>
    <row r="786" spans="1:26">
      <c r="A786" s="5">
        <v>43344</v>
      </c>
      <c r="B786" s="4" t="s">
        <v>21</v>
      </c>
      <c r="C786" s="4" t="s">
        <v>10</v>
      </c>
      <c r="D786" s="4" t="s">
        <v>15</v>
      </c>
      <c r="E786" s="4" t="s">
        <v>12</v>
      </c>
      <c r="F786" s="4">
        <v>558708</v>
      </c>
      <c r="G786" s="4">
        <v>3628</v>
      </c>
      <c r="H786" s="4">
        <v>4258</v>
      </c>
      <c r="I786" s="6">
        <v>7839.9574507617981</v>
      </c>
      <c r="J786" s="4"/>
      <c r="K786" s="4"/>
      <c r="L786" s="4"/>
      <c r="M786" s="4"/>
      <c r="N786" s="4"/>
      <c r="O786" s="4"/>
      <c r="P786" s="4"/>
      <c r="Q786" s="4"/>
      <c r="R786" s="4"/>
      <c r="S786" s="4"/>
      <c r="T786" s="4"/>
      <c r="U786" s="4"/>
      <c r="V786" s="4"/>
      <c r="W786" s="4"/>
      <c r="X786" s="4"/>
      <c r="Y786" s="4"/>
      <c r="Z786" s="4"/>
    </row>
    <row r="787" spans="1:26">
      <c r="A787" s="5">
        <v>43344</v>
      </c>
      <c r="B787" s="4" t="s">
        <v>21</v>
      </c>
      <c r="C787" s="4" t="s">
        <v>10</v>
      </c>
      <c r="D787" s="4" t="s">
        <v>15</v>
      </c>
      <c r="E787" s="4" t="s">
        <v>13</v>
      </c>
      <c r="F787" s="4">
        <v>4888</v>
      </c>
      <c r="G787" s="4">
        <v>326</v>
      </c>
      <c r="H787" s="4">
        <v>3548</v>
      </c>
      <c r="I787" s="6">
        <v>26034.673247094939</v>
      </c>
      <c r="J787" s="4"/>
      <c r="K787" s="4"/>
      <c r="L787" s="4"/>
      <c r="M787" s="4"/>
      <c r="N787" s="4"/>
      <c r="O787" s="4"/>
      <c r="P787" s="4"/>
      <c r="Q787" s="4"/>
      <c r="R787" s="4"/>
      <c r="S787" s="4"/>
      <c r="T787" s="4"/>
      <c r="U787" s="4"/>
      <c r="V787" s="4"/>
      <c r="W787" s="4"/>
      <c r="X787" s="4"/>
      <c r="Y787" s="4"/>
      <c r="Z787" s="4"/>
    </row>
    <row r="788" spans="1:26">
      <c r="A788" s="5">
        <v>43344</v>
      </c>
      <c r="B788" s="4" t="s">
        <v>21</v>
      </c>
      <c r="C788" s="4" t="s">
        <v>10</v>
      </c>
      <c r="D788" s="4" t="s">
        <v>16</v>
      </c>
      <c r="E788" s="4" t="s">
        <v>12</v>
      </c>
      <c r="F788" s="4">
        <v>7124422</v>
      </c>
      <c r="G788" s="4">
        <v>59895</v>
      </c>
      <c r="H788" s="4">
        <v>66336</v>
      </c>
      <c r="I788" s="6">
        <v>162907.99903113692</v>
      </c>
      <c r="J788" s="4"/>
      <c r="K788" s="4"/>
      <c r="L788" s="4"/>
      <c r="M788" s="4"/>
      <c r="N788" s="4"/>
      <c r="O788" s="4"/>
      <c r="P788" s="4"/>
      <c r="Q788" s="4"/>
      <c r="R788" s="4"/>
      <c r="S788" s="4"/>
      <c r="T788" s="4"/>
      <c r="U788" s="4"/>
      <c r="V788" s="4"/>
      <c r="W788" s="4"/>
      <c r="X788" s="4"/>
      <c r="Y788" s="4"/>
      <c r="Z788" s="4"/>
    </row>
    <row r="789" spans="1:26">
      <c r="A789" s="5">
        <v>43344</v>
      </c>
      <c r="B789" s="4" t="s">
        <v>21</v>
      </c>
      <c r="C789" s="4" t="s">
        <v>10</v>
      </c>
      <c r="D789" s="4" t="s">
        <v>16</v>
      </c>
      <c r="E789" s="4" t="s">
        <v>13</v>
      </c>
      <c r="F789" s="4">
        <v>87473</v>
      </c>
      <c r="G789" s="4">
        <v>6323</v>
      </c>
      <c r="H789" s="4">
        <v>91095</v>
      </c>
      <c r="I789" s="6">
        <v>512302.01979223691</v>
      </c>
      <c r="J789" s="4"/>
      <c r="K789" s="4"/>
      <c r="L789" s="4"/>
      <c r="M789" s="4"/>
      <c r="N789" s="4"/>
      <c r="O789" s="4"/>
      <c r="P789" s="4"/>
      <c r="Q789" s="4"/>
      <c r="R789" s="4"/>
      <c r="S789" s="4"/>
      <c r="T789" s="4"/>
      <c r="U789" s="4"/>
      <c r="V789" s="4"/>
      <c r="W789" s="4"/>
      <c r="X789" s="4"/>
      <c r="Y789" s="4"/>
      <c r="Z789" s="4"/>
    </row>
    <row r="790" spans="1:26">
      <c r="A790" s="5">
        <v>43344</v>
      </c>
      <c r="B790" s="4" t="s">
        <v>21</v>
      </c>
      <c r="C790" s="4" t="s">
        <v>10</v>
      </c>
      <c r="D790" s="4" t="s">
        <v>17</v>
      </c>
      <c r="E790" s="4" t="s">
        <v>12</v>
      </c>
      <c r="F790" s="4">
        <v>2330381</v>
      </c>
      <c r="G790" s="4">
        <v>24866</v>
      </c>
      <c r="H790" s="4">
        <v>27148</v>
      </c>
      <c r="I790" s="6">
        <v>67166.912034783629</v>
      </c>
      <c r="J790" s="4"/>
      <c r="K790" s="4"/>
      <c r="L790" s="4"/>
      <c r="M790" s="4"/>
      <c r="N790" s="4"/>
      <c r="O790" s="4"/>
      <c r="P790" s="4"/>
      <c r="Q790" s="4"/>
      <c r="R790" s="4"/>
      <c r="S790" s="4"/>
      <c r="T790" s="4"/>
      <c r="U790" s="4"/>
      <c r="V790" s="4"/>
      <c r="W790" s="4"/>
      <c r="X790" s="4"/>
      <c r="Y790" s="4"/>
      <c r="Z790" s="4"/>
    </row>
    <row r="791" spans="1:26">
      <c r="A791" s="5">
        <v>43344</v>
      </c>
      <c r="B791" s="4" t="s">
        <v>21</v>
      </c>
      <c r="C791" s="4" t="s">
        <v>10</v>
      </c>
      <c r="D791" s="4" t="s">
        <v>17</v>
      </c>
      <c r="E791" s="4" t="s">
        <v>13</v>
      </c>
      <c r="F791" s="4">
        <v>33421</v>
      </c>
      <c r="G791" s="4">
        <v>2796</v>
      </c>
      <c r="H791" s="4">
        <v>40417</v>
      </c>
      <c r="I791" s="6">
        <v>221323.492</v>
      </c>
      <c r="J791" s="4"/>
      <c r="K791" s="4"/>
      <c r="L791" s="4"/>
      <c r="M791" s="4"/>
      <c r="N791" s="4"/>
      <c r="O791" s="4"/>
      <c r="P791" s="4"/>
      <c r="Q791" s="4"/>
      <c r="R791" s="4"/>
      <c r="S791" s="4"/>
      <c r="T791" s="4"/>
      <c r="U791" s="4"/>
      <c r="V791" s="4"/>
      <c r="W791" s="4"/>
      <c r="X791" s="4"/>
      <c r="Y791" s="4"/>
      <c r="Z791" s="4"/>
    </row>
    <row r="792" spans="1:26">
      <c r="A792" s="5">
        <v>43344</v>
      </c>
      <c r="B792" s="4" t="s">
        <v>21</v>
      </c>
      <c r="C792" s="4" t="s">
        <v>18</v>
      </c>
      <c r="D792" s="4" t="s">
        <v>11</v>
      </c>
      <c r="E792" s="4" t="s">
        <v>12</v>
      </c>
      <c r="F792" s="4">
        <v>1600329</v>
      </c>
      <c r="G792" s="4">
        <v>29253</v>
      </c>
      <c r="H792" s="4">
        <v>127263</v>
      </c>
      <c r="I792" s="6">
        <v>67820.391529209635</v>
      </c>
      <c r="J792" s="4"/>
      <c r="K792" s="4"/>
      <c r="L792" s="4"/>
      <c r="M792" s="4"/>
      <c r="N792" s="4"/>
      <c r="O792" s="4"/>
      <c r="P792" s="4"/>
      <c r="Q792" s="4"/>
      <c r="R792" s="4"/>
      <c r="S792" s="4"/>
      <c r="T792" s="4"/>
      <c r="U792" s="4"/>
      <c r="V792" s="4"/>
      <c r="W792" s="4"/>
      <c r="X792" s="4"/>
      <c r="Y792" s="4"/>
      <c r="Z792" s="4"/>
    </row>
    <row r="793" spans="1:26">
      <c r="A793" s="5">
        <v>43344</v>
      </c>
      <c r="B793" s="4" t="s">
        <v>21</v>
      </c>
      <c r="C793" s="4" t="s">
        <v>18</v>
      </c>
      <c r="D793" s="4" t="s">
        <v>11</v>
      </c>
      <c r="E793" s="4" t="s">
        <v>13</v>
      </c>
      <c r="F793" s="4">
        <v>11291</v>
      </c>
      <c r="G793" s="4">
        <v>338</v>
      </c>
      <c r="H793" s="4">
        <v>14984</v>
      </c>
      <c r="I793" s="6">
        <v>11845.264350085756</v>
      </c>
      <c r="J793" s="4"/>
      <c r="K793" s="4"/>
      <c r="L793" s="4"/>
      <c r="M793" s="4"/>
      <c r="N793" s="4"/>
      <c r="O793" s="4"/>
      <c r="P793" s="4"/>
      <c r="Q793" s="4"/>
      <c r="R793" s="4"/>
      <c r="S793" s="4"/>
      <c r="T793" s="4"/>
      <c r="U793" s="4"/>
      <c r="V793" s="4"/>
      <c r="W793" s="4"/>
      <c r="X793" s="4"/>
      <c r="Y793" s="4"/>
      <c r="Z793" s="4"/>
    </row>
    <row r="794" spans="1:26">
      <c r="A794" s="5">
        <v>43344</v>
      </c>
      <c r="B794" s="4" t="s">
        <v>21</v>
      </c>
      <c r="C794" s="4" t="s">
        <v>18</v>
      </c>
      <c r="D794" s="4" t="s">
        <v>14</v>
      </c>
      <c r="E794" s="4" t="s">
        <v>12</v>
      </c>
      <c r="F794" s="4">
        <v>2511902</v>
      </c>
      <c r="G794" s="4">
        <v>41695</v>
      </c>
      <c r="H794" s="4">
        <v>156149</v>
      </c>
      <c r="I794" s="6">
        <v>74879.800940111541</v>
      </c>
      <c r="J794" s="4"/>
      <c r="K794" s="4"/>
      <c r="L794" s="4"/>
      <c r="M794" s="4"/>
      <c r="N794" s="4"/>
      <c r="O794" s="4"/>
      <c r="P794" s="4"/>
      <c r="Q794" s="4"/>
      <c r="R794" s="4"/>
      <c r="S794" s="4"/>
      <c r="T794" s="4"/>
      <c r="U794" s="4"/>
      <c r="V794" s="4"/>
      <c r="W794" s="4"/>
      <c r="X794" s="4"/>
      <c r="Y794" s="4"/>
      <c r="Z794" s="4"/>
    </row>
    <row r="795" spans="1:26">
      <c r="A795" s="5">
        <v>43344</v>
      </c>
      <c r="B795" s="4" t="s">
        <v>21</v>
      </c>
      <c r="C795" s="4" t="s">
        <v>18</v>
      </c>
      <c r="D795" s="4" t="s">
        <v>14</v>
      </c>
      <c r="E795" s="4" t="s">
        <v>13</v>
      </c>
      <c r="F795" s="4">
        <v>14679</v>
      </c>
      <c r="G795" s="4">
        <v>385</v>
      </c>
      <c r="H795" s="4">
        <v>9249</v>
      </c>
      <c r="I795" s="6">
        <v>11659.843401015229</v>
      </c>
      <c r="J795" s="4"/>
      <c r="K795" s="4"/>
      <c r="L795" s="4"/>
      <c r="M795" s="4"/>
      <c r="N795" s="4"/>
      <c r="O795" s="4"/>
      <c r="P795" s="4"/>
      <c r="Q795" s="4"/>
      <c r="R795" s="4"/>
      <c r="S795" s="4"/>
      <c r="T795" s="4"/>
      <c r="U795" s="4"/>
      <c r="V795" s="4"/>
      <c r="W795" s="4"/>
      <c r="X795" s="4"/>
      <c r="Y795" s="4"/>
      <c r="Z795" s="4"/>
    </row>
    <row r="796" spans="1:26">
      <c r="A796" s="5">
        <v>43344</v>
      </c>
      <c r="B796" s="4" t="s">
        <v>21</v>
      </c>
      <c r="C796" s="4" t="s">
        <v>18</v>
      </c>
      <c r="D796" s="4" t="s">
        <v>15</v>
      </c>
      <c r="E796" s="4" t="s">
        <v>12</v>
      </c>
      <c r="F796" s="4">
        <v>867654</v>
      </c>
      <c r="G796" s="4">
        <v>13075</v>
      </c>
      <c r="H796" s="4">
        <v>62462</v>
      </c>
      <c r="I796" s="6">
        <v>19903.294898753596</v>
      </c>
      <c r="J796" s="4"/>
      <c r="K796" s="4"/>
      <c r="L796" s="4"/>
      <c r="M796" s="4"/>
      <c r="N796" s="4"/>
      <c r="O796" s="4"/>
      <c r="P796" s="4"/>
      <c r="Q796" s="4"/>
      <c r="R796" s="4"/>
      <c r="S796" s="4"/>
      <c r="T796" s="4"/>
      <c r="U796" s="4"/>
      <c r="V796" s="4"/>
      <c r="W796" s="4"/>
      <c r="X796" s="4"/>
      <c r="Y796" s="4"/>
      <c r="Z796" s="4"/>
    </row>
    <row r="797" spans="1:26">
      <c r="A797" s="5">
        <v>43344</v>
      </c>
      <c r="B797" s="4" t="s">
        <v>21</v>
      </c>
      <c r="C797" s="4" t="s">
        <v>18</v>
      </c>
      <c r="D797" s="4" t="s">
        <v>15</v>
      </c>
      <c r="E797" s="4" t="s">
        <v>13</v>
      </c>
      <c r="F797" s="4">
        <v>4493</v>
      </c>
      <c r="G797" s="4">
        <v>142</v>
      </c>
      <c r="H797" s="4">
        <v>3699</v>
      </c>
      <c r="I797" s="6">
        <v>2019.5799897917518</v>
      </c>
      <c r="J797" s="4"/>
      <c r="K797" s="4"/>
      <c r="L797" s="4"/>
      <c r="M797" s="4"/>
      <c r="N797" s="4"/>
      <c r="O797" s="4"/>
      <c r="P797" s="4"/>
      <c r="Q797" s="4"/>
      <c r="R797" s="4"/>
      <c r="S797" s="4"/>
      <c r="T797" s="4"/>
      <c r="U797" s="4"/>
      <c r="V797" s="4"/>
      <c r="W797" s="4"/>
      <c r="X797" s="4"/>
      <c r="Y797" s="4"/>
      <c r="Z797" s="4"/>
    </row>
    <row r="798" spans="1:26">
      <c r="A798" s="5">
        <v>43344</v>
      </c>
      <c r="B798" s="4" t="s">
        <v>21</v>
      </c>
      <c r="C798" s="4" t="s">
        <v>18</v>
      </c>
      <c r="D798" s="4" t="s">
        <v>16</v>
      </c>
      <c r="E798" s="4" t="s">
        <v>12</v>
      </c>
      <c r="F798" s="4">
        <v>22001658</v>
      </c>
      <c r="G798" s="4">
        <v>127294</v>
      </c>
      <c r="H798" s="4">
        <v>455010</v>
      </c>
      <c r="I798" s="6">
        <v>288191.30346992938</v>
      </c>
      <c r="J798" s="4"/>
      <c r="K798" s="4"/>
      <c r="L798" s="4"/>
      <c r="M798" s="4"/>
      <c r="N798" s="4"/>
      <c r="O798" s="4"/>
      <c r="P798" s="4"/>
      <c r="Q798" s="4"/>
      <c r="R798" s="4"/>
      <c r="S798" s="4"/>
      <c r="T798" s="4"/>
      <c r="U798" s="4"/>
      <c r="V798" s="4"/>
      <c r="W798" s="4"/>
      <c r="X798" s="4"/>
      <c r="Y798" s="4"/>
      <c r="Z798" s="4"/>
    </row>
    <row r="799" spans="1:26">
      <c r="A799" s="5">
        <v>43344</v>
      </c>
      <c r="B799" s="4" t="s">
        <v>21</v>
      </c>
      <c r="C799" s="4" t="s">
        <v>18</v>
      </c>
      <c r="D799" s="4" t="s">
        <v>16</v>
      </c>
      <c r="E799" s="4" t="s">
        <v>13</v>
      </c>
      <c r="F799" s="4">
        <v>579448</v>
      </c>
      <c r="G799" s="4">
        <v>1341</v>
      </c>
      <c r="H799" s="4">
        <v>46980</v>
      </c>
      <c r="I799" s="6">
        <v>34818.33430269653</v>
      </c>
      <c r="J799" s="4"/>
      <c r="K799" s="4"/>
      <c r="L799" s="4"/>
      <c r="M799" s="4"/>
      <c r="N799" s="4"/>
      <c r="O799" s="4"/>
      <c r="P799" s="4"/>
      <c r="Q799" s="4"/>
      <c r="R799" s="4"/>
      <c r="S799" s="4"/>
      <c r="T799" s="4"/>
      <c r="U799" s="4"/>
      <c r="V799" s="4"/>
      <c r="W799" s="4"/>
      <c r="X799" s="4"/>
      <c r="Y799" s="4"/>
      <c r="Z799" s="4"/>
    </row>
    <row r="800" spans="1:26">
      <c r="A800" s="5">
        <v>43344</v>
      </c>
      <c r="B800" s="4" t="s">
        <v>21</v>
      </c>
      <c r="C800" s="4" t="s">
        <v>18</v>
      </c>
      <c r="D800" s="4" t="s">
        <v>17</v>
      </c>
      <c r="E800" s="4" t="s">
        <v>12</v>
      </c>
      <c r="F800" s="4">
        <v>2920412</v>
      </c>
      <c r="G800" s="4">
        <v>46469</v>
      </c>
      <c r="H800" s="4">
        <v>153188</v>
      </c>
      <c r="I800" s="6">
        <v>109265.92225190978</v>
      </c>
      <c r="J800" s="4"/>
      <c r="K800" s="4"/>
      <c r="L800" s="4"/>
      <c r="M800" s="4"/>
      <c r="N800" s="4"/>
      <c r="O800" s="4"/>
      <c r="P800" s="4"/>
      <c r="Q800" s="4"/>
      <c r="R800" s="4"/>
      <c r="S800" s="4"/>
      <c r="T800" s="4"/>
      <c r="U800" s="4"/>
      <c r="V800" s="4"/>
      <c r="W800" s="4"/>
      <c r="X800" s="4"/>
      <c r="Y800" s="4"/>
      <c r="Z800" s="4"/>
    </row>
    <row r="801" spans="1:26">
      <c r="A801" s="5">
        <v>43344</v>
      </c>
      <c r="B801" s="4" t="s">
        <v>21</v>
      </c>
      <c r="C801" s="4" t="s">
        <v>18</v>
      </c>
      <c r="D801" s="4" t="s">
        <v>17</v>
      </c>
      <c r="E801" s="4" t="s">
        <v>13</v>
      </c>
      <c r="F801" s="4">
        <v>26441</v>
      </c>
      <c r="G801" s="4">
        <v>647</v>
      </c>
      <c r="H801" s="4">
        <v>24312</v>
      </c>
      <c r="I801" s="6">
        <v>19530.062810709314</v>
      </c>
      <c r="J801" s="4"/>
      <c r="K801" s="4"/>
      <c r="L801" s="4"/>
      <c r="M801" s="4"/>
      <c r="N801" s="4"/>
      <c r="O801" s="4"/>
      <c r="P801" s="4"/>
      <c r="Q801" s="4"/>
      <c r="R801" s="4"/>
      <c r="S801" s="4"/>
      <c r="T801" s="4"/>
      <c r="U801" s="4"/>
      <c r="V801" s="4"/>
      <c r="W801" s="4"/>
      <c r="X801" s="4"/>
      <c r="Y801" s="4"/>
      <c r="Z801" s="4"/>
    </row>
    <row r="802" spans="1:26">
      <c r="A802" s="5">
        <v>43344</v>
      </c>
      <c r="B802" s="4" t="s">
        <v>21</v>
      </c>
      <c r="C802" s="4" t="s">
        <v>19</v>
      </c>
      <c r="D802" s="4" t="s">
        <v>11</v>
      </c>
      <c r="E802" s="4" t="s">
        <v>12</v>
      </c>
      <c r="F802" s="4">
        <v>553675</v>
      </c>
      <c r="G802" s="4">
        <v>7896</v>
      </c>
      <c r="H802" s="4">
        <v>8181</v>
      </c>
      <c r="I802" s="6">
        <v>86708.908222996513</v>
      </c>
      <c r="J802" s="4"/>
      <c r="K802" s="4"/>
      <c r="L802" s="4"/>
      <c r="M802" s="4"/>
      <c r="N802" s="4"/>
      <c r="O802" s="4"/>
      <c r="P802" s="4"/>
      <c r="Q802" s="4"/>
      <c r="R802" s="4"/>
      <c r="S802" s="4"/>
      <c r="T802" s="4"/>
      <c r="U802" s="4"/>
      <c r="V802" s="4"/>
      <c r="W802" s="4"/>
      <c r="X802" s="4"/>
      <c r="Y802" s="4"/>
      <c r="Z802" s="4"/>
    </row>
    <row r="803" spans="1:26">
      <c r="A803" s="5">
        <v>43344</v>
      </c>
      <c r="B803" s="4" t="s">
        <v>21</v>
      </c>
      <c r="C803" s="4" t="s">
        <v>19</v>
      </c>
      <c r="D803" s="4" t="s">
        <v>11</v>
      </c>
      <c r="E803" s="4" t="s">
        <v>13</v>
      </c>
      <c r="F803" s="4">
        <v>14491</v>
      </c>
      <c r="G803" s="4">
        <v>1271</v>
      </c>
      <c r="H803" s="4">
        <v>37399</v>
      </c>
      <c r="I803" s="6">
        <v>21336.187056330898</v>
      </c>
      <c r="J803" s="4"/>
      <c r="K803" s="4"/>
      <c r="L803" s="4"/>
      <c r="M803" s="4"/>
      <c r="N803" s="4"/>
      <c r="O803" s="4"/>
      <c r="P803" s="4"/>
      <c r="Q803" s="4"/>
      <c r="R803" s="4"/>
      <c r="S803" s="4"/>
      <c r="T803" s="4"/>
      <c r="U803" s="4"/>
      <c r="V803" s="4"/>
      <c r="W803" s="4"/>
      <c r="X803" s="4"/>
      <c r="Y803" s="4"/>
      <c r="Z803" s="4"/>
    </row>
    <row r="804" spans="1:26">
      <c r="A804" s="5">
        <v>43344</v>
      </c>
      <c r="B804" s="4" t="s">
        <v>21</v>
      </c>
      <c r="C804" s="4" t="s">
        <v>19</v>
      </c>
      <c r="D804" s="4" t="s">
        <v>14</v>
      </c>
      <c r="E804" s="4" t="s">
        <v>12</v>
      </c>
      <c r="F804" s="4">
        <v>994939</v>
      </c>
      <c r="G804" s="4">
        <v>15757</v>
      </c>
      <c r="H804" s="4">
        <v>16979</v>
      </c>
      <c r="I804" s="6">
        <v>157875.14616328434</v>
      </c>
      <c r="J804" s="4"/>
      <c r="K804" s="4"/>
      <c r="L804" s="4"/>
      <c r="M804" s="4"/>
      <c r="N804" s="4"/>
      <c r="O804" s="4"/>
      <c r="P804" s="4"/>
      <c r="Q804" s="4"/>
      <c r="R804" s="4"/>
      <c r="S804" s="4"/>
      <c r="T804" s="4"/>
      <c r="U804" s="4"/>
      <c r="V804" s="4"/>
      <c r="W804" s="4"/>
      <c r="X804" s="4"/>
      <c r="Y804" s="4"/>
      <c r="Z804" s="4"/>
    </row>
    <row r="805" spans="1:26">
      <c r="A805" s="5">
        <v>43344</v>
      </c>
      <c r="B805" s="4" t="s">
        <v>21</v>
      </c>
      <c r="C805" s="4" t="s">
        <v>19</v>
      </c>
      <c r="D805" s="4" t="s">
        <v>14</v>
      </c>
      <c r="E805" s="4" t="s">
        <v>13</v>
      </c>
      <c r="F805" s="4">
        <v>28320</v>
      </c>
      <c r="G805" s="4">
        <v>2433</v>
      </c>
      <c r="H805" s="4">
        <v>114471</v>
      </c>
      <c r="I805" s="6">
        <v>35867.506273281215</v>
      </c>
      <c r="J805" s="4"/>
      <c r="K805" s="4"/>
      <c r="L805" s="4"/>
      <c r="M805" s="4"/>
      <c r="N805" s="4"/>
      <c r="O805" s="4"/>
      <c r="P805" s="4"/>
      <c r="Q805" s="4"/>
      <c r="R805" s="4"/>
      <c r="S805" s="4"/>
      <c r="T805" s="4"/>
      <c r="U805" s="4"/>
      <c r="V805" s="4"/>
      <c r="W805" s="4"/>
      <c r="X805" s="4"/>
      <c r="Y805" s="4"/>
      <c r="Z805" s="4"/>
    </row>
    <row r="806" spans="1:26">
      <c r="A806" s="5">
        <v>43344</v>
      </c>
      <c r="B806" s="4" t="s">
        <v>21</v>
      </c>
      <c r="C806" s="4" t="s">
        <v>19</v>
      </c>
      <c r="D806" s="4" t="s">
        <v>15</v>
      </c>
      <c r="E806" s="4" t="s">
        <v>12</v>
      </c>
      <c r="F806" s="4">
        <v>301493</v>
      </c>
      <c r="G806" s="4">
        <v>4263</v>
      </c>
      <c r="H806" s="4">
        <v>4589</v>
      </c>
      <c r="I806" s="6">
        <v>43395.751906896556</v>
      </c>
      <c r="J806" s="4"/>
      <c r="K806" s="4"/>
      <c r="L806" s="4"/>
      <c r="M806" s="4"/>
      <c r="N806" s="4"/>
      <c r="O806" s="4"/>
      <c r="P806" s="4"/>
      <c r="Q806" s="4"/>
      <c r="R806" s="4"/>
      <c r="S806" s="4"/>
      <c r="T806" s="4"/>
      <c r="U806" s="4"/>
      <c r="V806" s="4"/>
      <c r="W806" s="4"/>
      <c r="X806" s="4"/>
      <c r="Y806" s="4"/>
      <c r="Z806" s="4"/>
    </row>
    <row r="807" spans="1:26">
      <c r="A807" s="5">
        <v>43344</v>
      </c>
      <c r="B807" s="4" t="s">
        <v>21</v>
      </c>
      <c r="C807" s="4" t="s">
        <v>19</v>
      </c>
      <c r="D807" s="4" t="s">
        <v>15</v>
      </c>
      <c r="E807" s="4" t="s">
        <v>13</v>
      </c>
      <c r="F807" s="4">
        <v>8066</v>
      </c>
      <c r="G807" s="4">
        <v>672</v>
      </c>
      <c r="H807" s="4">
        <v>30419</v>
      </c>
      <c r="I807" s="6">
        <v>9933.3392256614297</v>
      </c>
      <c r="J807" s="4"/>
      <c r="K807" s="4"/>
      <c r="L807" s="4"/>
      <c r="M807" s="4"/>
      <c r="N807" s="4"/>
      <c r="O807" s="4"/>
      <c r="P807" s="4"/>
      <c r="Q807" s="4"/>
      <c r="R807" s="4"/>
      <c r="S807" s="4"/>
      <c r="T807" s="4"/>
      <c r="U807" s="4"/>
      <c r="V807" s="4"/>
      <c r="W807" s="4"/>
      <c r="X807" s="4"/>
      <c r="Y807" s="4"/>
      <c r="Z807" s="4"/>
    </row>
    <row r="808" spans="1:26">
      <c r="A808" s="5">
        <v>43344</v>
      </c>
      <c r="B808" s="4" t="s">
        <v>21</v>
      </c>
      <c r="C808" s="4" t="s">
        <v>19</v>
      </c>
      <c r="D808" s="4" t="s">
        <v>16</v>
      </c>
      <c r="E808" s="4" t="s">
        <v>12</v>
      </c>
      <c r="F808" s="4">
        <v>2802428</v>
      </c>
      <c r="G808" s="4">
        <v>41807</v>
      </c>
      <c r="H808" s="4">
        <v>42630</v>
      </c>
      <c r="I808" s="6">
        <v>475453.95310264081</v>
      </c>
      <c r="J808" s="4"/>
      <c r="K808" s="4"/>
      <c r="L808" s="4"/>
      <c r="M808" s="4"/>
      <c r="N808" s="4"/>
      <c r="O808" s="4"/>
      <c r="P808" s="4"/>
      <c r="Q808" s="4"/>
      <c r="R808" s="4"/>
      <c r="S808" s="4"/>
      <c r="T808" s="4"/>
      <c r="U808" s="4"/>
      <c r="V808" s="4"/>
      <c r="W808" s="4"/>
      <c r="X808" s="4"/>
      <c r="Y808" s="4"/>
      <c r="Z808" s="4"/>
    </row>
    <row r="809" spans="1:26">
      <c r="A809" s="5">
        <v>43344</v>
      </c>
      <c r="B809" s="4" t="s">
        <v>21</v>
      </c>
      <c r="C809" s="4" t="s">
        <v>19</v>
      </c>
      <c r="D809" s="4" t="s">
        <v>16</v>
      </c>
      <c r="E809" s="4" t="s">
        <v>13</v>
      </c>
      <c r="F809" s="4">
        <v>72671</v>
      </c>
      <c r="G809" s="4">
        <v>6321</v>
      </c>
      <c r="H809" s="4">
        <v>418844</v>
      </c>
      <c r="I809" s="6">
        <v>96696.01408278232</v>
      </c>
      <c r="J809" s="4"/>
      <c r="K809" s="4"/>
      <c r="L809" s="4"/>
      <c r="M809" s="4"/>
      <c r="N809" s="4"/>
      <c r="O809" s="4"/>
      <c r="P809" s="4"/>
      <c r="Q809" s="4"/>
      <c r="R809" s="4"/>
      <c r="S809" s="4"/>
      <c r="T809" s="4"/>
      <c r="U809" s="4"/>
      <c r="V809" s="4"/>
      <c r="W809" s="4"/>
      <c r="X809" s="4"/>
      <c r="Y809" s="4"/>
      <c r="Z809" s="4"/>
    </row>
    <row r="810" spans="1:26">
      <c r="A810" s="5">
        <v>43344</v>
      </c>
      <c r="B810" s="4" t="s">
        <v>21</v>
      </c>
      <c r="C810" s="4" t="s">
        <v>19</v>
      </c>
      <c r="D810" s="4" t="s">
        <v>17</v>
      </c>
      <c r="E810" s="4" t="s">
        <v>12</v>
      </c>
      <c r="F810" s="4">
        <v>956800</v>
      </c>
      <c r="G810" s="4">
        <v>15709</v>
      </c>
      <c r="H810" s="4">
        <v>17334</v>
      </c>
      <c r="I810" s="6">
        <v>162314.2484646317</v>
      </c>
      <c r="J810" s="4"/>
      <c r="K810" s="4"/>
      <c r="L810" s="4"/>
      <c r="M810" s="4"/>
      <c r="N810" s="4"/>
      <c r="O810" s="4"/>
      <c r="P810" s="4"/>
      <c r="Q810" s="4"/>
      <c r="R810" s="4"/>
      <c r="S810" s="4"/>
      <c r="T810" s="4"/>
      <c r="U810" s="4"/>
      <c r="V810" s="4"/>
      <c r="W810" s="4"/>
      <c r="X810" s="4"/>
      <c r="Y810" s="4"/>
      <c r="Z810" s="4"/>
    </row>
    <row r="811" spans="1:26">
      <c r="A811" s="5">
        <v>43344</v>
      </c>
      <c r="B811" s="4" t="s">
        <v>21</v>
      </c>
      <c r="C811" s="4" t="s">
        <v>19</v>
      </c>
      <c r="D811" s="4" t="s">
        <v>17</v>
      </c>
      <c r="E811" s="4" t="s">
        <v>13</v>
      </c>
      <c r="F811" s="4">
        <v>25118</v>
      </c>
      <c r="G811" s="4">
        <v>2237</v>
      </c>
      <c r="H811" s="4">
        <v>95374</v>
      </c>
      <c r="I811" s="6">
        <v>39255.363985357209</v>
      </c>
      <c r="J811" s="4"/>
      <c r="K811" s="4"/>
      <c r="L811" s="4"/>
      <c r="M811" s="4"/>
      <c r="N811" s="4"/>
      <c r="O811" s="4"/>
      <c r="P811" s="4"/>
      <c r="Q811" s="4"/>
      <c r="R811" s="4"/>
      <c r="S811" s="4"/>
      <c r="T811" s="4"/>
      <c r="U811" s="4"/>
      <c r="V811" s="4"/>
      <c r="W811" s="4"/>
      <c r="X811" s="4"/>
      <c r="Y811" s="4"/>
      <c r="Z811" s="4"/>
    </row>
    <row r="812" spans="1:26">
      <c r="A812" s="5">
        <v>43374</v>
      </c>
      <c r="B812" s="4" t="s">
        <v>9</v>
      </c>
      <c r="C812" s="4" t="s">
        <v>10</v>
      </c>
      <c r="D812" s="4" t="s">
        <v>11</v>
      </c>
      <c r="E812" s="4" t="s">
        <v>12</v>
      </c>
      <c r="F812" s="4">
        <v>1169457</v>
      </c>
      <c r="G812" s="4">
        <v>54461</v>
      </c>
      <c r="H812" s="4">
        <v>64685</v>
      </c>
      <c r="I812" s="6">
        <v>48573.787338988768</v>
      </c>
      <c r="J812" s="4"/>
      <c r="K812" s="4"/>
      <c r="L812" s="4"/>
      <c r="M812" s="4"/>
      <c r="N812" s="4"/>
      <c r="O812" s="4"/>
      <c r="P812" s="4"/>
      <c r="Q812" s="4"/>
      <c r="R812" s="4"/>
      <c r="S812" s="4"/>
      <c r="T812" s="4"/>
      <c r="U812" s="4"/>
      <c r="V812" s="4"/>
      <c r="W812" s="4"/>
      <c r="X812" s="4"/>
      <c r="Y812" s="4"/>
      <c r="Z812" s="4"/>
    </row>
    <row r="813" spans="1:26">
      <c r="A813" s="5">
        <v>43374</v>
      </c>
      <c r="B813" s="4" t="s">
        <v>9</v>
      </c>
      <c r="C813" s="4" t="s">
        <v>10</v>
      </c>
      <c r="D813" s="4" t="s">
        <v>11</v>
      </c>
      <c r="E813" s="4" t="s">
        <v>13</v>
      </c>
      <c r="F813" s="4">
        <v>6964</v>
      </c>
      <c r="G813" s="4">
        <v>1204</v>
      </c>
      <c r="H813" s="4">
        <v>7100</v>
      </c>
      <c r="I813" s="6">
        <v>246505.04647472227</v>
      </c>
      <c r="J813" s="4"/>
      <c r="K813" s="4"/>
      <c r="L813" s="4"/>
      <c r="M813" s="4"/>
      <c r="N813" s="4"/>
      <c r="O813" s="4"/>
      <c r="P813" s="4"/>
      <c r="Q813" s="4"/>
      <c r="R813" s="4"/>
      <c r="S813" s="4"/>
      <c r="T813" s="4"/>
      <c r="U813" s="4"/>
      <c r="V813" s="4"/>
      <c r="W813" s="4"/>
      <c r="X813" s="4"/>
      <c r="Y813" s="4"/>
      <c r="Z813" s="4"/>
    </row>
    <row r="814" spans="1:26">
      <c r="A814" s="5">
        <v>43374</v>
      </c>
      <c r="B814" s="4" t="s">
        <v>9</v>
      </c>
      <c r="C814" s="4" t="s">
        <v>10</v>
      </c>
      <c r="D814" s="4" t="s">
        <v>14</v>
      </c>
      <c r="E814" s="4" t="s">
        <v>12</v>
      </c>
      <c r="F814" s="4">
        <v>2928006</v>
      </c>
      <c r="G814" s="4">
        <v>95280</v>
      </c>
      <c r="H814" s="4">
        <v>112622</v>
      </c>
      <c r="I814" s="6">
        <v>81848.461988202529</v>
      </c>
      <c r="J814" s="4"/>
      <c r="K814" s="4"/>
      <c r="L814" s="4"/>
      <c r="M814" s="4"/>
      <c r="N814" s="4"/>
      <c r="O814" s="4"/>
      <c r="P814" s="4"/>
      <c r="Q814" s="4"/>
      <c r="R814" s="4"/>
      <c r="S814" s="4"/>
      <c r="T814" s="4"/>
      <c r="U814" s="4"/>
      <c r="V814" s="4"/>
      <c r="W814" s="4"/>
      <c r="X814" s="4"/>
      <c r="Y814" s="4"/>
      <c r="Z814" s="4"/>
    </row>
    <row r="815" spans="1:26">
      <c r="A815" s="5">
        <v>43374</v>
      </c>
      <c r="B815" s="4" t="s">
        <v>9</v>
      </c>
      <c r="C815" s="4" t="s">
        <v>10</v>
      </c>
      <c r="D815" s="4" t="s">
        <v>14</v>
      </c>
      <c r="E815" s="4" t="s">
        <v>13</v>
      </c>
      <c r="F815" s="4">
        <v>11674</v>
      </c>
      <c r="G815" s="4">
        <v>2416</v>
      </c>
      <c r="H815" s="4">
        <v>17699</v>
      </c>
      <c r="I815" s="6">
        <v>380393.52375523961</v>
      </c>
      <c r="J815" s="4"/>
      <c r="K815" s="4"/>
      <c r="L815" s="4"/>
      <c r="M815" s="4"/>
      <c r="N815" s="4"/>
      <c r="O815" s="4"/>
      <c r="P815" s="4"/>
      <c r="Q815" s="4"/>
      <c r="R815" s="4"/>
      <c r="S815" s="4"/>
      <c r="T815" s="4"/>
      <c r="U815" s="4"/>
      <c r="V815" s="4"/>
      <c r="W815" s="4"/>
      <c r="X815" s="4"/>
      <c r="Y815" s="4"/>
      <c r="Z815" s="4"/>
    </row>
    <row r="816" spans="1:26">
      <c r="A816" s="5">
        <v>43374</v>
      </c>
      <c r="B816" s="4" t="s">
        <v>9</v>
      </c>
      <c r="C816" s="4" t="s">
        <v>10</v>
      </c>
      <c r="D816" s="4" t="s">
        <v>15</v>
      </c>
      <c r="E816" s="4" t="s">
        <v>12</v>
      </c>
      <c r="F816" s="4">
        <v>1182596</v>
      </c>
      <c r="G816" s="4">
        <v>39414</v>
      </c>
      <c r="H816" s="4">
        <v>50658</v>
      </c>
      <c r="I816" s="6">
        <v>38004.231702585865</v>
      </c>
      <c r="J816" s="4"/>
      <c r="K816" s="4"/>
      <c r="L816" s="4"/>
      <c r="M816" s="4"/>
      <c r="N816" s="4"/>
      <c r="O816" s="4"/>
      <c r="P816" s="4"/>
      <c r="Q816" s="4"/>
      <c r="R816" s="4"/>
      <c r="S816" s="4"/>
      <c r="T816" s="4"/>
      <c r="U816" s="4"/>
      <c r="V816" s="4"/>
      <c r="W816" s="4"/>
      <c r="X816" s="4"/>
      <c r="Y816" s="4"/>
      <c r="Z816" s="4"/>
    </row>
    <row r="817" spans="1:26">
      <c r="A817" s="5">
        <v>43374</v>
      </c>
      <c r="B817" s="4" t="s">
        <v>9</v>
      </c>
      <c r="C817" s="4" t="s">
        <v>10</v>
      </c>
      <c r="D817" s="4" t="s">
        <v>15</v>
      </c>
      <c r="E817" s="4" t="s">
        <v>13</v>
      </c>
      <c r="F817" s="4">
        <v>4468</v>
      </c>
      <c r="G817" s="4">
        <v>701</v>
      </c>
      <c r="H817" s="4">
        <v>5819</v>
      </c>
      <c r="I817" s="6">
        <v>94937.689169416932</v>
      </c>
      <c r="J817" s="4"/>
      <c r="K817" s="4"/>
      <c r="L817" s="4"/>
      <c r="M817" s="4"/>
      <c r="N817" s="4"/>
      <c r="O817" s="4"/>
      <c r="P817" s="4"/>
      <c r="Q817" s="4"/>
      <c r="R817" s="4"/>
      <c r="S817" s="4"/>
      <c r="T817" s="4"/>
      <c r="U817" s="4"/>
      <c r="V817" s="4"/>
      <c r="W817" s="4"/>
      <c r="X817" s="4"/>
      <c r="Y817" s="4"/>
      <c r="Z817" s="4"/>
    </row>
    <row r="818" spans="1:26">
      <c r="A818" s="5">
        <v>43374</v>
      </c>
      <c r="B818" s="4" t="s">
        <v>9</v>
      </c>
      <c r="C818" s="4" t="s">
        <v>10</v>
      </c>
      <c r="D818" s="4" t="s">
        <v>16</v>
      </c>
      <c r="E818" s="4" t="s">
        <v>12</v>
      </c>
      <c r="F818" s="4">
        <v>36443679</v>
      </c>
      <c r="G818" s="4">
        <v>246132</v>
      </c>
      <c r="H818" s="4">
        <v>277284</v>
      </c>
      <c r="I818" s="6">
        <v>210552.87363408218</v>
      </c>
      <c r="J818" s="4"/>
      <c r="K818" s="4"/>
      <c r="L818" s="4"/>
      <c r="M818" s="4"/>
      <c r="N818" s="4"/>
      <c r="O818" s="4"/>
      <c r="P818" s="4"/>
      <c r="Q818" s="4"/>
      <c r="R818" s="4"/>
      <c r="S818" s="4"/>
      <c r="T818" s="4"/>
      <c r="U818" s="4"/>
      <c r="V818" s="4"/>
      <c r="W818" s="4"/>
      <c r="X818" s="4"/>
      <c r="Y818" s="4"/>
      <c r="Z818" s="4"/>
    </row>
    <row r="819" spans="1:26">
      <c r="A819" s="5">
        <v>43374</v>
      </c>
      <c r="B819" s="4" t="s">
        <v>9</v>
      </c>
      <c r="C819" s="4" t="s">
        <v>10</v>
      </c>
      <c r="D819" s="4" t="s">
        <v>16</v>
      </c>
      <c r="E819" s="4" t="s">
        <v>13</v>
      </c>
      <c r="F819" s="4">
        <v>255935</v>
      </c>
      <c r="G819" s="4">
        <v>5237</v>
      </c>
      <c r="H819" s="4">
        <v>34191</v>
      </c>
      <c r="I819" s="6">
        <v>1148432.2731134302</v>
      </c>
      <c r="J819" s="4"/>
      <c r="K819" s="4"/>
      <c r="L819" s="4"/>
      <c r="M819" s="4"/>
      <c r="N819" s="4"/>
      <c r="O819" s="4"/>
      <c r="P819" s="4"/>
      <c r="Q819" s="4"/>
      <c r="R819" s="4"/>
      <c r="S819" s="4"/>
      <c r="T819" s="4"/>
      <c r="U819" s="4"/>
      <c r="V819" s="4"/>
      <c r="W819" s="4"/>
      <c r="X819" s="4"/>
      <c r="Y819" s="4"/>
      <c r="Z819" s="4"/>
    </row>
    <row r="820" spans="1:26">
      <c r="A820" s="5">
        <v>43374</v>
      </c>
      <c r="B820" s="4" t="s">
        <v>9</v>
      </c>
      <c r="C820" s="4" t="s">
        <v>10</v>
      </c>
      <c r="D820" s="4" t="s">
        <v>17</v>
      </c>
      <c r="E820" s="4" t="s">
        <v>12</v>
      </c>
      <c r="F820" s="4">
        <v>1798971</v>
      </c>
      <c r="G820" s="4">
        <v>81668</v>
      </c>
      <c r="H820" s="4">
        <v>92943</v>
      </c>
      <c r="I820" s="6">
        <v>90969.435166300012</v>
      </c>
      <c r="J820" s="4"/>
      <c r="K820" s="4"/>
      <c r="L820" s="4"/>
      <c r="M820" s="4"/>
      <c r="N820" s="4"/>
      <c r="O820" s="4"/>
      <c r="P820" s="4"/>
      <c r="Q820" s="4"/>
      <c r="R820" s="4"/>
      <c r="S820" s="4"/>
      <c r="T820" s="4"/>
      <c r="U820" s="4"/>
      <c r="V820" s="4"/>
      <c r="W820" s="4"/>
      <c r="X820" s="4"/>
      <c r="Y820" s="4"/>
      <c r="Z820" s="4"/>
    </row>
    <row r="821" spans="1:26">
      <c r="A821" s="5">
        <v>43374</v>
      </c>
      <c r="B821" s="4" t="s">
        <v>9</v>
      </c>
      <c r="C821" s="4" t="s">
        <v>10</v>
      </c>
      <c r="D821" s="4" t="s">
        <v>17</v>
      </c>
      <c r="E821" s="4" t="s">
        <v>13</v>
      </c>
      <c r="F821" s="4">
        <v>10732</v>
      </c>
      <c r="G821" s="4">
        <v>2200</v>
      </c>
      <c r="H821" s="4">
        <v>12914</v>
      </c>
      <c r="I821" s="6">
        <v>435221.09844943817</v>
      </c>
      <c r="J821" s="4"/>
      <c r="K821" s="4"/>
      <c r="L821" s="4"/>
      <c r="M821" s="4"/>
      <c r="N821" s="4"/>
      <c r="O821" s="4"/>
      <c r="P821" s="4"/>
      <c r="Q821" s="4"/>
      <c r="R821" s="4"/>
      <c r="S821" s="4"/>
      <c r="T821" s="4"/>
      <c r="U821" s="4"/>
      <c r="V821" s="4"/>
      <c r="W821" s="4"/>
      <c r="X821" s="4"/>
      <c r="Y821" s="4"/>
      <c r="Z821" s="4"/>
    </row>
    <row r="822" spans="1:26">
      <c r="A822" s="5">
        <v>43374</v>
      </c>
      <c r="B822" s="4" t="s">
        <v>9</v>
      </c>
      <c r="C822" s="4" t="s">
        <v>18</v>
      </c>
      <c r="D822" s="4" t="s">
        <v>11</v>
      </c>
      <c r="E822" s="4" t="s">
        <v>12</v>
      </c>
      <c r="F822" s="4">
        <v>6881875</v>
      </c>
      <c r="G822" s="4">
        <v>192115</v>
      </c>
      <c r="H822" s="4">
        <v>592709</v>
      </c>
      <c r="I822" s="6">
        <v>145292.04173074014</v>
      </c>
      <c r="J822" s="4"/>
      <c r="K822" s="4"/>
      <c r="L822" s="4"/>
      <c r="M822" s="4"/>
      <c r="N822" s="4"/>
      <c r="O822" s="4"/>
      <c r="P822" s="4"/>
      <c r="Q822" s="4"/>
      <c r="R822" s="4"/>
      <c r="S822" s="4"/>
      <c r="T822" s="4"/>
      <c r="U822" s="4"/>
      <c r="V822" s="4"/>
      <c r="W822" s="4"/>
      <c r="X822" s="4"/>
      <c r="Y822" s="4"/>
      <c r="Z822" s="4"/>
    </row>
    <row r="823" spans="1:26">
      <c r="A823" s="5">
        <v>43374</v>
      </c>
      <c r="B823" s="4" t="s">
        <v>9</v>
      </c>
      <c r="C823" s="4" t="s">
        <v>18</v>
      </c>
      <c r="D823" s="4" t="s">
        <v>11</v>
      </c>
      <c r="E823" s="4" t="s">
        <v>13</v>
      </c>
      <c r="F823" s="4">
        <v>39079</v>
      </c>
      <c r="G823" s="4">
        <v>718</v>
      </c>
      <c r="H823" s="4">
        <v>19929</v>
      </c>
      <c r="I823" s="6">
        <v>14628.445934065932</v>
      </c>
      <c r="J823" s="4"/>
      <c r="K823" s="4"/>
      <c r="L823" s="4"/>
      <c r="M823" s="4"/>
      <c r="N823" s="4"/>
      <c r="O823" s="4"/>
      <c r="P823" s="4"/>
      <c r="Q823" s="4"/>
      <c r="R823" s="4"/>
      <c r="S823" s="4"/>
      <c r="T823" s="4"/>
      <c r="U823" s="4"/>
      <c r="V823" s="4"/>
      <c r="W823" s="4"/>
      <c r="X823" s="4"/>
      <c r="Y823" s="4"/>
      <c r="Z823" s="4"/>
    </row>
    <row r="824" spans="1:26">
      <c r="A824" s="5">
        <v>43374</v>
      </c>
      <c r="B824" s="4" t="s">
        <v>9</v>
      </c>
      <c r="C824" s="4" t="s">
        <v>18</v>
      </c>
      <c r="D824" s="4" t="s">
        <v>14</v>
      </c>
      <c r="E824" s="4" t="s">
        <v>12</v>
      </c>
      <c r="F824" s="4">
        <v>16173759</v>
      </c>
      <c r="G824" s="4">
        <v>396921</v>
      </c>
      <c r="H824" s="4">
        <v>1196421</v>
      </c>
      <c r="I824" s="6">
        <v>192931.8020533745</v>
      </c>
      <c r="J824" s="4"/>
      <c r="K824" s="4"/>
      <c r="L824" s="4"/>
      <c r="M824" s="4"/>
      <c r="N824" s="4"/>
      <c r="O824" s="4"/>
      <c r="P824" s="4"/>
      <c r="Q824" s="4"/>
      <c r="R824" s="4"/>
      <c r="S824" s="4"/>
      <c r="T824" s="4"/>
      <c r="U824" s="4"/>
      <c r="V824" s="4"/>
      <c r="W824" s="4"/>
      <c r="X824" s="4"/>
      <c r="Y824" s="4"/>
      <c r="Z824" s="4"/>
    </row>
    <row r="825" spans="1:26">
      <c r="A825" s="5">
        <v>43374</v>
      </c>
      <c r="B825" s="4" t="s">
        <v>9</v>
      </c>
      <c r="C825" s="4" t="s">
        <v>18</v>
      </c>
      <c r="D825" s="4" t="s">
        <v>14</v>
      </c>
      <c r="E825" s="4" t="s">
        <v>13</v>
      </c>
      <c r="F825" s="4">
        <v>81910</v>
      </c>
      <c r="G825" s="4">
        <v>998</v>
      </c>
      <c r="H825" s="4">
        <v>14802</v>
      </c>
      <c r="I825" s="6">
        <v>17026.369002010106</v>
      </c>
      <c r="J825" s="4"/>
      <c r="K825" s="4"/>
      <c r="L825" s="4"/>
      <c r="M825" s="4"/>
      <c r="N825" s="4"/>
      <c r="O825" s="4"/>
      <c r="P825" s="4"/>
      <c r="Q825" s="4"/>
      <c r="R825" s="4"/>
      <c r="S825" s="4"/>
      <c r="T825" s="4"/>
      <c r="U825" s="4"/>
      <c r="V825" s="4"/>
      <c r="W825" s="4"/>
      <c r="X825" s="4"/>
      <c r="Y825" s="4"/>
      <c r="Z825" s="4"/>
    </row>
    <row r="826" spans="1:26">
      <c r="A826" s="5">
        <v>43374</v>
      </c>
      <c r="B826" s="4" t="s">
        <v>9</v>
      </c>
      <c r="C826" s="4" t="s">
        <v>18</v>
      </c>
      <c r="D826" s="4" t="s">
        <v>15</v>
      </c>
      <c r="E826" s="4" t="s">
        <v>12</v>
      </c>
      <c r="F826" s="4">
        <v>8025343</v>
      </c>
      <c r="G826" s="4">
        <v>213638</v>
      </c>
      <c r="H826" s="4">
        <v>703924</v>
      </c>
      <c r="I826" s="6">
        <v>77711.850172511782</v>
      </c>
      <c r="J826" s="4"/>
      <c r="K826" s="4"/>
      <c r="L826" s="4"/>
      <c r="M826" s="4"/>
      <c r="N826" s="4"/>
      <c r="O826" s="4"/>
      <c r="P826" s="4"/>
      <c r="Q826" s="4"/>
      <c r="R826" s="4"/>
      <c r="S826" s="4"/>
      <c r="T826" s="4"/>
      <c r="U826" s="4"/>
      <c r="V826" s="4"/>
      <c r="W826" s="4"/>
      <c r="X826" s="4"/>
      <c r="Y826" s="4"/>
      <c r="Z826" s="4"/>
    </row>
    <row r="827" spans="1:26">
      <c r="A827" s="5">
        <v>43374</v>
      </c>
      <c r="B827" s="4" t="s">
        <v>9</v>
      </c>
      <c r="C827" s="4" t="s">
        <v>18</v>
      </c>
      <c r="D827" s="4" t="s">
        <v>15</v>
      </c>
      <c r="E827" s="4" t="s">
        <v>13</v>
      </c>
      <c r="F827" s="4">
        <v>29899</v>
      </c>
      <c r="G827" s="4">
        <v>398</v>
      </c>
      <c r="H827" s="4">
        <v>5664</v>
      </c>
      <c r="I827" s="6">
        <v>7351.9629174880311</v>
      </c>
      <c r="J827" s="4"/>
      <c r="K827" s="4"/>
      <c r="L827" s="4"/>
      <c r="M827" s="4"/>
      <c r="N827" s="4"/>
      <c r="O827" s="4"/>
      <c r="P827" s="4"/>
      <c r="Q827" s="4"/>
      <c r="R827" s="4"/>
      <c r="S827" s="4"/>
      <c r="T827" s="4"/>
      <c r="U827" s="4"/>
      <c r="V827" s="4"/>
      <c r="W827" s="4"/>
      <c r="X827" s="4"/>
      <c r="Y827" s="4"/>
      <c r="Z827" s="4"/>
    </row>
    <row r="828" spans="1:26">
      <c r="A828" s="5">
        <v>43374</v>
      </c>
      <c r="B828" s="4" t="s">
        <v>9</v>
      </c>
      <c r="C828" s="4" t="s">
        <v>18</v>
      </c>
      <c r="D828" s="4" t="s">
        <v>16</v>
      </c>
      <c r="E828" s="4" t="s">
        <v>12</v>
      </c>
      <c r="F828" s="4">
        <v>103315408</v>
      </c>
      <c r="G828" s="4">
        <v>725611</v>
      </c>
      <c r="H828" s="4">
        <v>2078280</v>
      </c>
      <c r="I828" s="6">
        <v>500918.54230299866</v>
      </c>
      <c r="J828" s="4"/>
      <c r="K828" s="4"/>
      <c r="L828" s="4"/>
      <c r="M828" s="4"/>
      <c r="N828" s="4"/>
      <c r="O828" s="4"/>
      <c r="P828" s="4"/>
      <c r="Q828" s="4"/>
      <c r="R828" s="4"/>
      <c r="S828" s="4"/>
      <c r="T828" s="4"/>
      <c r="U828" s="4"/>
      <c r="V828" s="4"/>
      <c r="W828" s="4"/>
      <c r="X828" s="4"/>
      <c r="Y828" s="4"/>
      <c r="Z828" s="4"/>
    </row>
    <row r="829" spans="1:26">
      <c r="A829" s="5">
        <v>43374</v>
      </c>
      <c r="B829" s="4" t="s">
        <v>9</v>
      </c>
      <c r="C829" s="4" t="s">
        <v>18</v>
      </c>
      <c r="D829" s="4" t="s">
        <v>16</v>
      </c>
      <c r="E829" s="4" t="s">
        <v>13</v>
      </c>
      <c r="F829" s="4">
        <v>903063</v>
      </c>
      <c r="G829" s="4">
        <v>2078</v>
      </c>
      <c r="H829" s="4">
        <v>51163</v>
      </c>
      <c r="I829" s="6">
        <v>32892.550005354416</v>
      </c>
      <c r="J829" s="4"/>
      <c r="K829" s="4"/>
      <c r="L829" s="4"/>
      <c r="M829" s="4"/>
      <c r="N829" s="4"/>
      <c r="O829" s="4"/>
      <c r="P829" s="4"/>
      <c r="Q829" s="4"/>
      <c r="R829" s="4"/>
      <c r="S829" s="4"/>
      <c r="T829" s="4"/>
      <c r="U829" s="4"/>
      <c r="V829" s="4"/>
      <c r="W829" s="4"/>
      <c r="X829" s="4"/>
      <c r="Y829" s="4"/>
      <c r="Z829" s="4"/>
    </row>
    <row r="830" spans="1:26">
      <c r="A830" s="5">
        <v>43374</v>
      </c>
      <c r="B830" s="4" t="s">
        <v>9</v>
      </c>
      <c r="C830" s="4" t="s">
        <v>18</v>
      </c>
      <c r="D830" s="4" t="s">
        <v>17</v>
      </c>
      <c r="E830" s="4" t="s">
        <v>12</v>
      </c>
      <c r="F830" s="4">
        <v>9780193</v>
      </c>
      <c r="G830" s="4">
        <v>233254</v>
      </c>
      <c r="H830" s="4">
        <v>664988</v>
      </c>
      <c r="I830" s="6">
        <v>170116.85194402377</v>
      </c>
      <c r="J830" s="4"/>
      <c r="K830" s="4"/>
      <c r="L830" s="4"/>
      <c r="M830" s="4"/>
      <c r="N830" s="4"/>
      <c r="O830" s="4"/>
      <c r="P830" s="4"/>
      <c r="Q830" s="4"/>
      <c r="R830" s="4"/>
      <c r="S830" s="4"/>
      <c r="T830" s="4"/>
      <c r="U830" s="4"/>
      <c r="V830" s="4"/>
      <c r="W830" s="4"/>
      <c r="X830" s="4"/>
      <c r="Y830" s="4"/>
      <c r="Z830" s="4"/>
    </row>
    <row r="831" spans="1:26">
      <c r="A831" s="5">
        <v>43374</v>
      </c>
      <c r="B831" s="4" t="s">
        <v>9</v>
      </c>
      <c r="C831" s="4" t="s">
        <v>18</v>
      </c>
      <c r="D831" s="4" t="s">
        <v>17</v>
      </c>
      <c r="E831" s="4" t="s">
        <v>13</v>
      </c>
      <c r="F831" s="4">
        <v>74681</v>
      </c>
      <c r="G831" s="4">
        <v>837</v>
      </c>
      <c r="H831" s="4">
        <v>18503</v>
      </c>
      <c r="I831" s="6">
        <v>13272.237129288285</v>
      </c>
      <c r="J831" s="4"/>
      <c r="K831" s="4"/>
      <c r="L831" s="4"/>
      <c r="M831" s="4"/>
      <c r="N831" s="4"/>
      <c r="O831" s="4"/>
      <c r="P831" s="4"/>
      <c r="Q831" s="4"/>
      <c r="R831" s="4"/>
      <c r="S831" s="4"/>
      <c r="T831" s="4"/>
      <c r="U831" s="4"/>
      <c r="V831" s="4"/>
      <c r="W831" s="4"/>
      <c r="X831" s="4"/>
      <c r="Y831" s="4"/>
      <c r="Z831" s="4"/>
    </row>
    <row r="832" spans="1:26">
      <c r="A832" s="5">
        <v>43374</v>
      </c>
      <c r="B832" s="4" t="s">
        <v>9</v>
      </c>
      <c r="C832" s="4" t="s">
        <v>19</v>
      </c>
      <c r="D832" s="4" t="s">
        <v>11</v>
      </c>
      <c r="E832" s="4" t="s">
        <v>12</v>
      </c>
      <c r="F832" s="4">
        <v>119112</v>
      </c>
      <c r="G832" s="4">
        <v>19473</v>
      </c>
      <c r="H832" s="4">
        <v>20511</v>
      </c>
      <c r="I832" s="6">
        <v>103701.29704904472</v>
      </c>
      <c r="J832" s="4"/>
      <c r="K832" s="4"/>
      <c r="L832" s="4"/>
      <c r="M832" s="4"/>
      <c r="N832" s="4"/>
      <c r="O832" s="4"/>
      <c r="P832" s="4"/>
      <c r="Q832" s="4"/>
      <c r="R832" s="4"/>
      <c r="S832" s="4"/>
      <c r="T832" s="4"/>
      <c r="U832" s="4"/>
      <c r="V832" s="4"/>
      <c r="W832" s="4"/>
      <c r="X832" s="4"/>
      <c r="Y832" s="4"/>
      <c r="Z832" s="4"/>
    </row>
    <row r="833" spans="1:26">
      <c r="A833" s="5">
        <v>43374</v>
      </c>
      <c r="B833" s="4" t="s">
        <v>9</v>
      </c>
      <c r="C833" s="4" t="s">
        <v>19</v>
      </c>
      <c r="D833" s="4" t="s">
        <v>11</v>
      </c>
      <c r="E833" s="4" t="s">
        <v>13</v>
      </c>
      <c r="F833" s="4">
        <v>654</v>
      </c>
      <c r="G833" s="4">
        <v>757</v>
      </c>
      <c r="H833" s="4">
        <v>7908</v>
      </c>
      <c r="I833" s="6">
        <v>17728.850124582194</v>
      </c>
      <c r="J833" s="4"/>
      <c r="K833" s="4"/>
      <c r="L833" s="4"/>
      <c r="M833" s="4"/>
      <c r="N833" s="4"/>
      <c r="O833" s="4"/>
      <c r="P833" s="4"/>
      <c r="Q833" s="4"/>
      <c r="R833" s="4"/>
      <c r="S833" s="4"/>
      <c r="T833" s="4"/>
      <c r="U833" s="4"/>
      <c r="V833" s="4"/>
      <c r="W833" s="4"/>
      <c r="X833" s="4"/>
      <c r="Y833" s="4"/>
      <c r="Z833" s="4"/>
    </row>
    <row r="834" spans="1:26">
      <c r="A834" s="5">
        <v>43374</v>
      </c>
      <c r="B834" s="4" t="s">
        <v>9</v>
      </c>
      <c r="C834" s="4" t="s">
        <v>19</v>
      </c>
      <c r="D834" s="4" t="s">
        <v>14</v>
      </c>
      <c r="E834" s="4" t="s">
        <v>12</v>
      </c>
      <c r="F834" s="4">
        <v>292242</v>
      </c>
      <c r="G834" s="4">
        <v>45915</v>
      </c>
      <c r="H834" s="4">
        <v>48260</v>
      </c>
      <c r="I834" s="6">
        <v>184790.30066983725</v>
      </c>
      <c r="J834" s="4"/>
      <c r="K834" s="4"/>
      <c r="L834" s="4"/>
      <c r="M834" s="4"/>
      <c r="N834" s="4"/>
      <c r="O834" s="4"/>
      <c r="P834" s="4"/>
      <c r="Q834" s="4"/>
      <c r="R834" s="4"/>
      <c r="S834" s="4"/>
      <c r="T834" s="4"/>
      <c r="U834" s="4"/>
      <c r="V834" s="4"/>
      <c r="W834" s="4"/>
      <c r="X834" s="4"/>
      <c r="Y834" s="4"/>
      <c r="Z834" s="4"/>
    </row>
    <row r="835" spans="1:26">
      <c r="A835" s="5">
        <v>43374</v>
      </c>
      <c r="B835" s="4" t="s">
        <v>9</v>
      </c>
      <c r="C835" s="4" t="s">
        <v>19</v>
      </c>
      <c r="D835" s="4" t="s">
        <v>14</v>
      </c>
      <c r="E835" s="4" t="s">
        <v>13</v>
      </c>
      <c r="F835" s="4">
        <v>1571</v>
      </c>
      <c r="G835" s="4">
        <v>1691</v>
      </c>
      <c r="H835" s="4">
        <v>42953</v>
      </c>
      <c r="I835" s="6">
        <v>29404.506311793488</v>
      </c>
      <c r="J835" s="4"/>
      <c r="K835" s="4"/>
      <c r="L835" s="4"/>
      <c r="M835" s="4"/>
      <c r="N835" s="4"/>
      <c r="O835" s="4"/>
      <c r="P835" s="4"/>
      <c r="Q835" s="4"/>
      <c r="R835" s="4"/>
      <c r="S835" s="4"/>
      <c r="T835" s="4"/>
      <c r="U835" s="4"/>
      <c r="V835" s="4"/>
      <c r="W835" s="4"/>
      <c r="X835" s="4"/>
      <c r="Y835" s="4"/>
      <c r="Z835" s="4"/>
    </row>
    <row r="836" spans="1:26">
      <c r="A836" s="5">
        <v>43374</v>
      </c>
      <c r="B836" s="4" t="s">
        <v>9</v>
      </c>
      <c r="C836" s="4" t="s">
        <v>19</v>
      </c>
      <c r="D836" s="4" t="s">
        <v>15</v>
      </c>
      <c r="E836" s="4" t="s">
        <v>12</v>
      </c>
      <c r="F836" s="4">
        <v>137902</v>
      </c>
      <c r="G836" s="4">
        <v>23564</v>
      </c>
      <c r="H836" s="4">
        <v>24418</v>
      </c>
      <c r="I836" s="6">
        <v>68320.492475096806</v>
      </c>
      <c r="J836" s="4"/>
      <c r="K836" s="4"/>
      <c r="L836" s="4"/>
      <c r="M836" s="4"/>
      <c r="N836" s="4"/>
      <c r="O836" s="4"/>
      <c r="P836" s="4"/>
      <c r="Q836" s="4"/>
      <c r="R836" s="4"/>
      <c r="S836" s="4"/>
      <c r="T836" s="4"/>
      <c r="U836" s="4"/>
      <c r="V836" s="4"/>
      <c r="W836" s="4"/>
      <c r="X836" s="4"/>
      <c r="Y836" s="4"/>
      <c r="Z836" s="4"/>
    </row>
    <row r="837" spans="1:26">
      <c r="A837" s="5">
        <v>43374</v>
      </c>
      <c r="B837" s="4" t="s">
        <v>9</v>
      </c>
      <c r="C837" s="4" t="s">
        <v>19</v>
      </c>
      <c r="D837" s="4" t="s">
        <v>15</v>
      </c>
      <c r="E837" s="4" t="s">
        <v>13</v>
      </c>
      <c r="F837" s="4">
        <v>489</v>
      </c>
      <c r="G837" s="4">
        <v>694</v>
      </c>
      <c r="H837" s="4">
        <v>23130</v>
      </c>
      <c r="I837" s="6">
        <v>12828.77966947303</v>
      </c>
      <c r="J837" s="4"/>
      <c r="K837" s="4"/>
      <c r="L837" s="4"/>
      <c r="M837" s="4"/>
      <c r="N837" s="4"/>
      <c r="O837" s="4"/>
      <c r="P837" s="4"/>
      <c r="Q837" s="4"/>
      <c r="R837" s="4"/>
      <c r="S837" s="4"/>
      <c r="T837" s="4"/>
      <c r="U837" s="4"/>
      <c r="V837" s="4"/>
      <c r="W837" s="4"/>
      <c r="X837" s="4"/>
      <c r="Y837" s="4"/>
      <c r="Z837" s="4"/>
    </row>
    <row r="838" spans="1:26">
      <c r="A838" s="5">
        <v>43374</v>
      </c>
      <c r="B838" s="4" t="s">
        <v>9</v>
      </c>
      <c r="C838" s="4" t="s">
        <v>19</v>
      </c>
      <c r="D838" s="4" t="s">
        <v>16</v>
      </c>
      <c r="E838" s="4" t="s">
        <v>12</v>
      </c>
      <c r="F838" s="4">
        <v>16411241</v>
      </c>
      <c r="G838" s="4">
        <v>72252</v>
      </c>
      <c r="H838" s="4">
        <v>74073</v>
      </c>
      <c r="I838" s="6">
        <v>426163.57813734259</v>
      </c>
      <c r="J838" s="4"/>
      <c r="K838" s="4"/>
      <c r="L838" s="4"/>
      <c r="M838" s="4"/>
      <c r="N838" s="4"/>
      <c r="O838" s="4"/>
      <c r="P838" s="4"/>
      <c r="Q838" s="4"/>
      <c r="R838" s="4"/>
      <c r="S838" s="4"/>
      <c r="T838" s="4"/>
      <c r="U838" s="4"/>
      <c r="V838" s="4"/>
      <c r="W838" s="4"/>
      <c r="X838" s="4"/>
      <c r="Y838" s="4"/>
      <c r="Z838" s="4"/>
    </row>
    <row r="839" spans="1:26">
      <c r="A839" s="5">
        <v>43374</v>
      </c>
      <c r="B839" s="4" t="s">
        <v>9</v>
      </c>
      <c r="C839" s="4" t="s">
        <v>19</v>
      </c>
      <c r="D839" s="4" t="s">
        <v>16</v>
      </c>
      <c r="E839" s="4" t="s">
        <v>13</v>
      </c>
      <c r="F839" s="4">
        <v>153371</v>
      </c>
      <c r="G839" s="4">
        <v>2171</v>
      </c>
      <c r="H839" s="4">
        <v>37352</v>
      </c>
      <c r="I839" s="6">
        <v>57854.534888418864</v>
      </c>
      <c r="J839" s="4"/>
      <c r="K839" s="4"/>
      <c r="L839" s="4"/>
      <c r="M839" s="4"/>
      <c r="N839" s="4"/>
      <c r="O839" s="4"/>
      <c r="P839" s="4"/>
      <c r="Q839" s="4"/>
      <c r="R839" s="4"/>
      <c r="S839" s="4"/>
      <c r="T839" s="4"/>
      <c r="U839" s="4"/>
      <c r="V839" s="4"/>
      <c r="W839" s="4"/>
      <c r="X839" s="4"/>
      <c r="Y839" s="4"/>
      <c r="Z839" s="4"/>
    </row>
    <row r="840" spans="1:26">
      <c r="A840" s="5">
        <v>43374</v>
      </c>
      <c r="B840" s="4" t="s">
        <v>9</v>
      </c>
      <c r="C840" s="4" t="s">
        <v>19</v>
      </c>
      <c r="D840" s="4" t="s">
        <v>17</v>
      </c>
      <c r="E840" s="4" t="s">
        <v>12</v>
      </c>
      <c r="F840" s="4">
        <v>228904</v>
      </c>
      <c r="G840" s="4">
        <v>26072</v>
      </c>
      <c r="H840" s="4">
        <v>26919</v>
      </c>
      <c r="I840" s="6">
        <v>158044.00725040524</v>
      </c>
      <c r="J840" s="4"/>
      <c r="K840" s="4"/>
      <c r="L840" s="4"/>
      <c r="M840" s="4"/>
      <c r="N840" s="4"/>
      <c r="O840" s="4"/>
      <c r="P840" s="4"/>
      <c r="Q840" s="4"/>
      <c r="R840" s="4"/>
      <c r="S840" s="4"/>
      <c r="T840" s="4"/>
      <c r="U840" s="4"/>
      <c r="V840" s="4"/>
      <c r="W840" s="4"/>
      <c r="X840" s="4"/>
      <c r="Y840" s="4"/>
      <c r="Z840" s="4"/>
    </row>
    <row r="841" spans="1:26">
      <c r="A841" s="5">
        <v>43374</v>
      </c>
      <c r="B841" s="4" t="s">
        <v>9</v>
      </c>
      <c r="C841" s="4" t="s">
        <v>19</v>
      </c>
      <c r="D841" s="4" t="s">
        <v>17</v>
      </c>
      <c r="E841" s="4" t="s">
        <v>13</v>
      </c>
      <c r="F841" s="4">
        <v>1549</v>
      </c>
      <c r="G841" s="4">
        <v>711</v>
      </c>
      <c r="H841" s="4">
        <v>7162</v>
      </c>
      <c r="I841" s="6">
        <v>19547.090472247091</v>
      </c>
      <c r="J841" s="4"/>
      <c r="K841" s="4"/>
      <c r="L841" s="4"/>
      <c r="M841" s="4"/>
      <c r="N841" s="4"/>
      <c r="O841" s="4"/>
      <c r="P841" s="4"/>
      <c r="Q841" s="4"/>
      <c r="R841" s="4"/>
      <c r="S841" s="4"/>
      <c r="T841" s="4"/>
      <c r="U841" s="4"/>
      <c r="V841" s="4"/>
      <c r="W841" s="4"/>
      <c r="X841" s="4"/>
      <c r="Y841" s="4"/>
      <c r="Z841" s="4"/>
    </row>
    <row r="842" spans="1:26">
      <c r="A842" s="5">
        <v>43374</v>
      </c>
      <c r="B842" s="4" t="s">
        <v>20</v>
      </c>
      <c r="C842" s="4" t="s">
        <v>10</v>
      </c>
      <c r="D842" s="4" t="s">
        <v>11</v>
      </c>
      <c r="E842" s="4" t="s">
        <v>12</v>
      </c>
      <c r="F842" s="4">
        <v>2317963</v>
      </c>
      <c r="G842" s="4">
        <v>5475</v>
      </c>
      <c r="H842" s="4">
        <v>6205</v>
      </c>
      <c r="I842" s="6">
        <v>1460.2577842180588</v>
      </c>
      <c r="J842" s="4"/>
      <c r="K842" s="4"/>
      <c r="L842" s="4"/>
      <c r="M842" s="4"/>
      <c r="N842" s="4"/>
      <c r="O842" s="4"/>
      <c r="P842" s="4"/>
      <c r="Q842" s="4"/>
      <c r="R842" s="4"/>
      <c r="S842" s="4"/>
      <c r="T842" s="4"/>
      <c r="U842" s="4"/>
      <c r="V842" s="4"/>
      <c r="W842" s="4"/>
      <c r="X842" s="4"/>
      <c r="Y842" s="4"/>
      <c r="Z842" s="4"/>
    </row>
    <row r="843" spans="1:26">
      <c r="A843" s="5">
        <v>43374</v>
      </c>
      <c r="B843" s="4" t="s">
        <v>20</v>
      </c>
      <c r="C843" s="4" t="s">
        <v>10</v>
      </c>
      <c r="D843" s="4" t="s">
        <v>11</v>
      </c>
      <c r="E843" s="4" t="s">
        <v>13</v>
      </c>
      <c r="F843" s="4">
        <v>937</v>
      </c>
      <c r="G843" s="4">
        <v>26</v>
      </c>
      <c r="H843" s="4">
        <v>66</v>
      </c>
      <c r="I843" s="6">
        <v>14675.673333333332</v>
      </c>
      <c r="J843" s="4"/>
      <c r="K843" s="4"/>
      <c r="L843" s="4"/>
      <c r="M843" s="4"/>
      <c r="N843" s="4"/>
      <c r="O843" s="4"/>
      <c r="P843" s="4"/>
      <c r="Q843" s="4"/>
      <c r="R843" s="4"/>
      <c r="S843" s="4"/>
      <c r="T843" s="4"/>
      <c r="U843" s="4"/>
      <c r="V843" s="4"/>
      <c r="W843" s="4"/>
      <c r="X843" s="4"/>
      <c r="Y843" s="4"/>
      <c r="Z843" s="4"/>
    </row>
    <row r="844" spans="1:26">
      <c r="A844" s="5">
        <v>43374</v>
      </c>
      <c r="B844" s="4" t="s">
        <v>20</v>
      </c>
      <c r="C844" s="4" t="s">
        <v>10</v>
      </c>
      <c r="D844" s="4" t="s">
        <v>14</v>
      </c>
      <c r="E844" s="4" t="s">
        <v>12</v>
      </c>
      <c r="F844" s="4">
        <v>4197771</v>
      </c>
      <c r="G844" s="4">
        <v>9741</v>
      </c>
      <c r="H844" s="4">
        <v>10581</v>
      </c>
      <c r="I844" s="6">
        <v>1329.4395130106129</v>
      </c>
      <c r="J844" s="4"/>
      <c r="K844" s="4"/>
      <c r="L844" s="4"/>
      <c r="M844" s="4"/>
      <c r="N844" s="4"/>
      <c r="O844" s="4"/>
      <c r="P844" s="4"/>
      <c r="Q844" s="4"/>
      <c r="R844" s="4"/>
      <c r="S844" s="4"/>
      <c r="T844" s="4"/>
      <c r="U844" s="4"/>
      <c r="V844" s="4"/>
      <c r="W844" s="4"/>
      <c r="X844" s="4"/>
      <c r="Y844" s="4"/>
      <c r="Z844" s="4"/>
    </row>
    <row r="845" spans="1:26">
      <c r="A845" s="5">
        <v>43374</v>
      </c>
      <c r="B845" s="4" t="s">
        <v>20</v>
      </c>
      <c r="C845" s="4" t="s">
        <v>10</v>
      </c>
      <c r="D845" s="4" t="s">
        <v>14</v>
      </c>
      <c r="E845" s="4" t="s">
        <v>13</v>
      </c>
      <c r="F845" s="4">
        <v>2021</v>
      </c>
      <c r="G845" s="4">
        <v>50</v>
      </c>
      <c r="H845" s="4">
        <v>210</v>
      </c>
      <c r="I845" s="6">
        <v>23522.984172413795</v>
      </c>
      <c r="J845" s="4"/>
      <c r="K845" s="4"/>
      <c r="L845" s="4"/>
      <c r="M845" s="4"/>
      <c r="N845" s="4"/>
      <c r="O845" s="4"/>
      <c r="P845" s="4"/>
      <c r="Q845" s="4"/>
      <c r="R845" s="4"/>
      <c r="S845" s="4"/>
      <c r="T845" s="4"/>
      <c r="U845" s="4"/>
      <c r="V845" s="4"/>
      <c r="W845" s="4"/>
      <c r="X845" s="4"/>
      <c r="Y845" s="4"/>
      <c r="Z845" s="4"/>
    </row>
    <row r="846" spans="1:26">
      <c r="A846" s="5">
        <v>43374</v>
      </c>
      <c r="B846" s="4" t="s">
        <v>20</v>
      </c>
      <c r="C846" s="4" t="s">
        <v>10</v>
      </c>
      <c r="D846" s="4" t="s">
        <v>15</v>
      </c>
      <c r="E846" s="4" t="s">
        <v>12</v>
      </c>
      <c r="F846" s="4">
        <v>1049115</v>
      </c>
      <c r="G846" s="4">
        <v>2461</v>
      </c>
      <c r="H846" s="4">
        <v>2669</v>
      </c>
      <c r="I846" s="6">
        <v>425.74945905107285</v>
      </c>
      <c r="J846" s="4"/>
      <c r="K846" s="4"/>
      <c r="L846" s="4"/>
      <c r="M846" s="4"/>
      <c r="N846" s="4"/>
      <c r="O846" s="4"/>
      <c r="P846" s="4"/>
      <c r="Q846" s="4"/>
      <c r="R846" s="4"/>
      <c r="S846" s="4"/>
      <c r="T846" s="4"/>
      <c r="U846" s="4"/>
      <c r="V846" s="4"/>
      <c r="W846" s="4"/>
      <c r="X846" s="4"/>
      <c r="Y846" s="4"/>
      <c r="Z846" s="4"/>
    </row>
    <row r="847" spans="1:26">
      <c r="A847" s="5">
        <v>43374</v>
      </c>
      <c r="B847" s="4" t="s">
        <v>20</v>
      </c>
      <c r="C847" s="4" t="s">
        <v>10</v>
      </c>
      <c r="D847" s="4" t="s">
        <v>15</v>
      </c>
      <c r="E847" s="4" t="s">
        <v>13</v>
      </c>
      <c r="F847" s="4">
        <v>277</v>
      </c>
      <c r="G847" s="4">
        <v>11</v>
      </c>
      <c r="H847" s="4">
        <v>33</v>
      </c>
      <c r="I847" s="6">
        <v>4016.2719718309859</v>
      </c>
      <c r="J847" s="4"/>
      <c r="K847" s="4"/>
      <c r="L847" s="4"/>
      <c r="M847" s="4"/>
      <c r="N847" s="4"/>
      <c r="O847" s="4"/>
      <c r="P847" s="4"/>
      <c r="Q847" s="4"/>
      <c r="R847" s="4"/>
      <c r="S847" s="4"/>
      <c r="T847" s="4"/>
      <c r="U847" s="4"/>
      <c r="V847" s="4"/>
      <c r="W847" s="4"/>
      <c r="X847" s="4"/>
      <c r="Y847" s="4"/>
      <c r="Z847" s="4"/>
    </row>
    <row r="848" spans="1:26">
      <c r="A848" s="5">
        <v>43374</v>
      </c>
      <c r="B848" s="4" t="s">
        <v>20</v>
      </c>
      <c r="C848" s="4" t="s">
        <v>10</v>
      </c>
      <c r="D848" s="4" t="s">
        <v>16</v>
      </c>
      <c r="E848" s="4" t="s">
        <v>12</v>
      </c>
      <c r="F848" s="4">
        <v>11290101</v>
      </c>
      <c r="G848" s="4">
        <v>35477</v>
      </c>
      <c r="H848" s="4">
        <v>37260</v>
      </c>
      <c r="I848" s="6">
        <v>6283.7175001301293</v>
      </c>
      <c r="J848" s="4"/>
      <c r="K848" s="4"/>
      <c r="L848" s="4"/>
      <c r="M848" s="4"/>
      <c r="N848" s="4"/>
      <c r="O848" s="4"/>
      <c r="P848" s="4"/>
      <c r="Q848" s="4"/>
      <c r="R848" s="4"/>
      <c r="S848" s="4"/>
      <c r="T848" s="4"/>
      <c r="U848" s="4"/>
      <c r="V848" s="4"/>
      <c r="W848" s="4"/>
      <c r="X848" s="4"/>
      <c r="Y848" s="4"/>
      <c r="Z848" s="4"/>
    </row>
    <row r="849" spans="1:26">
      <c r="A849" s="5">
        <v>43374</v>
      </c>
      <c r="B849" s="4" t="s">
        <v>20</v>
      </c>
      <c r="C849" s="4" t="s">
        <v>10</v>
      </c>
      <c r="D849" s="4" t="s">
        <v>16</v>
      </c>
      <c r="E849" s="4" t="s">
        <v>13</v>
      </c>
      <c r="F849" s="4">
        <v>5480</v>
      </c>
      <c r="G849" s="4">
        <v>240</v>
      </c>
      <c r="H849" s="4">
        <v>647</v>
      </c>
      <c r="I849" s="6">
        <v>105893.50130806846</v>
      </c>
      <c r="J849" s="4"/>
      <c r="K849" s="4"/>
      <c r="L849" s="4"/>
      <c r="M849" s="4"/>
      <c r="N849" s="4"/>
      <c r="O849" s="4"/>
      <c r="P849" s="4"/>
      <c r="Q849" s="4"/>
      <c r="R849" s="4"/>
      <c r="S849" s="4"/>
      <c r="T849" s="4"/>
      <c r="U849" s="4"/>
      <c r="V849" s="4"/>
      <c r="W849" s="4"/>
      <c r="X849" s="4"/>
      <c r="Y849" s="4"/>
      <c r="Z849" s="4"/>
    </row>
    <row r="850" spans="1:26">
      <c r="A850" s="5">
        <v>43374</v>
      </c>
      <c r="B850" s="4" t="s">
        <v>20</v>
      </c>
      <c r="C850" s="4" t="s">
        <v>10</v>
      </c>
      <c r="D850" s="4" t="s">
        <v>17</v>
      </c>
      <c r="E850" s="4" t="s">
        <v>12</v>
      </c>
      <c r="F850" s="4">
        <v>3576992</v>
      </c>
      <c r="G850" s="4">
        <v>11806</v>
      </c>
      <c r="H850" s="4">
        <v>12526</v>
      </c>
      <c r="I850" s="6">
        <v>1906.2462655530478</v>
      </c>
      <c r="J850" s="4"/>
      <c r="K850" s="4"/>
      <c r="L850" s="4"/>
      <c r="M850" s="4"/>
      <c r="N850" s="4"/>
      <c r="O850" s="4"/>
      <c r="P850" s="4"/>
      <c r="Q850" s="4"/>
      <c r="R850" s="4"/>
      <c r="S850" s="4"/>
      <c r="T850" s="4"/>
      <c r="U850" s="4"/>
      <c r="V850" s="4"/>
      <c r="W850" s="4"/>
      <c r="X850" s="4"/>
      <c r="Y850" s="4"/>
      <c r="Z850" s="4"/>
    </row>
    <row r="851" spans="1:26">
      <c r="A851" s="5">
        <v>43374</v>
      </c>
      <c r="B851" s="4" t="s">
        <v>20</v>
      </c>
      <c r="C851" s="4" t="s">
        <v>10</v>
      </c>
      <c r="D851" s="4" t="s">
        <v>17</v>
      </c>
      <c r="E851" s="4" t="s">
        <v>13</v>
      </c>
      <c r="F851" s="4">
        <v>1854</v>
      </c>
      <c r="G851" s="4">
        <v>75</v>
      </c>
      <c r="H851" s="4">
        <v>237</v>
      </c>
      <c r="I851" s="6">
        <v>36041.308645161283</v>
      </c>
      <c r="J851" s="4"/>
      <c r="K851" s="4"/>
      <c r="L851" s="4"/>
      <c r="M851" s="4"/>
      <c r="N851" s="4"/>
      <c r="O851" s="4"/>
      <c r="P851" s="4"/>
      <c r="Q851" s="4"/>
      <c r="R851" s="4"/>
      <c r="S851" s="4"/>
      <c r="T851" s="4"/>
      <c r="U851" s="4"/>
      <c r="V851" s="4"/>
      <c r="W851" s="4"/>
      <c r="X851" s="4"/>
      <c r="Y851" s="4"/>
      <c r="Z851" s="4"/>
    </row>
    <row r="852" spans="1:26">
      <c r="A852" s="5">
        <v>43374</v>
      </c>
      <c r="B852" s="4" t="s">
        <v>20</v>
      </c>
      <c r="C852" s="4" t="s">
        <v>18</v>
      </c>
      <c r="D852" s="4" t="s">
        <v>11</v>
      </c>
      <c r="E852" s="4" t="s">
        <v>12</v>
      </c>
      <c r="F852" s="4">
        <v>2593259</v>
      </c>
      <c r="G852" s="4">
        <v>15479</v>
      </c>
      <c r="H852" s="4">
        <v>29829</v>
      </c>
      <c r="I852" s="6">
        <v>9175.9177882505901</v>
      </c>
      <c r="J852" s="4"/>
      <c r="K852" s="4"/>
      <c r="L852" s="4"/>
      <c r="M852" s="4"/>
      <c r="N852" s="4"/>
      <c r="O852" s="4"/>
      <c r="P852" s="4"/>
      <c r="Q852" s="4"/>
      <c r="R852" s="4"/>
      <c r="S852" s="4"/>
      <c r="T852" s="4"/>
      <c r="U852" s="4"/>
      <c r="V852" s="4"/>
      <c r="W852" s="4"/>
      <c r="X852" s="4"/>
      <c r="Y852" s="4"/>
      <c r="Z852" s="4"/>
    </row>
    <row r="853" spans="1:26">
      <c r="A853" s="5">
        <v>43374</v>
      </c>
      <c r="B853" s="4" t="s">
        <v>20</v>
      </c>
      <c r="C853" s="4" t="s">
        <v>18</v>
      </c>
      <c r="D853" s="4" t="s">
        <v>11</v>
      </c>
      <c r="E853" s="4" t="s">
        <v>13</v>
      </c>
      <c r="F853" s="4">
        <v>1337</v>
      </c>
      <c r="G853" s="4">
        <v>17</v>
      </c>
      <c r="H853" s="4">
        <v>29</v>
      </c>
      <c r="I853" s="6">
        <v>151.33940000000001</v>
      </c>
      <c r="J853" s="4"/>
      <c r="K853" s="4"/>
      <c r="L853" s="4"/>
      <c r="M853" s="4"/>
      <c r="N853" s="4"/>
      <c r="O853" s="4"/>
      <c r="P853" s="4"/>
      <c r="Q853" s="4"/>
      <c r="R853" s="4"/>
      <c r="S853" s="4"/>
      <c r="T853" s="4"/>
      <c r="U853" s="4"/>
      <c r="V853" s="4"/>
      <c r="W853" s="4"/>
      <c r="X853" s="4"/>
      <c r="Y853" s="4"/>
      <c r="Z853" s="4"/>
    </row>
    <row r="854" spans="1:26">
      <c r="A854" s="5">
        <v>43374</v>
      </c>
      <c r="B854" s="4" t="s">
        <v>20</v>
      </c>
      <c r="C854" s="4" t="s">
        <v>18</v>
      </c>
      <c r="D854" s="4" t="s">
        <v>14</v>
      </c>
      <c r="E854" s="4" t="s">
        <v>12</v>
      </c>
      <c r="F854" s="4">
        <v>4912802</v>
      </c>
      <c r="G854" s="4">
        <v>30546</v>
      </c>
      <c r="H854" s="4">
        <v>57106</v>
      </c>
      <c r="I854" s="6">
        <v>11654.997636620914</v>
      </c>
      <c r="J854" s="4"/>
      <c r="K854" s="4"/>
      <c r="L854" s="4"/>
      <c r="M854" s="4"/>
      <c r="N854" s="4"/>
      <c r="O854" s="4"/>
      <c r="P854" s="4"/>
      <c r="Q854" s="4"/>
      <c r="R854" s="4"/>
      <c r="S854" s="4"/>
      <c r="T854" s="4"/>
      <c r="U854" s="4"/>
      <c r="V854" s="4"/>
      <c r="W854" s="4"/>
      <c r="X854" s="4"/>
      <c r="Y854" s="4"/>
      <c r="Z854" s="4"/>
    </row>
    <row r="855" spans="1:26">
      <c r="A855" s="5">
        <v>43374</v>
      </c>
      <c r="B855" s="4" t="s">
        <v>20</v>
      </c>
      <c r="C855" s="4" t="s">
        <v>18</v>
      </c>
      <c r="D855" s="4" t="s">
        <v>14</v>
      </c>
      <c r="E855" s="4" t="s">
        <v>13</v>
      </c>
      <c r="F855" s="4">
        <v>2560</v>
      </c>
      <c r="G855" s="4">
        <v>29</v>
      </c>
      <c r="H855" s="4">
        <v>167</v>
      </c>
      <c r="I855" s="6">
        <v>280.74633611570249</v>
      </c>
      <c r="J855" s="4"/>
      <c r="K855" s="4"/>
      <c r="L855" s="4"/>
      <c r="M855" s="4"/>
      <c r="N855" s="4"/>
      <c r="O855" s="4"/>
      <c r="P855" s="4"/>
      <c r="Q855" s="4"/>
      <c r="R855" s="4"/>
      <c r="S855" s="4"/>
      <c r="T855" s="4"/>
      <c r="U855" s="4"/>
      <c r="V855" s="4"/>
      <c r="W855" s="4"/>
      <c r="X855" s="4"/>
      <c r="Y855" s="4"/>
      <c r="Z855" s="4"/>
    </row>
    <row r="856" spans="1:26">
      <c r="A856" s="5">
        <v>43374</v>
      </c>
      <c r="B856" s="4" t="s">
        <v>20</v>
      </c>
      <c r="C856" s="4" t="s">
        <v>18</v>
      </c>
      <c r="D856" s="4" t="s">
        <v>15</v>
      </c>
      <c r="E856" s="4" t="s">
        <v>12</v>
      </c>
      <c r="F856" s="4">
        <v>1550730</v>
      </c>
      <c r="G856" s="4">
        <v>10573</v>
      </c>
      <c r="H856" s="4">
        <v>19847</v>
      </c>
      <c r="I856" s="6">
        <v>3235.564263502788</v>
      </c>
      <c r="J856" s="4"/>
      <c r="K856" s="4"/>
      <c r="L856" s="4"/>
      <c r="M856" s="4"/>
      <c r="N856" s="4"/>
      <c r="O856" s="4"/>
      <c r="P856" s="4"/>
      <c r="Q856" s="4"/>
      <c r="R856" s="4"/>
      <c r="S856" s="4"/>
      <c r="T856" s="4"/>
      <c r="U856" s="4"/>
      <c r="V856" s="4"/>
      <c r="W856" s="4"/>
      <c r="X856" s="4"/>
      <c r="Y856" s="4"/>
      <c r="Z856" s="4"/>
    </row>
    <row r="857" spans="1:26">
      <c r="A857" s="5">
        <v>43374</v>
      </c>
      <c r="B857" s="4" t="s">
        <v>20</v>
      </c>
      <c r="C857" s="4" t="s">
        <v>18</v>
      </c>
      <c r="D857" s="4" t="s">
        <v>15</v>
      </c>
      <c r="E857" s="4" t="s">
        <v>13</v>
      </c>
      <c r="F857" s="4">
        <v>537</v>
      </c>
      <c r="G857" s="4">
        <v>1</v>
      </c>
      <c r="H857" s="4">
        <v>3</v>
      </c>
      <c r="I857" s="6">
        <v>21.774285714285714</v>
      </c>
      <c r="J857" s="4"/>
      <c r="K857" s="4"/>
      <c r="L857" s="4"/>
      <c r="M857" s="4"/>
      <c r="N857" s="4"/>
      <c r="O857" s="4"/>
      <c r="P857" s="4"/>
      <c r="Q857" s="4"/>
      <c r="R857" s="4"/>
      <c r="S857" s="4"/>
      <c r="T857" s="4"/>
      <c r="U857" s="4"/>
      <c r="V857" s="4"/>
      <c r="W857" s="4"/>
      <c r="X857" s="4"/>
      <c r="Y857" s="4"/>
      <c r="Z857" s="4"/>
    </row>
    <row r="858" spans="1:26">
      <c r="A858" s="5">
        <v>43374</v>
      </c>
      <c r="B858" s="4" t="s">
        <v>20</v>
      </c>
      <c r="C858" s="4" t="s">
        <v>18</v>
      </c>
      <c r="D858" s="4" t="s">
        <v>16</v>
      </c>
      <c r="E858" s="4" t="s">
        <v>12</v>
      </c>
      <c r="F858" s="4">
        <v>22805938</v>
      </c>
      <c r="G858" s="4">
        <v>75616</v>
      </c>
      <c r="H858" s="4">
        <v>140841</v>
      </c>
      <c r="I858" s="6">
        <v>46472.98807150931</v>
      </c>
      <c r="J858" s="4"/>
      <c r="K858" s="4"/>
      <c r="L858" s="4"/>
      <c r="M858" s="4"/>
      <c r="N858" s="4"/>
      <c r="O858" s="4"/>
      <c r="P858" s="4"/>
      <c r="Q858" s="4"/>
      <c r="R858" s="4"/>
      <c r="S858" s="4"/>
      <c r="T858" s="4"/>
      <c r="U858" s="4"/>
      <c r="V858" s="4"/>
      <c r="W858" s="4"/>
      <c r="X858" s="4"/>
      <c r="Y858" s="4"/>
      <c r="Z858" s="4"/>
    </row>
    <row r="859" spans="1:26">
      <c r="A859" s="5">
        <v>43374</v>
      </c>
      <c r="B859" s="4" t="s">
        <v>20</v>
      </c>
      <c r="C859" s="4" t="s">
        <v>18</v>
      </c>
      <c r="D859" s="4" t="s">
        <v>16</v>
      </c>
      <c r="E859" s="4" t="s">
        <v>13</v>
      </c>
      <c r="F859" s="4">
        <v>27943</v>
      </c>
      <c r="G859" s="4">
        <v>92</v>
      </c>
      <c r="H859" s="4">
        <v>1003</v>
      </c>
      <c r="I859" s="6">
        <v>1343.9968181818181</v>
      </c>
      <c r="J859" s="4"/>
      <c r="K859" s="4"/>
      <c r="L859" s="4"/>
      <c r="M859" s="4"/>
      <c r="N859" s="4"/>
      <c r="O859" s="4"/>
      <c r="P859" s="4"/>
      <c r="Q859" s="4"/>
      <c r="R859" s="4"/>
      <c r="S859" s="4"/>
      <c r="T859" s="4"/>
      <c r="U859" s="4"/>
      <c r="V859" s="4"/>
      <c r="W859" s="4"/>
      <c r="X859" s="4"/>
      <c r="Y859" s="4"/>
      <c r="Z859" s="4"/>
    </row>
    <row r="860" spans="1:26">
      <c r="A860" s="5">
        <v>43374</v>
      </c>
      <c r="B860" s="4" t="s">
        <v>20</v>
      </c>
      <c r="C860" s="4" t="s">
        <v>18</v>
      </c>
      <c r="D860" s="4" t="s">
        <v>17</v>
      </c>
      <c r="E860" s="4" t="s">
        <v>12</v>
      </c>
      <c r="F860" s="4">
        <v>4018189</v>
      </c>
      <c r="G860" s="4">
        <v>25528</v>
      </c>
      <c r="H860" s="4">
        <v>44845</v>
      </c>
      <c r="I860" s="6">
        <v>15285.804833681706</v>
      </c>
      <c r="J860" s="4"/>
      <c r="K860" s="4"/>
      <c r="L860" s="4"/>
      <c r="M860" s="4"/>
      <c r="N860" s="4"/>
      <c r="O860" s="4"/>
      <c r="P860" s="4"/>
      <c r="Q860" s="4"/>
      <c r="R860" s="4"/>
      <c r="S860" s="4"/>
      <c r="T860" s="4"/>
      <c r="U860" s="4"/>
      <c r="V860" s="4"/>
      <c r="W860" s="4"/>
      <c r="X860" s="4"/>
      <c r="Y860" s="4"/>
      <c r="Z860" s="4"/>
    </row>
    <row r="861" spans="1:26">
      <c r="A861" s="5">
        <v>43374</v>
      </c>
      <c r="B861" s="4" t="s">
        <v>20</v>
      </c>
      <c r="C861" s="4" t="s">
        <v>18</v>
      </c>
      <c r="D861" s="4" t="s">
        <v>17</v>
      </c>
      <c r="E861" s="4" t="s">
        <v>13</v>
      </c>
      <c r="F861" s="4">
        <v>1619</v>
      </c>
      <c r="G861" s="4">
        <v>21</v>
      </c>
      <c r="H861" s="4">
        <v>117</v>
      </c>
      <c r="I861" s="6">
        <v>73.093206521739134</v>
      </c>
      <c r="J861" s="4"/>
      <c r="K861" s="4"/>
      <c r="L861" s="4"/>
      <c r="M861" s="4"/>
      <c r="N861" s="4"/>
      <c r="O861" s="4"/>
      <c r="P861" s="4"/>
      <c r="Q861" s="4"/>
      <c r="R861" s="4"/>
      <c r="S861" s="4"/>
      <c r="T861" s="4"/>
      <c r="U861" s="4"/>
      <c r="V861" s="4"/>
      <c r="W861" s="4"/>
      <c r="X861" s="4"/>
      <c r="Y861" s="4"/>
      <c r="Z861" s="4"/>
    </row>
    <row r="862" spans="1:26">
      <c r="A862" s="5">
        <v>43374</v>
      </c>
      <c r="B862" s="4" t="s">
        <v>20</v>
      </c>
      <c r="C862" s="4" t="s">
        <v>19</v>
      </c>
      <c r="D862" s="4" t="s">
        <v>11</v>
      </c>
      <c r="E862" s="4" t="s">
        <v>12</v>
      </c>
      <c r="F862" s="4">
        <v>793340</v>
      </c>
      <c r="G862" s="4">
        <v>2439</v>
      </c>
      <c r="H862" s="4">
        <v>2623</v>
      </c>
      <c r="I862" s="6">
        <v>9185.1349877074372</v>
      </c>
      <c r="J862" s="4"/>
      <c r="K862" s="4"/>
      <c r="L862" s="4"/>
      <c r="M862" s="4"/>
      <c r="N862" s="4"/>
      <c r="O862" s="4"/>
      <c r="P862" s="4"/>
      <c r="Q862" s="4"/>
      <c r="R862" s="4"/>
      <c r="S862" s="4"/>
      <c r="T862" s="4"/>
      <c r="U862" s="4"/>
      <c r="V862" s="4"/>
      <c r="W862" s="4"/>
      <c r="X862" s="4"/>
      <c r="Y862" s="4"/>
      <c r="Z862" s="4"/>
    </row>
    <row r="863" spans="1:26">
      <c r="A863" s="5">
        <v>43374</v>
      </c>
      <c r="B863" s="4" t="s">
        <v>20</v>
      </c>
      <c r="C863" s="4" t="s">
        <v>19</v>
      </c>
      <c r="D863" s="4" t="s">
        <v>11</v>
      </c>
      <c r="E863" s="4" t="s">
        <v>13</v>
      </c>
      <c r="F863" s="4">
        <v>1078</v>
      </c>
      <c r="G863" s="4">
        <v>41</v>
      </c>
      <c r="H863" s="4">
        <v>241</v>
      </c>
      <c r="I863" s="6">
        <v>1135.2032440476191</v>
      </c>
      <c r="J863" s="4"/>
      <c r="K863" s="4"/>
      <c r="L863" s="4"/>
      <c r="M863" s="4"/>
      <c r="N863" s="4"/>
      <c r="O863" s="4"/>
      <c r="P863" s="4"/>
      <c r="Q863" s="4"/>
      <c r="R863" s="4"/>
      <c r="S863" s="4"/>
      <c r="T863" s="4"/>
      <c r="U863" s="4"/>
      <c r="V863" s="4"/>
      <c r="W863" s="4"/>
      <c r="X863" s="4"/>
      <c r="Y863" s="4"/>
      <c r="Z863" s="4"/>
    </row>
    <row r="864" spans="1:26">
      <c r="A864" s="5">
        <v>43374</v>
      </c>
      <c r="B864" s="4" t="s">
        <v>20</v>
      </c>
      <c r="C864" s="4" t="s">
        <v>19</v>
      </c>
      <c r="D864" s="4" t="s">
        <v>14</v>
      </c>
      <c r="E864" s="4" t="s">
        <v>12</v>
      </c>
      <c r="F864" s="4">
        <v>1866664</v>
      </c>
      <c r="G864" s="4">
        <v>6271</v>
      </c>
      <c r="H864" s="4">
        <v>6335</v>
      </c>
      <c r="I864" s="6">
        <v>19470.00530776093</v>
      </c>
      <c r="J864" s="4"/>
      <c r="K864" s="4"/>
      <c r="L864" s="4"/>
      <c r="M864" s="4"/>
      <c r="N864" s="4"/>
      <c r="O864" s="4"/>
      <c r="P864" s="4"/>
      <c r="Q864" s="4"/>
      <c r="R864" s="4"/>
      <c r="S864" s="4"/>
      <c r="T864" s="4"/>
      <c r="U864" s="4"/>
      <c r="V864" s="4"/>
      <c r="W864" s="4"/>
      <c r="X864" s="4"/>
      <c r="Y864" s="4"/>
      <c r="Z864" s="4"/>
    </row>
    <row r="865" spans="1:26">
      <c r="A865" s="5">
        <v>43374</v>
      </c>
      <c r="B865" s="4" t="s">
        <v>20</v>
      </c>
      <c r="C865" s="4" t="s">
        <v>19</v>
      </c>
      <c r="D865" s="4" t="s">
        <v>14</v>
      </c>
      <c r="E865" s="4" t="s">
        <v>13</v>
      </c>
      <c r="F865" s="4">
        <v>2818</v>
      </c>
      <c r="G865" s="4">
        <v>115</v>
      </c>
      <c r="H865" s="4">
        <v>476</v>
      </c>
      <c r="I865" s="6">
        <v>2248.7479742765272</v>
      </c>
      <c r="J865" s="4"/>
      <c r="K865" s="4"/>
      <c r="L865" s="4"/>
      <c r="M865" s="4"/>
      <c r="N865" s="4"/>
      <c r="O865" s="4"/>
      <c r="P865" s="4"/>
      <c r="Q865" s="4"/>
      <c r="R865" s="4"/>
      <c r="S865" s="4"/>
      <c r="T865" s="4"/>
      <c r="U865" s="4"/>
      <c r="V865" s="4"/>
      <c r="W865" s="4"/>
      <c r="X865" s="4"/>
      <c r="Y865" s="4"/>
      <c r="Z865" s="4"/>
    </row>
    <row r="866" spans="1:26">
      <c r="A866" s="5">
        <v>43374</v>
      </c>
      <c r="B866" s="4" t="s">
        <v>20</v>
      </c>
      <c r="C866" s="4" t="s">
        <v>19</v>
      </c>
      <c r="D866" s="4" t="s">
        <v>15</v>
      </c>
      <c r="E866" s="4" t="s">
        <v>12</v>
      </c>
      <c r="F866" s="4">
        <v>485294</v>
      </c>
      <c r="G866" s="4">
        <v>1703</v>
      </c>
      <c r="H866" s="4">
        <v>1725</v>
      </c>
      <c r="I866" s="6">
        <v>6254.3238106343279</v>
      </c>
      <c r="J866" s="4"/>
      <c r="K866" s="4"/>
      <c r="L866" s="4"/>
      <c r="M866" s="4"/>
      <c r="N866" s="4"/>
      <c r="O866" s="4"/>
      <c r="P866" s="4"/>
      <c r="Q866" s="4"/>
      <c r="R866" s="4"/>
      <c r="S866" s="4"/>
      <c r="T866" s="4"/>
      <c r="U866" s="4"/>
      <c r="V866" s="4"/>
      <c r="W866" s="4"/>
      <c r="X866" s="4"/>
      <c r="Y866" s="4"/>
      <c r="Z866" s="4"/>
    </row>
    <row r="867" spans="1:26">
      <c r="A867" s="5">
        <v>43374</v>
      </c>
      <c r="B867" s="4" t="s">
        <v>20</v>
      </c>
      <c r="C867" s="4" t="s">
        <v>19</v>
      </c>
      <c r="D867" s="4" t="s">
        <v>15</v>
      </c>
      <c r="E867" s="4" t="s">
        <v>13</v>
      </c>
      <c r="F867" s="4">
        <v>489</v>
      </c>
      <c r="G867" s="4">
        <v>16</v>
      </c>
      <c r="H867" s="4">
        <v>162</v>
      </c>
      <c r="I867" s="6">
        <v>223.35536842105265</v>
      </c>
      <c r="J867" s="4"/>
      <c r="K867" s="4"/>
      <c r="L867" s="4"/>
      <c r="M867" s="4"/>
      <c r="N867" s="4"/>
      <c r="O867" s="4"/>
      <c r="P867" s="4"/>
      <c r="Q867" s="4"/>
      <c r="R867" s="4"/>
      <c r="S867" s="4"/>
      <c r="T867" s="4"/>
      <c r="U867" s="4"/>
      <c r="V867" s="4"/>
      <c r="W867" s="4"/>
      <c r="X867" s="4"/>
      <c r="Y867" s="4"/>
      <c r="Z867" s="4"/>
    </row>
    <row r="868" spans="1:26">
      <c r="A868" s="5">
        <v>43374</v>
      </c>
      <c r="B868" s="4" t="s">
        <v>20</v>
      </c>
      <c r="C868" s="4" t="s">
        <v>19</v>
      </c>
      <c r="D868" s="4" t="s">
        <v>16</v>
      </c>
      <c r="E868" s="4" t="s">
        <v>12</v>
      </c>
      <c r="F868" s="4">
        <v>4358376</v>
      </c>
      <c r="G868" s="4">
        <v>12283</v>
      </c>
      <c r="H868" s="4">
        <v>12594</v>
      </c>
      <c r="I868" s="6">
        <v>58475.325893899542</v>
      </c>
      <c r="J868" s="4"/>
      <c r="K868" s="4"/>
      <c r="L868" s="4"/>
      <c r="M868" s="4"/>
      <c r="N868" s="4"/>
      <c r="O868" s="4"/>
      <c r="P868" s="4"/>
      <c r="Q868" s="4"/>
      <c r="R868" s="4"/>
      <c r="S868" s="4"/>
      <c r="T868" s="4"/>
      <c r="U868" s="4"/>
      <c r="V868" s="4"/>
      <c r="W868" s="4"/>
      <c r="X868" s="4"/>
      <c r="Y868" s="4"/>
      <c r="Z868" s="4"/>
    </row>
    <row r="869" spans="1:26">
      <c r="A869" s="5">
        <v>43374</v>
      </c>
      <c r="B869" s="4" t="s">
        <v>20</v>
      </c>
      <c r="C869" s="4" t="s">
        <v>19</v>
      </c>
      <c r="D869" s="4" t="s">
        <v>16</v>
      </c>
      <c r="E869" s="4" t="s">
        <v>13</v>
      </c>
      <c r="F869" s="4">
        <v>4329</v>
      </c>
      <c r="G869" s="4">
        <v>180</v>
      </c>
      <c r="H869" s="4">
        <v>922</v>
      </c>
      <c r="I869" s="6">
        <v>5569.7791274593665</v>
      </c>
      <c r="J869" s="4"/>
      <c r="K869" s="4"/>
      <c r="L869" s="4"/>
      <c r="M869" s="4"/>
      <c r="N869" s="4"/>
      <c r="O869" s="4"/>
      <c r="P869" s="4"/>
      <c r="Q869" s="4"/>
      <c r="R869" s="4"/>
      <c r="S869" s="4"/>
      <c r="T869" s="4"/>
      <c r="U869" s="4"/>
      <c r="V869" s="4"/>
      <c r="W869" s="4"/>
      <c r="X869" s="4"/>
      <c r="Y869" s="4"/>
      <c r="Z869" s="4"/>
    </row>
    <row r="870" spans="1:26">
      <c r="A870" s="5">
        <v>43374</v>
      </c>
      <c r="B870" s="4" t="s">
        <v>20</v>
      </c>
      <c r="C870" s="4" t="s">
        <v>19</v>
      </c>
      <c r="D870" s="4" t="s">
        <v>17</v>
      </c>
      <c r="E870" s="4" t="s">
        <v>12</v>
      </c>
      <c r="F870" s="4">
        <v>1332346</v>
      </c>
      <c r="G870" s="4">
        <v>4356</v>
      </c>
      <c r="H870" s="4">
        <v>4397</v>
      </c>
      <c r="I870" s="6">
        <v>17402.896709487981</v>
      </c>
      <c r="J870" s="4"/>
      <c r="K870" s="4"/>
      <c r="L870" s="4"/>
      <c r="M870" s="4"/>
      <c r="N870" s="4"/>
      <c r="O870" s="4"/>
      <c r="P870" s="4"/>
      <c r="Q870" s="4"/>
      <c r="R870" s="4"/>
      <c r="S870" s="4"/>
      <c r="T870" s="4"/>
      <c r="U870" s="4"/>
      <c r="V870" s="4"/>
      <c r="W870" s="4"/>
      <c r="X870" s="4"/>
      <c r="Y870" s="4"/>
      <c r="Z870" s="4"/>
    </row>
    <row r="871" spans="1:26">
      <c r="A871" s="5">
        <v>43374</v>
      </c>
      <c r="B871" s="4" t="s">
        <v>20</v>
      </c>
      <c r="C871" s="4" t="s">
        <v>19</v>
      </c>
      <c r="D871" s="4" t="s">
        <v>17</v>
      </c>
      <c r="E871" s="4" t="s">
        <v>13</v>
      </c>
      <c r="F871" s="4">
        <v>1549</v>
      </c>
      <c r="G871" s="4">
        <v>52</v>
      </c>
      <c r="H871" s="4">
        <v>614</v>
      </c>
      <c r="I871" s="6">
        <v>1336.0610727056019</v>
      </c>
      <c r="J871" s="4"/>
      <c r="K871" s="4"/>
      <c r="L871" s="4"/>
      <c r="M871" s="4"/>
      <c r="N871" s="4"/>
      <c r="O871" s="4"/>
      <c r="P871" s="4"/>
      <c r="Q871" s="4"/>
      <c r="R871" s="4"/>
      <c r="S871" s="4"/>
      <c r="T871" s="4"/>
      <c r="U871" s="4"/>
      <c r="V871" s="4"/>
      <c r="W871" s="4"/>
      <c r="X871" s="4"/>
      <c r="Y871" s="4"/>
      <c r="Z871" s="4"/>
    </row>
    <row r="872" spans="1:26">
      <c r="A872" s="5">
        <v>43374</v>
      </c>
      <c r="B872" s="4" t="s">
        <v>21</v>
      </c>
      <c r="C872" s="4" t="s">
        <v>10</v>
      </c>
      <c r="D872" s="4" t="s">
        <v>11</v>
      </c>
      <c r="E872" s="4" t="s">
        <v>12</v>
      </c>
      <c r="F872" s="4">
        <v>1389325</v>
      </c>
      <c r="G872" s="4">
        <v>11531</v>
      </c>
      <c r="H872" s="4">
        <v>14466</v>
      </c>
      <c r="I872" s="6">
        <v>21525.950091254326</v>
      </c>
      <c r="J872" s="4"/>
      <c r="K872" s="4"/>
      <c r="L872" s="4"/>
      <c r="M872" s="4"/>
      <c r="N872" s="4"/>
      <c r="O872" s="4"/>
      <c r="P872" s="4"/>
      <c r="Q872" s="4"/>
      <c r="R872" s="4"/>
      <c r="S872" s="4"/>
      <c r="T872" s="4"/>
      <c r="U872" s="4"/>
      <c r="V872" s="4"/>
      <c r="W872" s="4"/>
      <c r="X872" s="4"/>
      <c r="Y872" s="4"/>
      <c r="Z872" s="4"/>
    </row>
    <row r="873" spans="1:26">
      <c r="A873" s="5">
        <v>43374</v>
      </c>
      <c r="B873" s="4" t="s">
        <v>21</v>
      </c>
      <c r="C873" s="4" t="s">
        <v>10</v>
      </c>
      <c r="D873" s="4" t="s">
        <v>11</v>
      </c>
      <c r="E873" s="4" t="s">
        <v>13</v>
      </c>
      <c r="F873" s="4">
        <v>16688</v>
      </c>
      <c r="G873" s="4">
        <v>1000</v>
      </c>
      <c r="H873" s="4">
        <v>16827</v>
      </c>
      <c r="I873" s="6">
        <v>93035.73867010606</v>
      </c>
      <c r="J873" s="4"/>
      <c r="K873" s="4"/>
      <c r="L873" s="4"/>
      <c r="M873" s="4"/>
      <c r="N873" s="4"/>
      <c r="O873" s="4"/>
      <c r="P873" s="4"/>
      <c r="Q873" s="4"/>
      <c r="R873" s="4"/>
      <c r="S873" s="4"/>
      <c r="T873" s="4"/>
      <c r="U873" s="4"/>
      <c r="V873" s="4"/>
      <c r="W873" s="4"/>
      <c r="X873" s="4"/>
      <c r="Y873" s="4"/>
      <c r="Z873" s="4"/>
    </row>
    <row r="874" spans="1:26">
      <c r="A874" s="5">
        <v>43374</v>
      </c>
      <c r="B874" s="4" t="s">
        <v>21</v>
      </c>
      <c r="C874" s="4" t="s">
        <v>10</v>
      </c>
      <c r="D874" s="4" t="s">
        <v>14</v>
      </c>
      <c r="E874" s="4" t="s">
        <v>12</v>
      </c>
      <c r="F874" s="4">
        <v>2135155</v>
      </c>
      <c r="G874" s="4">
        <v>13407</v>
      </c>
      <c r="H874" s="4">
        <v>15278</v>
      </c>
      <c r="I874" s="6">
        <v>32464.570543570222</v>
      </c>
      <c r="J874" s="4"/>
      <c r="K874" s="4"/>
      <c r="L874" s="4"/>
      <c r="M874" s="4"/>
      <c r="N874" s="4"/>
      <c r="O874" s="4"/>
      <c r="P874" s="4"/>
      <c r="Q874" s="4"/>
      <c r="R874" s="4"/>
      <c r="S874" s="4"/>
      <c r="T874" s="4"/>
      <c r="U874" s="4"/>
      <c r="V874" s="4"/>
      <c r="W874" s="4"/>
      <c r="X874" s="4"/>
      <c r="Y874" s="4"/>
      <c r="Z874" s="4"/>
    </row>
    <row r="875" spans="1:26">
      <c r="A875" s="5">
        <v>43374</v>
      </c>
      <c r="B875" s="4" t="s">
        <v>21</v>
      </c>
      <c r="C875" s="4" t="s">
        <v>10</v>
      </c>
      <c r="D875" s="4" t="s">
        <v>14</v>
      </c>
      <c r="E875" s="4" t="s">
        <v>13</v>
      </c>
      <c r="F875" s="4">
        <v>20196</v>
      </c>
      <c r="G875" s="4">
        <v>1315</v>
      </c>
      <c r="H875" s="4">
        <v>18073</v>
      </c>
      <c r="I875" s="6">
        <v>110125.84340903019</v>
      </c>
      <c r="J875" s="4"/>
      <c r="K875" s="4"/>
      <c r="L875" s="4"/>
      <c r="M875" s="4"/>
      <c r="N875" s="4"/>
      <c r="O875" s="4"/>
      <c r="P875" s="4"/>
      <c r="Q875" s="4"/>
      <c r="R875" s="4"/>
      <c r="S875" s="4"/>
      <c r="T875" s="4"/>
      <c r="U875" s="4"/>
      <c r="V875" s="4"/>
      <c r="W875" s="4"/>
      <c r="X875" s="4"/>
      <c r="Y875" s="4"/>
      <c r="Z875" s="4"/>
    </row>
    <row r="876" spans="1:26">
      <c r="A876" s="5">
        <v>43374</v>
      </c>
      <c r="B876" s="4" t="s">
        <v>21</v>
      </c>
      <c r="C876" s="4" t="s">
        <v>10</v>
      </c>
      <c r="D876" s="4" t="s">
        <v>15</v>
      </c>
      <c r="E876" s="4" t="s">
        <v>12</v>
      </c>
      <c r="F876" s="4">
        <v>567089</v>
      </c>
      <c r="G876" s="4">
        <v>3701</v>
      </c>
      <c r="H876" s="4">
        <v>4344</v>
      </c>
      <c r="I876" s="6">
        <v>7998.3032329988846</v>
      </c>
      <c r="J876" s="4"/>
      <c r="K876" s="4"/>
      <c r="L876" s="4"/>
      <c r="M876" s="4"/>
      <c r="N876" s="4"/>
      <c r="O876" s="4"/>
      <c r="P876" s="4"/>
      <c r="Q876" s="4"/>
      <c r="R876" s="4"/>
      <c r="S876" s="4"/>
      <c r="T876" s="4"/>
      <c r="U876" s="4"/>
      <c r="V876" s="4"/>
      <c r="W876" s="4"/>
      <c r="X876" s="4"/>
      <c r="Y876" s="4"/>
      <c r="Z876" s="4"/>
    </row>
    <row r="877" spans="1:26">
      <c r="A877" s="5">
        <v>43374</v>
      </c>
      <c r="B877" s="4" t="s">
        <v>21</v>
      </c>
      <c r="C877" s="4" t="s">
        <v>10</v>
      </c>
      <c r="D877" s="4" t="s">
        <v>15</v>
      </c>
      <c r="E877" s="4" t="s">
        <v>13</v>
      </c>
      <c r="F877" s="4">
        <v>4962</v>
      </c>
      <c r="G877" s="4">
        <v>333</v>
      </c>
      <c r="H877" s="4">
        <v>3624</v>
      </c>
      <c r="I877" s="6">
        <v>26592.349449682089</v>
      </c>
      <c r="J877" s="4"/>
      <c r="K877" s="4"/>
      <c r="L877" s="4"/>
      <c r="M877" s="4"/>
      <c r="N877" s="4"/>
      <c r="O877" s="4"/>
      <c r="P877" s="4"/>
      <c r="Q877" s="4"/>
      <c r="R877" s="4"/>
      <c r="S877" s="4"/>
      <c r="T877" s="4"/>
      <c r="U877" s="4"/>
      <c r="V877" s="4"/>
      <c r="W877" s="4"/>
      <c r="X877" s="4"/>
      <c r="Y877" s="4"/>
      <c r="Z877" s="4"/>
    </row>
    <row r="878" spans="1:26">
      <c r="A878" s="5">
        <v>43374</v>
      </c>
      <c r="B878" s="4" t="s">
        <v>21</v>
      </c>
      <c r="C878" s="4" t="s">
        <v>10</v>
      </c>
      <c r="D878" s="4" t="s">
        <v>16</v>
      </c>
      <c r="E878" s="4" t="s">
        <v>12</v>
      </c>
      <c r="F878" s="4">
        <v>7231289</v>
      </c>
      <c r="G878" s="4">
        <v>61093</v>
      </c>
      <c r="H878" s="4">
        <v>67663</v>
      </c>
      <c r="I878" s="6">
        <v>166166.84663597165</v>
      </c>
      <c r="J878" s="4"/>
      <c r="K878" s="4"/>
      <c r="L878" s="4"/>
      <c r="M878" s="4"/>
      <c r="N878" s="4"/>
      <c r="O878" s="4"/>
      <c r="P878" s="4"/>
      <c r="Q878" s="4"/>
      <c r="R878" s="4"/>
      <c r="S878" s="4"/>
      <c r="T878" s="4"/>
      <c r="U878" s="4"/>
      <c r="V878" s="4"/>
      <c r="W878" s="4"/>
      <c r="X878" s="4"/>
      <c r="Y878" s="4"/>
      <c r="Z878" s="4"/>
    </row>
    <row r="879" spans="1:26">
      <c r="A879" s="5">
        <v>43374</v>
      </c>
      <c r="B879" s="4" t="s">
        <v>21</v>
      </c>
      <c r="C879" s="4" t="s">
        <v>10</v>
      </c>
      <c r="D879" s="4" t="s">
        <v>16</v>
      </c>
      <c r="E879" s="4" t="s">
        <v>13</v>
      </c>
      <c r="F879" s="4">
        <v>88786</v>
      </c>
      <c r="G879" s="4">
        <v>6450</v>
      </c>
      <c r="H879" s="4">
        <v>92925</v>
      </c>
      <c r="I879" s="6">
        <v>522593.61314225383</v>
      </c>
      <c r="J879" s="4"/>
      <c r="K879" s="4"/>
      <c r="L879" s="4"/>
      <c r="M879" s="4"/>
      <c r="N879" s="4"/>
      <c r="O879" s="4"/>
      <c r="P879" s="4"/>
      <c r="Q879" s="4"/>
      <c r="R879" s="4"/>
      <c r="S879" s="4"/>
      <c r="T879" s="4"/>
      <c r="U879" s="4"/>
      <c r="V879" s="4"/>
      <c r="W879" s="4"/>
      <c r="X879" s="4"/>
      <c r="Y879" s="4"/>
      <c r="Z879" s="4"/>
    </row>
    <row r="880" spans="1:26">
      <c r="A880" s="5">
        <v>43374</v>
      </c>
      <c r="B880" s="4" t="s">
        <v>21</v>
      </c>
      <c r="C880" s="4" t="s">
        <v>10</v>
      </c>
      <c r="D880" s="4" t="s">
        <v>17</v>
      </c>
      <c r="E880" s="4" t="s">
        <v>12</v>
      </c>
      <c r="F880" s="4">
        <v>2365337</v>
      </c>
      <c r="G880" s="4">
        <v>25364</v>
      </c>
      <c r="H880" s="4">
        <v>27692</v>
      </c>
      <c r="I880" s="6">
        <v>68512.823341212177</v>
      </c>
      <c r="J880" s="4"/>
      <c r="K880" s="4"/>
      <c r="L880" s="4"/>
      <c r="M880" s="4"/>
      <c r="N880" s="4"/>
      <c r="O880" s="4"/>
      <c r="P880" s="4"/>
      <c r="Q880" s="4"/>
      <c r="R880" s="4"/>
      <c r="S880" s="4"/>
      <c r="T880" s="4"/>
      <c r="U880" s="4"/>
      <c r="V880" s="4"/>
      <c r="W880" s="4"/>
      <c r="X880" s="4"/>
      <c r="Y880" s="4"/>
      <c r="Z880" s="4"/>
    </row>
    <row r="881" spans="1:26">
      <c r="A881" s="5">
        <v>43374</v>
      </c>
      <c r="B881" s="4" t="s">
        <v>21</v>
      </c>
      <c r="C881" s="4" t="s">
        <v>10</v>
      </c>
      <c r="D881" s="4" t="s">
        <v>17</v>
      </c>
      <c r="E881" s="4" t="s">
        <v>13</v>
      </c>
      <c r="F881" s="4">
        <v>33923</v>
      </c>
      <c r="G881" s="4">
        <v>2852</v>
      </c>
      <c r="H881" s="4">
        <v>41226</v>
      </c>
      <c r="I881" s="6">
        <v>225753.576</v>
      </c>
      <c r="J881" s="4"/>
      <c r="K881" s="4"/>
      <c r="L881" s="4"/>
      <c r="M881" s="4"/>
      <c r="N881" s="4"/>
      <c r="O881" s="4"/>
      <c r="P881" s="4"/>
      <c r="Q881" s="4"/>
      <c r="R881" s="4"/>
      <c r="S881" s="4"/>
      <c r="T881" s="4"/>
      <c r="U881" s="4"/>
      <c r="V881" s="4"/>
      <c r="W881" s="4"/>
      <c r="X881" s="4"/>
      <c r="Y881" s="4"/>
      <c r="Z881" s="4"/>
    </row>
    <row r="882" spans="1:26">
      <c r="A882" s="5">
        <v>43374</v>
      </c>
      <c r="B882" s="4" t="s">
        <v>21</v>
      </c>
      <c r="C882" s="4" t="s">
        <v>18</v>
      </c>
      <c r="D882" s="4" t="s">
        <v>11</v>
      </c>
      <c r="E882" s="4" t="s">
        <v>12</v>
      </c>
      <c r="F882" s="4">
        <v>1624334</v>
      </c>
      <c r="G882" s="4">
        <v>29839</v>
      </c>
      <c r="H882" s="4">
        <v>129813</v>
      </c>
      <c r="I882" s="6">
        <v>69179.325378006877</v>
      </c>
      <c r="J882" s="4"/>
      <c r="K882" s="4"/>
      <c r="L882" s="4"/>
      <c r="M882" s="4"/>
      <c r="N882" s="4"/>
      <c r="O882" s="4"/>
      <c r="P882" s="4"/>
      <c r="Q882" s="4"/>
      <c r="R882" s="4"/>
      <c r="S882" s="4"/>
      <c r="T882" s="4"/>
      <c r="U882" s="4"/>
      <c r="V882" s="4"/>
      <c r="W882" s="4"/>
      <c r="X882" s="4"/>
      <c r="Y882" s="4"/>
      <c r="Z882" s="4"/>
    </row>
    <row r="883" spans="1:26">
      <c r="A883" s="5">
        <v>43374</v>
      </c>
      <c r="B883" s="4" t="s">
        <v>21</v>
      </c>
      <c r="C883" s="4" t="s">
        <v>18</v>
      </c>
      <c r="D883" s="4" t="s">
        <v>11</v>
      </c>
      <c r="E883" s="4" t="s">
        <v>13</v>
      </c>
      <c r="F883" s="4">
        <v>11461</v>
      </c>
      <c r="G883" s="4">
        <v>345</v>
      </c>
      <c r="H883" s="4">
        <v>15295</v>
      </c>
      <c r="I883" s="6">
        <v>12091.118408606622</v>
      </c>
      <c r="J883" s="4"/>
      <c r="K883" s="4"/>
      <c r="L883" s="4"/>
      <c r="M883" s="4"/>
      <c r="N883" s="4"/>
      <c r="O883" s="4"/>
      <c r="P883" s="4"/>
      <c r="Q883" s="4"/>
      <c r="R883" s="4"/>
      <c r="S883" s="4"/>
      <c r="T883" s="4"/>
      <c r="U883" s="4"/>
      <c r="V883" s="4"/>
      <c r="W883" s="4"/>
      <c r="X883" s="4"/>
      <c r="Y883" s="4"/>
      <c r="Z883" s="4"/>
    </row>
    <row r="884" spans="1:26">
      <c r="A884" s="5">
        <v>43374</v>
      </c>
      <c r="B884" s="4" t="s">
        <v>21</v>
      </c>
      <c r="C884" s="4" t="s">
        <v>18</v>
      </c>
      <c r="D884" s="4" t="s">
        <v>14</v>
      </c>
      <c r="E884" s="4" t="s">
        <v>12</v>
      </c>
      <c r="F884" s="4">
        <v>2549581</v>
      </c>
      <c r="G884" s="4">
        <v>42529</v>
      </c>
      <c r="H884" s="4">
        <v>159273</v>
      </c>
      <c r="I884" s="6">
        <v>76377.886090428918</v>
      </c>
      <c r="J884" s="4"/>
      <c r="K884" s="4"/>
      <c r="L884" s="4"/>
      <c r="M884" s="4"/>
      <c r="N884" s="4"/>
      <c r="O884" s="4"/>
      <c r="P884" s="4"/>
      <c r="Q884" s="4"/>
      <c r="R884" s="4"/>
      <c r="S884" s="4"/>
      <c r="T884" s="4"/>
      <c r="U884" s="4"/>
      <c r="V884" s="4"/>
      <c r="W884" s="4"/>
      <c r="X884" s="4"/>
      <c r="Y884" s="4"/>
      <c r="Z884" s="4"/>
    </row>
    <row r="885" spans="1:26">
      <c r="A885" s="5">
        <v>43374</v>
      </c>
      <c r="B885" s="4" t="s">
        <v>21</v>
      </c>
      <c r="C885" s="4" t="s">
        <v>18</v>
      </c>
      <c r="D885" s="4" t="s">
        <v>14</v>
      </c>
      <c r="E885" s="4" t="s">
        <v>13</v>
      </c>
      <c r="F885" s="4">
        <v>14900</v>
      </c>
      <c r="G885" s="4">
        <v>393</v>
      </c>
      <c r="H885" s="4">
        <v>9441</v>
      </c>
      <c r="I885" s="6">
        <v>11901.890101522842</v>
      </c>
      <c r="J885" s="4"/>
      <c r="K885" s="4"/>
      <c r="L885" s="4"/>
      <c r="M885" s="4"/>
      <c r="N885" s="4"/>
      <c r="O885" s="4"/>
      <c r="P885" s="4"/>
      <c r="Q885" s="4"/>
      <c r="R885" s="4"/>
      <c r="S885" s="4"/>
      <c r="T885" s="4"/>
      <c r="U885" s="4"/>
      <c r="V885" s="4"/>
      <c r="W885" s="4"/>
      <c r="X885" s="4"/>
      <c r="Y885" s="4"/>
      <c r="Z885" s="4"/>
    </row>
    <row r="886" spans="1:26">
      <c r="A886" s="5">
        <v>43374</v>
      </c>
      <c r="B886" s="4" t="s">
        <v>21</v>
      </c>
      <c r="C886" s="4" t="s">
        <v>18</v>
      </c>
      <c r="D886" s="4" t="s">
        <v>15</v>
      </c>
      <c r="E886" s="4" t="s">
        <v>12</v>
      </c>
      <c r="F886" s="4">
        <v>880669</v>
      </c>
      <c r="G886" s="4">
        <v>13337</v>
      </c>
      <c r="H886" s="4">
        <v>63713</v>
      </c>
      <c r="I886" s="6">
        <v>20301.921614490217</v>
      </c>
      <c r="J886" s="4"/>
      <c r="K886" s="4"/>
      <c r="L886" s="4"/>
      <c r="M886" s="4"/>
      <c r="N886" s="4"/>
      <c r="O886" s="4"/>
      <c r="P886" s="4"/>
      <c r="Q886" s="4"/>
      <c r="R886" s="4"/>
      <c r="S886" s="4"/>
      <c r="T886" s="4"/>
      <c r="U886" s="4"/>
      <c r="V886" s="4"/>
      <c r="W886" s="4"/>
      <c r="X886" s="4"/>
      <c r="Y886" s="4"/>
      <c r="Z886" s="4"/>
    </row>
    <row r="887" spans="1:26">
      <c r="A887" s="5">
        <v>43374</v>
      </c>
      <c r="B887" s="4" t="s">
        <v>21</v>
      </c>
      <c r="C887" s="4" t="s">
        <v>18</v>
      </c>
      <c r="D887" s="4" t="s">
        <v>15</v>
      </c>
      <c r="E887" s="4" t="s">
        <v>13</v>
      </c>
      <c r="F887" s="4">
        <v>4561</v>
      </c>
      <c r="G887" s="4">
        <v>145</v>
      </c>
      <c r="H887" s="4">
        <v>3777</v>
      </c>
      <c r="I887" s="6">
        <v>2062.1664291547572</v>
      </c>
      <c r="J887" s="4"/>
      <c r="K887" s="4"/>
      <c r="L887" s="4"/>
      <c r="M887" s="4"/>
      <c r="N887" s="4"/>
      <c r="O887" s="4"/>
      <c r="P887" s="4"/>
      <c r="Q887" s="4"/>
      <c r="R887" s="4"/>
      <c r="S887" s="4"/>
      <c r="T887" s="4"/>
      <c r="U887" s="4"/>
      <c r="V887" s="4"/>
      <c r="W887" s="4"/>
      <c r="X887" s="4"/>
      <c r="Y887" s="4"/>
      <c r="Z887" s="4"/>
    </row>
    <row r="888" spans="1:26">
      <c r="A888" s="5">
        <v>43374</v>
      </c>
      <c r="B888" s="4" t="s">
        <v>21</v>
      </c>
      <c r="C888" s="4" t="s">
        <v>18</v>
      </c>
      <c r="D888" s="4" t="s">
        <v>16</v>
      </c>
      <c r="E888" s="4" t="s">
        <v>12</v>
      </c>
      <c r="F888" s="4">
        <v>22331683</v>
      </c>
      <c r="G888" s="4">
        <v>129840</v>
      </c>
      <c r="H888" s="4">
        <v>464110</v>
      </c>
      <c r="I888" s="6">
        <v>293955.00286461599</v>
      </c>
      <c r="J888" s="4"/>
      <c r="K888" s="4"/>
      <c r="L888" s="4"/>
      <c r="M888" s="4"/>
      <c r="N888" s="4"/>
      <c r="O888" s="4"/>
      <c r="P888" s="4"/>
      <c r="Q888" s="4"/>
      <c r="R888" s="4"/>
      <c r="S888" s="4"/>
      <c r="T888" s="4"/>
      <c r="U888" s="4"/>
      <c r="V888" s="4"/>
      <c r="W888" s="4"/>
      <c r="X888" s="4"/>
      <c r="Y888" s="4"/>
      <c r="Z888" s="4"/>
    </row>
    <row r="889" spans="1:26">
      <c r="A889" s="5">
        <v>43374</v>
      </c>
      <c r="B889" s="4" t="s">
        <v>21</v>
      </c>
      <c r="C889" s="4" t="s">
        <v>18</v>
      </c>
      <c r="D889" s="4" t="s">
        <v>16</v>
      </c>
      <c r="E889" s="4" t="s">
        <v>13</v>
      </c>
      <c r="F889" s="4">
        <v>588140</v>
      </c>
      <c r="G889" s="4">
        <v>1368</v>
      </c>
      <c r="H889" s="4">
        <v>47926</v>
      </c>
      <c r="I889" s="6">
        <v>35519.444227139931</v>
      </c>
      <c r="J889" s="4"/>
      <c r="K889" s="4"/>
      <c r="L889" s="4"/>
      <c r="M889" s="4"/>
      <c r="N889" s="4"/>
      <c r="O889" s="4"/>
      <c r="P889" s="4"/>
      <c r="Q889" s="4"/>
      <c r="R889" s="4"/>
      <c r="S889" s="4"/>
      <c r="T889" s="4"/>
      <c r="U889" s="4"/>
      <c r="V889" s="4"/>
      <c r="W889" s="4"/>
      <c r="X889" s="4"/>
      <c r="Y889" s="4"/>
      <c r="Z889" s="4"/>
    </row>
    <row r="890" spans="1:26">
      <c r="A890" s="5">
        <v>43374</v>
      </c>
      <c r="B890" s="4" t="s">
        <v>21</v>
      </c>
      <c r="C890" s="4" t="s">
        <v>18</v>
      </c>
      <c r="D890" s="4" t="s">
        <v>17</v>
      </c>
      <c r="E890" s="4" t="s">
        <v>12</v>
      </c>
      <c r="F890" s="4">
        <v>2964219</v>
      </c>
      <c r="G890" s="4">
        <v>47399</v>
      </c>
      <c r="H890" s="4">
        <v>156254</v>
      </c>
      <c r="I890" s="6">
        <v>111452.83844393758</v>
      </c>
      <c r="J890" s="4"/>
      <c r="K890" s="4"/>
      <c r="L890" s="4"/>
      <c r="M890" s="4"/>
      <c r="N890" s="4"/>
      <c r="O890" s="4"/>
      <c r="P890" s="4"/>
      <c r="Q890" s="4"/>
      <c r="R890" s="4"/>
      <c r="S890" s="4"/>
      <c r="T890" s="4"/>
      <c r="U890" s="4"/>
      <c r="V890" s="4"/>
      <c r="W890" s="4"/>
      <c r="X890" s="4"/>
      <c r="Y890" s="4"/>
      <c r="Z890" s="4"/>
    </row>
    <row r="891" spans="1:26">
      <c r="A891" s="5">
        <v>43374</v>
      </c>
      <c r="B891" s="4" t="s">
        <v>21</v>
      </c>
      <c r="C891" s="4" t="s">
        <v>18</v>
      </c>
      <c r="D891" s="4" t="s">
        <v>17</v>
      </c>
      <c r="E891" s="4" t="s">
        <v>13</v>
      </c>
      <c r="F891" s="4">
        <v>26838</v>
      </c>
      <c r="G891" s="4">
        <v>660</v>
      </c>
      <c r="H891" s="4">
        <v>24801</v>
      </c>
      <c r="I891" s="6">
        <v>19922.881201398555</v>
      </c>
      <c r="J891" s="4"/>
      <c r="K891" s="4"/>
      <c r="L891" s="4"/>
      <c r="M891" s="4"/>
      <c r="N891" s="4"/>
      <c r="O891" s="4"/>
      <c r="P891" s="4"/>
      <c r="Q891" s="4"/>
      <c r="R891" s="4"/>
      <c r="S891" s="4"/>
      <c r="T891" s="4"/>
      <c r="U891" s="4"/>
      <c r="V891" s="4"/>
      <c r="W891" s="4"/>
      <c r="X891" s="4"/>
      <c r="Y891" s="4"/>
      <c r="Z891" s="4"/>
    </row>
    <row r="892" spans="1:26">
      <c r="A892" s="5">
        <v>43374</v>
      </c>
      <c r="B892" s="4" t="s">
        <v>21</v>
      </c>
      <c r="C892" s="4" t="s">
        <v>19</v>
      </c>
      <c r="D892" s="4" t="s">
        <v>11</v>
      </c>
      <c r="E892" s="4" t="s">
        <v>12</v>
      </c>
      <c r="F892" s="4">
        <v>561981</v>
      </c>
      <c r="G892" s="4">
        <v>8054</v>
      </c>
      <c r="H892" s="4">
        <v>8345</v>
      </c>
      <c r="I892" s="6">
        <v>88447.113937282236</v>
      </c>
      <c r="J892" s="4"/>
      <c r="K892" s="4"/>
      <c r="L892" s="4"/>
      <c r="M892" s="4"/>
      <c r="N892" s="4"/>
      <c r="O892" s="4"/>
      <c r="P892" s="4"/>
      <c r="Q892" s="4"/>
      <c r="R892" s="4"/>
      <c r="S892" s="4"/>
      <c r="T892" s="4"/>
      <c r="U892" s="4"/>
      <c r="V892" s="4"/>
      <c r="W892" s="4"/>
      <c r="X892" s="4"/>
      <c r="Y892" s="4"/>
      <c r="Z892" s="4"/>
    </row>
    <row r="893" spans="1:26">
      <c r="A893" s="5">
        <v>43374</v>
      </c>
      <c r="B893" s="4" t="s">
        <v>21</v>
      </c>
      <c r="C893" s="4" t="s">
        <v>19</v>
      </c>
      <c r="D893" s="4" t="s">
        <v>11</v>
      </c>
      <c r="E893" s="4" t="s">
        <v>13</v>
      </c>
      <c r="F893" s="4">
        <v>14709</v>
      </c>
      <c r="G893" s="4">
        <v>1297</v>
      </c>
      <c r="H893" s="4">
        <v>38164</v>
      </c>
      <c r="I893" s="6">
        <v>21772.620733650965</v>
      </c>
      <c r="J893" s="4"/>
      <c r="K893" s="4"/>
      <c r="L893" s="4"/>
      <c r="M893" s="4"/>
      <c r="N893" s="4"/>
      <c r="O893" s="4"/>
      <c r="P893" s="4"/>
      <c r="Q893" s="4"/>
      <c r="R893" s="4"/>
      <c r="S893" s="4"/>
      <c r="T893" s="4"/>
      <c r="U893" s="4"/>
      <c r="V893" s="4"/>
      <c r="W893" s="4"/>
      <c r="X893" s="4"/>
      <c r="Y893" s="4"/>
      <c r="Z893" s="4"/>
    </row>
    <row r="894" spans="1:26">
      <c r="A894" s="5">
        <v>43374</v>
      </c>
      <c r="B894" s="4" t="s">
        <v>21</v>
      </c>
      <c r="C894" s="4" t="s">
        <v>19</v>
      </c>
      <c r="D894" s="4" t="s">
        <v>14</v>
      </c>
      <c r="E894" s="4" t="s">
        <v>12</v>
      </c>
      <c r="F894" s="4">
        <v>1009864</v>
      </c>
      <c r="G894" s="4">
        <v>16073</v>
      </c>
      <c r="H894" s="4">
        <v>17319</v>
      </c>
      <c r="I894" s="6">
        <v>161036.55435549334</v>
      </c>
      <c r="J894" s="4"/>
      <c r="K894" s="4"/>
      <c r="L894" s="4"/>
      <c r="M894" s="4"/>
      <c r="N894" s="4"/>
      <c r="O894" s="4"/>
      <c r="P894" s="4"/>
      <c r="Q894" s="4"/>
      <c r="R894" s="4"/>
      <c r="S894" s="4"/>
      <c r="T894" s="4"/>
      <c r="U894" s="4"/>
      <c r="V894" s="4"/>
      <c r="W894" s="4"/>
      <c r="X894" s="4"/>
      <c r="Y894" s="4"/>
      <c r="Z894" s="4"/>
    </row>
    <row r="895" spans="1:26">
      <c r="A895" s="5">
        <v>43374</v>
      </c>
      <c r="B895" s="4" t="s">
        <v>21</v>
      </c>
      <c r="C895" s="4" t="s">
        <v>19</v>
      </c>
      <c r="D895" s="4" t="s">
        <v>14</v>
      </c>
      <c r="E895" s="4" t="s">
        <v>13</v>
      </c>
      <c r="F895" s="4">
        <v>28745</v>
      </c>
      <c r="G895" s="4">
        <v>2482</v>
      </c>
      <c r="H895" s="4">
        <v>116777</v>
      </c>
      <c r="I895" s="6">
        <v>36590.051454734916</v>
      </c>
      <c r="J895" s="4"/>
      <c r="K895" s="4"/>
      <c r="L895" s="4"/>
      <c r="M895" s="4"/>
      <c r="N895" s="4"/>
      <c r="O895" s="4"/>
      <c r="P895" s="4"/>
      <c r="Q895" s="4"/>
      <c r="R895" s="4"/>
      <c r="S895" s="4"/>
      <c r="T895" s="4"/>
      <c r="U895" s="4"/>
      <c r="V895" s="4"/>
      <c r="W895" s="4"/>
      <c r="X895" s="4"/>
      <c r="Y895" s="4"/>
      <c r="Z895" s="4"/>
    </row>
    <row r="896" spans="1:26">
      <c r="A896" s="5">
        <v>43374</v>
      </c>
      <c r="B896" s="4" t="s">
        <v>21</v>
      </c>
      <c r="C896" s="4" t="s">
        <v>19</v>
      </c>
      <c r="D896" s="4" t="s">
        <v>15</v>
      </c>
      <c r="E896" s="4" t="s">
        <v>12</v>
      </c>
      <c r="F896" s="4">
        <v>306016</v>
      </c>
      <c r="G896" s="4">
        <v>4349</v>
      </c>
      <c r="H896" s="4">
        <v>4682</v>
      </c>
      <c r="I896" s="6">
        <v>44275.203841379313</v>
      </c>
      <c r="J896" s="4"/>
      <c r="K896" s="4"/>
      <c r="L896" s="4"/>
      <c r="M896" s="4"/>
      <c r="N896" s="4"/>
      <c r="O896" s="4"/>
      <c r="P896" s="4"/>
      <c r="Q896" s="4"/>
      <c r="R896" s="4"/>
      <c r="S896" s="4"/>
      <c r="T896" s="4"/>
      <c r="U896" s="4"/>
      <c r="V896" s="4"/>
      <c r="W896" s="4"/>
      <c r="X896" s="4"/>
      <c r="Y896" s="4"/>
      <c r="Z896" s="4"/>
    </row>
    <row r="897" spans="1:26">
      <c r="A897" s="5">
        <v>43374</v>
      </c>
      <c r="B897" s="4" t="s">
        <v>21</v>
      </c>
      <c r="C897" s="4" t="s">
        <v>19</v>
      </c>
      <c r="D897" s="4" t="s">
        <v>15</v>
      </c>
      <c r="E897" s="4" t="s">
        <v>13</v>
      </c>
      <c r="F897" s="4">
        <v>8188</v>
      </c>
      <c r="G897" s="4">
        <v>686</v>
      </c>
      <c r="H897" s="4">
        <v>31053</v>
      </c>
      <c r="I897" s="6">
        <v>10140.372233619264</v>
      </c>
      <c r="J897" s="4"/>
      <c r="K897" s="4"/>
      <c r="L897" s="4"/>
      <c r="M897" s="4"/>
      <c r="N897" s="4"/>
      <c r="O897" s="4"/>
      <c r="P897" s="4"/>
      <c r="Q897" s="4"/>
      <c r="R897" s="4"/>
      <c r="S897" s="4"/>
      <c r="T897" s="4"/>
      <c r="U897" s="4"/>
      <c r="V897" s="4"/>
      <c r="W897" s="4"/>
      <c r="X897" s="4"/>
      <c r="Y897" s="4"/>
      <c r="Z897" s="4"/>
    </row>
    <row r="898" spans="1:26">
      <c r="A898" s="5">
        <v>43374</v>
      </c>
      <c r="B898" s="4" t="s">
        <v>21</v>
      </c>
      <c r="C898" s="4" t="s">
        <v>19</v>
      </c>
      <c r="D898" s="4" t="s">
        <v>16</v>
      </c>
      <c r="E898" s="4" t="s">
        <v>12</v>
      </c>
      <c r="F898" s="4">
        <v>2844465</v>
      </c>
      <c r="G898" s="4">
        <v>42644</v>
      </c>
      <c r="H898" s="4">
        <v>43484</v>
      </c>
      <c r="I898" s="6">
        <v>484978.64641602704</v>
      </c>
      <c r="J898" s="4"/>
      <c r="K898" s="4"/>
      <c r="L898" s="4"/>
      <c r="M898" s="4"/>
      <c r="N898" s="4"/>
      <c r="O898" s="4"/>
      <c r="P898" s="4"/>
      <c r="Q898" s="4"/>
      <c r="R898" s="4"/>
      <c r="S898" s="4"/>
      <c r="T898" s="4"/>
      <c r="U898" s="4"/>
      <c r="V898" s="4"/>
      <c r="W898" s="4"/>
      <c r="X898" s="4"/>
      <c r="Y898" s="4"/>
      <c r="Z898" s="4"/>
    </row>
    <row r="899" spans="1:26">
      <c r="A899" s="5">
        <v>43374</v>
      </c>
      <c r="B899" s="4" t="s">
        <v>21</v>
      </c>
      <c r="C899" s="4" t="s">
        <v>19</v>
      </c>
      <c r="D899" s="4" t="s">
        <v>16</v>
      </c>
      <c r="E899" s="4" t="s">
        <v>13</v>
      </c>
      <c r="F899" s="4">
        <v>73762</v>
      </c>
      <c r="G899" s="4">
        <v>6448</v>
      </c>
      <c r="H899" s="4">
        <v>427259</v>
      </c>
      <c r="I899" s="6">
        <v>98638.734901289004</v>
      </c>
      <c r="J899" s="4"/>
      <c r="K899" s="4"/>
      <c r="L899" s="4"/>
      <c r="M899" s="4"/>
      <c r="N899" s="4"/>
      <c r="O899" s="4"/>
      <c r="P899" s="4"/>
      <c r="Q899" s="4"/>
      <c r="R899" s="4"/>
      <c r="S899" s="4"/>
      <c r="T899" s="4"/>
      <c r="U899" s="4"/>
      <c r="V899" s="4"/>
      <c r="W899" s="4"/>
      <c r="X899" s="4"/>
      <c r="Y899" s="4"/>
      <c r="Z899" s="4"/>
    </row>
    <row r="900" spans="1:26">
      <c r="A900" s="5">
        <v>43374</v>
      </c>
      <c r="B900" s="4" t="s">
        <v>21</v>
      </c>
      <c r="C900" s="4" t="s">
        <v>19</v>
      </c>
      <c r="D900" s="4" t="s">
        <v>17</v>
      </c>
      <c r="E900" s="4" t="s">
        <v>12</v>
      </c>
      <c r="F900" s="4">
        <v>971153</v>
      </c>
      <c r="G900" s="4">
        <v>16024</v>
      </c>
      <c r="H900" s="4">
        <v>17681</v>
      </c>
      <c r="I900" s="6">
        <v>165563.52988941694</v>
      </c>
      <c r="J900" s="4"/>
      <c r="K900" s="4"/>
      <c r="L900" s="4"/>
      <c r="M900" s="4"/>
      <c r="N900" s="4"/>
      <c r="O900" s="4"/>
      <c r="P900" s="4"/>
      <c r="Q900" s="4"/>
      <c r="R900" s="4"/>
      <c r="S900" s="4"/>
      <c r="T900" s="4"/>
      <c r="U900" s="4"/>
      <c r="V900" s="4"/>
      <c r="W900" s="4"/>
      <c r="X900" s="4"/>
      <c r="Y900" s="4"/>
      <c r="Z900" s="4"/>
    </row>
    <row r="901" spans="1:26">
      <c r="A901" s="5">
        <v>43374</v>
      </c>
      <c r="B901" s="4" t="s">
        <v>21</v>
      </c>
      <c r="C901" s="4" t="s">
        <v>19</v>
      </c>
      <c r="D901" s="4" t="s">
        <v>17</v>
      </c>
      <c r="E901" s="4" t="s">
        <v>13</v>
      </c>
      <c r="F901" s="4">
        <v>25495</v>
      </c>
      <c r="G901" s="4">
        <v>2282</v>
      </c>
      <c r="H901" s="4">
        <v>97292</v>
      </c>
      <c r="I901" s="6">
        <v>40044.801233704922</v>
      </c>
      <c r="J901" s="4"/>
      <c r="K901" s="4"/>
      <c r="L901" s="4"/>
      <c r="M901" s="4"/>
      <c r="N901" s="4"/>
      <c r="O901" s="4"/>
      <c r="P901" s="4"/>
      <c r="Q901" s="4"/>
      <c r="R901" s="4"/>
      <c r="S901" s="4"/>
      <c r="T901" s="4"/>
      <c r="U901" s="4"/>
      <c r="V901" s="4"/>
      <c r="W901" s="4"/>
      <c r="X901" s="4"/>
      <c r="Y901" s="4"/>
      <c r="Z901" s="4"/>
    </row>
    <row r="902" spans="1:26">
      <c r="A902" s="5">
        <v>43405</v>
      </c>
      <c r="B902" s="4" t="s">
        <v>9</v>
      </c>
      <c r="C902" s="4" t="s">
        <v>10</v>
      </c>
      <c r="D902" s="4" t="s">
        <v>11</v>
      </c>
      <c r="E902" s="4" t="s">
        <v>12</v>
      </c>
      <c r="F902" s="4">
        <v>1192847</v>
      </c>
      <c r="G902" s="4">
        <v>55278</v>
      </c>
      <c r="H902" s="4">
        <v>65656</v>
      </c>
      <c r="I902" s="6">
        <v>49302.93857198186</v>
      </c>
      <c r="J902" s="4"/>
      <c r="K902" s="4"/>
      <c r="L902" s="4"/>
      <c r="M902" s="4"/>
      <c r="N902" s="4"/>
      <c r="O902" s="4"/>
      <c r="P902" s="4"/>
      <c r="Q902" s="4"/>
      <c r="R902" s="4"/>
      <c r="S902" s="4"/>
      <c r="T902" s="4"/>
      <c r="U902" s="4"/>
      <c r="V902" s="4"/>
      <c r="W902" s="4"/>
      <c r="X902" s="4"/>
      <c r="Y902" s="4"/>
      <c r="Z902" s="4"/>
    </row>
    <row r="903" spans="1:26">
      <c r="A903" s="5">
        <v>43405</v>
      </c>
      <c r="B903" s="4" t="s">
        <v>9</v>
      </c>
      <c r="C903" s="4" t="s">
        <v>10</v>
      </c>
      <c r="D903" s="4" t="s">
        <v>11</v>
      </c>
      <c r="E903" s="4" t="s">
        <v>13</v>
      </c>
      <c r="F903" s="4">
        <v>7104</v>
      </c>
      <c r="G903" s="4">
        <v>1223</v>
      </c>
      <c r="H903" s="4">
        <v>7212</v>
      </c>
      <c r="I903" s="6">
        <v>250393.57678530944</v>
      </c>
      <c r="J903" s="4"/>
      <c r="K903" s="4"/>
      <c r="L903" s="4"/>
      <c r="M903" s="4"/>
      <c r="N903" s="4"/>
      <c r="O903" s="4"/>
      <c r="P903" s="4"/>
      <c r="Q903" s="4"/>
      <c r="R903" s="4"/>
      <c r="S903" s="4"/>
      <c r="T903" s="4"/>
      <c r="U903" s="4"/>
      <c r="V903" s="4"/>
      <c r="W903" s="4"/>
      <c r="X903" s="4"/>
      <c r="Y903" s="4"/>
      <c r="Z903" s="4"/>
    </row>
    <row r="904" spans="1:26">
      <c r="A904" s="5">
        <v>43405</v>
      </c>
      <c r="B904" s="4" t="s">
        <v>9</v>
      </c>
      <c r="C904" s="4" t="s">
        <v>10</v>
      </c>
      <c r="D904" s="4" t="s">
        <v>14</v>
      </c>
      <c r="E904" s="4" t="s">
        <v>12</v>
      </c>
      <c r="F904" s="4">
        <v>2986567</v>
      </c>
      <c r="G904" s="4">
        <v>96710</v>
      </c>
      <c r="H904" s="4">
        <v>114313</v>
      </c>
      <c r="I904" s="6">
        <v>83077.402596805201</v>
      </c>
      <c r="J904" s="4"/>
      <c r="K904" s="4"/>
      <c r="L904" s="4"/>
      <c r="M904" s="4"/>
      <c r="N904" s="4"/>
      <c r="O904" s="4"/>
      <c r="P904" s="4"/>
      <c r="Q904" s="4"/>
      <c r="R904" s="4"/>
      <c r="S904" s="4"/>
      <c r="T904" s="4"/>
      <c r="U904" s="4"/>
      <c r="V904" s="4"/>
      <c r="W904" s="4"/>
      <c r="X904" s="4"/>
      <c r="Y904" s="4"/>
      <c r="Z904" s="4"/>
    </row>
    <row r="905" spans="1:26">
      <c r="A905" s="5">
        <v>43405</v>
      </c>
      <c r="B905" s="4" t="s">
        <v>9</v>
      </c>
      <c r="C905" s="4" t="s">
        <v>10</v>
      </c>
      <c r="D905" s="4" t="s">
        <v>14</v>
      </c>
      <c r="E905" s="4" t="s">
        <v>13</v>
      </c>
      <c r="F905" s="4">
        <v>11908</v>
      </c>
      <c r="G905" s="4">
        <v>2453</v>
      </c>
      <c r="H905" s="4">
        <v>17970</v>
      </c>
      <c r="I905" s="6">
        <v>386217.95705303445</v>
      </c>
      <c r="J905" s="4"/>
      <c r="K905" s="4"/>
      <c r="L905" s="4"/>
      <c r="M905" s="4"/>
      <c r="N905" s="4"/>
      <c r="O905" s="4"/>
      <c r="P905" s="4"/>
      <c r="Q905" s="4"/>
      <c r="R905" s="4"/>
      <c r="S905" s="4"/>
      <c r="T905" s="4"/>
      <c r="U905" s="4"/>
      <c r="V905" s="4"/>
      <c r="W905" s="4"/>
      <c r="X905" s="4"/>
      <c r="Y905" s="4"/>
      <c r="Z905" s="4"/>
    </row>
    <row r="906" spans="1:26">
      <c r="A906" s="5">
        <v>43405</v>
      </c>
      <c r="B906" s="4" t="s">
        <v>9</v>
      </c>
      <c r="C906" s="4" t="s">
        <v>10</v>
      </c>
      <c r="D906" s="4" t="s">
        <v>15</v>
      </c>
      <c r="E906" s="4" t="s">
        <v>12</v>
      </c>
      <c r="F906" s="4">
        <v>1206248</v>
      </c>
      <c r="G906" s="4">
        <v>40006</v>
      </c>
      <c r="H906" s="4">
        <v>51418</v>
      </c>
      <c r="I906" s="6">
        <v>38574.39270566465</v>
      </c>
      <c r="J906" s="4"/>
      <c r="K906" s="4"/>
      <c r="L906" s="4"/>
      <c r="M906" s="4"/>
      <c r="N906" s="4"/>
      <c r="O906" s="4"/>
      <c r="P906" s="4"/>
      <c r="Q906" s="4"/>
      <c r="R906" s="4"/>
      <c r="S906" s="4"/>
      <c r="T906" s="4"/>
      <c r="U906" s="4"/>
      <c r="V906" s="4"/>
      <c r="W906" s="4"/>
      <c r="X906" s="4"/>
      <c r="Y906" s="4"/>
      <c r="Z906" s="4"/>
    </row>
    <row r="907" spans="1:26">
      <c r="A907" s="5">
        <v>43405</v>
      </c>
      <c r="B907" s="4" t="s">
        <v>9</v>
      </c>
      <c r="C907" s="4" t="s">
        <v>10</v>
      </c>
      <c r="D907" s="4" t="s">
        <v>15</v>
      </c>
      <c r="E907" s="4" t="s">
        <v>13</v>
      </c>
      <c r="F907" s="4">
        <v>4558</v>
      </c>
      <c r="G907" s="4">
        <v>712</v>
      </c>
      <c r="H907" s="4">
        <v>5910</v>
      </c>
      <c r="I907" s="6">
        <v>96422.365181518137</v>
      </c>
      <c r="J907" s="4"/>
      <c r="K907" s="4"/>
      <c r="L907" s="4"/>
      <c r="M907" s="4"/>
      <c r="N907" s="4"/>
      <c r="O907" s="4"/>
      <c r="P907" s="4"/>
      <c r="Q907" s="4"/>
      <c r="R907" s="4"/>
      <c r="S907" s="4"/>
      <c r="T907" s="4"/>
      <c r="U907" s="4"/>
      <c r="V907" s="4"/>
      <c r="W907" s="4"/>
      <c r="X907" s="4"/>
      <c r="Y907" s="4"/>
      <c r="Z907" s="4"/>
    </row>
    <row r="908" spans="1:26">
      <c r="A908" s="5">
        <v>43405</v>
      </c>
      <c r="B908" s="4" t="s">
        <v>9</v>
      </c>
      <c r="C908" s="4" t="s">
        <v>10</v>
      </c>
      <c r="D908" s="4" t="s">
        <v>16</v>
      </c>
      <c r="E908" s="4" t="s">
        <v>12</v>
      </c>
      <c r="F908" s="4">
        <v>37172553</v>
      </c>
      <c r="G908" s="4">
        <v>249824</v>
      </c>
      <c r="H908" s="4">
        <v>281443</v>
      </c>
      <c r="I908" s="6">
        <v>213710.96931015488</v>
      </c>
      <c r="J908" s="4"/>
      <c r="K908" s="4"/>
      <c r="L908" s="4"/>
      <c r="M908" s="4"/>
      <c r="N908" s="4"/>
      <c r="O908" s="4"/>
      <c r="P908" s="4"/>
      <c r="Q908" s="4"/>
      <c r="R908" s="4"/>
      <c r="S908" s="4"/>
      <c r="T908" s="4"/>
      <c r="U908" s="4"/>
      <c r="V908" s="4"/>
      <c r="W908" s="4"/>
      <c r="X908" s="4"/>
      <c r="Y908" s="4"/>
      <c r="Z908" s="4"/>
    </row>
    <row r="909" spans="1:26">
      <c r="A909" s="5">
        <v>43405</v>
      </c>
      <c r="B909" s="4" t="s">
        <v>9</v>
      </c>
      <c r="C909" s="4" t="s">
        <v>10</v>
      </c>
      <c r="D909" s="4" t="s">
        <v>16</v>
      </c>
      <c r="E909" s="4" t="s">
        <v>13</v>
      </c>
      <c r="F909" s="4">
        <v>261054</v>
      </c>
      <c r="G909" s="4">
        <v>5316</v>
      </c>
      <c r="H909" s="4">
        <v>34706</v>
      </c>
      <c r="I909" s="6">
        <v>1165730.4691490366</v>
      </c>
      <c r="J909" s="4"/>
      <c r="K909" s="4"/>
      <c r="L909" s="4"/>
      <c r="M909" s="4"/>
      <c r="N909" s="4"/>
      <c r="O909" s="4"/>
      <c r="P909" s="4"/>
      <c r="Q909" s="4"/>
      <c r="R909" s="4"/>
      <c r="S909" s="4"/>
      <c r="T909" s="4"/>
      <c r="U909" s="4"/>
      <c r="V909" s="4"/>
      <c r="W909" s="4"/>
      <c r="X909" s="4"/>
      <c r="Y909" s="4"/>
      <c r="Z909" s="4"/>
    </row>
    <row r="910" spans="1:26">
      <c r="A910" s="5">
        <v>43405</v>
      </c>
      <c r="B910" s="4" t="s">
        <v>9</v>
      </c>
      <c r="C910" s="4" t="s">
        <v>10</v>
      </c>
      <c r="D910" s="4" t="s">
        <v>17</v>
      </c>
      <c r="E910" s="4" t="s">
        <v>12</v>
      </c>
      <c r="F910" s="4">
        <v>1834951</v>
      </c>
      <c r="G910" s="4">
        <v>82894</v>
      </c>
      <c r="H910" s="4">
        <v>94339</v>
      </c>
      <c r="I910" s="6">
        <v>92335.792304461618</v>
      </c>
      <c r="J910" s="4"/>
      <c r="K910" s="4"/>
      <c r="L910" s="4"/>
      <c r="M910" s="4"/>
      <c r="N910" s="4"/>
      <c r="O910" s="4"/>
      <c r="P910" s="4"/>
      <c r="Q910" s="4"/>
      <c r="R910" s="4"/>
      <c r="S910" s="4"/>
      <c r="T910" s="4"/>
      <c r="U910" s="4"/>
      <c r="V910" s="4"/>
      <c r="W910" s="4"/>
      <c r="X910" s="4"/>
      <c r="Y910" s="4"/>
      <c r="Z910" s="4"/>
    </row>
    <row r="911" spans="1:26">
      <c r="A911" s="5">
        <v>43405</v>
      </c>
      <c r="B911" s="4" t="s">
        <v>9</v>
      </c>
      <c r="C911" s="4" t="s">
        <v>10</v>
      </c>
      <c r="D911" s="4" t="s">
        <v>17</v>
      </c>
      <c r="E911" s="4" t="s">
        <v>13</v>
      </c>
      <c r="F911" s="4">
        <v>10947</v>
      </c>
      <c r="G911" s="4">
        <v>2234</v>
      </c>
      <c r="H911" s="4">
        <v>13114</v>
      </c>
      <c r="I911" s="6">
        <v>441961.39732584264</v>
      </c>
      <c r="J911" s="4"/>
      <c r="K911" s="4"/>
      <c r="L911" s="4"/>
      <c r="M911" s="4"/>
      <c r="N911" s="4"/>
      <c r="O911" s="4"/>
      <c r="P911" s="4"/>
      <c r="Q911" s="4"/>
      <c r="R911" s="4"/>
      <c r="S911" s="4"/>
      <c r="T911" s="4"/>
      <c r="U911" s="4"/>
      <c r="V911" s="4"/>
      <c r="W911" s="4"/>
      <c r="X911" s="4"/>
      <c r="Y911" s="4"/>
      <c r="Z911" s="4"/>
    </row>
    <row r="912" spans="1:26">
      <c r="A912" s="5">
        <v>43405</v>
      </c>
      <c r="B912" s="4" t="s">
        <v>9</v>
      </c>
      <c r="C912" s="4" t="s">
        <v>18</v>
      </c>
      <c r="D912" s="4" t="s">
        <v>11</v>
      </c>
      <c r="E912" s="4" t="s">
        <v>12</v>
      </c>
      <c r="F912" s="4">
        <v>7019513</v>
      </c>
      <c r="G912" s="4">
        <v>194997</v>
      </c>
      <c r="H912" s="4">
        <v>601601</v>
      </c>
      <c r="I912" s="6">
        <v>147471.75696210956</v>
      </c>
      <c r="J912" s="4"/>
      <c r="K912" s="4"/>
      <c r="L912" s="4"/>
      <c r="M912" s="4"/>
      <c r="N912" s="4"/>
      <c r="O912" s="4"/>
      <c r="P912" s="4"/>
      <c r="Q912" s="4"/>
      <c r="R912" s="4"/>
      <c r="S912" s="4"/>
      <c r="T912" s="4"/>
      <c r="U912" s="4"/>
      <c r="V912" s="4"/>
      <c r="W912" s="4"/>
      <c r="X912" s="4"/>
      <c r="Y912" s="4"/>
      <c r="Z912" s="4"/>
    </row>
    <row r="913" spans="1:26">
      <c r="A913" s="5">
        <v>43405</v>
      </c>
      <c r="B913" s="4" t="s">
        <v>9</v>
      </c>
      <c r="C913" s="4" t="s">
        <v>18</v>
      </c>
      <c r="D913" s="4" t="s">
        <v>11</v>
      </c>
      <c r="E913" s="4" t="s">
        <v>13</v>
      </c>
      <c r="F913" s="4">
        <v>39861</v>
      </c>
      <c r="G913" s="4">
        <v>729</v>
      </c>
      <c r="H913" s="4">
        <v>20235</v>
      </c>
      <c r="I913" s="6">
        <v>14853.05853157831</v>
      </c>
      <c r="J913" s="4"/>
      <c r="K913" s="4"/>
      <c r="L913" s="4"/>
      <c r="M913" s="4"/>
      <c r="N913" s="4"/>
      <c r="O913" s="4"/>
      <c r="P913" s="4"/>
      <c r="Q913" s="4"/>
      <c r="R913" s="4"/>
      <c r="S913" s="4"/>
      <c r="T913" s="4"/>
      <c r="U913" s="4"/>
      <c r="V913" s="4"/>
      <c r="W913" s="4"/>
      <c r="X913" s="4"/>
      <c r="Y913" s="4"/>
      <c r="Z913" s="4"/>
    </row>
    <row r="914" spans="1:26">
      <c r="A914" s="5">
        <v>43405</v>
      </c>
      <c r="B914" s="4" t="s">
        <v>9</v>
      </c>
      <c r="C914" s="4" t="s">
        <v>18</v>
      </c>
      <c r="D914" s="4" t="s">
        <v>14</v>
      </c>
      <c r="E914" s="4" t="s">
        <v>12</v>
      </c>
      <c r="F914" s="4">
        <v>16497235</v>
      </c>
      <c r="G914" s="4">
        <v>402875</v>
      </c>
      <c r="H914" s="4">
        <v>1214368</v>
      </c>
      <c r="I914" s="6">
        <v>195825.88954552979</v>
      </c>
      <c r="J914" s="4"/>
      <c r="K914" s="4"/>
      <c r="L914" s="4"/>
      <c r="M914" s="4"/>
      <c r="N914" s="4"/>
      <c r="O914" s="4"/>
      <c r="P914" s="4"/>
      <c r="Q914" s="4"/>
      <c r="R914" s="4"/>
      <c r="S914" s="4"/>
      <c r="T914" s="4"/>
      <c r="U914" s="4"/>
      <c r="V914" s="4"/>
      <c r="W914" s="4"/>
      <c r="X914" s="4"/>
      <c r="Y914" s="4"/>
      <c r="Z914" s="4"/>
    </row>
    <row r="915" spans="1:26">
      <c r="A915" s="5">
        <v>43405</v>
      </c>
      <c r="B915" s="4" t="s">
        <v>9</v>
      </c>
      <c r="C915" s="4" t="s">
        <v>18</v>
      </c>
      <c r="D915" s="4" t="s">
        <v>14</v>
      </c>
      <c r="E915" s="4" t="s">
        <v>13</v>
      </c>
      <c r="F915" s="4">
        <v>83549</v>
      </c>
      <c r="G915" s="4">
        <v>1013</v>
      </c>
      <c r="H915" s="4">
        <v>15025</v>
      </c>
      <c r="I915" s="6">
        <v>17282.880303688817</v>
      </c>
      <c r="J915" s="4"/>
      <c r="K915" s="4"/>
      <c r="L915" s="4"/>
      <c r="M915" s="4"/>
      <c r="N915" s="4"/>
      <c r="O915" s="4"/>
      <c r="P915" s="4"/>
      <c r="Q915" s="4"/>
      <c r="R915" s="4"/>
      <c r="S915" s="4"/>
      <c r="T915" s="4"/>
      <c r="U915" s="4"/>
      <c r="V915" s="4"/>
      <c r="W915" s="4"/>
      <c r="X915" s="4"/>
      <c r="Y915" s="4"/>
      <c r="Z915" s="4"/>
    </row>
    <row r="916" spans="1:26">
      <c r="A916" s="5">
        <v>43405</v>
      </c>
      <c r="B916" s="4" t="s">
        <v>9</v>
      </c>
      <c r="C916" s="4" t="s">
        <v>18</v>
      </c>
      <c r="D916" s="4" t="s">
        <v>15</v>
      </c>
      <c r="E916" s="4" t="s">
        <v>12</v>
      </c>
      <c r="F916" s="4">
        <v>8185850</v>
      </c>
      <c r="G916" s="4">
        <v>216843</v>
      </c>
      <c r="H916" s="4">
        <v>714484</v>
      </c>
      <c r="I916" s="6">
        <v>78877.653778897875</v>
      </c>
      <c r="J916" s="4"/>
      <c r="K916" s="4"/>
      <c r="L916" s="4"/>
      <c r="M916" s="4"/>
      <c r="N916" s="4"/>
      <c r="O916" s="4"/>
      <c r="P916" s="4"/>
      <c r="Q916" s="4"/>
      <c r="R916" s="4"/>
      <c r="S916" s="4"/>
      <c r="T916" s="4"/>
      <c r="U916" s="4"/>
      <c r="V916" s="4"/>
      <c r="W916" s="4"/>
      <c r="X916" s="4"/>
      <c r="Y916" s="4"/>
      <c r="Z916" s="4"/>
    </row>
    <row r="917" spans="1:26">
      <c r="A917" s="5">
        <v>43405</v>
      </c>
      <c r="B917" s="4" t="s">
        <v>9</v>
      </c>
      <c r="C917" s="4" t="s">
        <v>18</v>
      </c>
      <c r="D917" s="4" t="s">
        <v>15</v>
      </c>
      <c r="E917" s="4" t="s">
        <v>13</v>
      </c>
      <c r="F917" s="4">
        <v>30497</v>
      </c>
      <c r="G917" s="4">
        <v>404</v>
      </c>
      <c r="H917" s="4">
        <v>5749</v>
      </c>
      <c r="I917" s="6">
        <v>7462.2942818924239</v>
      </c>
      <c r="J917" s="4"/>
      <c r="K917" s="4"/>
      <c r="L917" s="4"/>
      <c r="M917" s="4"/>
      <c r="N917" s="4"/>
      <c r="O917" s="4"/>
      <c r="P917" s="4"/>
      <c r="Q917" s="4"/>
      <c r="R917" s="4"/>
      <c r="S917" s="4"/>
      <c r="T917" s="4"/>
      <c r="U917" s="4"/>
      <c r="V917" s="4"/>
      <c r="W917" s="4"/>
      <c r="X917" s="4"/>
      <c r="Y917" s="4"/>
      <c r="Z917" s="4"/>
    </row>
    <row r="918" spans="1:26">
      <c r="A918" s="5">
        <v>43405</v>
      </c>
      <c r="B918" s="4" t="s">
        <v>9</v>
      </c>
      <c r="C918" s="4" t="s">
        <v>18</v>
      </c>
      <c r="D918" s="4" t="s">
        <v>16</v>
      </c>
      <c r="E918" s="4" t="s">
        <v>12</v>
      </c>
      <c r="F918" s="4">
        <v>105381717</v>
      </c>
      <c r="G918" s="4">
        <v>736496</v>
      </c>
      <c r="H918" s="4">
        <v>2109457</v>
      </c>
      <c r="I918" s="6">
        <v>508432.99530903273</v>
      </c>
      <c r="J918" s="4"/>
      <c r="K918" s="4"/>
      <c r="L918" s="4"/>
      <c r="M918" s="4"/>
      <c r="N918" s="4"/>
      <c r="O918" s="4"/>
      <c r="P918" s="4"/>
      <c r="Q918" s="4"/>
      <c r="R918" s="4"/>
      <c r="S918" s="4"/>
      <c r="T918" s="4"/>
      <c r="U918" s="4"/>
      <c r="V918" s="4"/>
      <c r="W918" s="4"/>
      <c r="X918" s="4"/>
      <c r="Y918" s="4"/>
      <c r="Z918" s="4"/>
    </row>
    <row r="919" spans="1:26">
      <c r="A919" s="5">
        <v>43405</v>
      </c>
      <c r="B919" s="4" t="s">
        <v>9</v>
      </c>
      <c r="C919" s="4" t="s">
        <v>18</v>
      </c>
      <c r="D919" s="4" t="s">
        <v>16</v>
      </c>
      <c r="E919" s="4" t="s">
        <v>13</v>
      </c>
      <c r="F919" s="4">
        <v>921125</v>
      </c>
      <c r="G919" s="4">
        <v>2110</v>
      </c>
      <c r="H919" s="4">
        <v>51951</v>
      </c>
      <c r="I919" s="6">
        <v>33399.153007606423</v>
      </c>
      <c r="J919" s="4"/>
      <c r="K919" s="4"/>
      <c r="L919" s="4"/>
      <c r="M919" s="4"/>
      <c r="N919" s="4"/>
      <c r="O919" s="4"/>
      <c r="P919" s="4"/>
      <c r="Q919" s="4"/>
      <c r="R919" s="4"/>
      <c r="S919" s="4"/>
      <c r="T919" s="4"/>
      <c r="U919" s="4"/>
      <c r="V919" s="4"/>
      <c r="W919" s="4"/>
      <c r="X919" s="4"/>
      <c r="Y919" s="4"/>
      <c r="Z919" s="4"/>
    </row>
    <row r="920" spans="1:26">
      <c r="A920" s="5">
        <v>43405</v>
      </c>
      <c r="B920" s="4" t="s">
        <v>9</v>
      </c>
      <c r="C920" s="4" t="s">
        <v>18</v>
      </c>
      <c r="D920" s="4" t="s">
        <v>17</v>
      </c>
      <c r="E920" s="4" t="s">
        <v>12</v>
      </c>
      <c r="F920" s="4">
        <v>9975797</v>
      </c>
      <c r="G920" s="4">
        <v>236753</v>
      </c>
      <c r="H920" s="4">
        <v>674963</v>
      </c>
      <c r="I920" s="6">
        <v>172668.65077068176</v>
      </c>
      <c r="J920" s="4"/>
      <c r="K920" s="4"/>
      <c r="L920" s="4"/>
      <c r="M920" s="4"/>
      <c r="N920" s="4"/>
      <c r="O920" s="4"/>
      <c r="P920" s="4"/>
      <c r="Q920" s="4"/>
      <c r="R920" s="4"/>
      <c r="S920" s="4"/>
      <c r="T920" s="4"/>
      <c r="U920" s="4"/>
      <c r="V920" s="4"/>
      <c r="W920" s="4"/>
      <c r="X920" s="4"/>
      <c r="Y920" s="4"/>
      <c r="Z920" s="4"/>
    </row>
    <row r="921" spans="1:26">
      <c r="A921" s="5">
        <v>43405</v>
      </c>
      <c r="B921" s="4" t="s">
        <v>9</v>
      </c>
      <c r="C921" s="4" t="s">
        <v>18</v>
      </c>
      <c r="D921" s="4" t="s">
        <v>17</v>
      </c>
      <c r="E921" s="4" t="s">
        <v>13</v>
      </c>
      <c r="F921" s="4">
        <v>76175</v>
      </c>
      <c r="G921" s="4">
        <v>850</v>
      </c>
      <c r="H921" s="4">
        <v>18790</v>
      </c>
      <c r="I921" s="6">
        <v>13478.102775729714</v>
      </c>
      <c r="J921" s="4"/>
      <c r="K921" s="4"/>
      <c r="L921" s="4"/>
      <c r="M921" s="4"/>
      <c r="N921" s="4"/>
      <c r="O921" s="4"/>
      <c r="P921" s="4"/>
      <c r="Q921" s="4"/>
      <c r="R921" s="4"/>
      <c r="S921" s="4"/>
      <c r="T921" s="4"/>
      <c r="U921" s="4"/>
      <c r="V921" s="4"/>
      <c r="W921" s="4"/>
      <c r="X921" s="4"/>
      <c r="Y921" s="4"/>
      <c r="Z921" s="4"/>
    </row>
    <row r="922" spans="1:26">
      <c r="A922" s="5">
        <v>43405</v>
      </c>
      <c r="B922" s="4" t="s">
        <v>9</v>
      </c>
      <c r="C922" s="4" t="s">
        <v>19</v>
      </c>
      <c r="D922" s="4" t="s">
        <v>11</v>
      </c>
      <c r="E922" s="4" t="s">
        <v>12</v>
      </c>
      <c r="F922" s="4">
        <v>121495</v>
      </c>
      <c r="G922" s="4">
        <v>19766</v>
      </c>
      <c r="H922" s="4">
        <v>20819</v>
      </c>
      <c r="I922" s="6">
        <v>105258.51022690567</v>
      </c>
      <c r="J922" s="4"/>
      <c r="K922" s="4"/>
      <c r="L922" s="4"/>
      <c r="M922" s="4"/>
      <c r="N922" s="4"/>
      <c r="O922" s="4"/>
      <c r="P922" s="4"/>
      <c r="Q922" s="4"/>
      <c r="R922" s="4"/>
      <c r="S922" s="4"/>
      <c r="T922" s="4"/>
      <c r="U922" s="4"/>
      <c r="V922" s="4"/>
      <c r="W922" s="4"/>
      <c r="X922" s="4"/>
      <c r="Y922" s="4"/>
      <c r="Z922" s="4"/>
    </row>
    <row r="923" spans="1:26">
      <c r="A923" s="5">
        <v>43405</v>
      </c>
      <c r="B923" s="4" t="s">
        <v>9</v>
      </c>
      <c r="C923" s="4" t="s">
        <v>19</v>
      </c>
      <c r="D923" s="4" t="s">
        <v>11</v>
      </c>
      <c r="E923" s="4" t="s">
        <v>13</v>
      </c>
      <c r="F923" s="4">
        <v>668</v>
      </c>
      <c r="G923" s="4">
        <v>769</v>
      </c>
      <c r="H923" s="4">
        <v>8034</v>
      </c>
      <c r="I923" s="6">
        <v>18011.328009723486</v>
      </c>
      <c r="J923" s="4"/>
      <c r="K923" s="4"/>
      <c r="L923" s="4"/>
      <c r="M923" s="4"/>
      <c r="N923" s="4"/>
      <c r="O923" s="4"/>
      <c r="P923" s="4"/>
      <c r="Q923" s="4"/>
      <c r="R923" s="4"/>
      <c r="S923" s="4"/>
      <c r="T923" s="4"/>
      <c r="U923" s="4"/>
      <c r="V923" s="4"/>
      <c r="W923" s="4"/>
      <c r="X923" s="4"/>
      <c r="Y923" s="4"/>
      <c r="Z923" s="4"/>
    </row>
    <row r="924" spans="1:26">
      <c r="A924" s="5">
        <v>43405</v>
      </c>
      <c r="B924" s="4" t="s">
        <v>9</v>
      </c>
      <c r="C924" s="4" t="s">
        <v>19</v>
      </c>
      <c r="D924" s="4" t="s">
        <v>14</v>
      </c>
      <c r="E924" s="4" t="s">
        <v>12</v>
      </c>
      <c r="F924" s="4">
        <v>298087</v>
      </c>
      <c r="G924" s="4">
        <v>46604</v>
      </c>
      <c r="H924" s="4">
        <v>48984</v>
      </c>
      <c r="I924" s="6">
        <v>187562.53808560522</v>
      </c>
      <c r="J924" s="4"/>
      <c r="K924" s="4"/>
      <c r="L924" s="4"/>
      <c r="M924" s="4"/>
      <c r="N924" s="4"/>
      <c r="O924" s="4"/>
      <c r="P924" s="4"/>
      <c r="Q924" s="4"/>
      <c r="R924" s="4"/>
      <c r="S924" s="4"/>
      <c r="T924" s="4"/>
      <c r="U924" s="4"/>
      <c r="V924" s="4"/>
      <c r="W924" s="4"/>
      <c r="X924" s="4"/>
      <c r="Y924" s="4"/>
      <c r="Z924" s="4"/>
    </row>
    <row r="925" spans="1:26">
      <c r="A925" s="5">
        <v>43405</v>
      </c>
      <c r="B925" s="4" t="s">
        <v>9</v>
      </c>
      <c r="C925" s="4" t="s">
        <v>19</v>
      </c>
      <c r="D925" s="4" t="s">
        <v>14</v>
      </c>
      <c r="E925" s="4" t="s">
        <v>13</v>
      </c>
      <c r="F925" s="4">
        <v>1603</v>
      </c>
      <c r="G925" s="4">
        <v>1717</v>
      </c>
      <c r="H925" s="4">
        <v>43614</v>
      </c>
      <c r="I925" s="6">
        <v>29857.009714864183</v>
      </c>
      <c r="J925" s="4"/>
      <c r="K925" s="4"/>
      <c r="L925" s="4"/>
      <c r="M925" s="4"/>
      <c r="N925" s="4"/>
      <c r="O925" s="4"/>
      <c r="P925" s="4"/>
      <c r="Q925" s="4"/>
      <c r="R925" s="4"/>
      <c r="S925" s="4"/>
      <c r="T925" s="4"/>
      <c r="U925" s="4"/>
      <c r="V925" s="4"/>
      <c r="W925" s="4"/>
      <c r="X925" s="4"/>
      <c r="Y925" s="4"/>
      <c r="Z925" s="4"/>
    </row>
    <row r="926" spans="1:26">
      <c r="A926" s="5">
        <v>43405</v>
      </c>
      <c r="B926" s="4" t="s">
        <v>9</v>
      </c>
      <c r="C926" s="4" t="s">
        <v>19</v>
      </c>
      <c r="D926" s="4" t="s">
        <v>15</v>
      </c>
      <c r="E926" s="4" t="s">
        <v>12</v>
      </c>
      <c r="F926" s="4">
        <v>140661</v>
      </c>
      <c r="G926" s="4">
        <v>23918</v>
      </c>
      <c r="H926" s="4">
        <v>24784</v>
      </c>
      <c r="I926" s="6">
        <v>69344.544414071555</v>
      </c>
      <c r="J926" s="4"/>
      <c r="K926" s="4"/>
      <c r="L926" s="4"/>
      <c r="M926" s="4"/>
      <c r="N926" s="4"/>
      <c r="O926" s="4"/>
      <c r="P926" s="4"/>
      <c r="Q926" s="4"/>
      <c r="R926" s="4"/>
      <c r="S926" s="4"/>
      <c r="T926" s="4"/>
      <c r="U926" s="4"/>
      <c r="V926" s="4"/>
      <c r="W926" s="4"/>
      <c r="X926" s="4"/>
      <c r="Y926" s="4"/>
      <c r="Z926" s="4"/>
    </row>
    <row r="927" spans="1:26">
      <c r="A927" s="5">
        <v>43405</v>
      </c>
      <c r="B927" s="4" t="s">
        <v>9</v>
      </c>
      <c r="C927" s="4" t="s">
        <v>19</v>
      </c>
      <c r="D927" s="4" t="s">
        <v>15</v>
      </c>
      <c r="E927" s="4" t="s">
        <v>13</v>
      </c>
      <c r="F927" s="4">
        <v>499</v>
      </c>
      <c r="G927" s="4">
        <v>705</v>
      </c>
      <c r="H927" s="4">
        <v>23497</v>
      </c>
      <c r="I927" s="6">
        <v>13032.331858781139</v>
      </c>
      <c r="J927" s="4"/>
      <c r="K927" s="4"/>
      <c r="L927" s="4"/>
      <c r="M927" s="4"/>
      <c r="N927" s="4"/>
      <c r="O927" s="4"/>
      <c r="P927" s="4"/>
      <c r="Q927" s="4"/>
      <c r="R927" s="4"/>
      <c r="S927" s="4"/>
      <c r="T927" s="4"/>
      <c r="U927" s="4"/>
      <c r="V927" s="4"/>
      <c r="W927" s="4"/>
      <c r="X927" s="4"/>
      <c r="Y927" s="4"/>
      <c r="Z927" s="4"/>
    </row>
    <row r="928" spans="1:26">
      <c r="A928" s="5">
        <v>43405</v>
      </c>
      <c r="B928" s="4" t="s">
        <v>9</v>
      </c>
      <c r="C928" s="4" t="s">
        <v>19</v>
      </c>
      <c r="D928" s="4" t="s">
        <v>16</v>
      </c>
      <c r="E928" s="4" t="s">
        <v>12</v>
      </c>
      <c r="F928" s="4">
        <v>16739466</v>
      </c>
      <c r="G928" s="4">
        <v>73336</v>
      </c>
      <c r="H928" s="4">
        <v>75184</v>
      </c>
      <c r="I928" s="6">
        <v>432555.48524668859</v>
      </c>
      <c r="J928" s="4"/>
      <c r="K928" s="4"/>
      <c r="L928" s="4"/>
      <c r="M928" s="4"/>
      <c r="N928" s="4"/>
      <c r="O928" s="4"/>
      <c r="P928" s="4"/>
      <c r="Q928" s="4"/>
      <c r="R928" s="4"/>
      <c r="S928" s="4"/>
      <c r="T928" s="4"/>
      <c r="U928" s="4"/>
      <c r="V928" s="4"/>
      <c r="W928" s="4"/>
      <c r="X928" s="4"/>
      <c r="Y928" s="4"/>
      <c r="Z928" s="4"/>
    </row>
    <row r="929" spans="1:26">
      <c r="A929" s="5">
        <v>43405</v>
      </c>
      <c r="B929" s="4" t="s">
        <v>9</v>
      </c>
      <c r="C929" s="4" t="s">
        <v>19</v>
      </c>
      <c r="D929" s="4" t="s">
        <v>16</v>
      </c>
      <c r="E929" s="4" t="s">
        <v>13</v>
      </c>
      <c r="F929" s="4">
        <v>156439</v>
      </c>
      <c r="G929" s="4">
        <v>2204</v>
      </c>
      <c r="H929" s="4">
        <v>37920</v>
      </c>
      <c r="I929" s="6">
        <v>58734.310424310432</v>
      </c>
      <c r="J929" s="4"/>
      <c r="K929" s="4"/>
      <c r="L929" s="4"/>
      <c r="M929" s="4"/>
      <c r="N929" s="4"/>
      <c r="O929" s="4"/>
      <c r="P929" s="4"/>
      <c r="Q929" s="4"/>
      <c r="R929" s="4"/>
      <c r="S929" s="4"/>
      <c r="T929" s="4"/>
      <c r="U929" s="4"/>
      <c r="V929" s="4"/>
      <c r="W929" s="4"/>
      <c r="X929" s="4"/>
      <c r="Y929" s="4"/>
      <c r="Z929" s="4"/>
    </row>
    <row r="930" spans="1:26">
      <c r="A930" s="5">
        <v>43405</v>
      </c>
      <c r="B930" s="4" t="s">
        <v>9</v>
      </c>
      <c r="C930" s="4" t="s">
        <v>19</v>
      </c>
      <c r="D930" s="4" t="s">
        <v>17</v>
      </c>
      <c r="E930" s="4" t="s">
        <v>12</v>
      </c>
      <c r="F930" s="4">
        <v>233483</v>
      </c>
      <c r="G930" s="4">
        <v>26464</v>
      </c>
      <c r="H930" s="4">
        <v>27324</v>
      </c>
      <c r="I930" s="6">
        <v>160421.80073962899</v>
      </c>
      <c r="J930" s="4"/>
      <c r="K930" s="4"/>
      <c r="L930" s="4"/>
      <c r="M930" s="4"/>
      <c r="N930" s="4"/>
      <c r="O930" s="4"/>
      <c r="P930" s="4"/>
      <c r="Q930" s="4"/>
      <c r="R930" s="4"/>
      <c r="S930" s="4"/>
      <c r="T930" s="4"/>
      <c r="U930" s="4"/>
      <c r="V930" s="4"/>
      <c r="W930" s="4"/>
      <c r="X930" s="4"/>
      <c r="Y930" s="4"/>
      <c r="Z930" s="4"/>
    </row>
    <row r="931" spans="1:26">
      <c r="A931" s="5">
        <v>43405</v>
      </c>
      <c r="B931" s="4" t="s">
        <v>9</v>
      </c>
      <c r="C931" s="4" t="s">
        <v>19</v>
      </c>
      <c r="D931" s="4" t="s">
        <v>17</v>
      </c>
      <c r="E931" s="4" t="s">
        <v>13</v>
      </c>
      <c r="F931" s="4">
        <v>1580</v>
      </c>
      <c r="G931" s="4">
        <v>722</v>
      </c>
      <c r="H931" s="4">
        <v>7273</v>
      </c>
      <c r="I931" s="6">
        <v>19850.040352506716</v>
      </c>
      <c r="J931" s="4"/>
      <c r="K931" s="4"/>
      <c r="L931" s="4"/>
      <c r="M931" s="4"/>
      <c r="N931" s="4"/>
      <c r="O931" s="4"/>
      <c r="P931" s="4"/>
      <c r="Q931" s="4"/>
      <c r="R931" s="4"/>
      <c r="S931" s="4"/>
      <c r="T931" s="4"/>
      <c r="U931" s="4"/>
      <c r="V931" s="4"/>
      <c r="W931" s="4"/>
      <c r="X931" s="4"/>
      <c r="Y931" s="4"/>
      <c r="Z931" s="4"/>
    </row>
    <row r="932" spans="1:26">
      <c r="A932" s="5">
        <v>43405</v>
      </c>
      <c r="B932" s="4" t="s">
        <v>20</v>
      </c>
      <c r="C932" s="4" t="s">
        <v>10</v>
      </c>
      <c r="D932" s="4" t="s">
        <v>11</v>
      </c>
      <c r="E932" s="4" t="s">
        <v>12</v>
      </c>
      <c r="F932" s="4">
        <v>2364323</v>
      </c>
      <c r="G932" s="4">
        <v>5558</v>
      </c>
      <c r="H932" s="4">
        <v>6299</v>
      </c>
      <c r="I932" s="6">
        <v>1482.3793364689045</v>
      </c>
      <c r="J932" s="4"/>
      <c r="K932" s="4"/>
      <c r="L932" s="4"/>
      <c r="M932" s="4"/>
      <c r="N932" s="4"/>
      <c r="O932" s="4"/>
      <c r="P932" s="4"/>
      <c r="Q932" s="4"/>
      <c r="R932" s="4"/>
      <c r="S932" s="4"/>
      <c r="T932" s="4"/>
      <c r="U932" s="4"/>
      <c r="V932" s="4"/>
      <c r="W932" s="4"/>
      <c r="X932" s="4"/>
      <c r="Y932" s="4"/>
      <c r="Z932" s="4"/>
    </row>
    <row r="933" spans="1:26">
      <c r="A933" s="5">
        <v>43405</v>
      </c>
      <c r="B933" s="4" t="s">
        <v>20</v>
      </c>
      <c r="C933" s="4" t="s">
        <v>10</v>
      </c>
      <c r="D933" s="4" t="s">
        <v>11</v>
      </c>
      <c r="E933" s="4" t="s">
        <v>13</v>
      </c>
      <c r="F933" s="4">
        <v>956</v>
      </c>
      <c r="G933" s="4">
        <v>27</v>
      </c>
      <c r="H933" s="4">
        <v>68</v>
      </c>
      <c r="I933" s="6">
        <v>15120.390707070706</v>
      </c>
      <c r="J933" s="4"/>
      <c r="K933" s="4"/>
      <c r="L933" s="4"/>
      <c r="M933" s="4"/>
      <c r="N933" s="4"/>
      <c r="O933" s="4"/>
      <c r="P933" s="4"/>
      <c r="Q933" s="4"/>
      <c r="R933" s="4"/>
      <c r="S933" s="4"/>
      <c r="T933" s="4"/>
      <c r="U933" s="4"/>
      <c r="V933" s="4"/>
      <c r="W933" s="4"/>
      <c r="X933" s="4"/>
      <c r="Y933" s="4"/>
      <c r="Z933" s="4"/>
    </row>
    <row r="934" spans="1:26">
      <c r="A934" s="5">
        <v>43405</v>
      </c>
      <c r="B934" s="4" t="s">
        <v>20</v>
      </c>
      <c r="C934" s="4" t="s">
        <v>10</v>
      </c>
      <c r="D934" s="4" t="s">
        <v>14</v>
      </c>
      <c r="E934" s="4" t="s">
        <v>12</v>
      </c>
      <c r="F934" s="4">
        <v>4281727</v>
      </c>
      <c r="G934" s="4">
        <v>9888</v>
      </c>
      <c r="H934" s="4">
        <v>10740</v>
      </c>
      <c r="I934" s="6">
        <v>1349.4169142551727</v>
      </c>
      <c r="J934" s="4"/>
      <c r="K934" s="4"/>
      <c r="L934" s="4"/>
      <c r="M934" s="4"/>
      <c r="N934" s="4"/>
      <c r="O934" s="4"/>
      <c r="P934" s="4"/>
      <c r="Q934" s="4"/>
      <c r="R934" s="4"/>
      <c r="S934" s="4"/>
      <c r="T934" s="4"/>
      <c r="U934" s="4"/>
      <c r="V934" s="4"/>
      <c r="W934" s="4"/>
      <c r="X934" s="4"/>
      <c r="Y934" s="4"/>
      <c r="Z934" s="4"/>
    </row>
    <row r="935" spans="1:26">
      <c r="A935" s="5">
        <v>43405</v>
      </c>
      <c r="B935" s="4" t="s">
        <v>20</v>
      </c>
      <c r="C935" s="4" t="s">
        <v>10</v>
      </c>
      <c r="D935" s="4" t="s">
        <v>14</v>
      </c>
      <c r="E935" s="4" t="s">
        <v>13</v>
      </c>
      <c r="F935" s="4">
        <v>2062</v>
      </c>
      <c r="G935" s="4">
        <v>51</v>
      </c>
      <c r="H935" s="4">
        <v>214</v>
      </c>
      <c r="I935" s="6">
        <v>23971.041013793103</v>
      </c>
      <c r="J935" s="4"/>
      <c r="K935" s="4"/>
      <c r="L935" s="4"/>
      <c r="M935" s="4"/>
      <c r="N935" s="4"/>
      <c r="O935" s="4"/>
      <c r="P935" s="4"/>
      <c r="Q935" s="4"/>
      <c r="R935" s="4"/>
      <c r="S935" s="4"/>
      <c r="T935" s="4"/>
      <c r="U935" s="4"/>
      <c r="V935" s="4"/>
      <c r="W935" s="4"/>
      <c r="X935" s="4"/>
      <c r="Y935" s="4"/>
      <c r="Z935" s="4"/>
    </row>
    <row r="936" spans="1:26">
      <c r="A936" s="5">
        <v>43405</v>
      </c>
      <c r="B936" s="4" t="s">
        <v>20</v>
      </c>
      <c r="C936" s="4" t="s">
        <v>10</v>
      </c>
      <c r="D936" s="4" t="s">
        <v>15</v>
      </c>
      <c r="E936" s="4" t="s">
        <v>12</v>
      </c>
      <c r="F936" s="4">
        <v>1070098</v>
      </c>
      <c r="G936" s="4">
        <v>2498</v>
      </c>
      <c r="H936" s="4">
        <v>2710</v>
      </c>
      <c r="I936" s="6">
        <v>432.28963433061352</v>
      </c>
      <c r="J936" s="4"/>
      <c r="K936" s="4"/>
      <c r="L936" s="4"/>
      <c r="M936" s="4"/>
      <c r="N936" s="4"/>
      <c r="O936" s="4"/>
      <c r="P936" s="4"/>
      <c r="Q936" s="4"/>
      <c r="R936" s="4"/>
      <c r="S936" s="4"/>
      <c r="T936" s="4"/>
      <c r="U936" s="4"/>
      <c r="V936" s="4"/>
      <c r="W936" s="4"/>
      <c r="X936" s="4"/>
      <c r="Y936" s="4"/>
      <c r="Z936" s="4"/>
    </row>
    <row r="937" spans="1:26">
      <c r="A937" s="5">
        <v>43405</v>
      </c>
      <c r="B937" s="4" t="s">
        <v>20</v>
      </c>
      <c r="C937" s="4" t="s">
        <v>10</v>
      </c>
      <c r="D937" s="4" t="s">
        <v>15</v>
      </c>
      <c r="E937" s="4" t="s">
        <v>13</v>
      </c>
      <c r="F937" s="4">
        <v>283</v>
      </c>
      <c r="G937" s="4">
        <v>12</v>
      </c>
      <c r="H937" s="4">
        <v>37</v>
      </c>
      <c r="I937" s="6">
        <v>4503.0928169014087</v>
      </c>
      <c r="J937" s="4"/>
      <c r="K937" s="4"/>
      <c r="L937" s="4"/>
      <c r="M937" s="4"/>
      <c r="N937" s="4"/>
      <c r="O937" s="4"/>
      <c r="P937" s="4"/>
      <c r="Q937" s="4"/>
      <c r="R937" s="4"/>
      <c r="S937" s="4"/>
      <c r="T937" s="4"/>
      <c r="U937" s="4"/>
      <c r="V937" s="4"/>
      <c r="W937" s="4"/>
      <c r="X937" s="4"/>
      <c r="Y937" s="4"/>
      <c r="Z937" s="4"/>
    </row>
    <row r="938" spans="1:26">
      <c r="A938" s="5">
        <v>43405</v>
      </c>
      <c r="B938" s="4" t="s">
        <v>20</v>
      </c>
      <c r="C938" s="4" t="s">
        <v>10</v>
      </c>
      <c r="D938" s="4" t="s">
        <v>16</v>
      </c>
      <c r="E938" s="4" t="s">
        <v>12</v>
      </c>
      <c r="F938" s="4">
        <v>11515904</v>
      </c>
      <c r="G938" s="4">
        <v>36010</v>
      </c>
      <c r="H938" s="4">
        <v>37820</v>
      </c>
      <c r="I938" s="6">
        <v>6378.1587722737922</v>
      </c>
      <c r="J938" s="4"/>
      <c r="K938" s="4"/>
      <c r="L938" s="4"/>
      <c r="M938" s="4"/>
      <c r="N938" s="4"/>
      <c r="O938" s="4"/>
      <c r="P938" s="4"/>
      <c r="Q938" s="4"/>
      <c r="R938" s="4"/>
      <c r="S938" s="4"/>
      <c r="T938" s="4"/>
      <c r="U938" s="4"/>
      <c r="V938" s="4"/>
      <c r="W938" s="4"/>
      <c r="X938" s="4"/>
      <c r="Y938" s="4"/>
      <c r="Z938" s="4"/>
    </row>
    <row r="939" spans="1:26">
      <c r="A939" s="5">
        <v>43405</v>
      </c>
      <c r="B939" s="4" t="s">
        <v>20</v>
      </c>
      <c r="C939" s="4" t="s">
        <v>10</v>
      </c>
      <c r="D939" s="4" t="s">
        <v>16</v>
      </c>
      <c r="E939" s="4" t="s">
        <v>13</v>
      </c>
      <c r="F939" s="4">
        <v>5590</v>
      </c>
      <c r="G939" s="4">
        <v>244</v>
      </c>
      <c r="H939" s="4">
        <v>658</v>
      </c>
      <c r="I939" s="6">
        <v>107693.85449877749</v>
      </c>
      <c r="J939" s="4"/>
      <c r="K939" s="4"/>
      <c r="L939" s="4"/>
      <c r="M939" s="4"/>
      <c r="N939" s="4"/>
      <c r="O939" s="4"/>
      <c r="P939" s="4"/>
      <c r="Q939" s="4"/>
      <c r="R939" s="4"/>
      <c r="S939" s="4"/>
      <c r="T939" s="4"/>
      <c r="U939" s="4"/>
      <c r="V939" s="4"/>
      <c r="W939" s="4"/>
      <c r="X939" s="4"/>
      <c r="Y939" s="4"/>
      <c r="Z939" s="4"/>
    </row>
    <row r="940" spans="1:26">
      <c r="A940" s="5">
        <v>43405</v>
      </c>
      <c r="B940" s="4" t="s">
        <v>20</v>
      </c>
      <c r="C940" s="4" t="s">
        <v>10</v>
      </c>
      <c r="D940" s="4" t="s">
        <v>17</v>
      </c>
      <c r="E940" s="4" t="s">
        <v>12</v>
      </c>
      <c r="F940" s="4">
        <v>3648532</v>
      </c>
      <c r="G940" s="4">
        <v>11984</v>
      </c>
      <c r="H940" s="4">
        <v>12715</v>
      </c>
      <c r="I940" s="6">
        <v>1935.008882844244</v>
      </c>
      <c r="J940" s="4"/>
      <c r="K940" s="4"/>
      <c r="L940" s="4"/>
      <c r="M940" s="4"/>
      <c r="N940" s="4"/>
      <c r="O940" s="4"/>
      <c r="P940" s="4"/>
      <c r="Q940" s="4"/>
      <c r="R940" s="4"/>
      <c r="S940" s="4"/>
      <c r="T940" s="4"/>
      <c r="U940" s="4"/>
      <c r="V940" s="4"/>
      <c r="W940" s="4"/>
      <c r="X940" s="4"/>
      <c r="Y940" s="4"/>
      <c r="Z940" s="4"/>
    </row>
    <row r="941" spans="1:26">
      <c r="A941" s="5">
        <v>43405</v>
      </c>
      <c r="B941" s="4" t="s">
        <v>20</v>
      </c>
      <c r="C941" s="4" t="s">
        <v>10</v>
      </c>
      <c r="D941" s="4" t="s">
        <v>17</v>
      </c>
      <c r="E941" s="4" t="s">
        <v>13</v>
      </c>
      <c r="F941" s="4">
        <v>1892</v>
      </c>
      <c r="G941" s="4">
        <v>77</v>
      </c>
      <c r="H941" s="4">
        <v>243</v>
      </c>
      <c r="I941" s="6">
        <v>36953.746838709674</v>
      </c>
      <c r="J941" s="4"/>
      <c r="K941" s="4"/>
      <c r="L941" s="4"/>
      <c r="M941" s="4"/>
      <c r="N941" s="4"/>
      <c r="O941" s="4"/>
      <c r="P941" s="4"/>
      <c r="Q941" s="4"/>
      <c r="R941" s="4"/>
      <c r="S941" s="4"/>
      <c r="T941" s="4"/>
      <c r="U941" s="4"/>
      <c r="V941" s="4"/>
      <c r="W941" s="4"/>
      <c r="X941" s="4"/>
      <c r="Y941" s="4"/>
      <c r="Z941" s="4"/>
    </row>
    <row r="942" spans="1:26">
      <c r="A942" s="5">
        <v>43405</v>
      </c>
      <c r="B942" s="4" t="s">
        <v>20</v>
      </c>
      <c r="C942" s="4" t="s">
        <v>18</v>
      </c>
      <c r="D942" s="4" t="s">
        <v>11</v>
      </c>
      <c r="E942" s="4" t="s">
        <v>12</v>
      </c>
      <c r="F942" s="4">
        <v>2645125</v>
      </c>
      <c r="G942" s="4">
        <v>15712</v>
      </c>
      <c r="H942" s="4">
        <v>30278</v>
      </c>
      <c r="I942" s="6">
        <v>9314.0379762194971</v>
      </c>
      <c r="J942" s="4"/>
      <c r="K942" s="4"/>
      <c r="L942" s="4"/>
      <c r="M942" s="4"/>
      <c r="N942" s="4"/>
      <c r="O942" s="4"/>
      <c r="P942" s="4"/>
      <c r="Q942" s="4"/>
      <c r="R942" s="4"/>
      <c r="S942" s="4"/>
      <c r="T942" s="4"/>
      <c r="U942" s="4"/>
      <c r="V942" s="4"/>
      <c r="W942" s="4"/>
      <c r="X942" s="4"/>
      <c r="Y942" s="4"/>
      <c r="Z942" s="4"/>
    </row>
    <row r="943" spans="1:26">
      <c r="A943" s="5">
        <v>43405</v>
      </c>
      <c r="B943" s="4" t="s">
        <v>20</v>
      </c>
      <c r="C943" s="4" t="s">
        <v>18</v>
      </c>
      <c r="D943" s="4" t="s">
        <v>11</v>
      </c>
      <c r="E943" s="4" t="s">
        <v>13</v>
      </c>
      <c r="F943" s="4">
        <v>1364</v>
      </c>
      <c r="G943" s="4">
        <v>18</v>
      </c>
      <c r="H943" s="4">
        <v>31</v>
      </c>
      <c r="I943" s="6">
        <v>161.7766</v>
      </c>
      <c r="J943" s="4"/>
      <c r="K943" s="4"/>
      <c r="L943" s="4"/>
      <c r="M943" s="4"/>
      <c r="N943" s="4"/>
      <c r="O943" s="4"/>
      <c r="P943" s="4"/>
      <c r="Q943" s="4"/>
      <c r="R943" s="4"/>
      <c r="S943" s="4"/>
      <c r="T943" s="4"/>
      <c r="U943" s="4"/>
      <c r="V943" s="4"/>
      <c r="W943" s="4"/>
      <c r="X943" s="4"/>
      <c r="Y943" s="4"/>
      <c r="Z943" s="4"/>
    </row>
    <row r="944" spans="1:26">
      <c r="A944" s="5">
        <v>43405</v>
      </c>
      <c r="B944" s="4" t="s">
        <v>20</v>
      </c>
      <c r="C944" s="4" t="s">
        <v>18</v>
      </c>
      <c r="D944" s="4" t="s">
        <v>14</v>
      </c>
      <c r="E944" s="4" t="s">
        <v>12</v>
      </c>
      <c r="F944" s="4">
        <v>5011059</v>
      </c>
      <c r="G944" s="4">
        <v>31005</v>
      </c>
      <c r="H944" s="4">
        <v>57964</v>
      </c>
      <c r="I944" s="6">
        <v>11830.11037385029</v>
      </c>
      <c r="J944" s="4"/>
      <c r="K944" s="4"/>
      <c r="L944" s="4"/>
      <c r="M944" s="4"/>
      <c r="N944" s="4"/>
      <c r="O944" s="4"/>
      <c r="P944" s="4"/>
      <c r="Q944" s="4"/>
      <c r="R944" s="4"/>
      <c r="S944" s="4"/>
      <c r="T944" s="4"/>
      <c r="U944" s="4"/>
      <c r="V944" s="4"/>
      <c r="W944" s="4"/>
      <c r="X944" s="4"/>
      <c r="Y944" s="4"/>
      <c r="Z944" s="4"/>
    </row>
    <row r="945" spans="1:26">
      <c r="A945" s="5">
        <v>43405</v>
      </c>
      <c r="B945" s="4" t="s">
        <v>20</v>
      </c>
      <c r="C945" s="4" t="s">
        <v>18</v>
      </c>
      <c r="D945" s="4" t="s">
        <v>14</v>
      </c>
      <c r="E945" s="4" t="s">
        <v>13</v>
      </c>
      <c r="F945" s="4">
        <v>2612</v>
      </c>
      <c r="G945" s="4">
        <v>30</v>
      </c>
      <c r="H945" s="4">
        <v>172</v>
      </c>
      <c r="I945" s="6">
        <v>289.1519150413223</v>
      </c>
      <c r="J945" s="4"/>
      <c r="K945" s="4"/>
      <c r="L945" s="4"/>
      <c r="M945" s="4"/>
      <c r="N945" s="4"/>
      <c r="O945" s="4"/>
      <c r="P945" s="4"/>
      <c r="Q945" s="4"/>
      <c r="R945" s="4"/>
      <c r="S945" s="4"/>
      <c r="T945" s="4"/>
      <c r="U945" s="4"/>
      <c r="V945" s="4"/>
      <c r="W945" s="4"/>
      <c r="X945" s="4"/>
      <c r="Y945" s="4"/>
      <c r="Z945" s="4"/>
    </row>
    <row r="946" spans="1:26">
      <c r="A946" s="5">
        <v>43405</v>
      </c>
      <c r="B946" s="4" t="s">
        <v>20</v>
      </c>
      <c r="C946" s="4" t="s">
        <v>18</v>
      </c>
      <c r="D946" s="4" t="s">
        <v>15</v>
      </c>
      <c r="E946" s="4" t="s">
        <v>12</v>
      </c>
      <c r="F946" s="4">
        <v>1581745</v>
      </c>
      <c r="G946" s="4">
        <v>10732</v>
      </c>
      <c r="H946" s="4">
        <v>20146</v>
      </c>
      <c r="I946" s="6">
        <v>3284.3088452928487</v>
      </c>
      <c r="J946" s="4"/>
      <c r="K946" s="4"/>
      <c r="L946" s="4"/>
      <c r="M946" s="4"/>
      <c r="N946" s="4"/>
      <c r="O946" s="4"/>
      <c r="P946" s="4"/>
      <c r="Q946" s="4"/>
      <c r="R946" s="4"/>
      <c r="S946" s="4"/>
      <c r="T946" s="4"/>
      <c r="U946" s="4"/>
      <c r="V946" s="4"/>
      <c r="W946" s="4"/>
      <c r="X946" s="4"/>
      <c r="Y946" s="4"/>
      <c r="Z946" s="4"/>
    </row>
    <row r="947" spans="1:26">
      <c r="A947" s="5">
        <v>43405</v>
      </c>
      <c r="B947" s="4" t="s">
        <v>20</v>
      </c>
      <c r="C947" s="4" t="s">
        <v>18</v>
      </c>
      <c r="D947" s="4" t="s">
        <v>15</v>
      </c>
      <c r="E947" s="4" t="s">
        <v>13</v>
      </c>
      <c r="F947" s="4">
        <v>548</v>
      </c>
      <c r="G947" s="4">
        <v>2</v>
      </c>
      <c r="H947" s="4">
        <v>6</v>
      </c>
      <c r="I947" s="6">
        <v>43.548571428571428</v>
      </c>
      <c r="J947" s="4"/>
      <c r="K947" s="4"/>
      <c r="L947" s="4"/>
      <c r="M947" s="4"/>
      <c r="N947" s="4"/>
      <c r="O947" s="4"/>
      <c r="P947" s="4"/>
      <c r="Q947" s="4"/>
      <c r="R947" s="4"/>
      <c r="S947" s="4"/>
      <c r="T947" s="4"/>
      <c r="U947" s="4"/>
      <c r="V947" s="4"/>
      <c r="W947" s="4"/>
      <c r="X947" s="4"/>
      <c r="Y947" s="4"/>
      <c r="Z947" s="4"/>
    </row>
    <row r="948" spans="1:26">
      <c r="A948" s="5">
        <v>43405</v>
      </c>
      <c r="B948" s="4" t="s">
        <v>20</v>
      </c>
      <c r="C948" s="4" t="s">
        <v>18</v>
      </c>
      <c r="D948" s="4" t="s">
        <v>16</v>
      </c>
      <c r="E948" s="4" t="s">
        <v>12</v>
      </c>
      <c r="F948" s="4">
        <v>23262057</v>
      </c>
      <c r="G948" s="4">
        <v>76751</v>
      </c>
      <c r="H948" s="4">
        <v>142955</v>
      </c>
      <c r="I948" s="6">
        <v>47170.539897917603</v>
      </c>
      <c r="J948" s="4"/>
      <c r="K948" s="4"/>
      <c r="L948" s="4"/>
      <c r="M948" s="4"/>
      <c r="N948" s="4"/>
      <c r="O948" s="4"/>
      <c r="P948" s="4"/>
      <c r="Q948" s="4"/>
      <c r="R948" s="4"/>
      <c r="S948" s="4"/>
      <c r="T948" s="4"/>
      <c r="U948" s="4"/>
      <c r="V948" s="4"/>
      <c r="W948" s="4"/>
      <c r="X948" s="4"/>
      <c r="Y948" s="4"/>
      <c r="Z948" s="4"/>
    </row>
    <row r="949" spans="1:26">
      <c r="A949" s="5">
        <v>43405</v>
      </c>
      <c r="B949" s="4" t="s">
        <v>20</v>
      </c>
      <c r="C949" s="4" t="s">
        <v>18</v>
      </c>
      <c r="D949" s="4" t="s">
        <v>16</v>
      </c>
      <c r="E949" s="4" t="s">
        <v>13</v>
      </c>
      <c r="F949" s="4">
        <v>28502</v>
      </c>
      <c r="G949" s="4">
        <v>94</v>
      </c>
      <c r="H949" s="4">
        <v>1025</v>
      </c>
      <c r="I949" s="6">
        <v>1373.4763097072419</v>
      </c>
      <c r="J949" s="4"/>
      <c r="K949" s="4"/>
      <c r="L949" s="4"/>
      <c r="M949" s="4"/>
      <c r="N949" s="4"/>
      <c r="O949" s="4"/>
      <c r="P949" s="4"/>
      <c r="Q949" s="4"/>
      <c r="R949" s="4"/>
      <c r="S949" s="4"/>
      <c r="T949" s="4"/>
      <c r="U949" s="4"/>
      <c r="V949" s="4"/>
      <c r="W949" s="4"/>
      <c r="X949" s="4"/>
      <c r="Y949" s="4"/>
      <c r="Z949" s="4"/>
    </row>
    <row r="950" spans="1:26">
      <c r="A950" s="5">
        <v>43405</v>
      </c>
      <c r="B950" s="4" t="s">
        <v>20</v>
      </c>
      <c r="C950" s="4" t="s">
        <v>18</v>
      </c>
      <c r="D950" s="4" t="s">
        <v>17</v>
      </c>
      <c r="E950" s="4" t="s">
        <v>12</v>
      </c>
      <c r="F950" s="4">
        <v>4098553</v>
      </c>
      <c r="G950" s="4">
        <v>25911</v>
      </c>
      <c r="H950" s="4">
        <v>45517</v>
      </c>
      <c r="I950" s="6">
        <v>15514.861826618135</v>
      </c>
      <c r="J950" s="4"/>
      <c r="K950" s="4"/>
      <c r="L950" s="4"/>
      <c r="M950" s="4"/>
      <c r="N950" s="4"/>
      <c r="O950" s="4"/>
      <c r="P950" s="4"/>
      <c r="Q950" s="4"/>
      <c r="R950" s="4"/>
      <c r="S950" s="4"/>
      <c r="T950" s="4"/>
      <c r="U950" s="4"/>
      <c r="V950" s="4"/>
      <c r="W950" s="4"/>
      <c r="X950" s="4"/>
      <c r="Y950" s="4"/>
      <c r="Z950" s="4"/>
    </row>
    <row r="951" spans="1:26">
      <c r="A951" s="5">
        <v>43405</v>
      </c>
      <c r="B951" s="4" t="s">
        <v>20</v>
      </c>
      <c r="C951" s="4" t="s">
        <v>18</v>
      </c>
      <c r="D951" s="4" t="s">
        <v>17</v>
      </c>
      <c r="E951" s="4" t="s">
        <v>13</v>
      </c>
      <c r="F951" s="4">
        <v>1652</v>
      </c>
      <c r="G951" s="4">
        <v>22</v>
      </c>
      <c r="H951" s="4">
        <v>122</v>
      </c>
      <c r="I951" s="6">
        <v>76.216847826086962</v>
      </c>
      <c r="J951" s="4"/>
      <c r="K951" s="4"/>
      <c r="L951" s="4"/>
      <c r="M951" s="4"/>
      <c r="N951" s="4"/>
      <c r="O951" s="4"/>
      <c r="P951" s="4"/>
      <c r="Q951" s="4"/>
      <c r="R951" s="4"/>
      <c r="S951" s="4"/>
      <c r="T951" s="4"/>
      <c r="U951" s="4"/>
      <c r="V951" s="4"/>
      <c r="W951" s="4"/>
      <c r="X951" s="4"/>
      <c r="Y951" s="4"/>
      <c r="Z951" s="4"/>
    </row>
    <row r="952" spans="1:26">
      <c r="A952" s="5">
        <v>43405</v>
      </c>
      <c r="B952" s="4" t="s">
        <v>20</v>
      </c>
      <c r="C952" s="4" t="s">
        <v>19</v>
      </c>
      <c r="D952" s="4" t="s">
        <v>11</v>
      </c>
      <c r="E952" s="4" t="s">
        <v>12</v>
      </c>
      <c r="F952" s="4">
        <v>809207</v>
      </c>
      <c r="G952" s="4">
        <v>2476</v>
      </c>
      <c r="H952" s="4">
        <v>2663</v>
      </c>
      <c r="I952" s="6">
        <v>9325.2056699446839</v>
      </c>
      <c r="J952" s="4"/>
      <c r="K952" s="4"/>
      <c r="L952" s="4"/>
      <c r="M952" s="4"/>
      <c r="N952" s="4"/>
      <c r="O952" s="4"/>
      <c r="P952" s="4"/>
      <c r="Q952" s="4"/>
      <c r="R952" s="4"/>
      <c r="S952" s="4"/>
      <c r="T952" s="4"/>
      <c r="U952" s="4"/>
      <c r="V952" s="4"/>
      <c r="W952" s="4"/>
      <c r="X952" s="4"/>
      <c r="Y952" s="4"/>
      <c r="Z952" s="4"/>
    </row>
    <row r="953" spans="1:26">
      <c r="A953" s="5">
        <v>43405</v>
      </c>
      <c r="B953" s="4" t="s">
        <v>20</v>
      </c>
      <c r="C953" s="4" t="s">
        <v>19</v>
      </c>
      <c r="D953" s="4" t="s">
        <v>11</v>
      </c>
      <c r="E953" s="4" t="s">
        <v>13</v>
      </c>
      <c r="F953" s="4">
        <v>1100</v>
      </c>
      <c r="G953" s="4">
        <v>42</v>
      </c>
      <c r="H953" s="4">
        <v>247</v>
      </c>
      <c r="I953" s="6">
        <v>1163.4655654761905</v>
      </c>
      <c r="J953" s="4"/>
      <c r="K953" s="4"/>
      <c r="L953" s="4"/>
      <c r="M953" s="4"/>
      <c r="N953" s="4"/>
      <c r="O953" s="4"/>
      <c r="P953" s="4"/>
      <c r="Q953" s="4"/>
      <c r="R953" s="4"/>
      <c r="S953" s="4"/>
      <c r="T953" s="4"/>
      <c r="U953" s="4"/>
      <c r="V953" s="4"/>
      <c r="W953" s="4"/>
      <c r="X953" s="4"/>
      <c r="Y953" s="4"/>
      <c r="Z953" s="4"/>
    </row>
    <row r="954" spans="1:26">
      <c r="A954" s="5">
        <v>43405</v>
      </c>
      <c r="B954" s="4" t="s">
        <v>20</v>
      </c>
      <c r="C954" s="4" t="s">
        <v>19</v>
      </c>
      <c r="D954" s="4" t="s">
        <v>14</v>
      </c>
      <c r="E954" s="4" t="s">
        <v>12</v>
      </c>
      <c r="F954" s="4">
        <v>1903998</v>
      </c>
      <c r="G954" s="4">
        <v>6366</v>
      </c>
      <c r="H954" s="4">
        <v>6431</v>
      </c>
      <c r="I954" s="6">
        <v>19765.051954887218</v>
      </c>
      <c r="J954" s="4"/>
      <c r="K954" s="4"/>
      <c r="L954" s="4"/>
      <c r="M954" s="4"/>
      <c r="N954" s="4"/>
      <c r="O954" s="4"/>
      <c r="P954" s="4"/>
      <c r="Q954" s="4"/>
      <c r="R954" s="4"/>
      <c r="S954" s="4"/>
      <c r="T954" s="4"/>
      <c r="U954" s="4"/>
      <c r="V954" s="4"/>
      <c r="W954" s="4"/>
      <c r="X954" s="4"/>
      <c r="Y954" s="4"/>
      <c r="Z954" s="4"/>
    </row>
    <row r="955" spans="1:26">
      <c r="A955" s="5">
        <v>43405</v>
      </c>
      <c r="B955" s="4" t="s">
        <v>20</v>
      </c>
      <c r="C955" s="4" t="s">
        <v>19</v>
      </c>
      <c r="D955" s="4" t="s">
        <v>14</v>
      </c>
      <c r="E955" s="4" t="s">
        <v>13</v>
      </c>
      <c r="F955" s="4">
        <v>2875</v>
      </c>
      <c r="G955" s="4">
        <v>117</v>
      </c>
      <c r="H955" s="4">
        <v>485</v>
      </c>
      <c r="I955" s="6">
        <v>2291.2663183279737</v>
      </c>
      <c r="J955" s="4"/>
      <c r="K955" s="4"/>
      <c r="L955" s="4"/>
      <c r="M955" s="4"/>
      <c r="N955" s="4"/>
      <c r="O955" s="4"/>
      <c r="P955" s="4"/>
      <c r="Q955" s="4"/>
      <c r="R955" s="4"/>
      <c r="S955" s="4"/>
      <c r="T955" s="4"/>
      <c r="U955" s="4"/>
      <c r="V955" s="4"/>
      <c r="W955" s="4"/>
      <c r="X955" s="4"/>
      <c r="Y955" s="4"/>
      <c r="Z955" s="4"/>
    </row>
    <row r="956" spans="1:26">
      <c r="A956" s="5">
        <v>43405</v>
      </c>
      <c r="B956" s="4" t="s">
        <v>20</v>
      </c>
      <c r="C956" s="4" t="s">
        <v>19</v>
      </c>
      <c r="D956" s="4" t="s">
        <v>15</v>
      </c>
      <c r="E956" s="4" t="s">
        <v>12</v>
      </c>
      <c r="F956" s="4">
        <v>495000</v>
      </c>
      <c r="G956" s="4">
        <v>1729</v>
      </c>
      <c r="H956" s="4">
        <v>1751</v>
      </c>
      <c r="I956" s="6">
        <v>6348.591879664179</v>
      </c>
      <c r="J956" s="4"/>
      <c r="K956" s="4"/>
      <c r="L956" s="4"/>
      <c r="M956" s="4"/>
      <c r="N956" s="4"/>
      <c r="O956" s="4"/>
      <c r="P956" s="4"/>
      <c r="Q956" s="4"/>
      <c r="R956" s="4"/>
      <c r="S956" s="4"/>
      <c r="T956" s="4"/>
      <c r="U956" s="4"/>
      <c r="V956" s="4"/>
      <c r="W956" s="4"/>
      <c r="X956" s="4"/>
      <c r="Y956" s="4"/>
      <c r="Z956" s="4"/>
    </row>
    <row r="957" spans="1:26">
      <c r="A957" s="5">
        <v>43405</v>
      </c>
      <c r="B957" s="4" t="s">
        <v>20</v>
      </c>
      <c r="C957" s="4" t="s">
        <v>19</v>
      </c>
      <c r="D957" s="4" t="s">
        <v>15</v>
      </c>
      <c r="E957" s="4" t="s">
        <v>13</v>
      </c>
      <c r="F957" s="4">
        <v>499</v>
      </c>
      <c r="G957" s="4">
        <v>17</v>
      </c>
      <c r="H957" s="4">
        <v>173</v>
      </c>
      <c r="I957" s="6">
        <v>238.52147368421055</v>
      </c>
      <c r="J957" s="4"/>
      <c r="K957" s="4"/>
      <c r="L957" s="4"/>
      <c r="M957" s="4"/>
      <c r="N957" s="4"/>
      <c r="O957" s="4"/>
      <c r="P957" s="4"/>
      <c r="Q957" s="4"/>
      <c r="R957" s="4"/>
      <c r="S957" s="4"/>
      <c r="T957" s="4"/>
      <c r="U957" s="4"/>
      <c r="V957" s="4"/>
      <c r="W957" s="4"/>
      <c r="X957" s="4"/>
      <c r="Y957" s="4"/>
      <c r="Z957" s="4"/>
    </row>
    <row r="958" spans="1:26">
      <c r="A958" s="5">
        <v>43405</v>
      </c>
      <c r="B958" s="4" t="s">
        <v>20</v>
      </c>
      <c r="C958" s="4" t="s">
        <v>19</v>
      </c>
      <c r="D958" s="4" t="s">
        <v>16</v>
      </c>
      <c r="E958" s="4" t="s">
        <v>12</v>
      </c>
      <c r="F958" s="4">
        <v>4445544</v>
      </c>
      <c r="G958" s="4">
        <v>12468</v>
      </c>
      <c r="H958" s="4">
        <v>12783</v>
      </c>
      <c r="I958" s="6">
        <v>59352.8736621977</v>
      </c>
      <c r="J958" s="4"/>
      <c r="K958" s="4"/>
      <c r="L958" s="4"/>
      <c r="M958" s="4"/>
      <c r="N958" s="4"/>
      <c r="O958" s="4"/>
      <c r="P958" s="4"/>
      <c r="Q958" s="4"/>
      <c r="R958" s="4"/>
      <c r="S958" s="4"/>
      <c r="T958" s="4"/>
      <c r="U958" s="4"/>
      <c r="V958" s="4"/>
      <c r="W958" s="4"/>
      <c r="X958" s="4"/>
      <c r="Y958" s="4"/>
      <c r="Z958" s="4"/>
    </row>
    <row r="959" spans="1:26">
      <c r="A959" s="5">
        <v>43405</v>
      </c>
      <c r="B959" s="4" t="s">
        <v>20</v>
      </c>
      <c r="C959" s="4" t="s">
        <v>19</v>
      </c>
      <c r="D959" s="4" t="s">
        <v>16</v>
      </c>
      <c r="E959" s="4" t="s">
        <v>13</v>
      </c>
      <c r="F959" s="4">
        <v>4416</v>
      </c>
      <c r="G959" s="4">
        <v>183</v>
      </c>
      <c r="H959" s="4">
        <v>938</v>
      </c>
      <c r="I959" s="6">
        <v>5666.434730538921</v>
      </c>
      <c r="J959" s="4"/>
      <c r="K959" s="4"/>
      <c r="L959" s="4"/>
      <c r="M959" s="4"/>
      <c r="N959" s="4"/>
      <c r="O959" s="4"/>
      <c r="P959" s="4"/>
      <c r="Q959" s="4"/>
      <c r="R959" s="4"/>
      <c r="S959" s="4"/>
      <c r="T959" s="4"/>
      <c r="U959" s="4"/>
      <c r="V959" s="4"/>
      <c r="W959" s="4"/>
      <c r="X959" s="4"/>
      <c r="Y959" s="4"/>
      <c r="Z959" s="4"/>
    </row>
    <row r="960" spans="1:26">
      <c r="A960" s="5">
        <v>43405</v>
      </c>
      <c r="B960" s="4" t="s">
        <v>20</v>
      </c>
      <c r="C960" s="4" t="s">
        <v>19</v>
      </c>
      <c r="D960" s="4" t="s">
        <v>17</v>
      </c>
      <c r="E960" s="4" t="s">
        <v>12</v>
      </c>
      <c r="F960" s="4">
        <v>1358993</v>
      </c>
      <c r="G960" s="4">
        <v>4422</v>
      </c>
      <c r="H960" s="4">
        <v>4464</v>
      </c>
      <c r="I960" s="6">
        <v>17668.076168104239</v>
      </c>
      <c r="J960" s="4"/>
      <c r="K960" s="4"/>
      <c r="L960" s="4"/>
      <c r="M960" s="4"/>
      <c r="N960" s="4"/>
      <c r="O960" s="4"/>
      <c r="P960" s="4"/>
      <c r="Q960" s="4"/>
      <c r="R960" s="4"/>
      <c r="S960" s="4"/>
      <c r="T960" s="4"/>
      <c r="U960" s="4"/>
      <c r="V960" s="4"/>
      <c r="W960" s="4"/>
      <c r="X960" s="4"/>
      <c r="Y960" s="4"/>
      <c r="Z960" s="4"/>
    </row>
    <row r="961" spans="1:26">
      <c r="A961" s="5">
        <v>43405</v>
      </c>
      <c r="B961" s="4" t="s">
        <v>20</v>
      </c>
      <c r="C961" s="4" t="s">
        <v>19</v>
      </c>
      <c r="D961" s="4" t="s">
        <v>17</v>
      </c>
      <c r="E961" s="4" t="s">
        <v>13</v>
      </c>
      <c r="F961" s="4">
        <v>1580</v>
      </c>
      <c r="G961" s="4">
        <v>53</v>
      </c>
      <c r="H961" s="4">
        <v>626</v>
      </c>
      <c r="I961" s="6">
        <v>1362.1730154946365</v>
      </c>
      <c r="J961" s="4"/>
      <c r="K961" s="4"/>
      <c r="L961" s="4"/>
      <c r="M961" s="4"/>
      <c r="N961" s="4"/>
      <c r="O961" s="4"/>
      <c r="P961" s="4"/>
      <c r="Q961" s="4"/>
      <c r="R961" s="4"/>
      <c r="S961" s="4"/>
      <c r="T961" s="4"/>
      <c r="U961" s="4"/>
      <c r="V961" s="4"/>
      <c r="W961" s="4"/>
      <c r="X961" s="4"/>
      <c r="Y961" s="4"/>
      <c r="Z961" s="4"/>
    </row>
    <row r="962" spans="1:26">
      <c r="A962" s="5">
        <v>43405</v>
      </c>
      <c r="B962" s="4" t="s">
        <v>21</v>
      </c>
      <c r="C962" s="4" t="s">
        <v>10</v>
      </c>
      <c r="D962" s="4" t="s">
        <v>11</v>
      </c>
      <c r="E962" s="4" t="s">
        <v>12</v>
      </c>
      <c r="F962" s="4">
        <v>1417112</v>
      </c>
      <c r="G962" s="4">
        <v>11704</v>
      </c>
      <c r="H962" s="4">
        <v>14683</v>
      </c>
      <c r="I962" s="6">
        <v>21848.854222997878</v>
      </c>
      <c r="J962" s="4"/>
      <c r="K962" s="4"/>
      <c r="L962" s="4"/>
      <c r="M962" s="4"/>
      <c r="N962" s="4"/>
      <c r="O962" s="4"/>
      <c r="P962" s="4"/>
      <c r="Q962" s="4"/>
      <c r="R962" s="4"/>
      <c r="S962" s="4"/>
      <c r="T962" s="4"/>
      <c r="U962" s="4"/>
      <c r="V962" s="4"/>
      <c r="W962" s="4"/>
      <c r="X962" s="4"/>
      <c r="Y962" s="4"/>
      <c r="Z962" s="4"/>
    </row>
    <row r="963" spans="1:26">
      <c r="A963" s="5">
        <v>43405</v>
      </c>
      <c r="B963" s="4" t="s">
        <v>21</v>
      </c>
      <c r="C963" s="4" t="s">
        <v>10</v>
      </c>
      <c r="D963" s="4" t="s">
        <v>11</v>
      </c>
      <c r="E963" s="4" t="s">
        <v>13</v>
      </c>
      <c r="F963" s="4">
        <v>17022</v>
      </c>
      <c r="G963" s="4">
        <v>1016</v>
      </c>
      <c r="H963" s="4">
        <v>17097</v>
      </c>
      <c r="I963" s="6">
        <v>94528.556726855837</v>
      </c>
      <c r="J963" s="4"/>
      <c r="K963" s="4"/>
      <c r="L963" s="4"/>
      <c r="M963" s="4"/>
      <c r="N963" s="4"/>
      <c r="O963" s="4"/>
      <c r="P963" s="4"/>
      <c r="Q963" s="4"/>
      <c r="R963" s="4"/>
      <c r="S963" s="4"/>
      <c r="T963" s="4"/>
      <c r="U963" s="4"/>
      <c r="V963" s="4"/>
      <c r="W963" s="4"/>
      <c r="X963" s="4"/>
      <c r="Y963" s="4"/>
      <c r="Z963" s="4"/>
    </row>
    <row r="964" spans="1:26">
      <c r="A964" s="5">
        <v>43405</v>
      </c>
      <c r="B964" s="4" t="s">
        <v>21</v>
      </c>
      <c r="C964" s="4" t="s">
        <v>10</v>
      </c>
      <c r="D964" s="4" t="s">
        <v>14</v>
      </c>
      <c r="E964" s="4" t="s">
        <v>12</v>
      </c>
      <c r="F964" s="4">
        <v>2177859</v>
      </c>
      <c r="G964" s="4">
        <v>13609</v>
      </c>
      <c r="H964" s="4">
        <v>15509</v>
      </c>
      <c r="I964" s="6">
        <v>32955.427710448392</v>
      </c>
      <c r="J964" s="4"/>
      <c r="K964" s="4"/>
      <c r="L964" s="4"/>
      <c r="M964" s="4"/>
      <c r="N964" s="4"/>
      <c r="O964" s="4"/>
      <c r="P964" s="4"/>
      <c r="Q964" s="4"/>
      <c r="R964" s="4"/>
      <c r="S964" s="4"/>
      <c r="T964" s="4"/>
      <c r="U964" s="4"/>
      <c r="V964" s="4"/>
      <c r="W964" s="4"/>
      <c r="X964" s="4"/>
      <c r="Y964" s="4"/>
      <c r="Z964" s="4"/>
    </row>
    <row r="965" spans="1:26">
      <c r="A965" s="5">
        <v>43405</v>
      </c>
      <c r="B965" s="4" t="s">
        <v>21</v>
      </c>
      <c r="C965" s="4" t="s">
        <v>10</v>
      </c>
      <c r="D965" s="4" t="s">
        <v>14</v>
      </c>
      <c r="E965" s="4" t="s">
        <v>13</v>
      </c>
      <c r="F965" s="4">
        <v>20600</v>
      </c>
      <c r="G965" s="4">
        <v>1335</v>
      </c>
      <c r="H965" s="4">
        <v>18348</v>
      </c>
      <c r="I965" s="6">
        <v>111801.52574939888</v>
      </c>
      <c r="J965" s="4"/>
      <c r="K965" s="4"/>
      <c r="L965" s="4"/>
      <c r="M965" s="4"/>
      <c r="N965" s="4"/>
      <c r="O965" s="4"/>
      <c r="P965" s="4"/>
      <c r="Q965" s="4"/>
      <c r="R965" s="4"/>
      <c r="S965" s="4"/>
      <c r="T965" s="4"/>
      <c r="U965" s="4"/>
      <c r="V965" s="4"/>
      <c r="W965" s="4"/>
      <c r="X965" s="4"/>
      <c r="Y965" s="4"/>
      <c r="Z965" s="4"/>
    </row>
    <row r="966" spans="1:26">
      <c r="A966" s="5">
        <v>43405</v>
      </c>
      <c r="B966" s="4" t="s">
        <v>21</v>
      </c>
      <c r="C966" s="4" t="s">
        <v>10</v>
      </c>
      <c r="D966" s="4" t="s">
        <v>15</v>
      </c>
      <c r="E966" s="4" t="s">
        <v>12</v>
      </c>
      <c r="F966" s="4">
        <v>578431</v>
      </c>
      <c r="G966" s="4">
        <v>3757</v>
      </c>
      <c r="H966" s="4">
        <v>4410</v>
      </c>
      <c r="I966" s="6">
        <v>8119.8244147157184</v>
      </c>
      <c r="J966" s="4"/>
      <c r="K966" s="4"/>
      <c r="L966" s="4"/>
      <c r="M966" s="4"/>
      <c r="N966" s="4"/>
      <c r="O966" s="4"/>
      <c r="P966" s="4"/>
      <c r="Q966" s="4"/>
      <c r="R966" s="4"/>
      <c r="S966" s="4"/>
      <c r="T966" s="4"/>
      <c r="U966" s="4"/>
      <c r="V966" s="4"/>
      <c r="W966" s="4"/>
      <c r="X966" s="4"/>
      <c r="Y966" s="4"/>
      <c r="Z966" s="4"/>
    </row>
    <row r="967" spans="1:26">
      <c r="A967" s="5">
        <v>43405</v>
      </c>
      <c r="B967" s="4" t="s">
        <v>21</v>
      </c>
      <c r="C967" s="4" t="s">
        <v>10</v>
      </c>
      <c r="D967" s="4" t="s">
        <v>15</v>
      </c>
      <c r="E967" s="4" t="s">
        <v>13</v>
      </c>
      <c r="F967" s="4">
        <v>5062</v>
      </c>
      <c r="G967" s="4">
        <v>338</v>
      </c>
      <c r="H967" s="4">
        <v>3679</v>
      </c>
      <c r="I967" s="6">
        <v>26995.930912080687</v>
      </c>
      <c r="J967" s="4"/>
      <c r="K967" s="4"/>
      <c r="L967" s="4"/>
      <c r="M967" s="4"/>
      <c r="N967" s="4"/>
      <c r="O967" s="4"/>
      <c r="P967" s="4"/>
      <c r="Q967" s="4"/>
      <c r="R967" s="4"/>
      <c r="S967" s="4"/>
      <c r="T967" s="4"/>
      <c r="U967" s="4"/>
      <c r="V967" s="4"/>
      <c r="W967" s="4"/>
      <c r="X967" s="4"/>
      <c r="Y967" s="4"/>
      <c r="Z967" s="4"/>
    </row>
    <row r="968" spans="1:26">
      <c r="A968" s="5">
        <v>43405</v>
      </c>
      <c r="B968" s="4" t="s">
        <v>21</v>
      </c>
      <c r="C968" s="4" t="s">
        <v>10</v>
      </c>
      <c r="D968" s="4" t="s">
        <v>16</v>
      </c>
      <c r="E968" s="4" t="s">
        <v>12</v>
      </c>
      <c r="F968" s="4">
        <v>7375915</v>
      </c>
      <c r="G968" s="4">
        <v>62010</v>
      </c>
      <c r="H968" s="4">
        <v>68678</v>
      </c>
      <c r="I968" s="6">
        <v>168659.48440455287</v>
      </c>
      <c r="J968" s="4"/>
      <c r="K968" s="4"/>
      <c r="L968" s="4"/>
      <c r="M968" s="4"/>
      <c r="N968" s="4"/>
      <c r="O968" s="4"/>
      <c r="P968" s="4"/>
      <c r="Q968" s="4"/>
      <c r="R968" s="4"/>
      <c r="S968" s="4"/>
      <c r="T968" s="4"/>
      <c r="U968" s="4"/>
      <c r="V968" s="4"/>
      <c r="W968" s="4"/>
      <c r="X968" s="4"/>
      <c r="Y968" s="4"/>
      <c r="Z968" s="4"/>
    </row>
    <row r="969" spans="1:26">
      <c r="A969" s="5">
        <v>43405</v>
      </c>
      <c r="B969" s="4" t="s">
        <v>21</v>
      </c>
      <c r="C969" s="4" t="s">
        <v>10</v>
      </c>
      <c r="D969" s="4" t="s">
        <v>16</v>
      </c>
      <c r="E969" s="4" t="s">
        <v>13</v>
      </c>
      <c r="F969" s="4">
        <v>90562</v>
      </c>
      <c r="G969" s="4">
        <v>6547</v>
      </c>
      <c r="H969" s="4">
        <v>94322</v>
      </c>
      <c r="I969" s="6">
        <v>530450.09178158373</v>
      </c>
      <c r="J969" s="4"/>
      <c r="K969" s="4"/>
      <c r="L969" s="4"/>
      <c r="M969" s="4"/>
      <c r="N969" s="4"/>
      <c r="O969" s="4"/>
      <c r="P969" s="4"/>
      <c r="Q969" s="4"/>
      <c r="R969" s="4"/>
      <c r="S969" s="4"/>
      <c r="T969" s="4"/>
      <c r="U969" s="4"/>
      <c r="V969" s="4"/>
      <c r="W969" s="4"/>
      <c r="X969" s="4"/>
      <c r="Y969" s="4"/>
      <c r="Z969" s="4"/>
    </row>
    <row r="970" spans="1:26">
      <c r="A970" s="5">
        <v>43405</v>
      </c>
      <c r="B970" s="4" t="s">
        <v>21</v>
      </c>
      <c r="C970" s="4" t="s">
        <v>10</v>
      </c>
      <c r="D970" s="4" t="s">
        <v>17</v>
      </c>
      <c r="E970" s="4" t="s">
        <v>12</v>
      </c>
      <c r="F970" s="4">
        <v>2412644</v>
      </c>
      <c r="G970" s="4">
        <v>25745</v>
      </c>
      <c r="H970" s="4">
        <v>28108</v>
      </c>
      <c r="I970" s="6">
        <v>69542.04963436343</v>
      </c>
      <c r="J970" s="4"/>
      <c r="K970" s="4"/>
      <c r="L970" s="4"/>
      <c r="M970" s="4"/>
      <c r="N970" s="4"/>
      <c r="O970" s="4"/>
      <c r="P970" s="4"/>
      <c r="Q970" s="4"/>
      <c r="R970" s="4"/>
      <c r="S970" s="4"/>
      <c r="T970" s="4"/>
      <c r="U970" s="4"/>
      <c r="V970" s="4"/>
      <c r="W970" s="4"/>
      <c r="X970" s="4"/>
      <c r="Y970" s="4"/>
      <c r="Z970" s="4"/>
    </row>
    <row r="971" spans="1:26">
      <c r="A971" s="5">
        <v>43405</v>
      </c>
      <c r="B971" s="4" t="s">
        <v>21</v>
      </c>
      <c r="C971" s="4" t="s">
        <v>10</v>
      </c>
      <c r="D971" s="4" t="s">
        <v>17</v>
      </c>
      <c r="E971" s="4" t="s">
        <v>13</v>
      </c>
      <c r="F971" s="4">
        <v>34602</v>
      </c>
      <c r="G971" s="4">
        <v>2895</v>
      </c>
      <c r="H971" s="4">
        <v>41848</v>
      </c>
      <c r="I971" s="6">
        <v>229159.64799999999</v>
      </c>
      <c r="J971" s="4"/>
      <c r="K971" s="4"/>
      <c r="L971" s="4"/>
      <c r="M971" s="4"/>
      <c r="N971" s="4"/>
      <c r="O971" s="4"/>
      <c r="P971" s="4"/>
      <c r="Q971" s="4"/>
      <c r="R971" s="4"/>
      <c r="S971" s="4"/>
      <c r="T971" s="4"/>
      <c r="U971" s="4"/>
      <c r="V971" s="4"/>
      <c r="W971" s="4"/>
      <c r="X971" s="4"/>
      <c r="Y971" s="4"/>
      <c r="Z971" s="4"/>
    </row>
    <row r="972" spans="1:26">
      <c r="A972" s="5">
        <v>43405</v>
      </c>
      <c r="B972" s="4" t="s">
        <v>21</v>
      </c>
      <c r="C972" s="4" t="s">
        <v>18</v>
      </c>
      <c r="D972" s="4" t="s">
        <v>11</v>
      </c>
      <c r="E972" s="4" t="s">
        <v>12</v>
      </c>
      <c r="F972" s="4">
        <v>1656821</v>
      </c>
      <c r="G972" s="4">
        <v>30287</v>
      </c>
      <c r="H972" s="4">
        <v>131762</v>
      </c>
      <c r="I972" s="6">
        <v>70217.977170675847</v>
      </c>
      <c r="J972" s="4"/>
      <c r="K972" s="4"/>
      <c r="L972" s="4"/>
      <c r="M972" s="4"/>
      <c r="N972" s="4"/>
      <c r="O972" s="4"/>
      <c r="P972" s="4"/>
      <c r="Q972" s="4"/>
      <c r="R972" s="4"/>
      <c r="S972" s="4"/>
      <c r="T972" s="4"/>
      <c r="U972" s="4"/>
      <c r="V972" s="4"/>
      <c r="W972" s="4"/>
      <c r="X972" s="4"/>
      <c r="Y972" s="4"/>
      <c r="Z972" s="4"/>
    </row>
    <row r="973" spans="1:26">
      <c r="A973" s="5">
        <v>43405</v>
      </c>
      <c r="B973" s="4" t="s">
        <v>21</v>
      </c>
      <c r="C973" s="4" t="s">
        <v>18</v>
      </c>
      <c r="D973" s="4" t="s">
        <v>11</v>
      </c>
      <c r="E973" s="4" t="s">
        <v>13</v>
      </c>
      <c r="F973" s="4">
        <v>11691</v>
      </c>
      <c r="G973" s="4">
        <v>351</v>
      </c>
      <c r="H973" s="4">
        <v>15561</v>
      </c>
      <c r="I973" s="6">
        <v>12301.398728756301</v>
      </c>
      <c r="J973" s="4"/>
      <c r="K973" s="4"/>
      <c r="L973" s="4"/>
      <c r="M973" s="4"/>
      <c r="N973" s="4"/>
      <c r="O973" s="4"/>
      <c r="P973" s="4"/>
      <c r="Q973" s="4"/>
      <c r="R973" s="4"/>
      <c r="S973" s="4"/>
      <c r="T973" s="4"/>
      <c r="U973" s="4"/>
      <c r="V973" s="4"/>
      <c r="W973" s="4"/>
      <c r="X973" s="4"/>
      <c r="Y973" s="4"/>
      <c r="Z973" s="4"/>
    </row>
    <row r="974" spans="1:26">
      <c r="A974" s="5">
        <v>43405</v>
      </c>
      <c r="B974" s="4" t="s">
        <v>21</v>
      </c>
      <c r="C974" s="4" t="s">
        <v>18</v>
      </c>
      <c r="D974" s="4" t="s">
        <v>14</v>
      </c>
      <c r="E974" s="4" t="s">
        <v>12</v>
      </c>
      <c r="F974" s="4">
        <v>2600573</v>
      </c>
      <c r="G974" s="4">
        <v>43167</v>
      </c>
      <c r="H974" s="4">
        <v>161662</v>
      </c>
      <c r="I974" s="6">
        <v>77523.508825418743</v>
      </c>
      <c r="J974" s="4"/>
      <c r="K974" s="4"/>
      <c r="L974" s="4"/>
      <c r="M974" s="4"/>
      <c r="N974" s="4"/>
      <c r="O974" s="4"/>
      <c r="P974" s="4"/>
      <c r="Q974" s="4"/>
      <c r="R974" s="4"/>
      <c r="S974" s="4"/>
      <c r="T974" s="4"/>
      <c r="U974" s="4"/>
      <c r="V974" s="4"/>
      <c r="W974" s="4"/>
      <c r="X974" s="4"/>
      <c r="Y974" s="4"/>
      <c r="Z974" s="4"/>
    </row>
    <row r="975" spans="1:26">
      <c r="A975" s="5">
        <v>43405</v>
      </c>
      <c r="B975" s="4" t="s">
        <v>21</v>
      </c>
      <c r="C975" s="4" t="s">
        <v>18</v>
      </c>
      <c r="D975" s="4" t="s">
        <v>14</v>
      </c>
      <c r="E975" s="4" t="s">
        <v>13</v>
      </c>
      <c r="F975" s="4">
        <v>15198</v>
      </c>
      <c r="G975" s="4">
        <v>399</v>
      </c>
      <c r="H975" s="4">
        <v>9585</v>
      </c>
      <c r="I975" s="6">
        <v>12083.425126903552</v>
      </c>
      <c r="J975" s="4"/>
      <c r="K975" s="4"/>
      <c r="L975" s="4"/>
      <c r="M975" s="4"/>
      <c r="N975" s="4"/>
      <c r="O975" s="4"/>
      <c r="P975" s="4"/>
      <c r="Q975" s="4"/>
      <c r="R975" s="4"/>
      <c r="S975" s="4"/>
      <c r="T975" s="4"/>
      <c r="U975" s="4"/>
      <c r="V975" s="4"/>
      <c r="W975" s="4"/>
      <c r="X975" s="4"/>
      <c r="Y975" s="4"/>
      <c r="Z975" s="4"/>
    </row>
    <row r="976" spans="1:26">
      <c r="A976" s="5">
        <v>43405</v>
      </c>
      <c r="B976" s="4" t="s">
        <v>21</v>
      </c>
      <c r="C976" s="4" t="s">
        <v>18</v>
      </c>
      <c r="D976" s="4" t="s">
        <v>15</v>
      </c>
      <c r="E976" s="4" t="s">
        <v>12</v>
      </c>
      <c r="F976" s="4">
        <v>898283</v>
      </c>
      <c r="G976" s="4">
        <v>13538</v>
      </c>
      <c r="H976" s="4">
        <v>64673</v>
      </c>
      <c r="I976" s="6">
        <v>20607.822211698174</v>
      </c>
      <c r="J976" s="4"/>
      <c r="K976" s="4"/>
      <c r="L976" s="4"/>
      <c r="M976" s="4"/>
      <c r="N976" s="4"/>
      <c r="O976" s="4"/>
      <c r="P976" s="4"/>
      <c r="Q976" s="4"/>
      <c r="R976" s="4"/>
      <c r="S976" s="4"/>
      <c r="T976" s="4"/>
      <c r="U976" s="4"/>
      <c r="V976" s="4"/>
      <c r="W976" s="4"/>
      <c r="X976" s="4"/>
      <c r="Y976" s="4"/>
      <c r="Z976" s="4"/>
    </row>
    <row r="977" spans="1:26">
      <c r="A977" s="5">
        <v>43405</v>
      </c>
      <c r="B977" s="4" t="s">
        <v>21</v>
      </c>
      <c r="C977" s="4" t="s">
        <v>18</v>
      </c>
      <c r="D977" s="4" t="s">
        <v>15</v>
      </c>
      <c r="E977" s="4" t="s">
        <v>13</v>
      </c>
      <c r="F977" s="4">
        <v>4653</v>
      </c>
      <c r="G977" s="4">
        <v>148</v>
      </c>
      <c r="H977" s="4">
        <v>3855</v>
      </c>
      <c r="I977" s="6">
        <v>2104.7528685177622</v>
      </c>
      <c r="J977" s="4"/>
      <c r="K977" s="4"/>
      <c r="L977" s="4"/>
      <c r="M977" s="4"/>
      <c r="N977" s="4"/>
      <c r="O977" s="4"/>
      <c r="P977" s="4"/>
      <c r="Q977" s="4"/>
      <c r="R977" s="4"/>
      <c r="S977" s="4"/>
      <c r="T977" s="4"/>
      <c r="U977" s="4"/>
      <c r="V977" s="4"/>
      <c r="W977" s="4"/>
      <c r="X977" s="4"/>
      <c r="Y977" s="4"/>
      <c r="Z977" s="4"/>
    </row>
    <row r="978" spans="1:26">
      <c r="A978" s="5">
        <v>43405</v>
      </c>
      <c r="B978" s="4" t="s">
        <v>21</v>
      </c>
      <c r="C978" s="4" t="s">
        <v>18</v>
      </c>
      <c r="D978" s="4" t="s">
        <v>16</v>
      </c>
      <c r="E978" s="4" t="s">
        <v>12</v>
      </c>
      <c r="F978" s="4">
        <v>22778317</v>
      </c>
      <c r="G978" s="4">
        <v>131788</v>
      </c>
      <c r="H978" s="4">
        <v>471074</v>
      </c>
      <c r="I978" s="6">
        <v>298365.81633545092</v>
      </c>
      <c r="J978" s="4"/>
      <c r="K978" s="4"/>
      <c r="L978" s="4"/>
      <c r="M978" s="4"/>
      <c r="N978" s="4"/>
      <c r="O978" s="4"/>
      <c r="P978" s="4"/>
      <c r="Q978" s="4"/>
      <c r="R978" s="4"/>
      <c r="S978" s="4"/>
      <c r="T978" s="4"/>
      <c r="U978" s="4"/>
      <c r="V978" s="4"/>
      <c r="W978" s="4"/>
      <c r="X978" s="4"/>
      <c r="Y978" s="4"/>
      <c r="Z978" s="4"/>
    </row>
    <row r="979" spans="1:26">
      <c r="A979" s="5">
        <v>43405</v>
      </c>
      <c r="B979" s="4" t="s">
        <v>21</v>
      </c>
      <c r="C979" s="4" t="s">
        <v>18</v>
      </c>
      <c r="D979" s="4" t="s">
        <v>16</v>
      </c>
      <c r="E979" s="4" t="s">
        <v>13</v>
      </c>
      <c r="F979" s="4">
        <v>599903</v>
      </c>
      <c r="G979" s="4">
        <v>1389</v>
      </c>
      <c r="H979" s="4">
        <v>48662</v>
      </c>
      <c r="I979" s="6">
        <v>36064.916641928874</v>
      </c>
      <c r="J979" s="4"/>
      <c r="K979" s="4"/>
      <c r="L979" s="4"/>
      <c r="M979" s="4"/>
      <c r="N979" s="4"/>
      <c r="O979" s="4"/>
      <c r="P979" s="4"/>
      <c r="Q979" s="4"/>
      <c r="R979" s="4"/>
      <c r="S979" s="4"/>
      <c r="T979" s="4"/>
      <c r="U979" s="4"/>
      <c r="V979" s="4"/>
      <c r="W979" s="4"/>
      <c r="X979" s="4"/>
      <c r="Y979" s="4"/>
      <c r="Z979" s="4"/>
    </row>
    <row r="980" spans="1:26">
      <c r="A980" s="5">
        <v>43405</v>
      </c>
      <c r="B980" s="4" t="s">
        <v>21</v>
      </c>
      <c r="C980" s="4" t="s">
        <v>18</v>
      </c>
      <c r="D980" s="4" t="s">
        <v>17</v>
      </c>
      <c r="E980" s="4" t="s">
        <v>12</v>
      </c>
      <c r="F980" s="4">
        <v>3023504</v>
      </c>
      <c r="G980" s="4">
        <v>48110</v>
      </c>
      <c r="H980" s="4">
        <v>158597</v>
      </c>
      <c r="I980" s="6">
        <v>113124.05326387273</v>
      </c>
      <c r="J980" s="4"/>
      <c r="K980" s="4"/>
      <c r="L980" s="4"/>
      <c r="M980" s="4"/>
      <c r="N980" s="4"/>
      <c r="O980" s="4"/>
      <c r="P980" s="4"/>
      <c r="Q980" s="4"/>
      <c r="R980" s="4"/>
      <c r="S980" s="4"/>
      <c r="T980" s="4"/>
      <c r="U980" s="4"/>
      <c r="V980" s="4"/>
      <c r="W980" s="4"/>
      <c r="X980" s="4"/>
      <c r="Y980" s="4"/>
      <c r="Z980" s="4"/>
    </row>
    <row r="981" spans="1:26">
      <c r="A981" s="5">
        <v>43405</v>
      </c>
      <c r="B981" s="4" t="s">
        <v>21</v>
      </c>
      <c r="C981" s="4" t="s">
        <v>18</v>
      </c>
      <c r="D981" s="4" t="s">
        <v>17</v>
      </c>
      <c r="E981" s="4" t="s">
        <v>13</v>
      </c>
      <c r="F981" s="4">
        <v>27375</v>
      </c>
      <c r="G981" s="4">
        <v>670</v>
      </c>
      <c r="H981" s="4">
        <v>25177</v>
      </c>
      <c r="I981" s="6">
        <v>20224.925608145295</v>
      </c>
      <c r="J981" s="4"/>
      <c r="K981" s="4"/>
      <c r="L981" s="4"/>
      <c r="M981" s="4"/>
      <c r="N981" s="4"/>
      <c r="O981" s="4"/>
      <c r="P981" s="4"/>
      <c r="Q981" s="4"/>
      <c r="R981" s="4"/>
      <c r="S981" s="4"/>
      <c r="T981" s="4"/>
      <c r="U981" s="4"/>
      <c r="V981" s="4"/>
      <c r="W981" s="4"/>
      <c r="X981" s="4"/>
      <c r="Y981" s="4"/>
      <c r="Z981" s="4"/>
    </row>
    <row r="982" spans="1:26">
      <c r="A982" s="5">
        <v>43405</v>
      </c>
      <c r="B982" s="4" t="s">
        <v>21</v>
      </c>
      <c r="C982" s="4" t="s">
        <v>19</v>
      </c>
      <c r="D982" s="4" t="s">
        <v>11</v>
      </c>
      <c r="E982" s="4" t="s">
        <v>12</v>
      </c>
      <c r="F982" s="4">
        <v>573221</v>
      </c>
      <c r="G982" s="4">
        <v>8175</v>
      </c>
      <c r="H982" s="4">
        <v>8470</v>
      </c>
      <c r="I982" s="6">
        <v>89771.965853658534</v>
      </c>
      <c r="J982" s="4"/>
      <c r="K982" s="4"/>
      <c r="L982" s="4"/>
      <c r="M982" s="4"/>
      <c r="N982" s="4"/>
      <c r="O982" s="4"/>
      <c r="P982" s="4"/>
      <c r="Q982" s="4"/>
      <c r="R982" s="4"/>
      <c r="S982" s="4"/>
      <c r="T982" s="4"/>
      <c r="U982" s="4"/>
      <c r="V982" s="4"/>
      <c r="W982" s="4"/>
      <c r="X982" s="4"/>
      <c r="Y982" s="4"/>
      <c r="Z982" s="4"/>
    </row>
    <row r="983" spans="1:26">
      <c r="A983" s="5">
        <v>43405</v>
      </c>
      <c r="B983" s="4" t="s">
        <v>21</v>
      </c>
      <c r="C983" s="4" t="s">
        <v>19</v>
      </c>
      <c r="D983" s="4" t="s">
        <v>11</v>
      </c>
      <c r="E983" s="4" t="s">
        <v>13</v>
      </c>
      <c r="F983" s="4">
        <v>15004</v>
      </c>
      <c r="G983" s="4">
        <v>1317</v>
      </c>
      <c r="H983" s="4">
        <v>38753</v>
      </c>
      <c r="I983" s="6">
        <v>22108.646140110468</v>
      </c>
      <c r="J983" s="4"/>
      <c r="K983" s="4"/>
      <c r="L983" s="4"/>
      <c r="M983" s="4"/>
      <c r="N983" s="4"/>
      <c r="O983" s="4"/>
      <c r="P983" s="4"/>
      <c r="Q983" s="4"/>
      <c r="R983" s="4"/>
      <c r="S983" s="4"/>
      <c r="T983" s="4"/>
      <c r="U983" s="4"/>
      <c r="V983" s="4"/>
      <c r="W983" s="4"/>
      <c r="X983" s="4"/>
      <c r="Y983" s="4"/>
      <c r="Z983" s="4"/>
    </row>
    <row r="984" spans="1:26">
      <c r="A984" s="5">
        <v>43405</v>
      </c>
      <c r="B984" s="4" t="s">
        <v>21</v>
      </c>
      <c r="C984" s="4" t="s">
        <v>19</v>
      </c>
      <c r="D984" s="4" t="s">
        <v>14</v>
      </c>
      <c r="E984" s="4" t="s">
        <v>12</v>
      </c>
      <c r="F984" s="4">
        <v>1030062</v>
      </c>
      <c r="G984" s="4">
        <v>16315</v>
      </c>
      <c r="H984" s="4">
        <v>17580</v>
      </c>
      <c r="I984" s="6">
        <v>163463.40005598319</v>
      </c>
      <c r="J984" s="4"/>
      <c r="K984" s="4"/>
      <c r="L984" s="4"/>
      <c r="M984" s="4"/>
      <c r="N984" s="4"/>
      <c r="O984" s="4"/>
      <c r="P984" s="4"/>
      <c r="Q984" s="4"/>
      <c r="R984" s="4"/>
      <c r="S984" s="4"/>
      <c r="T984" s="4"/>
      <c r="U984" s="4"/>
      <c r="V984" s="4"/>
      <c r="W984" s="4"/>
      <c r="X984" s="4"/>
      <c r="Y984" s="4"/>
      <c r="Z984" s="4"/>
    </row>
    <row r="985" spans="1:26">
      <c r="A985" s="5">
        <v>43405</v>
      </c>
      <c r="B985" s="4" t="s">
        <v>21</v>
      </c>
      <c r="C985" s="4" t="s">
        <v>19</v>
      </c>
      <c r="D985" s="4" t="s">
        <v>14</v>
      </c>
      <c r="E985" s="4" t="s">
        <v>13</v>
      </c>
      <c r="F985" s="4">
        <v>29320</v>
      </c>
      <c r="G985" s="4">
        <v>2520</v>
      </c>
      <c r="H985" s="4">
        <v>118565</v>
      </c>
      <c r="I985" s="6">
        <v>37150.290303147412</v>
      </c>
      <c r="J985" s="4"/>
      <c r="K985" s="4"/>
      <c r="L985" s="4"/>
      <c r="M985" s="4"/>
      <c r="N985" s="4"/>
      <c r="O985" s="4"/>
      <c r="P985" s="4"/>
      <c r="Q985" s="4"/>
      <c r="R985" s="4"/>
      <c r="S985" s="4"/>
      <c r="T985" s="4"/>
      <c r="U985" s="4"/>
      <c r="V985" s="4"/>
      <c r="W985" s="4"/>
      <c r="X985" s="4"/>
      <c r="Y985" s="4"/>
      <c r="Z985" s="4"/>
    </row>
    <row r="986" spans="1:26">
      <c r="A986" s="5">
        <v>43405</v>
      </c>
      <c r="B986" s="4" t="s">
        <v>21</v>
      </c>
      <c r="C986" s="4" t="s">
        <v>19</v>
      </c>
      <c r="D986" s="4" t="s">
        <v>15</v>
      </c>
      <c r="E986" s="4" t="s">
        <v>12</v>
      </c>
      <c r="F986" s="4">
        <v>312137</v>
      </c>
      <c r="G986" s="4">
        <v>4415</v>
      </c>
      <c r="H986" s="4">
        <v>4753</v>
      </c>
      <c r="I986" s="6">
        <v>44946.613382758624</v>
      </c>
      <c r="J986" s="4"/>
      <c r="K986" s="4"/>
      <c r="L986" s="4"/>
      <c r="M986" s="4"/>
      <c r="N986" s="4"/>
      <c r="O986" s="4"/>
      <c r="P986" s="4"/>
      <c r="Q986" s="4"/>
      <c r="R986" s="4"/>
      <c r="S986" s="4"/>
      <c r="T986" s="4"/>
      <c r="U986" s="4"/>
      <c r="V986" s="4"/>
      <c r="W986" s="4"/>
      <c r="X986" s="4"/>
      <c r="Y986" s="4"/>
      <c r="Z986" s="4"/>
    </row>
    <row r="987" spans="1:26">
      <c r="A987" s="5">
        <v>43405</v>
      </c>
      <c r="B987" s="4" t="s">
        <v>21</v>
      </c>
      <c r="C987" s="4" t="s">
        <v>19</v>
      </c>
      <c r="D987" s="4" t="s">
        <v>15</v>
      </c>
      <c r="E987" s="4" t="s">
        <v>13</v>
      </c>
      <c r="F987" s="4">
        <v>8352</v>
      </c>
      <c r="G987" s="4">
        <v>697</v>
      </c>
      <c r="H987" s="4">
        <v>31551</v>
      </c>
      <c r="I987" s="6">
        <v>10302.994375516742</v>
      </c>
      <c r="J987" s="4"/>
      <c r="K987" s="4"/>
      <c r="L987" s="4"/>
      <c r="M987" s="4"/>
      <c r="N987" s="4"/>
      <c r="O987" s="4"/>
      <c r="P987" s="4"/>
      <c r="Q987" s="4"/>
      <c r="R987" s="4"/>
      <c r="S987" s="4"/>
      <c r="T987" s="4"/>
      <c r="U987" s="4"/>
      <c r="V987" s="4"/>
      <c r="W987" s="4"/>
      <c r="X987" s="4"/>
      <c r="Y987" s="4"/>
      <c r="Z987" s="4"/>
    </row>
    <row r="988" spans="1:26">
      <c r="A988" s="5">
        <v>43405</v>
      </c>
      <c r="B988" s="4" t="s">
        <v>21</v>
      </c>
      <c r="C988" s="4" t="s">
        <v>19</v>
      </c>
      <c r="D988" s="4" t="s">
        <v>16</v>
      </c>
      <c r="E988" s="4" t="s">
        <v>12</v>
      </c>
      <c r="F988" s="4">
        <v>2901355</v>
      </c>
      <c r="G988" s="4">
        <v>43284</v>
      </c>
      <c r="H988" s="4">
        <v>44137</v>
      </c>
      <c r="I988" s="6">
        <v>492261.57935940084</v>
      </c>
      <c r="J988" s="4"/>
      <c r="K988" s="4"/>
      <c r="L988" s="4"/>
      <c r="M988" s="4"/>
      <c r="N988" s="4"/>
      <c r="O988" s="4"/>
      <c r="P988" s="4"/>
      <c r="Q988" s="4"/>
      <c r="R988" s="4"/>
      <c r="S988" s="4"/>
      <c r="T988" s="4"/>
      <c r="U988" s="4"/>
      <c r="V988" s="4"/>
      <c r="W988" s="4"/>
      <c r="X988" s="4"/>
      <c r="Y988" s="4"/>
      <c r="Z988" s="4"/>
    </row>
    <row r="989" spans="1:26">
      <c r="A989" s="5">
        <v>43405</v>
      </c>
      <c r="B989" s="4" t="s">
        <v>21</v>
      </c>
      <c r="C989" s="4" t="s">
        <v>19</v>
      </c>
      <c r="D989" s="4" t="s">
        <v>16</v>
      </c>
      <c r="E989" s="4" t="s">
        <v>13</v>
      </c>
      <c r="F989" s="4">
        <v>75238</v>
      </c>
      <c r="G989" s="4">
        <v>6545</v>
      </c>
      <c r="H989" s="4">
        <v>433686</v>
      </c>
      <c r="I989" s="6">
        <v>100122.49802672483</v>
      </c>
      <c r="J989" s="4"/>
      <c r="K989" s="4"/>
      <c r="L989" s="4"/>
      <c r="M989" s="4"/>
      <c r="N989" s="4"/>
      <c r="O989" s="4"/>
      <c r="P989" s="4"/>
      <c r="Q989" s="4"/>
      <c r="R989" s="4"/>
      <c r="S989" s="4"/>
      <c r="T989" s="4"/>
      <c r="U989" s="4"/>
      <c r="V989" s="4"/>
      <c r="W989" s="4"/>
      <c r="X989" s="4"/>
      <c r="Y989" s="4"/>
      <c r="Z989" s="4"/>
    </row>
    <row r="990" spans="1:26">
      <c r="A990" s="5">
        <v>43405</v>
      </c>
      <c r="B990" s="4" t="s">
        <v>21</v>
      </c>
      <c r="C990" s="4" t="s">
        <v>19</v>
      </c>
      <c r="D990" s="4" t="s">
        <v>17</v>
      </c>
      <c r="E990" s="4" t="s">
        <v>12</v>
      </c>
      <c r="F990" s="4">
        <v>990577</v>
      </c>
      <c r="G990" s="4">
        <v>16265</v>
      </c>
      <c r="H990" s="4">
        <v>17947</v>
      </c>
      <c r="I990" s="6">
        <v>168054.33351763847</v>
      </c>
      <c r="J990" s="4"/>
      <c r="K990" s="4"/>
      <c r="L990" s="4"/>
      <c r="M990" s="4"/>
      <c r="N990" s="4"/>
      <c r="O990" s="4"/>
      <c r="P990" s="4"/>
      <c r="Q990" s="4"/>
      <c r="R990" s="4"/>
      <c r="S990" s="4"/>
      <c r="T990" s="4"/>
      <c r="U990" s="4"/>
      <c r="V990" s="4"/>
      <c r="W990" s="4"/>
      <c r="X990" s="4"/>
      <c r="Y990" s="4"/>
      <c r="Z990" s="4"/>
    </row>
    <row r="991" spans="1:26">
      <c r="A991" s="5">
        <v>43405</v>
      </c>
      <c r="B991" s="4" t="s">
        <v>21</v>
      </c>
      <c r="C991" s="4" t="s">
        <v>19</v>
      </c>
      <c r="D991" s="4" t="s">
        <v>17</v>
      </c>
      <c r="E991" s="4" t="s">
        <v>13</v>
      </c>
      <c r="F991" s="4">
        <v>26005</v>
      </c>
      <c r="G991" s="4">
        <v>2317</v>
      </c>
      <c r="H991" s="4">
        <v>98785</v>
      </c>
      <c r="I991" s="6">
        <v>40659.311041725334</v>
      </c>
      <c r="J991" s="4"/>
      <c r="K991" s="4"/>
      <c r="L991" s="4"/>
      <c r="M991" s="4"/>
      <c r="N991" s="4"/>
      <c r="O991" s="4"/>
      <c r="P991" s="4"/>
      <c r="Q991" s="4"/>
      <c r="R991" s="4"/>
      <c r="S991" s="4"/>
      <c r="T991" s="4"/>
      <c r="U991" s="4"/>
      <c r="V991" s="4"/>
      <c r="W991" s="4"/>
      <c r="X991" s="4"/>
      <c r="Y991" s="4"/>
      <c r="Z991" s="4"/>
    </row>
    <row r="992" spans="1:26">
      <c r="A992" s="5">
        <v>43435</v>
      </c>
      <c r="B992" s="4" t="s">
        <v>9</v>
      </c>
      <c r="C992" s="4" t="s">
        <v>10</v>
      </c>
      <c r="D992" s="4" t="s">
        <v>11</v>
      </c>
      <c r="E992" s="4" t="s">
        <v>12</v>
      </c>
      <c r="F992" s="4">
        <v>1240561</v>
      </c>
      <c r="G992" s="4">
        <v>55831</v>
      </c>
      <c r="H992" s="4">
        <v>66313</v>
      </c>
      <c r="I992" s="6">
        <v>49796.29836608738</v>
      </c>
      <c r="J992" s="4"/>
      <c r="K992" s="4"/>
      <c r="L992" s="4"/>
      <c r="M992" s="4"/>
      <c r="N992" s="4"/>
      <c r="O992" s="4"/>
      <c r="P992" s="4"/>
      <c r="Q992" s="4"/>
      <c r="R992" s="4"/>
      <c r="S992" s="4"/>
      <c r="T992" s="4"/>
      <c r="U992" s="4"/>
      <c r="V992" s="4"/>
      <c r="W992" s="4"/>
      <c r="X992" s="4"/>
      <c r="Y992" s="4"/>
      <c r="Z992" s="4"/>
    </row>
    <row r="993" spans="1:26">
      <c r="A993" s="5">
        <v>43435</v>
      </c>
      <c r="B993" s="4" t="s">
        <v>9</v>
      </c>
      <c r="C993" s="4" t="s">
        <v>10</v>
      </c>
      <c r="D993" s="4" t="s">
        <v>11</v>
      </c>
      <c r="E993" s="4" t="s">
        <v>13</v>
      </c>
      <c r="F993" s="4">
        <v>7389</v>
      </c>
      <c r="G993" s="4">
        <v>1236</v>
      </c>
      <c r="H993" s="4">
        <v>7288</v>
      </c>
      <c r="I993" s="6">
        <v>253032.22235320788</v>
      </c>
      <c r="J993" s="4"/>
      <c r="K993" s="4"/>
      <c r="L993" s="4"/>
      <c r="M993" s="4"/>
      <c r="N993" s="4"/>
      <c r="O993" s="4"/>
      <c r="P993" s="4"/>
      <c r="Q993" s="4"/>
      <c r="R993" s="4"/>
      <c r="S993" s="4"/>
      <c r="T993" s="4"/>
      <c r="U993" s="4"/>
      <c r="V993" s="4"/>
      <c r="W993" s="4"/>
      <c r="X993" s="4"/>
      <c r="Y993" s="4"/>
      <c r="Z993" s="4"/>
    </row>
    <row r="994" spans="1:26">
      <c r="A994" s="5">
        <v>43435</v>
      </c>
      <c r="B994" s="4" t="s">
        <v>9</v>
      </c>
      <c r="C994" s="4" t="s">
        <v>10</v>
      </c>
      <c r="D994" s="4" t="s">
        <v>14</v>
      </c>
      <c r="E994" s="4" t="s">
        <v>12</v>
      </c>
      <c r="F994" s="4">
        <v>3106030</v>
      </c>
      <c r="G994" s="4">
        <v>97678</v>
      </c>
      <c r="H994" s="4">
        <v>115457</v>
      </c>
      <c r="I994" s="6">
        <v>83908.808898544681</v>
      </c>
      <c r="J994" s="4"/>
      <c r="K994" s="4"/>
      <c r="L994" s="4"/>
      <c r="M994" s="4"/>
      <c r="N994" s="4"/>
      <c r="O994" s="4"/>
      <c r="P994" s="4"/>
      <c r="Q994" s="4"/>
      <c r="R994" s="4"/>
      <c r="S994" s="4"/>
      <c r="T994" s="4"/>
      <c r="U994" s="4"/>
      <c r="V994" s="4"/>
      <c r="W994" s="4"/>
      <c r="X994" s="4"/>
      <c r="Y994" s="4"/>
      <c r="Z994" s="4"/>
    </row>
    <row r="995" spans="1:26">
      <c r="A995" s="5">
        <v>43435</v>
      </c>
      <c r="B995" s="4" t="s">
        <v>9</v>
      </c>
      <c r="C995" s="4" t="s">
        <v>10</v>
      </c>
      <c r="D995" s="4" t="s">
        <v>14</v>
      </c>
      <c r="E995" s="4" t="s">
        <v>13</v>
      </c>
      <c r="F995" s="4">
        <v>12385</v>
      </c>
      <c r="G995" s="4">
        <v>2478</v>
      </c>
      <c r="H995" s="4">
        <v>18153</v>
      </c>
      <c r="I995" s="6">
        <v>390151.06145708036</v>
      </c>
      <c r="J995" s="4"/>
      <c r="K995" s="4"/>
      <c r="L995" s="4"/>
      <c r="M995" s="4"/>
      <c r="N995" s="4"/>
      <c r="O995" s="4"/>
      <c r="P995" s="4"/>
      <c r="Q995" s="4"/>
      <c r="R995" s="4"/>
      <c r="S995" s="4"/>
      <c r="T995" s="4"/>
      <c r="U995" s="4"/>
      <c r="V995" s="4"/>
      <c r="W995" s="4"/>
      <c r="X995" s="4"/>
      <c r="Y995" s="4"/>
      <c r="Z995" s="4"/>
    </row>
    <row r="996" spans="1:26">
      <c r="A996" s="5">
        <v>43435</v>
      </c>
      <c r="B996" s="4" t="s">
        <v>9</v>
      </c>
      <c r="C996" s="4" t="s">
        <v>10</v>
      </c>
      <c r="D996" s="4" t="s">
        <v>15</v>
      </c>
      <c r="E996" s="4" t="s">
        <v>12</v>
      </c>
      <c r="F996" s="4">
        <v>1254498</v>
      </c>
      <c r="G996" s="4">
        <v>40407</v>
      </c>
      <c r="H996" s="4">
        <v>51934</v>
      </c>
      <c r="I996" s="6">
        <v>38961.502018281302</v>
      </c>
      <c r="J996" s="4"/>
      <c r="K996" s="4"/>
      <c r="L996" s="4"/>
      <c r="M996" s="4"/>
      <c r="N996" s="4"/>
      <c r="O996" s="4"/>
      <c r="P996" s="4"/>
      <c r="Q996" s="4"/>
      <c r="R996" s="4"/>
      <c r="S996" s="4"/>
      <c r="T996" s="4"/>
      <c r="U996" s="4"/>
      <c r="V996" s="4"/>
      <c r="W996" s="4"/>
      <c r="X996" s="4"/>
      <c r="Y996" s="4"/>
      <c r="Z996" s="4"/>
    </row>
    <row r="997" spans="1:26">
      <c r="A997" s="5">
        <v>43435</v>
      </c>
      <c r="B997" s="4" t="s">
        <v>9</v>
      </c>
      <c r="C997" s="4" t="s">
        <v>10</v>
      </c>
      <c r="D997" s="4" t="s">
        <v>15</v>
      </c>
      <c r="E997" s="4" t="s">
        <v>13</v>
      </c>
      <c r="F997" s="4">
        <v>4741</v>
      </c>
      <c r="G997" s="4">
        <v>720</v>
      </c>
      <c r="H997" s="4">
        <v>5976</v>
      </c>
      <c r="I997" s="6">
        <v>97499.163168316823</v>
      </c>
      <c r="J997" s="4"/>
      <c r="K997" s="4"/>
      <c r="L997" s="4"/>
      <c r="M997" s="4"/>
      <c r="N997" s="4"/>
      <c r="O997" s="4"/>
      <c r="P997" s="4"/>
      <c r="Q997" s="4"/>
      <c r="R997" s="4"/>
      <c r="S997" s="4"/>
      <c r="T997" s="4"/>
      <c r="U997" s="4"/>
      <c r="V997" s="4"/>
      <c r="W997" s="4"/>
      <c r="X997" s="4"/>
      <c r="Y997" s="4"/>
      <c r="Z997" s="4"/>
    </row>
    <row r="998" spans="1:26">
      <c r="A998" s="5">
        <v>43435</v>
      </c>
      <c r="B998" s="4" t="s">
        <v>9</v>
      </c>
      <c r="C998" s="4" t="s">
        <v>10</v>
      </c>
      <c r="D998" s="4" t="s">
        <v>16</v>
      </c>
      <c r="E998" s="4" t="s">
        <v>12</v>
      </c>
      <c r="F998" s="4">
        <v>38659456</v>
      </c>
      <c r="G998" s="4">
        <v>252323</v>
      </c>
      <c r="H998" s="4">
        <v>284258</v>
      </c>
      <c r="I998" s="6">
        <v>215848.51182714087</v>
      </c>
      <c r="J998" s="4"/>
      <c r="K998" s="4"/>
      <c r="L998" s="4"/>
      <c r="M998" s="4"/>
      <c r="N998" s="4"/>
      <c r="O998" s="4"/>
      <c r="P998" s="4"/>
      <c r="Q998" s="4"/>
      <c r="R998" s="4"/>
      <c r="S998" s="4"/>
      <c r="T998" s="4"/>
      <c r="U998" s="4"/>
      <c r="V998" s="4"/>
      <c r="W998" s="4"/>
      <c r="X998" s="4"/>
      <c r="Y998" s="4"/>
      <c r="Z998" s="4"/>
    </row>
    <row r="999" spans="1:26">
      <c r="A999" s="5">
        <v>43435</v>
      </c>
      <c r="B999" s="4" t="s">
        <v>9</v>
      </c>
      <c r="C999" s="4" t="s">
        <v>10</v>
      </c>
      <c r="D999" s="4" t="s">
        <v>16</v>
      </c>
      <c r="E999" s="4" t="s">
        <v>13</v>
      </c>
      <c r="F999" s="4">
        <v>271497</v>
      </c>
      <c r="G999" s="4">
        <v>5370</v>
      </c>
      <c r="H999" s="4">
        <v>35059</v>
      </c>
      <c r="I999" s="6">
        <v>1177587.2908977144</v>
      </c>
      <c r="J999" s="4"/>
      <c r="K999" s="4"/>
      <c r="L999" s="4"/>
      <c r="M999" s="4"/>
      <c r="N999" s="4"/>
      <c r="O999" s="4"/>
      <c r="P999" s="4"/>
      <c r="Q999" s="4"/>
      <c r="R999" s="4"/>
      <c r="S999" s="4"/>
      <c r="T999" s="4"/>
      <c r="U999" s="4"/>
      <c r="V999" s="4"/>
      <c r="W999" s="4"/>
      <c r="X999" s="4"/>
      <c r="Y999" s="4"/>
      <c r="Z999" s="4"/>
    </row>
    <row r="1000" spans="1:26">
      <c r="A1000" s="5">
        <v>43435</v>
      </c>
      <c r="B1000" s="4" t="s">
        <v>9</v>
      </c>
      <c r="C1000" s="4" t="s">
        <v>10</v>
      </c>
      <c r="D1000" s="4" t="s">
        <v>17</v>
      </c>
      <c r="E1000" s="4" t="s">
        <v>12</v>
      </c>
      <c r="F1000" s="4">
        <v>1908350</v>
      </c>
      <c r="G1000" s="4">
        <v>83723</v>
      </c>
      <c r="H1000" s="4">
        <v>95282</v>
      </c>
      <c r="I1000" s="6">
        <v>93258.768508821508</v>
      </c>
      <c r="J1000" s="4"/>
      <c r="K1000" s="4"/>
      <c r="L1000" s="4"/>
      <c r="M1000" s="4"/>
      <c r="N1000" s="4"/>
      <c r="O1000" s="4"/>
      <c r="P1000" s="4"/>
      <c r="Q1000" s="4"/>
      <c r="R1000" s="4"/>
      <c r="S1000" s="4"/>
      <c r="T1000" s="4"/>
      <c r="U1000" s="4"/>
      <c r="V1000" s="4"/>
      <c r="W1000" s="4"/>
      <c r="X1000" s="4"/>
      <c r="Y1000" s="4"/>
      <c r="Z1000" s="4"/>
    </row>
    <row r="1001" spans="1:26">
      <c r="A1001" s="5">
        <v>43435</v>
      </c>
      <c r="B1001" s="4" t="s">
        <v>9</v>
      </c>
      <c r="C1001" s="4" t="s">
        <v>10</v>
      </c>
      <c r="D1001" s="4" t="s">
        <v>17</v>
      </c>
      <c r="E1001" s="4" t="s">
        <v>13</v>
      </c>
      <c r="F1001" s="4">
        <v>11385</v>
      </c>
      <c r="G1001" s="4">
        <v>2257</v>
      </c>
      <c r="H1001" s="4">
        <v>13249</v>
      </c>
      <c r="I1001" s="6">
        <v>446511.09906741569</v>
      </c>
      <c r="J1001" s="4"/>
      <c r="K1001" s="4"/>
      <c r="L1001" s="4"/>
      <c r="M1001" s="4"/>
      <c r="N1001" s="4"/>
      <c r="O1001" s="4"/>
      <c r="P1001" s="4"/>
      <c r="Q1001" s="4"/>
      <c r="R1001" s="4"/>
      <c r="S1001" s="4"/>
      <c r="T1001" s="4"/>
      <c r="U1001" s="4"/>
      <c r="V1001" s="4"/>
      <c r="W1001" s="4"/>
      <c r="X1001" s="4"/>
      <c r="Y1001" s="4"/>
      <c r="Z1001" s="4"/>
    </row>
    <row r="1002" spans="1:26">
      <c r="A1002" s="5">
        <v>43435</v>
      </c>
      <c r="B1002" s="4" t="s">
        <v>9</v>
      </c>
      <c r="C1002" s="4" t="s">
        <v>18</v>
      </c>
      <c r="D1002" s="4" t="s">
        <v>11</v>
      </c>
      <c r="E1002" s="4" t="s">
        <v>12</v>
      </c>
      <c r="F1002" s="4">
        <v>7300294</v>
      </c>
      <c r="G1002" s="4">
        <v>196947</v>
      </c>
      <c r="H1002" s="4">
        <v>607617</v>
      </c>
      <c r="I1002" s="6">
        <v>148946.47208040897</v>
      </c>
      <c r="J1002" s="4"/>
      <c r="K1002" s="4"/>
      <c r="L1002" s="4"/>
      <c r="M1002" s="4"/>
      <c r="N1002" s="4"/>
      <c r="O1002" s="4"/>
      <c r="P1002" s="4"/>
      <c r="Q1002" s="4"/>
      <c r="R1002" s="4"/>
      <c r="S1002" s="4"/>
      <c r="T1002" s="4"/>
      <c r="U1002" s="4"/>
      <c r="V1002" s="4"/>
      <c r="W1002" s="4"/>
      <c r="X1002" s="4"/>
      <c r="Y1002" s="4"/>
      <c r="Z1002" s="4"/>
    </row>
    <row r="1003" spans="1:26">
      <c r="A1003" s="5">
        <v>43435</v>
      </c>
      <c r="B1003" s="4" t="s">
        <v>9</v>
      </c>
      <c r="C1003" s="4" t="s">
        <v>18</v>
      </c>
      <c r="D1003" s="4" t="s">
        <v>11</v>
      </c>
      <c r="E1003" s="4" t="s">
        <v>13</v>
      </c>
      <c r="F1003" s="4">
        <v>41456</v>
      </c>
      <c r="G1003" s="4">
        <v>737</v>
      </c>
      <c r="H1003" s="4">
        <v>20457</v>
      </c>
      <c r="I1003" s="6">
        <v>15016.012768989251</v>
      </c>
      <c r="J1003" s="4"/>
      <c r="K1003" s="4"/>
      <c r="L1003" s="4"/>
      <c r="M1003" s="4"/>
      <c r="N1003" s="4"/>
      <c r="O1003" s="4"/>
      <c r="P1003" s="4"/>
      <c r="Q1003" s="4"/>
      <c r="R1003" s="4"/>
      <c r="S1003" s="4"/>
      <c r="T1003" s="4"/>
      <c r="U1003" s="4"/>
      <c r="V1003" s="4"/>
      <c r="W1003" s="4"/>
      <c r="X1003" s="4"/>
      <c r="Y1003" s="4"/>
      <c r="Z1003" s="4"/>
    </row>
    <row r="1004" spans="1:26">
      <c r="A1004" s="5">
        <v>43435</v>
      </c>
      <c r="B1004" s="4" t="s">
        <v>9</v>
      </c>
      <c r="C1004" s="4" t="s">
        <v>18</v>
      </c>
      <c r="D1004" s="4" t="s">
        <v>14</v>
      </c>
      <c r="E1004" s="4" t="s">
        <v>12</v>
      </c>
      <c r="F1004" s="4">
        <v>17157125</v>
      </c>
      <c r="G1004" s="4">
        <v>406904</v>
      </c>
      <c r="H1004" s="4">
        <v>1226512</v>
      </c>
      <c r="I1004" s="6">
        <v>197784.20004336975</v>
      </c>
      <c r="J1004" s="4"/>
      <c r="K1004" s="4"/>
      <c r="L1004" s="4"/>
      <c r="M1004" s="4"/>
      <c r="N1004" s="4"/>
      <c r="O1004" s="4"/>
      <c r="P1004" s="4"/>
      <c r="Q1004" s="4"/>
      <c r="R1004" s="4"/>
      <c r="S1004" s="4"/>
      <c r="T1004" s="4"/>
      <c r="U1004" s="4"/>
      <c r="V1004" s="4"/>
      <c r="W1004" s="4"/>
      <c r="X1004" s="4"/>
      <c r="Y1004" s="4"/>
      <c r="Z1004" s="4"/>
    </row>
    <row r="1005" spans="1:26">
      <c r="A1005" s="5">
        <v>43435</v>
      </c>
      <c r="B1005" s="4" t="s">
        <v>9</v>
      </c>
      <c r="C1005" s="4" t="s">
        <v>18</v>
      </c>
      <c r="D1005" s="4" t="s">
        <v>14</v>
      </c>
      <c r="E1005" s="4" t="s">
        <v>13</v>
      </c>
      <c r="F1005" s="4">
        <v>86891</v>
      </c>
      <c r="G1005" s="4">
        <v>1024</v>
      </c>
      <c r="H1005" s="4">
        <v>15188</v>
      </c>
      <c r="I1005" s="6">
        <v>17470.375111642312</v>
      </c>
      <c r="J1005" s="4"/>
      <c r="K1005" s="4"/>
      <c r="L1005" s="4"/>
      <c r="M1005" s="4"/>
      <c r="N1005" s="4"/>
      <c r="O1005" s="4"/>
      <c r="P1005" s="4"/>
      <c r="Q1005" s="4"/>
      <c r="R1005" s="4"/>
      <c r="S1005" s="4"/>
      <c r="T1005" s="4"/>
      <c r="U1005" s="4"/>
      <c r="V1005" s="4"/>
      <c r="W1005" s="4"/>
      <c r="X1005" s="4"/>
      <c r="Y1005" s="4"/>
      <c r="Z1005" s="4"/>
    </row>
    <row r="1006" spans="1:26">
      <c r="A1006" s="5">
        <v>43435</v>
      </c>
      <c r="B1006" s="4" t="s">
        <v>9</v>
      </c>
      <c r="C1006" s="4" t="s">
        <v>18</v>
      </c>
      <c r="D1006" s="4" t="s">
        <v>15</v>
      </c>
      <c r="E1006" s="4" t="s">
        <v>12</v>
      </c>
      <c r="F1006" s="4">
        <v>8513284</v>
      </c>
      <c r="G1006" s="4">
        <v>219012</v>
      </c>
      <c r="H1006" s="4">
        <v>721631</v>
      </c>
      <c r="I1006" s="6">
        <v>79666.668776515435</v>
      </c>
      <c r="J1006" s="4"/>
      <c r="K1006" s="4"/>
      <c r="L1006" s="4"/>
      <c r="M1006" s="4"/>
      <c r="N1006" s="4"/>
      <c r="O1006" s="4"/>
      <c r="P1006" s="4"/>
      <c r="Q1006" s="4"/>
      <c r="R1006" s="4"/>
      <c r="S1006" s="4"/>
      <c r="T1006" s="4"/>
      <c r="U1006" s="4"/>
      <c r="V1006" s="4"/>
      <c r="W1006" s="4"/>
      <c r="X1006" s="4"/>
      <c r="Y1006" s="4"/>
      <c r="Z1006" s="4"/>
    </row>
    <row r="1007" spans="1:26">
      <c r="A1007" s="5">
        <v>43435</v>
      </c>
      <c r="B1007" s="4" t="s">
        <v>9</v>
      </c>
      <c r="C1007" s="4" t="s">
        <v>18</v>
      </c>
      <c r="D1007" s="4" t="s">
        <v>15</v>
      </c>
      <c r="E1007" s="4" t="s">
        <v>13</v>
      </c>
      <c r="F1007" s="4">
        <v>31717</v>
      </c>
      <c r="G1007" s="4">
        <v>409</v>
      </c>
      <c r="H1007" s="4">
        <v>5821</v>
      </c>
      <c r="I1007" s="6">
        <v>7555.7514376232048</v>
      </c>
      <c r="J1007" s="4"/>
      <c r="K1007" s="4"/>
      <c r="L1007" s="4"/>
      <c r="M1007" s="4"/>
      <c r="N1007" s="4"/>
      <c r="O1007" s="4"/>
      <c r="P1007" s="4"/>
      <c r="Q1007" s="4"/>
      <c r="R1007" s="4"/>
      <c r="S1007" s="4"/>
      <c r="T1007" s="4"/>
      <c r="U1007" s="4"/>
      <c r="V1007" s="4"/>
      <c r="W1007" s="4"/>
      <c r="X1007" s="4"/>
      <c r="Y1007" s="4"/>
      <c r="Z1007" s="4"/>
    </row>
    <row r="1008" spans="1:26">
      <c r="A1008" s="5">
        <v>43435</v>
      </c>
      <c r="B1008" s="4" t="s">
        <v>9</v>
      </c>
      <c r="C1008" s="4" t="s">
        <v>18</v>
      </c>
      <c r="D1008" s="4" t="s">
        <v>16</v>
      </c>
      <c r="E1008" s="4" t="s">
        <v>12</v>
      </c>
      <c r="F1008" s="4">
        <v>109596986</v>
      </c>
      <c r="G1008" s="4">
        <v>743861</v>
      </c>
      <c r="H1008" s="4">
        <v>2130552</v>
      </c>
      <c r="I1008" s="6">
        <v>513517.42890310177</v>
      </c>
      <c r="J1008" s="4"/>
      <c r="K1008" s="4"/>
      <c r="L1008" s="4"/>
      <c r="M1008" s="4"/>
      <c r="N1008" s="4"/>
      <c r="O1008" s="4"/>
      <c r="P1008" s="4"/>
      <c r="Q1008" s="4"/>
      <c r="R1008" s="4"/>
      <c r="S1008" s="4"/>
      <c r="T1008" s="4"/>
      <c r="U1008" s="4"/>
      <c r="V1008" s="4"/>
      <c r="W1008" s="4"/>
      <c r="X1008" s="4"/>
      <c r="Y1008" s="4"/>
      <c r="Z1008" s="4"/>
    </row>
    <row r="1009" spans="1:26">
      <c r="A1009" s="5">
        <v>43435</v>
      </c>
      <c r="B1009" s="4" t="s">
        <v>9</v>
      </c>
      <c r="C1009" s="4" t="s">
        <v>18</v>
      </c>
      <c r="D1009" s="4" t="s">
        <v>16</v>
      </c>
      <c r="E1009" s="4" t="s">
        <v>13</v>
      </c>
      <c r="F1009" s="4">
        <v>957970</v>
      </c>
      <c r="G1009" s="4">
        <v>2132</v>
      </c>
      <c r="H1009" s="4">
        <v>52493</v>
      </c>
      <c r="I1009" s="6">
        <v>33747.603295957422</v>
      </c>
      <c r="J1009" s="4"/>
      <c r="K1009" s="4"/>
      <c r="L1009" s="4"/>
      <c r="M1009" s="4"/>
      <c r="N1009" s="4"/>
      <c r="O1009" s="4"/>
      <c r="P1009" s="4"/>
      <c r="Q1009" s="4"/>
      <c r="R1009" s="4"/>
      <c r="S1009" s="4"/>
      <c r="T1009" s="4"/>
      <c r="U1009" s="4"/>
      <c r="V1009" s="4"/>
      <c r="W1009" s="4"/>
      <c r="X1009" s="4"/>
      <c r="Y1009" s="4"/>
      <c r="Z1009" s="4"/>
    </row>
    <row r="1010" spans="1:26">
      <c r="A1010" s="5">
        <v>43435</v>
      </c>
      <c r="B1010" s="4" t="s">
        <v>9</v>
      </c>
      <c r="C1010" s="4" t="s">
        <v>18</v>
      </c>
      <c r="D1010" s="4" t="s">
        <v>17</v>
      </c>
      <c r="E1010" s="4" t="s">
        <v>12</v>
      </c>
      <c r="F1010" s="4">
        <v>10374829</v>
      </c>
      <c r="G1010" s="4">
        <v>239121</v>
      </c>
      <c r="H1010" s="4">
        <v>681714</v>
      </c>
      <c r="I1010" s="6">
        <v>174395.68775100939</v>
      </c>
      <c r="J1010" s="4"/>
      <c r="K1010" s="4"/>
      <c r="L1010" s="4"/>
      <c r="M1010" s="4"/>
      <c r="N1010" s="4"/>
      <c r="O1010" s="4"/>
      <c r="P1010" s="4"/>
      <c r="Q1010" s="4"/>
      <c r="R1010" s="4"/>
      <c r="S1010" s="4"/>
      <c r="T1010" s="4"/>
      <c r="U1010" s="4"/>
      <c r="V1010" s="4"/>
      <c r="W1010" s="4"/>
      <c r="X1010" s="4"/>
      <c r="Y1010" s="4"/>
      <c r="Z1010" s="4"/>
    </row>
    <row r="1011" spans="1:26">
      <c r="A1011" s="5">
        <v>43435</v>
      </c>
      <c r="B1011" s="4" t="s">
        <v>9</v>
      </c>
      <c r="C1011" s="4" t="s">
        <v>18</v>
      </c>
      <c r="D1011" s="4" t="s">
        <v>17</v>
      </c>
      <c r="E1011" s="4" t="s">
        <v>13</v>
      </c>
      <c r="F1011" s="4">
        <v>79223</v>
      </c>
      <c r="G1011" s="4">
        <v>859</v>
      </c>
      <c r="H1011" s="4">
        <v>18989</v>
      </c>
      <c r="I1011" s="6">
        <v>13620.845854621157</v>
      </c>
      <c r="J1011" s="4"/>
      <c r="K1011" s="4"/>
      <c r="L1011" s="4"/>
      <c r="M1011" s="4"/>
      <c r="N1011" s="4"/>
      <c r="O1011" s="4"/>
      <c r="P1011" s="4"/>
      <c r="Q1011" s="4"/>
      <c r="R1011" s="4"/>
      <c r="S1011" s="4"/>
      <c r="T1011" s="4"/>
      <c r="U1011" s="4"/>
      <c r="V1011" s="4"/>
      <c r="W1011" s="4"/>
      <c r="X1011" s="4"/>
      <c r="Y1011" s="4"/>
      <c r="Z1011" s="4"/>
    </row>
    <row r="1012" spans="1:26">
      <c r="A1012" s="5">
        <v>43435</v>
      </c>
      <c r="B1012" s="4" t="s">
        <v>9</v>
      </c>
      <c r="C1012" s="4" t="s">
        <v>19</v>
      </c>
      <c r="D1012" s="4" t="s">
        <v>11</v>
      </c>
      <c r="E1012" s="4" t="s">
        <v>12</v>
      </c>
      <c r="F1012" s="4">
        <v>126355</v>
      </c>
      <c r="G1012" s="4">
        <v>19964</v>
      </c>
      <c r="H1012" s="4">
        <v>21028</v>
      </c>
      <c r="I1012" s="6">
        <v>106315.19059759701</v>
      </c>
      <c r="J1012" s="4"/>
      <c r="K1012" s="4"/>
      <c r="L1012" s="4"/>
      <c r="M1012" s="4"/>
      <c r="N1012" s="4"/>
      <c r="O1012" s="4"/>
      <c r="P1012" s="4"/>
      <c r="Q1012" s="4"/>
      <c r="R1012" s="4"/>
      <c r="S1012" s="4"/>
      <c r="T1012" s="4"/>
      <c r="U1012" s="4"/>
      <c r="V1012" s="4"/>
      <c r="W1012" s="4"/>
      <c r="X1012" s="4"/>
      <c r="Y1012" s="4"/>
      <c r="Z1012" s="4"/>
    </row>
    <row r="1013" spans="1:26">
      <c r="A1013" s="5">
        <v>43435</v>
      </c>
      <c r="B1013" s="4" t="s">
        <v>9</v>
      </c>
      <c r="C1013" s="4" t="s">
        <v>19</v>
      </c>
      <c r="D1013" s="4" t="s">
        <v>11</v>
      </c>
      <c r="E1013" s="4" t="s">
        <v>13</v>
      </c>
      <c r="F1013" s="4">
        <v>695</v>
      </c>
      <c r="G1013" s="4">
        <v>777</v>
      </c>
      <c r="H1013" s="4">
        <v>8117</v>
      </c>
      <c r="I1013" s="6">
        <v>18197.404711840372</v>
      </c>
      <c r="J1013" s="4"/>
      <c r="K1013" s="4"/>
      <c r="L1013" s="4"/>
      <c r="M1013" s="4"/>
      <c r="N1013" s="4"/>
      <c r="O1013" s="4"/>
      <c r="P1013" s="4"/>
      <c r="Q1013" s="4"/>
      <c r="R1013" s="4"/>
      <c r="S1013" s="4"/>
      <c r="T1013" s="4"/>
      <c r="U1013" s="4"/>
      <c r="V1013" s="4"/>
      <c r="W1013" s="4"/>
      <c r="X1013" s="4"/>
      <c r="Y1013" s="4"/>
      <c r="Z1013" s="4"/>
    </row>
    <row r="1014" spans="1:26">
      <c r="A1014" s="5">
        <v>43435</v>
      </c>
      <c r="B1014" s="4" t="s">
        <v>9</v>
      </c>
      <c r="C1014" s="4" t="s">
        <v>19</v>
      </c>
      <c r="D1014" s="4" t="s">
        <v>14</v>
      </c>
      <c r="E1014" s="4" t="s">
        <v>12</v>
      </c>
      <c r="F1014" s="4">
        <v>310011</v>
      </c>
      <c r="G1014" s="4">
        <v>47071</v>
      </c>
      <c r="H1014" s="4">
        <v>49475</v>
      </c>
      <c r="I1014" s="6">
        <v>189442.60517281803</v>
      </c>
      <c r="J1014" s="4"/>
      <c r="K1014" s="4"/>
      <c r="L1014" s="4"/>
      <c r="M1014" s="4"/>
      <c r="N1014" s="4"/>
      <c r="O1014" s="4"/>
      <c r="P1014" s="4"/>
      <c r="Q1014" s="4"/>
      <c r="R1014" s="4"/>
      <c r="S1014" s="4"/>
      <c r="T1014" s="4"/>
      <c r="U1014" s="4"/>
      <c r="V1014" s="4"/>
      <c r="W1014" s="4"/>
      <c r="X1014" s="4"/>
      <c r="Y1014" s="4"/>
      <c r="Z1014" s="4"/>
    </row>
    <row r="1015" spans="1:26">
      <c r="A1015" s="5">
        <v>43435</v>
      </c>
      <c r="B1015" s="4" t="s">
        <v>9</v>
      </c>
      <c r="C1015" s="4" t="s">
        <v>19</v>
      </c>
      <c r="D1015" s="4" t="s">
        <v>14</v>
      </c>
      <c r="E1015" s="4" t="s">
        <v>13</v>
      </c>
      <c r="F1015" s="4">
        <v>1668</v>
      </c>
      <c r="G1015" s="4">
        <v>1735</v>
      </c>
      <c r="H1015" s="4">
        <v>44071</v>
      </c>
      <c r="I1015" s="6">
        <v>30169.860025307913</v>
      </c>
      <c r="J1015" s="4"/>
      <c r="K1015" s="4"/>
      <c r="L1015" s="4"/>
      <c r="M1015" s="4"/>
      <c r="N1015" s="4"/>
      <c r="O1015" s="4"/>
      <c r="P1015" s="4"/>
      <c r="Q1015" s="4"/>
      <c r="R1015" s="4"/>
      <c r="S1015" s="4"/>
      <c r="T1015" s="4"/>
      <c r="U1015" s="4"/>
      <c r="V1015" s="4"/>
      <c r="W1015" s="4"/>
      <c r="X1015" s="4"/>
      <c r="Y1015" s="4"/>
      <c r="Z1015" s="4"/>
    </row>
    <row r="1016" spans="1:26">
      <c r="A1016" s="5">
        <v>43435</v>
      </c>
      <c r="B1016" s="4" t="s">
        <v>9</v>
      </c>
      <c r="C1016" s="4" t="s">
        <v>19</v>
      </c>
      <c r="D1016" s="4" t="s">
        <v>15</v>
      </c>
      <c r="E1016" s="4" t="s">
        <v>12</v>
      </c>
      <c r="F1016" s="4">
        <v>146288</v>
      </c>
      <c r="G1016" s="4">
        <v>24158</v>
      </c>
      <c r="H1016" s="4">
        <v>25033</v>
      </c>
      <c r="I1016" s="6">
        <v>70041.23548730847</v>
      </c>
      <c r="J1016" s="4"/>
      <c r="K1016" s="4"/>
      <c r="L1016" s="4"/>
      <c r="M1016" s="4"/>
      <c r="N1016" s="4"/>
      <c r="O1016" s="4"/>
      <c r="P1016" s="4"/>
      <c r="Q1016" s="4"/>
      <c r="R1016" s="4"/>
      <c r="S1016" s="4"/>
      <c r="T1016" s="4"/>
      <c r="U1016" s="4"/>
      <c r="V1016" s="4"/>
      <c r="W1016" s="4"/>
      <c r="X1016" s="4"/>
      <c r="Y1016" s="4"/>
      <c r="Z1016" s="4"/>
    </row>
    <row r="1017" spans="1:26">
      <c r="A1017" s="5">
        <v>43435</v>
      </c>
      <c r="B1017" s="4" t="s">
        <v>9</v>
      </c>
      <c r="C1017" s="4" t="s">
        <v>19</v>
      </c>
      <c r="D1017" s="4" t="s">
        <v>15</v>
      </c>
      <c r="E1017" s="4" t="s">
        <v>13</v>
      </c>
      <c r="F1017" s="4">
        <v>519</v>
      </c>
      <c r="G1017" s="4">
        <v>713</v>
      </c>
      <c r="H1017" s="4">
        <v>23763</v>
      </c>
      <c r="I1017" s="6">
        <v>13179.865598170669</v>
      </c>
      <c r="J1017" s="4"/>
      <c r="K1017" s="4"/>
      <c r="L1017" s="4"/>
      <c r="M1017" s="4"/>
      <c r="N1017" s="4"/>
      <c r="O1017" s="4"/>
      <c r="P1017" s="4"/>
      <c r="Q1017" s="4"/>
      <c r="R1017" s="4"/>
      <c r="S1017" s="4"/>
      <c r="T1017" s="4"/>
      <c r="U1017" s="4"/>
      <c r="V1017" s="4"/>
      <c r="W1017" s="4"/>
      <c r="X1017" s="4"/>
      <c r="Y1017" s="4"/>
      <c r="Z1017" s="4"/>
    </row>
    <row r="1018" spans="1:26">
      <c r="A1018" s="5">
        <v>43435</v>
      </c>
      <c r="B1018" s="4" t="s">
        <v>9</v>
      </c>
      <c r="C1018" s="4" t="s">
        <v>19</v>
      </c>
      <c r="D1018" s="4" t="s">
        <v>16</v>
      </c>
      <c r="E1018" s="4" t="s">
        <v>12</v>
      </c>
      <c r="F1018" s="4">
        <v>17409045</v>
      </c>
      <c r="G1018" s="4">
        <v>74070</v>
      </c>
      <c r="H1018" s="4">
        <v>75937</v>
      </c>
      <c r="I1018" s="6">
        <v>436887.71391755948</v>
      </c>
      <c r="J1018" s="4"/>
      <c r="K1018" s="4"/>
      <c r="L1018" s="4"/>
      <c r="M1018" s="4"/>
      <c r="N1018" s="4"/>
      <c r="O1018" s="4"/>
      <c r="P1018" s="4"/>
      <c r="Q1018" s="4"/>
      <c r="R1018" s="4"/>
      <c r="S1018" s="4"/>
      <c r="T1018" s="4"/>
      <c r="U1018" s="4"/>
      <c r="V1018" s="4"/>
      <c r="W1018" s="4"/>
      <c r="X1018" s="4"/>
      <c r="Y1018" s="4"/>
      <c r="Z1018" s="4"/>
    </row>
    <row r="1019" spans="1:26">
      <c r="A1019" s="5">
        <v>43435</v>
      </c>
      <c r="B1019" s="4" t="s">
        <v>9</v>
      </c>
      <c r="C1019" s="4" t="s">
        <v>19</v>
      </c>
      <c r="D1019" s="4" t="s">
        <v>16</v>
      </c>
      <c r="E1019" s="4" t="s">
        <v>13</v>
      </c>
      <c r="F1019" s="4">
        <v>162697</v>
      </c>
      <c r="G1019" s="4">
        <v>2227</v>
      </c>
      <c r="H1019" s="4">
        <v>38316</v>
      </c>
      <c r="I1019" s="6">
        <v>59347.675058488363</v>
      </c>
      <c r="J1019" s="4"/>
      <c r="K1019" s="4"/>
      <c r="L1019" s="4"/>
      <c r="M1019" s="4"/>
      <c r="N1019" s="4"/>
      <c r="O1019" s="4"/>
      <c r="P1019" s="4"/>
      <c r="Q1019" s="4"/>
      <c r="R1019" s="4"/>
      <c r="S1019" s="4"/>
      <c r="T1019" s="4"/>
      <c r="U1019" s="4"/>
      <c r="V1019" s="4"/>
      <c r="W1019" s="4"/>
      <c r="X1019" s="4"/>
      <c r="Y1019" s="4"/>
      <c r="Z1019" s="4"/>
    </row>
    <row r="1020" spans="1:26">
      <c r="A1020" s="5">
        <v>43435</v>
      </c>
      <c r="B1020" s="4" t="s">
        <v>9</v>
      </c>
      <c r="C1020" s="4" t="s">
        <v>19</v>
      </c>
      <c r="D1020" s="4" t="s">
        <v>17</v>
      </c>
      <c r="E1020" s="4" t="s">
        <v>12</v>
      </c>
      <c r="F1020" s="4">
        <v>242823</v>
      </c>
      <c r="G1020" s="4">
        <v>26729</v>
      </c>
      <c r="H1020" s="4">
        <v>27598</v>
      </c>
      <c r="I1020" s="6">
        <v>162030.48077925199</v>
      </c>
      <c r="J1020" s="4"/>
      <c r="K1020" s="4"/>
      <c r="L1020" s="4"/>
      <c r="M1020" s="4"/>
      <c r="N1020" s="4"/>
      <c r="O1020" s="4"/>
      <c r="P1020" s="4"/>
      <c r="Q1020" s="4"/>
      <c r="R1020" s="4"/>
      <c r="S1020" s="4"/>
      <c r="T1020" s="4"/>
      <c r="U1020" s="4"/>
      <c r="V1020" s="4"/>
      <c r="W1020" s="4"/>
      <c r="X1020" s="4"/>
      <c r="Y1020" s="4"/>
      <c r="Z1020" s="4"/>
    </row>
    <row r="1021" spans="1:26">
      <c r="A1021" s="5">
        <v>43435</v>
      </c>
      <c r="B1021" s="4" t="s">
        <v>9</v>
      </c>
      <c r="C1021" s="4" t="s">
        <v>19</v>
      </c>
      <c r="D1021" s="4" t="s">
        <v>17</v>
      </c>
      <c r="E1021" s="4" t="s">
        <v>13</v>
      </c>
      <c r="F1021" s="4">
        <v>1644</v>
      </c>
      <c r="G1021" s="4">
        <v>730</v>
      </c>
      <c r="H1021" s="4">
        <v>7354</v>
      </c>
      <c r="I1021" s="6">
        <v>20071.111886750226</v>
      </c>
      <c r="J1021" s="4"/>
      <c r="K1021" s="4"/>
      <c r="L1021" s="4"/>
      <c r="M1021" s="4"/>
      <c r="N1021" s="4"/>
      <c r="O1021" s="4"/>
      <c r="P1021" s="4"/>
      <c r="Q1021" s="4"/>
      <c r="R1021" s="4"/>
      <c r="S1021" s="4"/>
      <c r="T1021" s="4"/>
      <c r="U1021" s="4"/>
      <c r="V1021" s="4"/>
      <c r="W1021" s="4"/>
      <c r="X1021" s="4"/>
      <c r="Y1021" s="4"/>
      <c r="Z1021" s="4"/>
    </row>
    <row r="1022" spans="1:26">
      <c r="A1022" s="5">
        <v>43435</v>
      </c>
      <c r="B1022" s="4" t="s">
        <v>20</v>
      </c>
      <c r="C1022" s="4" t="s">
        <v>10</v>
      </c>
      <c r="D1022" s="4" t="s">
        <v>11</v>
      </c>
      <c r="E1022" s="4" t="s">
        <v>12</v>
      </c>
      <c r="F1022" s="4">
        <v>2458896</v>
      </c>
      <c r="G1022" s="4">
        <v>5614</v>
      </c>
      <c r="H1022" s="4">
        <v>6363</v>
      </c>
      <c r="I1022" s="6">
        <v>1497.440818852459</v>
      </c>
      <c r="J1022" s="4"/>
      <c r="K1022" s="4"/>
      <c r="L1022" s="4"/>
      <c r="M1022" s="4"/>
      <c r="N1022" s="4"/>
      <c r="O1022" s="4"/>
      <c r="P1022" s="4"/>
      <c r="Q1022" s="4"/>
      <c r="R1022" s="4"/>
      <c r="S1022" s="4"/>
      <c r="T1022" s="4"/>
      <c r="U1022" s="4"/>
      <c r="V1022" s="4"/>
      <c r="W1022" s="4"/>
      <c r="X1022" s="4"/>
      <c r="Y1022" s="4"/>
      <c r="Z1022" s="4"/>
    </row>
    <row r="1023" spans="1:26">
      <c r="A1023" s="5">
        <v>43435</v>
      </c>
      <c r="B1023" s="4" t="s">
        <v>20</v>
      </c>
      <c r="C1023" s="4" t="s">
        <v>10</v>
      </c>
      <c r="D1023" s="4" t="s">
        <v>11</v>
      </c>
      <c r="E1023" s="4" t="s">
        <v>13</v>
      </c>
      <c r="F1023" s="4">
        <v>995</v>
      </c>
      <c r="G1023" s="4">
        <v>28</v>
      </c>
      <c r="H1023" s="4">
        <v>71</v>
      </c>
      <c r="I1023" s="6">
        <v>15787.466767676766</v>
      </c>
      <c r="J1023" s="4"/>
      <c r="K1023" s="4"/>
      <c r="L1023" s="4"/>
      <c r="M1023" s="4"/>
      <c r="N1023" s="4"/>
      <c r="O1023" s="4"/>
      <c r="P1023" s="4"/>
      <c r="Q1023" s="4"/>
      <c r="R1023" s="4"/>
      <c r="S1023" s="4"/>
      <c r="T1023" s="4"/>
      <c r="U1023" s="4"/>
      <c r="V1023" s="4"/>
      <c r="W1023" s="4"/>
      <c r="X1023" s="4"/>
      <c r="Y1023" s="4"/>
      <c r="Z1023" s="4"/>
    </row>
    <row r="1024" spans="1:26">
      <c r="A1024" s="5">
        <v>43435</v>
      </c>
      <c r="B1024" s="4" t="s">
        <v>20</v>
      </c>
      <c r="C1024" s="4" t="s">
        <v>10</v>
      </c>
      <c r="D1024" s="4" t="s">
        <v>14</v>
      </c>
      <c r="E1024" s="4" t="s">
        <v>12</v>
      </c>
      <c r="F1024" s="4">
        <v>4452997</v>
      </c>
      <c r="G1024" s="4">
        <v>9987</v>
      </c>
      <c r="H1024" s="4">
        <v>10848</v>
      </c>
      <c r="I1024" s="6">
        <v>1362.9864698175154</v>
      </c>
      <c r="J1024" s="4"/>
      <c r="K1024" s="4"/>
      <c r="L1024" s="4"/>
      <c r="M1024" s="4"/>
      <c r="N1024" s="4"/>
      <c r="O1024" s="4"/>
      <c r="P1024" s="4"/>
      <c r="Q1024" s="4"/>
      <c r="R1024" s="4"/>
      <c r="S1024" s="4"/>
      <c r="T1024" s="4"/>
      <c r="U1024" s="4"/>
      <c r="V1024" s="4"/>
      <c r="W1024" s="4"/>
      <c r="X1024" s="4"/>
      <c r="Y1024" s="4"/>
      <c r="Z1024" s="4"/>
    </row>
    <row r="1025" spans="1:26">
      <c r="A1025" s="5">
        <v>43435</v>
      </c>
      <c r="B1025" s="4" t="s">
        <v>20</v>
      </c>
      <c r="C1025" s="4" t="s">
        <v>10</v>
      </c>
      <c r="D1025" s="4" t="s">
        <v>14</v>
      </c>
      <c r="E1025" s="4" t="s">
        <v>13</v>
      </c>
      <c r="F1025" s="4">
        <v>2145</v>
      </c>
      <c r="G1025" s="4">
        <v>52</v>
      </c>
      <c r="H1025" s="4">
        <v>218</v>
      </c>
      <c r="I1025" s="6">
        <v>24419.097855172415</v>
      </c>
      <c r="J1025" s="4"/>
      <c r="K1025" s="4"/>
      <c r="L1025" s="4"/>
      <c r="M1025" s="4"/>
      <c r="N1025" s="4"/>
      <c r="O1025" s="4"/>
      <c r="P1025" s="4"/>
      <c r="Q1025" s="4"/>
      <c r="R1025" s="4"/>
      <c r="S1025" s="4"/>
      <c r="T1025" s="4"/>
      <c r="U1025" s="4"/>
      <c r="V1025" s="4"/>
      <c r="W1025" s="4"/>
      <c r="X1025" s="4"/>
      <c r="Y1025" s="4"/>
      <c r="Z1025" s="4"/>
    </row>
    <row r="1026" spans="1:26">
      <c r="A1026" s="5">
        <v>43435</v>
      </c>
      <c r="B1026" s="4" t="s">
        <v>20</v>
      </c>
      <c r="C1026" s="4" t="s">
        <v>10</v>
      </c>
      <c r="D1026" s="4" t="s">
        <v>15</v>
      </c>
      <c r="E1026" s="4" t="s">
        <v>12</v>
      </c>
      <c r="F1026" s="4">
        <v>1112902</v>
      </c>
      <c r="G1026" s="4">
        <v>2523</v>
      </c>
      <c r="H1026" s="4">
        <v>2737</v>
      </c>
      <c r="I1026" s="6">
        <v>436.59657902689639</v>
      </c>
      <c r="J1026" s="4"/>
      <c r="K1026" s="4"/>
      <c r="L1026" s="4"/>
      <c r="M1026" s="4"/>
      <c r="N1026" s="4"/>
      <c r="O1026" s="4"/>
      <c r="P1026" s="4"/>
      <c r="Q1026" s="4"/>
      <c r="R1026" s="4"/>
      <c r="S1026" s="4"/>
      <c r="T1026" s="4"/>
      <c r="U1026" s="4"/>
      <c r="V1026" s="4"/>
      <c r="W1026" s="4"/>
      <c r="X1026" s="4"/>
      <c r="Y1026" s="4"/>
      <c r="Z1026" s="4"/>
    </row>
    <row r="1027" spans="1:26">
      <c r="A1027" s="5">
        <v>43435</v>
      </c>
      <c r="B1027" s="4" t="s">
        <v>20</v>
      </c>
      <c r="C1027" s="4" t="s">
        <v>10</v>
      </c>
      <c r="D1027" s="4" t="s">
        <v>15</v>
      </c>
      <c r="E1027" s="4" t="s">
        <v>13</v>
      </c>
      <c r="F1027" s="4">
        <v>295</v>
      </c>
      <c r="G1027" s="4">
        <v>13</v>
      </c>
      <c r="H1027" s="4">
        <v>40</v>
      </c>
      <c r="I1027" s="6">
        <v>4868.2084507042255</v>
      </c>
      <c r="J1027" s="4"/>
      <c r="K1027" s="4"/>
      <c r="L1027" s="4"/>
      <c r="M1027" s="4"/>
      <c r="N1027" s="4"/>
      <c r="O1027" s="4"/>
      <c r="P1027" s="4"/>
      <c r="Q1027" s="4"/>
      <c r="R1027" s="4"/>
      <c r="S1027" s="4"/>
      <c r="T1027" s="4"/>
      <c r="U1027" s="4"/>
      <c r="V1027" s="4"/>
      <c r="W1027" s="4"/>
      <c r="X1027" s="4"/>
      <c r="Y1027" s="4"/>
      <c r="Z1027" s="4"/>
    </row>
    <row r="1028" spans="1:26">
      <c r="A1028" s="5">
        <v>43435</v>
      </c>
      <c r="B1028" s="4" t="s">
        <v>20</v>
      </c>
      <c r="C1028" s="4" t="s">
        <v>10</v>
      </c>
      <c r="D1028" s="4" t="s">
        <v>16</v>
      </c>
      <c r="E1028" s="4" t="s">
        <v>12</v>
      </c>
      <c r="F1028" s="4">
        <v>11976541</v>
      </c>
      <c r="G1028" s="4">
        <v>36371</v>
      </c>
      <c r="H1028" s="4">
        <v>38199</v>
      </c>
      <c r="I1028" s="6">
        <v>6442.075276099592</v>
      </c>
      <c r="J1028" s="4"/>
      <c r="K1028" s="4"/>
      <c r="L1028" s="4"/>
      <c r="M1028" s="4"/>
      <c r="N1028" s="4"/>
      <c r="O1028" s="4"/>
      <c r="P1028" s="4"/>
      <c r="Q1028" s="4"/>
      <c r="R1028" s="4"/>
      <c r="S1028" s="4"/>
      <c r="T1028" s="4"/>
      <c r="U1028" s="4"/>
      <c r="V1028" s="4"/>
      <c r="W1028" s="4"/>
      <c r="X1028" s="4"/>
      <c r="Y1028" s="4"/>
      <c r="Z1028" s="4"/>
    </row>
    <row r="1029" spans="1:26">
      <c r="A1029" s="5">
        <v>43435</v>
      </c>
      <c r="B1029" s="4" t="s">
        <v>20</v>
      </c>
      <c r="C1029" s="4" t="s">
        <v>10</v>
      </c>
      <c r="D1029" s="4" t="s">
        <v>16</v>
      </c>
      <c r="E1029" s="4" t="s">
        <v>13</v>
      </c>
      <c r="F1029" s="4">
        <v>5814</v>
      </c>
      <c r="G1029" s="4">
        <v>247</v>
      </c>
      <c r="H1029" s="4">
        <v>666</v>
      </c>
      <c r="I1029" s="6">
        <v>109003.20227383863</v>
      </c>
      <c r="J1029" s="4"/>
      <c r="K1029" s="4"/>
      <c r="L1029" s="4"/>
      <c r="M1029" s="4"/>
      <c r="N1029" s="4"/>
      <c r="O1029" s="4"/>
      <c r="P1029" s="4"/>
      <c r="Q1029" s="4"/>
      <c r="R1029" s="4"/>
      <c r="S1029" s="4"/>
      <c r="T1029" s="4"/>
      <c r="U1029" s="4"/>
      <c r="V1029" s="4"/>
      <c r="W1029" s="4"/>
      <c r="X1029" s="4"/>
      <c r="Y1029" s="4"/>
      <c r="Z1029" s="4"/>
    </row>
    <row r="1030" spans="1:26">
      <c r="A1030" s="5">
        <v>43435</v>
      </c>
      <c r="B1030" s="4" t="s">
        <v>20</v>
      </c>
      <c r="C1030" s="4" t="s">
        <v>10</v>
      </c>
      <c r="D1030" s="4" t="s">
        <v>17</v>
      </c>
      <c r="E1030" s="4" t="s">
        <v>12</v>
      </c>
      <c r="F1030" s="4">
        <v>3794474</v>
      </c>
      <c r="G1030" s="4">
        <v>12104</v>
      </c>
      <c r="H1030" s="4">
        <v>12842</v>
      </c>
      <c r="I1030" s="6">
        <v>1954.3361441986458</v>
      </c>
      <c r="J1030" s="4"/>
      <c r="K1030" s="4"/>
      <c r="L1030" s="4"/>
      <c r="M1030" s="4"/>
      <c r="N1030" s="4"/>
      <c r="O1030" s="4"/>
      <c r="P1030" s="4"/>
      <c r="Q1030" s="4"/>
      <c r="R1030" s="4"/>
      <c r="S1030" s="4"/>
      <c r="T1030" s="4"/>
      <c r="U1030" s="4"/>
      <c r="V1030" s="4"/>
      <c r="W1030" s="4"/>
      <c r="X1030" s="4"/>
      <c r="Y1030" s="4"/>
      <c r="Z1030" s="4"/>
    </row>
    <row r="1031" spans="1:26">
      <c r="A1031" s="5">
        <v>43435</v>
      </c>
      <c r="B1031" s="4" t="s">
        <v>20</v>
      </c>
      <c r="C1031" s="4" t="s">
        <v>10</v>
      </c>
      <c r="D1031" s="4" t="s">
        <v>17</v>
      </c>
      <c r="E1031" s="4" t="s">
        <v>13</v>
      </c>
      <c r="F1031" s="4">
        <v>1968</v>
      </c>
      <c r="G1031" s="4">
        <v>78</v>
      </c>
      <c r="H1031" s="4">
        <v>246</v>
      </c>
      <c r="I1031" s="6">
        <v>37409.965935483866</v>
      </c>
      <c r="J1031" s="4"/>
      <c r="K1031" s="4"/>
      <c r="L1031" s="4"/>
      <c r="M1031" s="4"/>
      <c r="N1031" s="4"/>
      <c r="O1031" s="4"/>
      <c r="P1031" s="4"/>
      <c r="Q1031" s="4"/>
      <c r="R1031" s="4"/>
      <c r="S1031" s="4"/>
      <c r="T1031" s="4"/>
      <c r="U1031" s="4"/>
      <c r="V1031" s="4"/>
      <c r="W1031" s="4"/>
      <c r="X1031" s="4"/>
      <c r="Y1031" s="4"/>
      <c r="Z1031" s="4"/>
    </row>
    <row r="1032" spans="1:26">
      <c r="A1032" s="5">
        <v>43435</v>
      </c>
      <c r="B1032" s="4" t="s">
        <v>20</v>
      </c>
      <c r="C1032" s="4" t="s">
        <v>18</v>
      </c>
      <c r="D1032" s="4" t="s">
        <v>11</v>
      </c>
      <c r="E1032" s="4" t="s">
        <v>12</v>
      </c>
      <c r="F1032" s="4">
        <v>2750930</v>
      </c>
      <c r="G1032" s="4">
        <v>15870</v>
      </c>
      <c r="H1032" s="4">
        <v>30582</v>
      </c>
      <c r="I1032" s="6">
        <v>9407.5536491427665</v>
      </c>
      <c r="J1032" s="4"/>
      <c r="K1032" s="4"/>
      <c r="L1032" s="4"/>
      <c r="M1032" s="4"/>
      <c r="N1032" s="4"/>
      <c r="O1032" s="4"/>
      <c r="P1032" s="4"/>
      <c r="Q1032" s="4"/>
      <c r="R1032" s="4"/>
      <c r="S1032" s="4"/>
      <c r="T1032" s="4"/>
      <c r="U1032" s="4"/>
      <c r="V1032" s="4"/>
      <c r="W1032" s="4"/>
      <c r="X1032" s="4"/>
      <c r="Y1032" s="4"/>
      <c r="Z1032" s="4"/>
    </row>
    <row r="1033" spans="1:26">
      <c r="A1033" s="5">
        <v>43435</v>
      </c>
      <c r="B1033" s="4" t="s">
        <v>20</v>
      </c>
      <c r="C1033" s="4" t="s">
        <v>18</v>
      </c>
      <c r="D1033" s="4" t="s">
        <v>11</v>
      </c>
      <c r="E1033" s="4" t="s">
        <v>13</v>
      </c>
      <c r="F1033" s="4">
        <v>1419</v>
      </c>
      <c r="G1033" s="4">
        <v>19</v>
      </c>
      <c r="H1033" s="4">
        <v>32</v>
      </c>
      <c r="I1033" s="6">
        <v>166.99520000000001</v>
      </c>
      <c r="J1033" s="4"/>
      <c r="K1033" s="4"/>
      <c r="L1033" s="4"/>
      <c r="M1033" s="4"/>
      <c r="N1033" s="4"/>
      <c r="O1033" s="4"/>
      <c r="P1033" s="4"/>
      <c r="Q1033" s="4"/>
      <c r="R1033" s="4"/>
      <c r="S1033" s="4"/>
      <c r="T1033" s="4"/>
      <c r="U1033" s="4"/>
      <c r="V1033" s="4"/>
      <c r="W1033" s="4"/>
      <c r="X1033" s="4"/>
      <c r="Y1033" s="4"/>
      <c r="Z1033" s="4"/>
    </row>
    <row r="1034" spans="1:26">
      <c r="A1034" s="5">
        <v>43435</v>
      </c>
      <c r="B1034" s="4" t="s">
        <v>20</v>
      </c>
      <c r="C1034" s="4" t="s">
        <v>18</v>
      </c>
      <c r="D1034" s="4" t="s">
        <v>14</v>
      </c>
      <c r="E1034" s="4" t="s">
        <v>12</v>
      </c>
      <c r="F1034" s="4">
        <v>5211502</v>
      </c>
      <c r="G1034" s="4">
        <v>31316</v>
      </c>
      <c r="H1034" s="4">
        <v>58546</v>
      </c>
      <c r="I1034" s="6">
        <v>11948.893139663223</v>
      </c>
      <c r="J1034" s="4"/>
      <c r="K1034" s="4"/>
      <c r="L1034" s="4"/>
      <c r="M1034" s="4"/>
      <c r="N1034" s="4"/>
      <c r="O1034" s="4"/>
      <c r="P1034" s="4"/>
      <c r="Q1034" s="4"/>
      <c r="R1034" s="4"/>
      <c r="S1034" s="4"/>
      <c r="T1034" s="4"/>
      <c r="U1034" s="4"/>
      <c r="V1034" s="4"/>
      <c r="W1034" s="4"/>
      <c r="X1034" s="4"/>
      <c r="Y1034" s="4"/>
      <c r="Z1034" s="4"/>
    </row>
    <row r="1035" spans="1:26">
      <c r="A1035" s="5">
        <v>43435</v>
      </c>
      <c r="B1035" s="4" t="s">
        <v>20</v>
      </c>
      <c r="C1035" s="4" t="s">
        <v>18</v>
      </c>
      <c r="D1035" s="4" t="s">
        <v>14</v>
      </c>
      <c r="E1035" s="4" t="s">
        <v>13</v>
      </c>
      <c r="F1035" s="4">
        <v>2717</v>
      </c>
      <c r="G1035" s="4">
        <v>31</v>
      </c>
      <c r="H1035" s="4">
        <v>178</v>
      </c>
      <c r="I1035" s="6">
        <v>299.23860975206611</v>
      </c>
      <c r="J1035" s="4"/>
      <c r="K1035" s="4"/>
      <c r="L1035" s="4"/>
      <c r="M1035" s="4"/>
      <c r="N1035" s="4"/>
      <c r="O1035" s="4"/>
      <c r="P1035" s="4"/>
      <c r="Q1035" s="4"/>
      <c r="R1035" s="4"/>
      <c r="S1035" s="4"/>
      <c r="T1035" s="4"/>
      <c r="U1035" s="4"/>
      <c r="V1035" s="4"/>
      <c r="W1035" s="4"/>
      <c r="X1035" s="4"/>
      <c r="Y1035" s="4"/>
      <c r="Z1035" s="4"/>
    </row>
    <row r="1036" spans="1:26">
      <c r="A1036" s="5">
        <v>43435</v>
      </c>
      <c r="B1036" s="4" t="s">
        <v>20</v>
      </c>
      <c r="C1036" s="4" t="s">
        <v>18</v>
      </c>
      <c r="D1036" s="4" t="s">
        <v>15</v>
      </c>
      <c r="E1036" s="4" t="s">
        <v>12</v>
      </c>
      <c r="F1036" s="4">
        <v>1645015</v>
      </c>
      <c r="G1036" s="4">
        <v>10840</v>
      </c>
      <c r="H1036" s="4">
        <v>20349</v>
      </c>
      <c r="I1036" s="6">
        <v>3317.4029927957995</v>
      </c>
      <c r="J1036" s="4"/>
      <c r="K1036" s="4"/>
      <c r="L1036" s="4"/>
      <c r="M1036" s="4"/>
      <c r="N1036" s="4"/>
      <c r="O1036" s="4"/>
      <c r="P1036" s="4"/>
      <c r="Q1036" s="4"/>
      <c r="R1036" s="4"/>
      <c r="S1036" s="4"/>
      <c r="T1036" s="4"/>
      <c r="U1036" s="4"/>
      <c r="V1036" s="4"/>
      <c r="W1036" s="4"/>
      <c r="X1036" s="4"/>
      <c r="Y1036" s="4"/>
      <c r="Z1036" s="4"/>
    </row>
    <row r="1037" spans="1:26">
      <c r="A1037" s="5">
        <v>43435</v>
      </c>
      <c r="B1037" s="4" t="s">
        <v>20</v>
      </c>
      <c r="C1037" s="4" t="s">
        <v>18</v>
      </c>
      <c r="D1037" s="4" t="s">
        <v>15</v>
      </c>
      <c r="E1037" s="4" t="s">
        <v>13</v>
      </c>
      <c r="F1037" s="4">
        <v>570</v>
      </c>
      <c r="G1037" s="4">
        <v>3</v>
      </c>
      <c r="H1037" s="4">
        <v>9</v>
      </c>
      <c r="I1037" s="6">
        <v>65.322857142857146</v>
      </c>
      <c r="J1037" s="4"/>
      <c r="K1037" s="4"/>
      <c r="L1037" s="4"/>
      <c r="M1037" s="4"/>
      <c r="N1037" s="4"/>
      <c r="O1037" s="4"/>
      <c r="P1037" s="4"/>
      <c r="Q1037" s="4"/>
      <c r="R1037" s="4"/>
      <c r="S1037" s="4"/>
      <c r="T1037" s="4"/>
      <c r="U1037" s="4"/>
      <c r="V1037" s="4"/>
      <c r="W1037" s="4"/>
      <c r="X1037" s="4"/>
      <c r="Y1037" s="4"/>
      <c r="Z1037" s="4"/>
    </row>
    <row r="1038" spans="1:26">
      <c r="A1038" s="5">
        <v>43435</v>
      </c>
      <c r="B1038" s="4" t="s">
        <v>20</v>
      </c>
      <c r="C1038" s="4" t="s">
        <v>18</v>
      </c>
      <c r="D1038" s="4" t="s">
        <v>16</v>
      </c>
      <c r="E1038" s="4" t="s">
        <v>12</v>
      </c>
      <c r="F1038" s="4">
        <v>24192540</v>
      </c>
      <c r="G1038" s="4">
        <v>77519</v>
      </c>
      <c r="H1038" s="4">
        <v>144385</v>
      </c>
      <c r="I1038" s="6">
        <v>47642.393782384905</v>
      </c>
      <c r="J1038" s="4"/>
      <c r="K1038" s="4"/>
      <c r="L1038" s="4"/>
      <c r="M1038" s="4"/>
      <c r="N1038" s="4"/>
      <c r="O1038" s="4"/>
      <c r="P1038" s="4"/>
      <c r="Q1038" s="4"/>
      <c r="R1038" s="4"/>
      <c r="S1038" s="4"/>
      <c r="T1038" s="4"/>
      <c r="U1038" s="4"/>
      <c r="V1038" s="4"/>
      <c r="W1038" s="4"/>
      <c r="X1038" s="4"/>
      <c r="Y1038" s="4"/>
      <c r="Z1038" s="4"/>
    </row>
    <row r="1039" spans="1:26">
      <c r="A1039" s="5">
        <v>43435</v>
      </c>
      <c r="B1039" s="4" t="s">
        <v>20</v>
      </c>
      <c r="C1039" s="4" t="s">
        <v>18</v>
      </c>
      <c r="D1039" s="4" t="s">
        <v>16</v>
      </c>
      <c r="E1039" s="4" t="s">
        <v>13</v>
      </c>
      <c r="F1039" s="4">
        <v>29643</v>
      </c>
      <c r="G1039" s="4">
        <v>95</v>
      </c>
      <c r="H1039" s="4">
        <v>1036</v>
      </c>
      <c r="I1039" s="6">
        <v>1388.2160554699537</v>
      </c>
      <c r="J1039" s="4"/>
      <c r="K1039" s="4"/>
      <c r="L1039" s="4"/>
      <c r="M1039" s="4"/>
      <c r="N1039" s="4"/>
      <c r="O1039" s="4"/>
      <c r="P1039" s="4"/>
      <c r="Q1039" s="4"/>
      <c r="R1039" s="4"/>
      <c r="S1039" s="4"/>
      <c r="T1039" s="4"/>
      <c r="U1039" s="4"/>
      <c r="V1039" s="4"/>
      <c r="W1039" s="4"/>
      <c r="X1039" s="4"/>
      <c r="Y1039" s="4"/>
      <c r="Z1039" s="4"/>
    </row>
    <row r="1040" spans="1:26">
      <c r="A1040" s="5">
        <v>43435</v>
      </c>
      <c r="B1040" s="4" t="s">
        <v>20</v>
      </c>
      <c r="C1040" s="4" t="s">
        <v>18</v>
      </c>
      <c r="D1040" s="4" t="s">
        <v>17</v>
      </c>
      <c r="E1040" s="4" t="s">
        <v>12</v>
      </c>
      <c r="F1040" s="4">
        <v>4262496</v>
      </c>
      <c r="G1040" s="4">
        <v>26171</v>
      </c>
      <c r="H1040" s="4">
        <v>45974</v>
      </c>
      <c r="I1040" s="6">
        <v>15670.634216159722</v>
      </c>
      <c r="J1040" s="4"/>
      <c r="K1040" s="4"/>
      <c r="L1040" s="4"/>
      <c r="M1040" s="4"/>
      <c r="N1040" s="4"/>
      <c r="O1040" s="4"/>
      <c r="P1040" s="4"/>
      <c r="Q1040" s="4"/>
      <c r="R1040" s="4"/>
      <c r="S1040" s="4"/>
      <c r="T1040" s="4"/>
      <c r="U1040" s="4"/>
      <c r="V1040" s="4"/>
      <c r="W1040" s="4"/>
      <c r="X1040" s="4"/>
      <c r="Y1040" s="4"/>
      <c r="Z1040" s="4"/>
    </row>
    <row r="1041" spans="1:26">
      <c r="A1041" s="5">
        <v>43435</v>
      </c>
      <c r="B1041" s="4" t="s">
        <v>20</v>
      </c>
      <c r="C1041" s="4" t="s">
        <v>18</v>
      </c>
      <c r="D1041" s="4" t="s">
        <v>17</v>
      </c>
      <c r="E1041" s="4" t="s">
        <v>13</v>
      </c>
      <c r="F1041" s="4">
        <v>1719</v>
      </c>
      <c r="G1041" s="4">
        <v>23</v>
      </c>
      <c r="H1041" s="4">
        <v>128</v>
      </c>
      <c r="I1041" s="6">
        <v>79.96521739130435</v>
      </c>
      <c r="J1041" s="4"/>
      <c r="K1041" s="4"/>
      <c r="L1041" s="4"/>
      <c r="M1041" s="4"/>
      <c r="N1041" s="4"/>
      <c r="O1041" s="4"/>
      <c r="P1041" s="4"/>
      <c r="Q1041" s="4"/>
      <c r="R1041" s="4"/>
      <c r="S1041" s="4"/>
      <c r="T1041" s="4"/>
      <c r="U1041" s="4"/>
      <c r="V1041" s="4"/>
      <c r="W1041" s="4"/>
      <c r="X1041" s="4"/>
      <c r="Y1041" s="4"/>
      <c r="Z1041" s="4"/>
    </row>
    <row r="1042" spans="1:26">
      <c r="A1042" s="5">
        <v>43435</v>
      </c>
      <c r="B1042" s="4" t="s">
        <v>20</v>
      </c>
      <c r="C1042" s="4" t="s">
        <v>19</v>
      </c>
      <c r="D1042" s="4" t="s">
        <v>11</v>
      </c>
      <c r="E1042" s="4" t="s">
        <v>12</v>
      </c>
      <c r="F1042" s="4">
        <v>841576</v>
      </c>
      <c r="G1042" s="4">
        <v>2501</v>
      </c>
      <c r="H1042" s="4">
        <v>2690</v>
      </c>
      <c r="I1042" s="6">
        <v>9419.7533804548239</v>
      </c>
      <c r="J1042" s="4"/>
      <c r="K1042" s="4"/>
      <c r="L1042" s="4"/>
      <c r="M1042" s="4"/>
      <c r="N1042" s="4"/>
      <c r="O1042" s="4"/>
      <c r="P1042" s="4"/>
      <c r="Q1042" s="4"/>
      <c r="R1042" s="4"/>
      <c r="S1042" s="4"/>
      <c r="T1042" s="4"/>
      <c r="U1042" s="4"/>
      <c r="V1042" s="4"/>
      <c r="W1042" s="4"/>
      <c r="X1042" s="4"/>
      <c r="Y1042" s="4"/>
      <c r="Z1042" s="4"/>
    </row>
    <row r="1043" spans="1:26">
      <c r="A1043" s="5">
        <v>43435</v>
      </c>
      <c r="B1043" s="4" t="s">
        <v>20</v>
      </c>
      <c r="C1043" s="4" t="s">
        <v>19</v>
      </c>
      <c r="D1043" s="4" t="s">
        <v>11</v>
      </c>
      <c r="E1043" s="4" t="s">
        <v>13</v>
      </c>
      <c r="F1043" s="4">
        <v>1145</v>
      </c>
      <c r="G1043" s="4">
        <v>43</v>
      </c>
      <c r="H1043" s="4">
        <v>253</v>
      </c>
      <c r="I1043" s="6">
        <v>1191.727886904762</v>
      </c>
      <c r="J1043" s="4"/>
      <c r="K1043" s="4"/>
      <c r="L1043" s="4"/>
      <c r="M1043" s="4"/>
      <c r="N1043" s="4"/>
      <c r="O1043" s="4"/>
      <c r="P1043" s="4"/>
      <c r="Q1043" s="4"/>
      <c r="R1043" s="4"/>
      <c r="S1043" s="4"/>
      <c r="T1043" s="4"/>
      <c r="U1043" s="4"/>
      <c r="V1043" s="4"/>
      <c r="W1043" s="4"/>
      <c r="X1043" s="4"/>
      <c r="Y1043" s="4"/>
      <c r="Z1043" s="4"/>
    </row>
    <row r="1044" spans="1:26">
      <c r="A1044" s="5">
        <v>43435</v>
      </c>
      <c r="B1044" s="4" t="s">
        <v>20</v>
      </c>
      <c r="C1044" s="4" t="s">
        <v>19</v>
      </c>
      <c r="D1044" s="4" t="s">
        <v>14</v>
      </c>
      <c r="E1044" s="4" t="s">
        <v>12</v>
      </c>
      <c r="F1044" s="4">
        <v>1980158</v>
      </c>
      <c r="G1044" s="4">
        <v>6430</v>
      </c>
      <c r="H1044" s="4">
        <v>6496</v>
      </c>
      <c r="I1044" s="6">
        <v>19964.82312221231</v>
      </c>
      <c r="J1044" s="4"/>
      <c r="K1044" s="4"/>
      <c r="L1044" s="4"/>
      <c r="M1044" s="4"/>
      <c r="N1044" s="4"/>
      <c r="O1044" s="4"/>
      <c r="P1044" s="4"/>
      <c r="Q1044" s="4"/>
      <c r="R1044" s="4"/>
      <c r="S1044" s="4"/>
      <c r="T1044" s="4"/>
      <c r="U1044" s="4"/>
      <c r="V1044" s="4"/>
      <c r="W1044" s="4"/>
      <c r="X1044" s="4"/>
      <c r="Y1044" s="4"/>
      <c r="Z1044" s="4"/>
    </row>
    <row r="1045" spans="1:26">
      <c r="A1045" s="5">
        <v>43435</v>
      </c>
      <c r="B1045" s="4" t="s">
        <v>20</v>
      </c>
      <c r="C1045" s="4" t="s">
        <v>19</v>
      </c>
      <c r="D1045" s="4" t="s">
        <v>14</v>
      </c>
      <c r="E1045" s="4" t="s">
        <v>13</v>
      </c>
      <c r="F1045" s="4">
        <v>2991</v>
      </c>
      <c r="G1045" s="4">
        <v>119</v>
      </c>
      <c r="H1045" s="4">
        <v>493</v>
      </c>
      <c r="I1045" s="6">
        <v>2329.06040192926</v>
      </c>
      <c r="J1045" s="4"/>
      <c r="K1045" s="4"/>
      <c r="L1045" s="4"/>
      <c r="M1045" s="4"/>
      <c r="N1045" s="4"/>
      <c r="O1045" s="4"/>
      <c r="P1045" s="4"/>
      <c r="Q1045" s="4"/>
      <c r="R1045" s="4"/>
      <c r="S1045" s="4"/>
      <c r="T1045" s="4"/>
      <c r="U1045" s="4"/>
      <c r="V1045" s="4"/>
      <c r="W1045" s="4"/>
      <c r="X1045" s="4"/>
      <c r="Y1045" s="4"/>
      <c r="Z1045" s="4"/>
    </row>
    <row r="1046" spans="1:26">
      <c r="A1046" s="5">
        <v>43435</v>
      </c>
      <c r="B1046" s="4" t="s">
        <v>20</v>
      </c>
      <c r="C1046" s="4" t="s">
        <v>19</v>
      </c>
      <c r="D1046" s="4" t="s">
        <v>15</v>
      </c>
      <c r="E1046" s="4" t="s">
        <v>12</v>
      </c>
      <c r="F1046" s="4">
        <v>514800</v>
      </c>
      <c r="G1046" s="4">
        <v>1747</v>
      </c>
      <c r="H1046" s="4">
        <v>1770</v>
      </c>
      <c r="I1046" s="6">
        <v>6417.4800839552236</v>
      </c>
      <c r="J1046" s="4"/>
      <c r="K1046" s="4"/>
      <c r="L1046" s="4"/>
      <c r="M1046" s="4"/>
      <c r="N1046" s="4"/>
      <c r="O1046" s="4"/>
      <c r="P1046" s="4"/>
      <c r="Q1046" s="4"/>
      <c r="R1046" s="4"/>
      <c r="S1046" s="4"/>
      <c r="T1046" s="4"/>
      <c r="U1046" s="4"/>
      <c r="V1046" s="4"/>
      <c r="W1046" s="4"/>
      <c r="X1046" s="4"/>
      <c r="Y1046" s="4"/>
      <c r="Z1046" s="4"/>
    </row>
    <row r="1047" spans="1:26">
      <c r="A1047" s="5">
        <v>43435</v>
      </c>
      <c r="B1047" s="4" t="s">
        <v>20</v>
      </c>
      <c r="C1047" s="4" t="s">
        <v>19</v>
      </c>
      <c r="D1047" s="4" t="s">
        <v>15</v>
      </c>
      <c r="E1047" s="4" t="s">
        <v>13</v>
      </c>
      <c r="F1047" s="4">
        <v>519</v>
      </c>
      <c r="G1047" s="4">
        <v>18</v>
      </c>
      <c r="H1047" s="4">
        <v>183</v>
      </c>
      <c r="I1047" s="6">
        <v>252.30884210526318</v>
      </c>
      <c r="J1047" s="4"/>
      <c r="K1047" s="4"/>
      <c r="L1047" s="4"/>
      <c r="M1047" s="4"/>
      <c r="N1047" s="4"/>
      <c r="O1047" s="4"/>
      <c r="P1047" s="4"/>
      <c r="Q1047" s="4"/>
      <c r="R1047" s="4"/>
      <c r="S1047" s="4"/>
      <c r="T1047" s="4"/>
      <c r="U1047" s="4"/>
      <c r="V1047" s="4"/>
      <c r="W1047" s="4"/>
      <c r="X1047" s="4"/>
      <c r="Y1047" s="4"/>
      <c r="Z1047" s="4"/>
    </row>
    <row r="1048" spans="1:26">
      <c r="A1048" s="5">
        <v>43435</v>
      </c>
      <c r="B1048" s="4" t="s">
        <v>20</v>
      </c>
      <c r="C1048" s="4" t="s">
        <v>19</v>
      </c>
      <c r="D1048" s="4" t="s">
        <v>16</v>
      </c>
      <c r="E1048" s="4" t="s">
        <v>12</v>
      </c>
      <c r="F1048" s="4">
        <v>4623366</v>
      </c>
      <c r="G1048" s="4">
        <v>12593</v>
      </c>
      <c r="H1048" s="4">
        <v>12911</v>
      </c>
      <c r="I1048" s="6">
        <v>59947.191727500154</v>
      </c>
      <c r="J1048" s="4"/>
      <c r="K1048" s="4"/>
      <c r="L1048" s="4"/>
      <c r="M1048" s="4"/>
      <c r="N1048" s="4"/>
      <c r="O1048" s="4"/>
      <c r="P1048" s="4"/>
      <c r="Q1048" s="4"/>
      <c r="R1048" s="4"/>
      <c r="S1048" s="4"/>
      <c r="T1048" s="4"/>
      <c r="U1048" s="4"/>
      <c r="V1048" s="4"/>
      <c r="W1048" s="4"/>
      <c r="X1048" s="4"/>
      <c r="Y1048" s="4"/>
      <c r="Z1048" s="4"/>
    </row>
    <row r="1049" spans="1:26">
      <c r="A1049" s="5">
        <v>43435</v>
      </c>
      <c r="B1049" s="4" t="s">
        <v>20</v>
      </c>
      <c r="C1049" s="4" t="s">
        <v>19</v>
      </c>
      <c r="D1049" s="4" t="s">
        <v>16</v>
      </c>
      <c r="E1049" s="4" t="s">
        <v>13</v>
      </c>
      <c r="F1049" s="4">
        <v>4593</v>
      </c>
      <c r="G1049" s="4">
        <v>185</v>
      </c>
      <c r="H1049" s="4">
        <v>948</v>
      </c>
      <c r="I1049" s="6">
        <v>5726.8444824636435</v>
      </c>
      <c r="J1049" s="4"/>
      <c r="K1049" s="4"/>
      <c r="L1049" s="4"/>
      <c r="M1049" s="4"/>
      <c r="N1049" s="4"/>
      <c r="O1049" s="4"/>
      <c r="P1049" s="4"/>
      <c r="Q1049" s="4"/>
      <c r="R1049" s="4"/>
      <c r="S1049" s="4"/>
      <c r="T1049" s="4"/>
      <c r="U1049" s="4"/>
      <c r="V1049" s="4"/>
      <c r="W1049" s="4"/>
      <c r="X1049" s="4"/>
      <c r="Y1049" s="4"/>
      <c r="Z1049" s="4"/>
    </row>
    <row r="1050" spans="1:26">
      <c r="A1050" s="5">
        <v>43435</v>
      </c>
      <c r="B1050" s="4" t="s">
        <v>20</v>
      </c>
      <c r="C1050" s="4" t="s">
        <v>19</v>
      </c>
      <c r="D1050" s="4" t="s">
        <v>17</v>
      </c>
      <c r="E1050" s="4" t="s">
        <v>12</v>
      </c>
      <c r="F1050" s="4">
        <v>1413353</v>
      </c>
      <c r="G1050" s="4">
        <v>4467</v>
      </c>
      <c r="H1050" s="4">
        <v>4510</v>
      </c>
      <c r="I1050" s="6">
        <v>17850.139677004958</v>
      </c>
      <c r="J1050" s="4"/>
      <c r="K1050" s="4"/>
      <c r="L1050" s="4"/>
      <c r="M1050" s="4"/>
      <c r="N1050" s="4"/>
      <c r="O1050" s="4"/>
      <c r="P1050" s="4"/>
      <c r="Q1050" s="4"/>
      <c r="R1050" s="4"/>
      <c r="S1050" s="4"/>
      <c r="T1050" s="4"/>
      <c r="U1050" s="4"/>
      <c r="V1050" s="4"/>
      <c r="W1050" s="4"/>
      <c r="X1050" s="4"/>
      <c r="Y1050" s="4"/>
      <c r="Z1050" s="4"/>
    </row>
    <row r="1051" spans="1:26">
      <c r="A1051" s="5">
        <v>43435</v>
      </c>
      <c r="B1051" s="4" t="s">
        <v>20</v>
      </c>
      <c r="C1051" s="4" t="s">
        <v>19</v>
      </c>
      <c r="D1051" s="4" t="s">
        <v>17</v>
      </c>
      <c r="E1051" s="4" t="s">
        <v>13</v>
      </c>
      <c r="F1051" s="4">
        <v>1644</v>
      </c>
      <c r="G1051" s="4">
        <v>54</v>
      </c>
      <c r="H1051" s="4">
        <v>638</v>
      </c>
      <c r="I1051" s="6">
        <v>1388.2849582836711</v>
      </c>
      <c r="J1051" s="4"/>
      <c r="K1051" s="4"/>
      <c r="L1051" s="4"/>
      <c r="M1051" s="4"/>
      <c r="N1051" s="4"/>
      <c r="O1051" s="4"/>
      <c r="P1051" s="4"/>
      <c r="Q1051" s="4"/>
      <c r="R1051" s="4"/>
      <c r="S1051" s="4"/>
      <c r="T1051" s="4"/>
      <c r="U1051" s="4"/>
      <c r="V1051" s="4"/>
      <c r="W1051" s="4"/>
      <c r="X1051" s="4"/>
      <c r="Y1051" s="4"/>
      <c r="Z1051" s="4"/>
    </row>
    <row r="1052" spans="1:26">
      <c r="A1052" s="5">
        <v>43435</v>
      </c>
      <c r="B1052" s="4" t="s">
        <v>21</v>
      </c>
      <c r="C1052" s="4" t="s">
        <v>10</v>
      </c>
      <c r="D1052" s="4" t="s">
        <v>11</v>
      </c>
      <c r="E1052" s="4" t="s">
        <v>12</v>
      </c>
      <c r="F1052" s="4">
        <v>1473797</v>
      </c>
      <c r="G1052" s="4">
        <v>11822</v>
      </c>
      <c r="H1052" s="4">
        <v>14831</v>
      </c>
      <c r="I1052" s="6">
        <v>22069.083769071818</v>
      </c>
      <c r="J1052" s="4"/>
      <c r="K1052" s="4"/>
      <c r="L1052" s="4"/>
      <c r="M1052" s="4"/>
      <c r="N1052" s="4"/>
      <c r="O1052" s="4"/>
      <c r="P1052" s="4"/>
      <c r="Q1052" s="4"/>
      <c r="R1052" s="4"/>
      <c r="S1052" s="4"/>
      <c r="T1052" s="4"/>
      <c r="U1052" s="4"/>
      <c r="V1052" s="4"/>
      <c r="W1052" s="4"/>
      <c r="X1052" s="4"/>
      <c r="Y1052" s="4"/>
      <c r="Z1052" s="4"/>
    </row>
    <row r="1053" spans="1:26">
      <c r="A1053" s="5">
        <v>43435</v>
      </c>
      <c r="B1053" s="4" t="s">
        <v>21</v>
      </c>
      <c r="C1053" s="4" t="s">
        <v>10</v>
      </c>
      <c r="D1053" s="4" t="s">
        <v>11</v>
      </c>
      <c r="E1053" s="4" t="s">
        <v>13</v>
      </c>
      <c r="F1053" s="4">
        <v>17703</v>
      </c>
      <c r="G1053" s="4">
        <v>1027</v>
      </c>
      <c r="H1053" s="4">
        <v>17282</v>
      </c>
      <c r="I1053" s="6">
        <v>95551.41354351773</v>
      </c>
      <c r="J1053" s="4"/>
      <c r="K1053" s="4"/>
      <c r="L1053" s="4"/>
      <c r="M1053" s="4"/>
      <c r="N1053" s="4"/>
      <c r="O1053" s="4"/>
      <c r="P1053" s="4"/>
      <c r="Q1053" s="4"/>
      <c r="R1053" s="4"/>
      <c r="S1053" s="4"/>
      <c r="T1053" s="4"/>
      <c r="U1053" s="4"/>
      <c r="V1053" s="4"/>
      <c r="W1053" s="4"/>
      <c r="X1053" s="4"/>
      <c r="Y1053" s="4"/>
      <c r="Z1053" s="4"/>
    </row>
    <row r="1054" spans="1:26">
      <c r="A1054" s="5">
        <v>43435</v>
      </c>
      <c r="B1054" s="4" t="s">
        <v>21</v>
      </c>
      <c r="C1054" s="4" t="s">
        <v>10</v>
      </c>
      <c r="D1054" s="4" t="s">
        <v>14</v>
      </c>
      <c r="E1054" s="4" t="s">
        <v>12</v>
      </c>
      <c r="F1054" s="4">
        <v>2264974</v>
      </c>
      <c r="G1054" s="4">
        <v>13746</v>
      </c>
      <c r="H1054" s="4">
        <v>15665</v>
      </c>
      <c r="I1054" s="6">
        <v>33286.915667301182</v>
      </c>
      <c r="J1054" s="4"/>
      <c r="K1054" s="4"/>
      <c r="L1054" s="4"/>
      <c r="M1054" s="4"/>
      <c r="N1054" s="4"/>
      <c r="O1054" s="4"/>
      <c r="P1054" s="4"/>
      <c r="Q1054" s="4"/>
      <c r="R1054" s="4"/>
      <c r="S1054" s="4"/>
      <c r="T1054" s="4"/>
      <c r="U1054" s="4"/>
      <c r="V1054" s="4"/>
      <c r="W1054" s="4"/>
      <c r="X1054" s="4"/>
      <c r="Y1054" s="4"/>
      <c r="Z1054" s="4"/>
    </row>
    <row r="1055" spans="1:26">
      <c r="A1055" s="5">
        <v>43435</v>
      </c>
      <c r="B1055" s="4" t="s">
        <v>21</v>
      </c>
      <c r="C1055" s="4" t="s">
        <v>10</v>
      </c>
      <c r="D1055" s="4" t="s">
        <v>14</v>
      </c>
      <c r="E1055" s="4" t="s">
        <v>13</v>
      </c>
      <c r="F1055" s="4">
        <v>21425</v>
      </c>
      <c r="G1055" s="4">
        <v>1349</v>
      </c>
      <c r="H1055" s="4">
        <v>18540</v>
      </c>
      <c r="I1055" s="6">
        <v>112971.45669249265</v>
      </c>
      <c r="J1055" s="4"/>
      <c r="K1055" s="4"/>
      <c r="L1055" s="4"/>
      <c r="M1055" s="4"/>
      <c r="N1055" s="4"/>
      <c r="O1055" s="4"/>
      <c r="P1055" s="4"/>
      <c r="Q1055" s="4"/>
      <c r="R1055" s="4"/>
      <c r="S1055" s="4"/>
      <c r="T1055" s="4"/>
      <c r="U1055" s="4"/>
      <c r="V1055" s="4"/>
      <c r="W1055" s="4"/>
      <c r="X1055" s="4"/>
      <c r="Y1055" s="4"/>
      <c r="Z1055" s="4"/>
    </row>
    <row r="1056" spans="1:26">
      <c r="A1056" s="5">
        <v>43435</v>
      </c>
      <c r="B1056" s="4" t="s">
        <v>21</v>
      </c>
      <c r="C1056" s="4" t="s">
        <v>10</v>
      </c>
      <c r="D1056" s="4" t="s">
        <v>15</v>
      </c>
      <c r="E1056" s="4" t="s">
        <v>12</v>
      </c>
      <c r="F1056" s="4">
        <v>601569</v>
      </c>
      <c r="G1056" s="4">
        <v>3795</v>
      </c>
      <c r="H1056" s="4">
        <v>4454</v>
      </c>
      <c r="I1056" s="6">
        <v>8200.8385358602754</v>
      </c>
      <c r="J1056" s="4"/>
      <c r="K1056" s="4"/>
      <c r="L1056" s="4"/>
      <c r="M1056" s="4"/>
      <c r="N1056" s="4"/>
      <c r="O1056" s="4"/>
      <c r="P1056" s="4"/>
      <c r="Q1056" s="4"/>
      <c r="R1056" s="4"/>
      <c r="S1056" s="4"/>
      <c r="T1056" s="4"/>
      <c r="U1056" s="4"/>
      <c r="V1056" s="4"/>
      <c r="W1056" s="4"/>
      <c r="X1056" s="4"/>
      <c r="Y1056" s="4"/>
      <c r="Z1056" s="4"/>
    </row>
    <row r="1057" spans="1:26">
      <c r="A1057" s="5">
        <v>43435</v>
      </c>
      <c r="B1057" s="4" t="s">
        <v>21</v>
      </c>
      <c r="C1057" s="4" t="s">
        <v>10</v>
      </c>
      <c r="D1057" s="4" t="s">
        <v>15</v>
      </c>
      <c r="E1057" s="4" t="s">
        <v>13</v>
      </c>
      <c r="F1057" s="4">
        <v>5265</v>
      </c>
      <c r="G1057" s="4">
        <v>342</v>
      </c>
      <c r="H1057" s="4">
        <v>3722</v>
      </c>
      <c r="I1057" s="6">
        <v>27311.458237228679</v>
      </c>
      <c r="J1057" s="4"/>
      <c r="K1057" s="4"/>
      <c r="L1057" s="4"/>
      <c r="M1057" s="4"/>
      <c r="N1057" s="4"/>
      <c r="O1057" s="4"/>
      <c r="P1057" s="4"/>
      <c r="Q1057" s="4"/>
      <c r="R1057" s="4"/>
      <c r="S1057" s="4"/>
      <c r="T1057" s="4"/>
      <c r="U1057" s="4"/>
      <c r="V1057" s="4"/>
      <c r="W1057" s="4"/>
      <c r="X1057" s="4"/>
      <c r="Y1057" s="4"/>
      <c r="Z1057" s="4"/>
    </row>
    <row r="1058" spans="1:26">
      <c r="A1058" s="5">
        <v>43435</v>
      </c>
      <c r="B1058" s="4" t="s">
        <v>21</v>
      </c>
      <c r="C1058" s="4" t="s">
        <v>10</v>
      </c>
      <c r="D1058" s="4" t="s">
        <v>16</v>
      </c>
      <c r="E1058" s="4" t="s">
        <v>12</v>
      </c>
      <c r="F1058" s="4">
        <v>7670952</v>
      </c>
      <c r="G1058" s="4">
        <v>62631</v>
      </c>
      <c r="H1058" s="4">
        <v>69366</v>
      </c>
      <c r="I1058" s="6">
        <v>170349.07532552222</v>
      </c>
      <c r="J1058" s="4"/>
      <c r="K1058" s="4"/>
      <c r="L1058" s="4"/>
      <c r="M1058" s="4"/>
      <c r="N1058" s="4"/>
      <c r="O1058" s="4"/>
      <c r="P1058" s="4"/>
      <c r="Q1058" s="4"/>
      <c r="R1058" s="4"/>
      <c r="S1058" s="4"/>
      <c r="T1058" s="4"/>
      <c r="U1058" s="4"/>
      <c r="V1058" s="4"/>
      <c r="W1058" s="4"/>
      <c r="X1058" s="4"/>
      <c r="Y1058" s="4"/>
      <c r="Z1058" s="4"/>
    </row>
    <row r="1059" spans="1:26">
      <c r="A1059" s="5">
        <v>43435</v>
      </c>
      <c r="B1059" s="4" t="s">
        <v>21</v>
      </c>
      <c r="C1059" s="4" t="s">
        <v>10</v>
      </c>
      <c r="D1059" s="4" t="s">
        <v>16</v>
      </c>
      <c r="E1059" s="4" t="s">
        <v>13</v>
      </c>
      <c r="F1059" s="4">
        <v>94185</v>
      </c>
      <c r="G1059" s="4">
        <v>6613</v>
      </c>
      <c r="H1059" s="4">
        <v>95273</v>
      </c>
      <c r="I1059" s="6">
        <v>535798.34603069094</v>
      </c>
      <c r="J1059" s="4"/>
      <c r="K1059" s="4"/>
      <c r="L1059" s="4"/>
      <c r="M1059" s="4"/>
      <c r="N1059" s="4"/>
      <c r="O1059" s="4"/>
      <c r="P1059" s="4"/>
      <c r="Q1059" s="4"/>
      <c r="R1059" s="4"/>
      <c r="S1059" s="4"/>
      <c r="T1059" s="4"/>
      <c r="U1059" s="4"/>
      <c r="V1059" s="4"/>
      <c r="W1059" s="4"/>
      <c r="X1059" s="4"/>
      <c r="Y1059" s="4"/>
      <c r="Z1059" s="4"/>
    </row>
    <row r="1060" spans="1:26">
      <c r="A1060" s="5">
        <v>43435</v>
      </c>
      <c r="B1060" s="4" t="s">
        <v>21</v>
      </c>
      <c r="C1060" s="4" t="s">
        <v>10</v>
      </c>
      <c r="D1060" s="4" t="s">
        <v>17</v>
      </c>
      <c r="E1060" s="4" t="s">
        <v>12</v>
      </c>
      <c r="F1060" s="4">
        <v>2509150</v>
      </c>
      <c r="G1060" s="4">
        <v>26003</v>
      </c>
      <c r="H1060" s="4">
        <v>28389</v>
      </c>
      <c r="I1060" s="6">
        <v>70237.27220257376</v>
      </c>
      <c r="J1060" s="4"/>
      <c r="K1060" s="4"/>
      <c r="L1060" s="4"/>
      <c r="M1060" s="4"/>
      <c r="N1060" s="4"/>
      <c r="O1060" s="4"/>
      <c r="P1060" s="4"/>
      <c r="Q1060" s="4"/>
      <c r="R1060" s="4"/>
      <c r="S1060" s="4"/>
      <c r="T1060" s="4"/>
      <c r="U1060" s="4"/>
      <c r="V1060" s="4"/>
      <c r="W1060" s="4"/>
      <c r="X1060" s="4"/>
      <c r="Y1060" s="4"/>
      <c r="Z1060" s="4"/>
    </row>
    <row r="1061" spans="1:26">
      <c r="A1061" s="5">
        <v>43435</v>
      </c>
      <c r="B1061" s="4" t="s">
        <v>21</v>
      </c>
      <c r="C1061" s="4" t="s">
        <v>10</v>
      </c>
      <c r="D1061" s="4" t="s">
        <v>17</v>
      </c>
      <c r="E1061" s="4" t="s">
        <v>13</v>
      </c>
      <c r="F1061" s="4">
        <v>35987</v>
      </c>
      <c r="G1061" s="4">
        <v>2924</v>
      </c>
      <c r="H1061" s="4">
        <v>42267</v>
      </c>
      <c r="I1061" s="6">
        <v>231454.092</v>
      </c>
      <c r="J1061" s="4"/>
      <c r="K1061" s="4"/>
      <c r="L1061" s="4"/>
      <c r="M1061" s="4"/>
      <c r="N1061" s="4"/>
      <c r="O1061" s="4"/>
      <c r="P1061" s="4"/>
      <c r="Q1061" s="4"/>
      <c r="R1061" s="4"/>
      <c r="S1061" s="4"/>
      <c r="T1061" s="4"/>
      <c r="U1061" s="4"/>
      <c r="V1061" s="4"/>
      <c r="W1061" s="4"/>
      <c r="X1061" s="4"/>
      <c r="Y1061" s="4"/>
      <c r="Z1061" s="4"/>
    </row>
    <row r="1062" spans="1:26">
      <c r="A1062" s="5">
        <v>43435</v>
      </c>
      <c r="B1062" s="4" t="s">
        <v>21</v>
      </c>
      <c r="C1062" s="4" t="s">
        <v>18</v>
      </c>
      <c r="D1062" s="4" t="s">
        <v>11</v>
      </c>
      <c r="E1062" s="4" t="s">
        <v>12</v>
      </c>
      <c r="F1062" s="4">
        <v>1723094</v>
      </c>
      <c r="G1062" s="4">
        <v>30590</v>
      </c>
      <c r="H1062" s="4">
        <v>133080</v>
      </c>
      <c r="I1062" s="6">
        <v>70920.359450171833</v>
      </c>
      <c r="J1062" s="4"/>
      <c r="K1062" s="4"/>
      <c r="L1062" s="4"/>
      <c r="M1062" s="4"/>
      <c r="N1062" s="4"/>
      <c r="O1062" s="4"/>
      <c r="P1062" s="4"/>
      <c r="Q1062" s="4"/>
      <c r="R1062" s="4"/>
      <c r="S1062" s="4"/>
      <c r="T1062" s="4"/>
      <c r="U1062" s="4"/>
      <c r="V1062" s="4"/>
      <c r="W1062" s="4"/>
      <c r="X1062" s="4"/>
      <c r="Y1062" s="4"/>
      <c r="Z1062" s="4"/>
    </row>
    <row r="1063" spans="1:26">
      <c r="A1063" s="5">
        <v>43435</v>
      </c>
      <c r="B1063" s="4" t="s">
        <v>21</v>
      </c>
      <c r="C1063" s="4" t="s">
        <v>18</v>
      </c>
      <c r="D1063" s="4" t="s">
        <v>11</v>
      </c>
      <c r="E1063" s="4" t="s">
        <v>13</v>
      </c>
      <c r="F1063" s="4">
        <v>12159</v>
      </c>
      <c r="G1063" s="4">
        <v>355</v>
      </c>
      <c r="H1063" s="4">
        <v>15738</v>
      </c>
      <c r="I1063" s="6">
        <v>12441.32209968297</v>
      </c>
      <c r="J1063" s="4"/>
      <c r="K1063" s="4"/>
      <c r="L1063" s="4"/>
      <c r="M1063" s="4"/>
      <c r="N1063" s="4"/>
      <c r="O1063" s="4"/>
      <c r="P1063" s="4"/>
      <c r="Q1063" s="4"/>
      <c r="R1063" s="4"/>
      <c r="S1063" s="4"/>
      <c r="T1063" s="4"/>
      <c r="U1063" s="4"/>
      <c r="V1063" s="4"/>
      <c r="W1063" s="4"/>
      <c r="X1063" s="4"/>
      <c r="Y1063" s="4"/>
      <c r="Z1063" s="4"/>
    </row>
    <row r="1064" spans="1:26">
      <c r="A1064" s="5">
        <v>43435</v>
      </c>
      <c r="B1064" s="4" t="s">
        <v>21</v>
      </c>
      <c r="C1064" s="4" t="s">
        <v>18</v>
      </c>
      <c r="D1064" s="4" t="s">
        <v>14</v>
      </c>
      <c r="E1064" s="4" t="s">
        <v>12</v>
      </c>
      <c r="F1064" s="4">
        <v>2704596</v>
      </c>
      <c r="G1064" s="4">
        <v>43599</v>
      </c>
      <c r="H1064" s="4">
        <v>163280</v>
      </c>
      <c r="I1064" s="6">
        <v>78299.405679840478</v>
      </c>
      <c r="J1064" s="4"/>
      <c r="K1064" s="4"/>
      <c r="L1064" s="4"/>
      <c r="M1064" s="4"/>
      <c r="N1064" s="4"/>
      <c r="O1064" s="4"/>
      <c r="P1064" s="4"/>
      <c r="Q1064" s="4"/>
      <c r="R1064" s="4"/>
      <c r="S1064" s="4"/>
      <c r="T1064" s="4"/>
      <c r="U1064" s="4"/>
      <c r="V1064" s="4"/>
      <c r="W1064" s="4"/>
      <c r="X1064" s="4"/>
      <c r="Y1064" s="4"/>
      <c r="Z1064" s="4"/>
    </row>
    <row r="1065" spans="1:26">
      <c r="A1065" s="5">
        <v>43435</v>
      </c>
      <c r="B1065" s="4" t="s">
        <v>21</v>
      </c>
      <c r="C1065" s="4" t="s">
        <v>18</v>
      </c>
      <c r="D1065" s="4" t="s">
        <v>14</v>
      </c>
      <c r="E1065" s="4" t="s">
        <v>13</v>
      </c>
      <c r="F1065" s="4">
        <v>15806</v>
      </c>
      <c r="G1065" s="4">
        <v>403</v>
      </c>
      <c r="H1065" s="4">
        <v>9681</v>
      </c>
      <c r="I1065" s="6">
        <v>12204.448477157361</v>
      </c>
      <c r="J1065" s="4"/>
      <c r="K1065" s="4"/>
      <c r="L1065" s="4"/>
      <c r="M1065" s="4"/>
      <c r="N1065" s="4"/>
      <c r="O1065" s="4"/>
      <c r="P1065" s="4"/>
      <c r="Q1065" s="4"/>
      <c r="R1065" s="4"/>
      <c r="S1065" s="4"/>
      <c r="T1065" s="4"/>
      <c r="U1065" s="4"/>
      <c r="V1065" s="4"/>
      <c r="W1065" s="4"/>
      <c r="X1065" s="4"/>
      <c r="Y1065" s="4"/>
      <c r="Z1065" s="4"/>
    </row>
    <row r="1066" spans="1:26">
      <c r="A1066" s="5">
        <v>43435</v>
      </c>
      <c r="B1066" s="4" t="s">
        <v>21</v>
      </c>
      <c r="C1066" s="4" t="s">
        <v>18</v>
      </c>
      <c r="D1066" s="4" t="s">
        <v>15</v>
      </c>
      <c r="E1066" s="4" t="s">
        <v>12</v>
      </c>
      <c r="F1066" s="4">
        <v>934215</v>
      </c>
      <c r="G1066" s="4">
        <v>13674</v>
      </c>
      <c r="H1066" s="4">
        <v>65323</v>
      </c>
      <c r="I1066" s="6">
        <v>20814.942407724393</v>
      </c>
      <c r="J1066" s="4"/>
      <c r="K1066" s="4"/>
      <c r="L1066" s="4"/>
      <c r="M1066" s="4"/>
      <c r="N1066" s="4"/>
      <c r="O1066" s="4"/>
      <c r="P1066" s="4"/>
      <c r="Q1066" s="4"/>
      <c r="R1066" s="4"/>
      <c r="S1066" s="4"/>
      <c r="T1066" s="4"/>
      <c r="U1066" s="4"/>
      <c r="V1066" s="4"/>
      <c r="W1066" s="4"/>
      <c r="X1066" s="4"/>
      <c r="Y1066" s="4"/>
      <c r="Z1066" s="4"/>
    </row>
    <row r="1067" spans="1:26">
      <c r="A1067" s="5">
        <v>43435</v>
      </c>
      <c r="B1067" s="4" t="s">
        <v>21</v>
      </c>
      <c r="C1067" s="4" t="s">
        <v>18</v>
      </c>
      <c r="D1067" s="4" t="s">
        <v>15</v>
      </c>
      <c r="E1067" s="4" t="s">
        <v>13</v>
      </c>
      <c r="F1067" s="4">
        <v>4840</v>
      </c>
      <c r="G1067" s="4">
        <v>150</v>
      </c>
      <c r="H1067" s="4">
        <v>3907</v>
      </c>
      <c r="I1067" s="6">
        <v>2133.1438280930993</v>
      </c>
      <c r="J1067" s="4"/>
      <c r="K1067" s="4"/>
      <c r="L1067" s="4"/>
      <c r="M1067" s="4"/>
      <c r="N1067" s="4"/>
      <c r="O1067" s="4"/>
      <c r="P1067" s="4"/>
      <c r="Q1067" s="4"/>
      <c r="R1067" s="4"/>
      <c r="S1067" s="4"/>
      <c r="T1067" s="4"/>
      <c r="U1067" s="4"/>
      <c r="V1067" s="4"/>
      <c r="W1067" s="4"/>
      <c r="X1067" s="4"/>
      <c r="Y1067" s="4"/>
      <c r="Z1067" s="4"/>
    </row>
    <row r="1068" spans="1:26">
      <c r="A1068" s="5">
        <v>43435</v>
      </c>
      <c r="B1068" s="4" t="s">
        <v>21</v>
      </c>
      <c r="C1068" s="4" t="s">
        <v>18</v>
      </c>
      <c r="D1068" s="4" t="s">
        <v>16</v>
      </c>
      <c r="E1068" s="4" t="s">
        <v>12</v>
      </c>
      <c r="F1068" s="4">
        <v>23689450</v>
      </c>
      <c r="G1068" s="4">
        <v>133106</v>
      </c>
      <c r="H1068" s="4">
        <v>475785</v>
      </c>
      <c r="I1068" s="6">
        <v>301349.63917593093</v>
      </c>
      <c r="J1068" s="4"/>
      <c r="K1068" s="4"/>
      <c r="L1068" s="4"/>
      <c r="M1068" s="4"/>
      <c r="N1068" s="4"/>
      <c r="O1068" s="4"/>
      <c r="P1068" s="4"/>
      <c r="Q1068" s="4"/>
      <c r="R1068" s="4"/>
      <c r="S1068" s="4"/>
      <c r="T1068" s="4"/>
      <c r="U1068" s="4"/>
      <c r="V1068" s="4"/>
      <c r="W1068" s="4"/>
      <c r="X1068" s="4"/>
      <c r="Y1068" s="4"/>
      <c r="Z1068" s="4"/>
    </row>
    <row r="1069" spans="1:26">
      <c r="A1069" s="5">
        <v>43435</v>
      </c>
      <c r="B1069" s="4" t="s">
        <v>21</v>
      </c>
      <c r="C1069" s="4" t="s">
        <v>18</v>
      </c>
      <c r="D1069" s="4" t="s">
        <v>16</v>
      </c>
      <c r="E1069" s="4" t="s">
        <v>13</v>
      </c>
      <c r="F1069" s="4">
        <v>623900</v>
      </c>
      <c r="G1069" s="4">
        <v>1403</v>
      </c>
      <c r="H1069" s="4">
        <v>49152</v>
      </c>
      <c r="I1069" s="6">
        <v>36428.070831122604</v>
      </c>
      <c r="J1069" s="4"/>
      <c r="K1069" s="4"/>
      <c r="L1069" s="4"/>
      <c r="M1069" s="4"/>
      <c r="N1069" s="4"/>
      <c r="O1069" s="4"/>
      <c r="P1069" s="4"/>
      <c r="Q1069" s="4"/>
      <c r="R1069" s="4"/>
      <c r="S1069" s="4"/>
      <c r="T1069" s="4"/>
      <c r="U1069" s="4"/>
      <c r="V1069" s="4"/>
      <c r="W1069" s="4"/>
      <c r="X1069" s="4"/>
      <c r="Y1069" s="4"/>
      <c r="Z1069" s="4"/>
    </row>
    <row r="1070" spans="1:26">
      <c r="A1070" s="5">
        <v>43435</v>
      </c>
      <c r="B1070" s="4" t="s">
        <v>21</v>
      </c>
      <c r="C1070" s="4" t="s">
        <v>18</v>
      </c>
      <c r="D1070" s="4" t="s">
        <v>17</v>
      </c>
      <c r="E1070" s="4" t="s">
        <v>12</v>
      </c>
      <c r="F1070" s="4">
        <v>3144445</v>
      </c>
      <c r="G1070" s="4">
        <v>48592</v>
      </c>
      <c r="H1070" s="4">
        <v>160186</v>
      </c>
      <c r="I1070" s="6">
        <v>114257.45503462687</v>
      </c>
      <c r="J1070" s="4"/>
      <c r="K1070" s="4"/>
      <c r="L1070" s="4"/>
      <c r="M1070" s="4"/>
      <c r="N1070" s="4"/>
      <c r="O1070" s="4"/>
      <c r="P1070" s="4"/>
      <c r="Q1070" s="4"/>
      <c r="R1070" s="4"/>
      <c r="S1070" s="4"/>
      <c r="T1070" s="4"/>
      <c r="U1070" s="4"/>
      <c r="V1070" s="4"/>
      <c r="W1070" s="4"/>
      <c r="X1070" s="4"/>
      <c r="Y1070" s="4"/>
      <c r="Z1070" s="4"/>
    </row>
    <row r="1071" spans="1:26">
      <c r="A1071" s="5">
        <v>43435</v>
      </c>
      <c r="B1071" s="4" t="s">
        <v>21</v>
      </c>
      <c r="C1071" s="4" t="s">
        <v>18</v>
      </c>
      <c r="D1071" s="4" t="s">
        <v>17</v>
      </c>
      <c r="E1071" s="4" t="s">
        <v>13</v>
      </c>
      <c r="F1071" s="4">
        <v>28470</v>
      </c>
      <c r="G1071" s="4">
        <v>677</v>
      </c>
      <c r="H1071" s="4">
        <v>25440</v>
      </c>
      <c r="I1071" s="6">
        <v>20436.19603094953</v>
      </c>
      <c r="J1071" s="4"/>
      <c r="K1071" s="4"/>
      <c r="L1071" s="4"/>
      <c r="M1071" s="4"/>
      <c r="N1071" s="4"/>
      <c r="O1071" s="4"/>
      <c r="P1071" s="4"/>
      <c r="Q1071" s="4"/>
      <c r="R1071" s="4"/>
      <c r="S1071" s="4"/>
      <c r="T1071" s="4"/>
      <c r="U1071" s="4"/>
      <c r="V1071" s="4"/>
      <c r="W1071" s="4"/>
      <c r="X1071" s="4"/>
      <c r="Y1071" s="4"/>
      <c r="Z1071" s="4"/>
    </row>
    <row r="1072" spans="1:26">
      <c r="A1072" s="5">
        <v>43435</v>
      </c>
      <c r="B1072" s="4" t="s">
        <v>21</v>
      </c>
      <c r="C1072" s="4" t="s">
        <v>19</v>
      </c>
      <c r="D1072" s="4" t="s">
        <v>11</v>
      </c>
      <c r="E1072" s="4" t="s">
        <v>12</v>
      </c>
      <c r="F1072" s="4">
        <v>596150</v>
      </c>
      <c r="G1072" s="4">
        <v>8257</v>
      </c>
      <c r="H1072" s="4">
        <v>8555</v>
      </c>
      <c r="I1072" s="6">
        <v>90672.865156794418</v>
      </c>
      <c r="J1072" s="4"/>
      <c r="K1072" s="4"/>
      <c r="L1072" s="4"/>
      <c r="M1072" s="4"/>
      <c r="N1072" s="4"/>
      <c r="O1072" s="4"/>
      <c r="P1072" s="4"/>
      <c r="Q1072" s="4"/>
      <c r="R1072" s="4"/>
      <c r="S1072" s="4"/>
      <c r="T1072" s="4"/>
      <c r="U1072" s="4"/>
      <c r="V1072" s="4"/>
      <c r="W1072" s="4"/>
      <c r="X1072" s="4"/>
      <c r="Y1072" s="4"/>
      <c r="Z1072" s="4"/>
    </row>
    <row r="1073" spans="1:26">
      <c r="A1073" s="5">
        <v>43435</v>
      </c>
      <c r="B1073" s="4" t="s">
        <v>21</v>
      </c>
      <c r="C1073" s="4" t="s">
        <v>19</v>
      </c>
      <c r="D1073" s="4" t="s">
        <v>11</v>
      </c>
      <c r="E1073" s="4" t="s">
        <v>13</v>
      </c>
      <c r="F1073" s="4">
        <v>15605</v>
      </c>
      <c r="G1073" s="4">
        <v>1331</v>
      </c>
      <c r="H1073" s="4">
        <v>39165</v>
      </c>
      <c r="I1073" s="6">
        <v>22343.692774170424</v>
      </c>
      <c r="J1073" s="4"/>
      <c r="K1073" s="4"/>
      <c r="L1073" s="4"/>
      <c r="M1073" s="4"/>
      <c r="N1073" s="4"/>
      <c r="O1073" s="4"/>
      <c r="P1073" s="4"/>
      <c r="Q1073" s="4"/>
      <c r="R1073" s="4"/>
      <c r="S1073" s="4"/>
      <c r="T1073" s="4"/>
      <c r="U1073" s="4"/>
      <c r="V1073" s="4"/>
      <c r="W1073" s="4"/>
      <c r="X1073" s="4"/>
      <c r="Y1073" s="4"/>
      <c r="Z1073" s="4"/>
    </row>
    <row r="1074" spans="1:26">
      <c r="A1074" s="5">
        <v>43435</v>
      </c>
      <c r="B1074" s="4" t="s">
        <v>21</v>
      </c>
      <c r="C1074" s="4" t="s">
        <v>19</v>
      </c>
      <c r="D1074" s="4" t="s">
        <v>14</v>
      </c>
      <c r="E1074" s="4" t="s">
        <v>12</v>
      </c>
      <c r="F1074" s="4">
        <v>1071265</v>
      </c>
      <c r="G1074" s="4">
        <v>16479</v>
      </c>
      <c r="H1074" s="4">
        <v>17757</v>
      </c>
      <c r="I1074" s="6">
        <v>165109.19196780966</v>
      </c>
      <c r="J1074" s="4"/>
      <c r="K1074" s="4"/>
      <c r="L1074" s="4"/>
      <c r="M1074" s="4"/>
      <c r="N1074" s="4"/>
      <c r="O1074" s="4"/>
      <c r="P1074" s="4"/>
      <c r="Q1074" s="4"/>
      <c r="R1074" s="4"/>
      <c r="S1074" s="4"/>
      <c r="T1074" s="4"/>
      <c r="U1074" s="4"/>
      <c r="V1074" s="4"/>
      <c r="W1074" s="4"/>
      <c r="X1074" s="4"/>
      <c r="Y1074" s="4"/>
      <c r="Z1074" s="4"/>
    </row>
    <row r="1075" spans="1:26">
      <c r="A1075" s="5">
        <v>43435</v>
      </c>
      <c r="B1075" s="4" t="s">
        <v>21</v>
      </c>
      <c r="C1075" s="4" t="s">
        <v>19</v>
      </c>
      <c r="D1075" s="4" t="s">
        <v>14</v>
      </c>
      <c r="E1075" s="4" t="s">
        <v>13</v>
      </c>
      <c r="F1075" s="4">
        <v>30493</v>
      </c>
      <c r="G1075" s="4">
        <v>2546</v>
      </c>
      <c r="H1075" s="4">
        <v>119788</v>
      </c>
      <c r="I1075" s="6">
        <v>37533.496182123075</v>
      </c>
      <c r="J1075" s="4"/>
      <c r="K1075" s="4"/>
      <c r="L1075" s="4"/>
      <c r="M1075" s="4"/>
      <c r="N1075" s="4"/>
      <c r="O1075" s="4"/>
      <c r="P1075" s="4"/>
      <c r="Q1075" s="4"/>
      <c r="R1075" s="4"/>
      <c r="S1075" s="4"/>
      <c r="T1075" s="4"/>
      <c r="U1075" s="4"/>
      <c r="V1075" s="4"/>
      <c r="W1075" s="4"/>
      <c r="X1075" s="4"/>
      <c r="Y1075" s="4"/>
      <c r="Z1075" s="4"/>
    </row>
    <row r="1076" spans="1:26">
      <c r="A1076" s="5">
        <v>43435</v>
      </c>
      <c r="B1076" s="4" t="s">
        <v>21</v>
      </c>
      <c r="C1076" s="4" t="s">
        <v>19</v>
      </c>
      <c r="D1076" s="4" t="s">
        <v>15</v>
      </c>
      <c r="E1076" s="4" t="s">
        <v>12</v>
      </c>
      <c r="F1076" s="4">
        <v>324623</v>
      </c>
      <c r="G1076" s="4">
        <v>4460</v>
      </c>
      <c r="H1076" s="4">
        <v>4801</v>
      </c>
      <c r="I1076" s="6">
        <v>45400.524058620693</v>
      </c>
      <c r="J1076" s="4"/>
      <c r="K1076" s="4"/>
      <c r="L1076" s="4"/>
      <c r="M1076" s="4"/>
      <c r="N1076" s="4"/>
      <c r="O1076" s="4"/>
      <c r="P1076" s="4"/>
      <c r="Q1076" s="4"/>
      <c r="R1076" s="4"/>
      <c r="S1076" s="4"/>
      <c r="T1076" s="4"/>
      <c r="U1076" s="4"/>
      <c r="V1076" s="4"/>
      <c r="W1076" s="4"/>
      <c r="X1076" s="4"/>
      <c r="Y1076" s="4"/>
      <c r="Z1076" s="4"/>
    </row>
    <row r="1077" spans="1:26">
      <c r="A1077" s="5">
        <v>43435</v>
      </c>
      <c r="B1077" s="4" t="s">
        <v>21</v>
      </c>
      <c r="C1077" s="4" t="s">
        <v>19</v>
      </c>
      <c r="D1077" s="4" t="s">
        <v>15</v>
      </c>
      <c r="E1077" s="4" t="s">
        <v>13</v>
      </c>
      <c r="F1077" s="4">
        <v>8687</v>
      </c>
      <c r="G1077" s="4">
        <v>704</v>
      </c>
      <c r="H1077" s="4">
        <v>31868</v>
      </c>
      <c r="I1077" s="6">
        <v>10406.51087949566</v>
      </c>
      <c r="J1077" s="4"/>
      <c r="K1077" s="4"/>
      <c r="L1077" s="4"/>
      <c r="M1077" s="4"/>
      <c r="N1077" s="4"/>
      <c r="O1077" s="4"/>
      <c r="P1077" s="4"/>
      <c r="Q1077" s="4"/>
      <c r="R1077" s="4"/>
      <c r="S1077" s="4"/>
      <c r="T1077" s="4"/>
      <c r="U1077" s="4"/>
      <c r="V1077" s="4"/>
      <c r="W1077" s="4"/>
      <c r="X1077" s="4"/>
      <c r="Y1077" s="4"/>
      <c r="Z1077" s="4"/>
    </row>
    <row r="1078" spans="1:26">
      <c r="A1078" s="5">
        <v>43435</v>
      </c>
      <c r="B1078" s="4" t="s">
        <v>21</v>
      </c>
      <c r="C1078" s="4" t="s">
        <v>19</v>
      </c>
      <c r="D1078" s="4" t="s">
        <v>16</v>
      </c>
      <c r="E1078" s="4" t="s">
        <v>12</v>
      </c>
      <c r="F1078" s="4">
        <v>3017410</v>
      </c>
      <c r="G1078" s="4">
        <v>43717</v>
      </c>
      <c r="H1078" s="4">
        <v>44578</v>
      </c>
      <c r="I1078" s="6">
        <v>497180.06852942816</v>
      </c>
      <c r="J1078" s="4"/>
      <c r="K1078" s="4"/>
      <c r="L1078" s="4"/>
      <c r="M1078" s="4"/>
      <c r="N1078" s="4"/>
      <c r="O1078" s="4"/>
      <c r="P1078" s="4"/>
      <c r="Q1078" s="4"/>
      <c r="R1078" s="4"/>
      <c r="S1078" s="4"/>
      <c r="T1078" s="4"/>
      <c r="U1078" s="4"/>
      <c r="V1078" s="4"/>
      <c r="W1078" s="4"/>
      <c r="X1078" s="4"/>
      <c r="Y1078" s="4"/>
      <c r="Z1078" s="4"/>
    </row>
    <row r="1079" spans="1:26">
      <c r="A1079" s="5">
        <v>43435</v>
      </c>
      <c r="B1079" s="4" t="s">
        <v>21</v>
      </c>
      <c r="C1079" s="4" t="s">
        <v>19</v>
      </c>
      <c r="D1079" s="4" t="s">
        <v>16</v>
      </c>
      <c r="E1079" s="4" t="s">
        <v>13</v>
      </c>
      <c r="F1079" s="4">
        <v>78248</v>
      </c>
      <c r="G1079" s="4">
        <v>6611</v>
      </c>
      <c r="H1079" s="4">
        <v>438060</v>
      </c>
      <c r="I1079" s="6">
        <v>101132.29729709301</v>
      </c>
      <c r="J1079" s="4"/>
      <c r="K1079" s="4"/>
      <c r="L1079" s="4"/>
      <c r="M1079" s="4"/>
      <c r="N1079" s="4"/>
      <c r="O1079" s="4"/>
      <c r="P1079" s="4"/>
      <c r="Q1079" s="4"/>
      <c r="R1079" s="4"/>
      <c r="S1079" s="4"/>
      <c r="T1079" s="4"/>
      <c r="U1079" s="4"/>
      <c r="V1079" s="4"/>
      <c r="W1079" s="4"/>
      <c r="X1079" s="4"/>
      <c r="Y1079" s="4"/>
      <c r="Z1079" s="4"/>
    </row>
    <row r="1080" spans="1:26">
      <c r="A1080" s="5">
        <v>43435</v>
      </c>
      <c r="B1080" s="4" t="s">
        <v>21</v>
      </c>
      <c r="C1080" s="4" t="s">
        <v>19</v>
      </c>
      <c r="D1080" s="4" t="s">
        <v>17</v>
      </c>
      <c r="E1080" s="4" t="s">
        <v>12</v>
      </c>
      <c r="F1080" s="4">
        <v>1030201</v>
      </c>
      <c r="G1080" s="4">
        <v>16428</v>
      </c>
      <c r="H1080" s="4">
        <v>18127</v>
      </c>
      <c r="I1080" s="6">
        <v>169739.83973222447</v>
      </c>
      <c r="J1080" s="4"/>
      <c r="K1080" s="4"/>
      <c r="L1080" s="4"/>
      <c r="M1080" s="4"/>
      <c r="N1080" s="4"/>
      <c r="O1080" s="4"/>
      <c r="P1080" s="4"/>
      <c r="Q1080" s="4"/>
      <c r="R1080" s="4"/>
      <c r="S1080" s="4"/>
      <c r="T1080" s="4"/>
      <c r="U1080" s="4"/>
      <c r="V1080" s="4"/>
      <c r="W1080" s="4"/>
      <c r="X1080" s="4"/>
      <c r="Y1080" s="4"/>
      <c r="Z1080" s="4"/>
    </row>
    <row r="1081" spans="1:26">
      <c r="A1081" s="5">
        <v>43435</v>
      </c>
      <c r="B1081" s="4" t="s">
        <v>21</v>
      </c>
      <c r="C1081" s="4" t="s">
        <v>19</v>
      </c>
      <c r="D1081" s="4" t="s">
        <v>17</v>
      </c>
      <c r="E1081" s="4" t="s">
        <v>13</v>
      </c>
      <c r="F1081" s="4">
        <v>27046</v>
      </c>
      <c r="G1081" s="4">
        <v>2341</v>
      </c>
      <c r="H1081" s="4">
        <v>99808</v>
      </c>
      <c r="I1081" s="6">
        <v>41080.371680442593</v>
      </c>
      <c r="J1081" s="4"/>
      <c r="K1081" s="4"/>
      <c r="L1081" s="4"/>
      <c r="M1081" s="4"/>
      <c r="N1081" s="4"/>
      <c r="O1081" s="4"/>
      <c r="P1081" s="4"/>
      <c r="Q1081" s="4"/>
      <c r="R1081" s="4"/>
      <c r="S1081" s="4"/>
      <c r="T1081" s="4"/>
      <c r="U1081" s="4"/>
      <c r="V1081" s="4"/>
      <c r="W1081" s="4"/>
      <c r="X1081" s="4"/>
      <c r="Y1081" s="4"/>
      <c r="Z1081" s="4"/>
    </row>
    <row r="1082" spans="1:26">
      <c r="A1082" s="5">
        <v>43466</v>
      </c>
      <c r="B1082" s="4" t="s">
        <v>9</v>
      </c>
      <c r="C1082" s="4" t="s">
        <v>10</v>
      </c>
      <c r="D1082" s="4" t="s">
        <v>11</v>
      </c>
      <c r="E1082" s="4" t="s">
        <v>12</v>
      </c>
      <c r="F1082" s="4">
        <v>1265373</v>
      </c>
      <c r="G1082" s="4">
        <v>56390</v>
      </c>
      <c r="H1082" s="4">
        <v>66976</v>
      </c>
      <c r="I1082" s="6">
        <v>50294.163729088847</v>
      </c>
      <c r="J1082" s="4"/>
      <c r="K1082" s="4"/>
      <c r="L1082" s="4"/>
      <c r="M1082" s="4"/>
      <c r="N1082" s="4"/>
      <c r="O1082" s="4"/>
      <c r="P1082" s="4"/>
      <c r="Q1082" s="4"/>
      <c r="R1082" s="4"/>
      <c r="S1082" s="4"/>
      <c r="T1082" s="4"/>
      <c r="U1082" s="4"/>
      <c r="V1082" s="4"/>
      <c r="W1082" s="4"/>
      <c r="X1082" s="4"/>
      <c r="Y1082" s="4"/>
      <c r="Z1082" s="4"/>
    </row>
    <row r="1083" spans="1:26">
      <c r="A1083" s="5">
        <v>43466</v>
      </c>
      <c r="B1083" s="4" t="s">
        <v>9</v>
      </c>
      <c r="C1083" s="4" t="s">
        <v>10</v>
      </c>
      <c r="D1083" s="4" t="s">
        <v>11</v>
      </c>
      <c r="E1083" s="4" t="s">
        <v>13</v>
      </c>
      <c r="F1083" s="4">
        <v>7537</v>
      </c>
      <c r="G1083" s="4">
        <v>1249</v>
      </c>
      <c r="H1083" s="4">
        <v>7365</v>
      </c>
      <c r="I1083" s="6">
        <v>255705.58694173658</v>
      </c>
      <c r="J1083" s="4"/>
      <c r="K1083" s="4"/>
      <c r="L1083" s="4"/>
      <c r="M1083" s="4"/>
      <c r="N1083" s="4"/>
      <c r="O1083" s="4"/>
      <c r="P1083" s="4"/>
      <c r="Q1083" s="4"/>
      <c r="R1083" s="4"/>
      <c r="S1083" s="4"/>
      <c r="T1083" s="4"/>
      <c r="U1083" s="4"/>
      <c r="V1083" s="4"/>
      <c r="W1083" s="4"/>
      <c r="X1083" s="4"/>
      <c r="Y1083" s="4"/>
      <c r="Z1083" s="4"/>
    </row>
    <row r="1084" spans="1:26">
      <c r="A1084" s="5">
        <v>43466</v>
      </c>
      <c r="B1084" s="4" t="s">
        <v>9</v>
      </c>
      <c r="C1084" s="4" t="s">
        <v>10</v>
      </c>
      <c r="D1084" s="4" t="s">
        <v>14</v>
      </c>
      <c r="E1084" s="4" t="s">
        <v>12</v>
      </c>
      <c r="F1084" s="4">
        <v>3168151</v>
      </c>
      <c r="G1084" s="4">
        <v>98655</v>
      </c>
      <c r="H1084" s="4">
        <v>116612</v>
      </c>
      <c r="I1084" s="6">
        <v>84748.209491647052</v>
      </c>
      <c r="J1084" s="4"/>
      <c r="K1084" s="4"/>
      <c r="L1084" s="4"/>
      <c r="M1084" s="4"/>
      <c r="N1084" s="4"/>
      <c r="O1084" s="4"/>
      <c r="P1084" s="4"/>
      <c r="Q1084" s="4"/>
      <c r="R1084" s="4"/>
      <c r="S1084" s="4"/>
      <c r="T1084" s="4"/>
      <c r="U1084" s="4"/>
      <c r="V1084" s="4"/>
      <c r="W1084" s="4"/>
      <c r="X1084" s="4"/>
      <c r="Y1084" s="4"/>
      <c r="Z1084" s="4"/>
    </row>
    <row r="1085" spans="1:26">
      <c r="A1085" s="5">
        <v>43466</v>
      </c>
      <c r="B1085" s="4" t="s">
        <v>9</v>
      </c>
      <c r="C1085" s="4" t="s">
        <v>10</v>
      </c>
      <c r="D1085" s="4" t="s">
        <v>14</v>
      </c>
      <c r="E1085" s="4" t="s">
        <v>13</v>
      </c>
      <c r="F1085" s="4">
        <v>12633</v>
      </c>
      <c r="G1085" s="4">
        <v>2503</v>
      </c>
      <c r="H1085" s="4">
        <v>18336</v>
      </c>
      <c r="I1085" s="6">
        <v>394084.16586112627</v>
      </c>
      <c r="J1085" s="4"/>
      <c r="K1085" s="4"/>
      <c r="L1085" s="4"/>
      <c r="M1085" s="4"/>
      <c r="N1085" s="4"/>
      <c r="O1085" s="4"/>
      <c r="P1085" s="4"/>
      <c r="Q1085" s="4"/>
      <c r="R1085" s="4"/>
      <c r="S1085" s="4"/>
      <c r="T1085" s="4"/>
      <c r="U1085" s="4"/>
      <c r="V1085" s="4"/>
      <c r="W1085" s="4"/>
      <c r="X1085" s="4"/>
      <c r="Y1085" s="4"/>
      <c r="Z1085" s="4"/>
    </row>
    <row r="1086" spans="1:26">
      <c r="A1086" s="5">
        <v>43466</v>
      </c>
      <c r="B1086" s="4" t="s">
        <v>9</v>
      </c>
      <c r="C1086" s="4" t="s">
        <v>10</v>
      </c>
      <c r="D1086" s="4" t="s">
        <v>15</v>
      </c>
      <c r="E1086" s="4" t="s">
        <v>12</v>
      </c>
      <c r="F1086" s="4">
        <v>1279588</v>
      </c>
      <c r="G1086" s="4">
        <v>40812</v>
      </c>
      <c r="H1086" s="4">
        <v>52454</v>
      </c>
      <c r="I1086" s="6">
        <v>39351.612178282579</v>
      </c>
      <c r="J1086" s="4"/>
      <c r="K1086" s="4"/>
      <c r="L1086" s="4"/>
      <c r="M1086" s="4"/>
      <c r="N1086" s="4"/>
      <c r="O1086" s="4"/>
      <c r="P1086" s="4"/>
      <c r="Q1086" s="4"/>
      <c r="R1086" s="4"/>
      <c r="S1086" s="4"/>
      <c r="T1086" s="4"/>
      <c r="U1086" s="4"/>
      <c r="V1086" s="4"/>
      <c r="W1086" s="4"/>
      <c r="X1086" s="4"/>
      <c r="Y1086" s="4"/>
      <c r="Z1086" s="4"/>
    </row>
    <row r="1087" spans="1:26">
      <c r="A1087" s="5">
        <v>43466</v>
      </c>
      <c r="B1087" s="4" t="s">
        <v>9</v>
      </c>
      <c r="C1087" s="4" t="s">
        <v>10</v>
      </c>
      <c r="D1087" s="4" t="s">
        <v>15</v>
      </c>
      <c r="E1087" s="4" t="s">
        <v>13</v>
      </c>
      <c r="F1087" s="4">
        <v>4836</v>
      </c>
      <c r="G1087" s="4">
        <v>728</v>
      </c>
      <c r="H1087" s="4">
        <v>6043</v>
      </c>
      <c r="I1087" s="6">
        <v>98592.27627612761</v>
      </c>
      <c r="J1087" s="4"/>
      <c r="K1087" s="4"/>
      <c r="L1087" s="4"/>
      <c r="M1087" s="4"/>
      <c r="N1087" s="4"/>
      <c r="O1087" s="4"/>
      <c r="P1087" s="4"/>
      <c r="Q1087" s="4"/>
      <c r="R1087" s="4"/>
      <c r="S1087" s="4"/>
      <c r="T1087" s="4"/>
      <c r="U1087" s="4"/>
      <c r="V1087" s="4"/>
      <c r="W1087" s="4"/>
      <c r="X1087" s="4"/>
      <c r="Y1087" s="4"/>
      <c r="Z1087" s="4"/>
    </row>
    <row r="1088" spans="1:26">
      <c r="A1088" s="5">
        <v>43466</v>
      </c>
      <c r="B1088" s="4" t="s">
        <v>9</v>
      </c>
      <c r="C1088" s="4" t="s">
        <v>10</v>
      </c>
      <c r="D1088" s="4" t="s">
        <v>16</v>
      </c>
      <c r="E1088" s="4" t="s">
        <v>12</v>
      </c>
      <c r="F1088" s="4">
        <v>39432646</v>
      </c>
      <c r="G1088" s="4">
        <v>254847</v>
      </c>
      <c r="H1088" s="4">
        <v>287102</v>
      </c>
      <c r="I1088" s="6">
        <v>218008.07520842261</v>
      </c>
      <c r="J1088" s="4"/>
      <c r="K1088" s="4"/>
      <c r="L1088" s="4"/>
      <c r="M1088" s="4"/>
      <c r="N1088" s="4"/>
      <c r="O1088" s="4"/>
      <c r="P1088" s="4"/>
      <c r="Q1088" s="4"/>
      <c r="R1088" s="4"/>
      <c r="S1088" s="4"/>
      <c r="T1088" s="4"/>
      <c r="U1088" s="4"/>
      <c r="V1088" s="4"/>
      <c r="W1088" s="4"/>
      <c r="X1088" s="4"/>
      <c r="Y1088" s="4"/>
      <c r="Z1088" s="4"/>
    </row>
    <row r="1089" spans="1:26">
      <c r="A1089" s="5">
        <v>43466</v>
      </c>
      <c r="B1089" s="4" t="s">
        <v>9</v>
      </c>
      <c r="C1089" s="4" t="s">
        <v>10</v>
      </c>
      <c r="D1089" s="4" t="s">
        <v>16</v>
      </c>
      <c r="E1089" s="4" t="s">
        <v>13</v>
      </c>
      <c r="F1089" s="4">
        <v>276927</v>
      </c>
      <c r="G1089" s="4">
        <v>5424</v>
      </c>
      <c r="H1089" s="4">
        <v>35411</v>
      </c>
      <c r="I1089" s="6">
        <v>1189410.5239162259</v>
      </c>
      <c r="J1089" s="4"/>
      <c r="K1089" s="4"/>
      <c r="L1089" s="4"/>
      <c r="M1089" s="4"/>
      <c r="N1089" s="4"/>
      <c r="O1089" s="4"/>
      <c r="P1089" s="4"/>
      <c r="Q1089" s="4"/>
      <c r="R1089" s="4"/>
      <c r="S1089" s="4"/>
      <c r="T1089" s="4"/>
      <c r="U1089" s="4"/>
      <c r="V1089" s="4"/>
      <c r="W1089" s="4"/>
      <c r="X1089" s="4"/>
      <c r="Y1089" s="4"/>
      <c r="Z1089" s="4"/>
    </row>
    <row r="1090" spans="1:26">
      <c r="A1090" s="5">
        <v>43466</v>
      </c>
      <c r="B1090" s="4" t="s">
        <v>9</v>
      </c>
      <c r="C1090" s="4" t="s">
        <v>10</v>
      </c>
      <c r="D1090" s="4" t="s">
        <v>17</v>
      </c>
      <c r="E1090" s="4" t="s">
        <v>12</v>
      </c>
      <c r="F1090" s="4">
        <v>1946517</v>
      </c>
      <c r="G1090" s="4">
        <v>84561</v>
      </c>
      <c r="H1090" s="4">
        <v>96236</v>
      </c>
      <c r="I1090" s="6">
        <v>94192.511137622496</v>
      </c>
      <c r="J1090" s="4"/>
      <c r="K1090" s="4"/>
      <c r="L1090" s="4"/>
      <c r="M1090" s="4"/>
      <c r="N1090" s="4"/>
      <c r="O1090" s="4"/>
      <c r="P1090" s="4"/>
      <c r="Q1090" s="4"/>
      <c r="R1090" s="4"/>
      <c r="S1090" s="4"/>
      <c r="T1090" s="4"/>
      <c r="U1090" s="4"/>
      <c r="V1090" s="4"/>
      <c r="W1090" s="4"/>
      <c r="X1090" s="4"/>
      <c r="Y1090" s="4"/>
      <c r="Z1090" s="4"/>
    </row>
    <row r="1091" spans="1:26">
      <c r="A1091" s="5">
        <v>43466</v>
      </c>
      <c r="B1091" s="4" t="s">
        <v>9</v>
      </c>
      <c r="C1091" s="4" t="s">
        <v>10</v>
      </c>
      <c r="D1091" s="4" t="s">
        <v>17</v>
      </c>
      <c r="E1091" s="4" t="s">
        <v>13</v>
      </c>
      <c r="F1091" s="4">
        <v>11613</v>
      </c>
      <c r="G1091" s="4">
        <v>2280</v>
      </c>
      <c r="H1091" s="4">
        <v>13384</v>
      </c>
      <c r="I1091" s="6">
        <v>451060.80080898869</v>
      </c>
      <c r="J1091" s="4"/>
      <c r="K1091" s="4"/>
      <c r="L1091" s="4"/>
      <c r="M1091" s="4"/>
      <c r="N1091" s="4"/>
      <c r="O1091" s="4"/>
      <c r="P1091" s="4"/>
      <c r="Q1091" s="4"/>
      <c r="R1091" s="4"/>
      <c r="S1091" s="4"/>
      <c r="T1091" s="4"/>
      <c r="U1091" s="4"/>
      <c r="V1091" s="4"/>
      <c r="W1091" s="4"/>
      <c r="X1091" s="4"/>
      <c r="Y1091" s="4"/>
      <c r="Z1091" s="4"/>
    </row>
    <row r="1092" spans="1:26">
      <c r="A1092" s="5">
        <v>43466</v>
      </c>
      <c r="B1092" s="4" t="s">
        <v>9</v>
      </c>
      <c r="C1092" s="4" t="s">
        <v>18</v>
      </c>
      <c r="D1092" s="4" t="s">
        <v>11</v>
      </c>
      <c r="E1092" s="4" t="s">
        <v>12</v>
      </c>
      <c r="F1092" s="4">
        <v>7446300</v>
      </c>
      <c r="G1092" s="4">
        <v>198917</v>
      </c>
      <c r="H1092" s="4">
        <v>613695</v>
      </c>
      <c r="I1092" s="6">
        <v>150436.38539307917</v>
      </c>
      <c r="J1092" s="4"/>
      <c r="K1092" s="4"/>
      <c r="L1092" s="4"/>
      <c r="M1092" s="4"/>
      <c r="N1092" s="4"/>
      <c r="O1092" s="4"/>
      <c r="P1092" s="4"/>
      <c r="Q1092" s="4"/>
      <c r="R1092" s="4"/>
      <c r="S1092" s="4"/>
      <c r="T1092" s="4"/>
      <c r="U1092" s="4"/>
      <c r="V1092" s="4"/>
      <c r="W1092" s="4"/>
      <c r="X1092" s="4"/>
      <c r="Y1092" s="4"/>
      <c r="Z1092" s="4"/>
    </row>
    <row r="1093" spans="1:26">
      <c r="A1093" s="5">
        <v>43466</v>
      </c>
      <c r="B1093" s="4" t="s">
        <v>9</v>
      </c>
      <c r="C1093" s="4" t="s">
        <v>18</v>
      </c>
      <c r="D1093" s="4" t="s">
        <v>11</v>
      </c>
      <c r="E1093" s="4" t="s">
        <v>13</v>
      </c>
      <c r="F1093" s="4">
        <v>42286</v>
      </c>
      <c r="G1093" s="4">
        <v>745</v>
      </c>
      <c r="H1093" s="4">
        <v>20679</v>
      </c>
      <c r="I1093" s="6">
        <v>15178.967006400191</v>
      </c>
      <c r="J1093" s="4"/>
      <c r="K1093" s="4"/>
      <c r="L1093" s="4"/>
      <c r="M1093" s="4"/>
      <c r="N1093" s="4"/>
      <c r="O1093" s="4"/>
      <c r="P1093" s="4"/>
      <c r="Q1093" s="4"/>
      <c r="R1093" s="4"/>
      <c r="S1093" s="4"/>
      <c r="T1093" s="4"/>
      <c r="U1093" s="4"/>
      <c r="V1093" s="4"/>
      <c r="W1093" s="4"/>
      <c r="X1093" s="4"/>
      <c r="Y1093" s="4"/>
      <c r="Z1093" s="4"/>
    </row>
    <row r="1094" spans="1:26">
      <c r="A1094" s="5">
        <v>43466</v>
      </c>
      <c r="B1094" s="4" t="s">
        <v>9</v>
      </c>
      <c r="C1094" s="4" t="s">
        <v>18</v>
      </c>
      <c r="D1094" s="4" t="s">
        <v>14</v>
      </c>
      <c r="E1094" s="4" t="s">
        <v>12</v>
      </c>
      <c r="F1094" s="4">
        <v>17500268</v>
      </c>
      <c r="G1094" s="4">
        <v>410974</v>
      </c>
      <c r="H1094" s="4">
        <v>1238780</v>
      </c>
      <c r="I1094" s="6">
        <v>199762.50646526538</v>
      </c>
      <c r="J1094" s="4"/>
      <c r="K1094" s="4"/>
      <c r="L1094" s="4"/>
      <c r="M1094" s="4"/>
      <c r="N1094" s="4"/>
      <c r="O1094" s="4"/>
      <c r="P1094" s="4"/>
      <c r="Q1094" s="4"/>
      <c r="R1094" s="4"/>
      <c r="S1094" s="4"/>
      <c r="T1094" s="4"/>
      <c r="U1094" s="4"/>
      <c r="V1094" s="4"/>
      <c r="W1094" s="4"/>
      <c r="X1094" s="4"/>
      <c r="Y1094" s="4"/>
      <c r="Z1094" s="4"/>
    </row>
    <row r="1095" spans="1:26">
      <c r="A1095" s="5">
        <v>43466</v>
      </c>
      <c r="B1095" s="4" t="s">
        <v>9</v>
      </c>
      <c r="C1095" s="4" t="s">
        <v>18</v>
      </c>
      <c r="D1095" s="4" t="s">
        <v>14</v>
      </c>
      <c r="E1095" s="4" t="s">
        <v>13</v>
      </c>
      <c r="F1095" s="4">
        <v>88629</v>
      </c>
      <c r="G1095" s="4">
        <v>1035</v>
      </c>
      <c r="H1095" s="4">
        <v>15351</v>
      </c>
      <c r="I1095" s="6">
        <v>17657.869919595807</v>
      </c>
      <c r="J1095" s="4"/>
      <c r="K1095" s="4"/>
      <c r="L1095" s="4"/>
      <c r="M1095" s="4"/>
      <c r="N1095" s="4"/>
      <c r="O1095" s="4"/>
      <c r="P1095" s="4"/>
      <c r="Q1095" s="4"/>
      <c r="R1095" s="4"/>
      <c r="S1095" s="4"/>
      <c r="T1095" s="4"/>
      <c r="U1095" s="4"/>
      <c r="V1095" s="4"/>
      <c r="W1095" s="4"/>
      <c r="X1095" s="4"/>
      <c r="Y1095" s="4"/>
      <c r="Z1095" s="4"/>
    </row>
    <row r="1096" spans="1:26">
      <c r="A1096" s="5">
        <v>43466</v>
      </c>
      <c r="B1096" s="4" t="s">
        <v>9</v>
      </c>
      <c r="C1096" s="4" t="s">
        <v>18</v>
      </c>
      <c r="D1096" s="4" t="s">
        <v>15</v>
      </c>
      <c r="E1096" s="4" t="s">
        <v>12</v>
      </c>
      <c r="F1096" s="4">
        <v>8683550</v>
      </c>
      <c r="G1096" s="4">
        <v>221203</v>
      </c>
      <c r="H1096" s="4">
        <v>728850</v>
      </c>
      <c r="I1096" s="6">
        <v>80463.632435085616</v>
      </c>
      <c r="J1096" s="4"/>
      <c r="K1096" s="4"/>
      <c r="L1096" s="4"/>
      <c r="M1096" s="4"/>
      <c r="N1096" s="4"/>
      <c r="O1096" s="4"/>
      <c r="P1096" s="4"/>
      <c r="Q1096" s="4"/>
      <c r="R1096" s="4"/>
      <c r="S1096" s="4"/>
      <c r="T1096" s="4"/>
      <c r="U1096" s="4"/>
      <c r="V1096" s="4"/>
      <c r="W1096" s="4"/>
      <c r="X1096" s="4"/>
      <c r="Y1096" s="4"/>
      <c r="Z1096" s="4"/>
    </row>
    <row r="1097" spans="1:26">
      <c r="A1097" s="5">
        <v>43466</v>
      </c>
      <c r="B1097" s="4" t="s">
        <v>9</v>
      </c>
      <c r="C1097" s="4" t="s">
        <v>18</v>
      </c>
      <c r="D1097" s="4" t="s">
        <v>15</v>
      </c>
      <c r="E1097" s="4" t="s">
        <v>13</v>
      </c>
      <c r="F1097" s="4">
        <v>32352</v>
      </c>
      <c r="G1097" s="4">
        <v>414</v>
      </c>
      <c r="H1097" s="4">
        <v>5892</v>
      </c>
      <c r="I1097" s="6">
        <v>7647.9105773021683</v>
      </c>
      <c r="J1097" s="4"/>
      <c r="K1097" s="4"/>
      <c r="L1097" s="4"/>
      <c r="M1097" s="4"/>
      <c r="N1097" s="4"/>
      <c r="O1097" s="4"/>
      <c r="P1097" s="4"/>
      <c r="Q1097" s="4"/>
      <c r="R1097" s="4"/>
      <c r="S1097" s="4"/>
      <c r="T1097" s="4"/>
      <c r="U1097" s="4"/>
      <c r="V1097" s="4"/>
      <c r="W1097" s="4"/>
      <c r="X1097" s="4"/>
      <c r="Y1097" s="4"/>
      <c r="Z1097" s="4"/>
    </row>
    <row r="1098" spans="1:26">
      <c r="A1098" s="5">
        <v>43466</v>
      </c>
      <c r="B1098" s="4" t="s">
        <v>9</v>
      </c>
      <c r="C1098" s="4" t="s">
        <v>18</v>
      </c>
      <c r="D1098" s="4" t="s">
        <v>16</v>
      </c>
      <c r="E1098" s="4" t="s">
        <v>12</v>
      </c>
      <c r="F1098" s="4">
        <v>111788926</v>
      </c>
      <c r="G1098" s="4">
        <v>751300</v>
      </c>
      <c r="H1098" s="4">
        <v>2151858</v>
      </c>
      <c r="I1098" s="6">
        <v>518652.7188843881</v>
      </c>
      <c r="J1098" s="4"/>
      <c r="K1098" s="4"/>
      <c r="L1098" s="4"/>
      <c r="M1098" s="4"/>
      <c r="N1098" s="4"/>
      <c r="O1098" s="4"/>
      <c r="P1098" s="4"/>
      <c r="Q1098" s="4"/>
      <c r="R1098" s="4"/>
      <c r="S1098" s="4"/>
      <c r="T1098" s="4"/>
      <c r="U1098" s="4"/>
      <c r="V1098" s="4"/>
      <c r="W1098" s="4"/>
      <c r="X1098" s="4"/>
      <c r="Y1098" s="4"/>
      <c r="Z1098" s="4"/>
    </row>
    <row r="1099" spans="1:26">
      <c r="A1099" s="5">
        <v>43466</v>
      </c>
      <c r="B1099" s="4" t="s">
        <v>9</v>
      </c>
      <c r="C1099" s="4" t="s">
        <v>18</v>
      </c>
      <c r="D1099" s="4" t="s">
        <v>16</v>
      </c>
      <c r="E1099" s="4" t="s">
        <v>13</v>
      </c>
      <c r="F1099" s="4">
        <v>977130</v>
      </c>
      <c r="G1099" s="4">
        <v>2154</v>
      </c>
      <c r="H1099" s="4">
        <v>53034</v>
      </c>
      <c r="I1099" s="6">
        <v>34095.410687097436</v>
      </c>
      <c r="J1099" s="4"/>
      <c r="K1099" s="4"/>
      <c r="L1099" s="4"/>
      <c r="M1099" s="4"/>
      <c r="N1099" s="4"/>
      <c r="O1099" s="4"/>
      <c r="P1099" s="4"/>
      <c r="Q1099" s="4"/>
      <c r="R1099" s="4"/>
      <c r="S1099" s="4"/>
      <c r="T1099" s="4"/>
      <c r="U1099" s="4"/>
      <c r="V1099" s="4"/>
      <c r="W1099" s="4"/>
      <c r="X1099" s="4"/>
      <c r="Y1099" s="4"/>
      <c r="Z1099" s="4"/>
    </row>
    <row r="1100" spans="1:26">
      <c r="A1100" s="5">
        <v>43466</v>
      </c>
      <c r="B1100" s="4" t="s">
        <v>9</v>
      </c>
      <c r="C1100" s="4" t="s">
        <v>18</v>
      </c>
      <c r="D1100" s="4" t="s">
        <v>17</v>
      </c>
      <c r="E1100" s="4" t="s">
        <v>12</v>
      </c>
      <c r="F1100" s="4">
        <v>10582326</v>
      </c>
      <c r="G1100" s="4">
        <v>241513</v>
      </c>
      <c r="H1100" s="4">
        <v>688533</v>
      </c>
      <c r="I1100" s="6">
        <v>176140.12045266159</v>
      </c>
      <c r="J1100" s="4"/>
      <c r="K1100" s="4"/>
      <c r="L1100" s="4"/>
      <c r="M1100" s="4"/>
      <c r="N1100" s="4"/>
      <c r="O1100" s="4"/>
      <c r="P1100" s="4"/>
      <c r="Q1100" s="4"/>
      <c r="R1100" s="4"/>
      <c r="S1100" s="4"/>
      <c r="T1100" s="4"/>
      <c r="U1100" s="4"/>
      <c r="V1100" s="4"/>
      <c r="W1100" s="4"/>
      <c r="X1100" s="4"/>
      <c r="Y1100" s="4"/>
      <c r="Z1100" s="4"/>
    </row>
    <row r="1101" spans="1:26">
      <c r="A1101" s="5">
        <v>43466</v>
      </c>
      <c r="B1101" s="4" t="s">
        <v>9</v>
      </c>
      <c r="C1101" s="4" t="s">
        <v>18</v>
      </c>
      <c r="D1101" s="4" t="s">
        <v>17</v>
      </c>
      <c r="E1101" s="4" t="s">
        <v>13</v>
      </c>
      <c r="F1101" s="4">
        <v>80808</v>
      </c>
      <c r="G1101" s="4">
        <v>868</v>
      </c>
      <c r="H1101" s="4">
        <v>19188</v>
      </c>
      <c r="I1101" s="6">
        <v>13763.588933512599</v>
      </c>
      <c r="J1101" s="4"/>
      <c r="K1101" s="4"/>
      <c r="L1101" s="4"/>
      <c r="M1101" s="4"/>
      <c r="N1101" s="4"/>
      <c r="O1101" s="4"/>
      <c r="P1101" s="4"/>
      <c r="Q1101" s="4"/>
      <c r="R1101" s="4"/>
      <c r="S1101" s="4"/>
      <c r="T1101" s="4"/>
      <c r="U1101" s="4"/>
      <c r="V1101" s="4"/>
      <c r="W1101" s="4"/>
      <c r="X1101" s="4"/>
      <c r="Y1101" s="4"/>
      <c r="Z1101" s="4"/>
    </row>
    <row r="1102" spans="1:26">
      <c r="A1102" s="5">
        <v>43466</v>
      </c>
      <c r="B1102" s="4" t="s">
        <v>9</v>
      </c>
      <c r="C1102" s="4" t="s">
        <v>19</v>
      </c>
      <c r="D1102" s="4" t="s">
        <v>11</v>
      </c>
      <c r="E1102" s="4" t="s">
        <v>12</v>
      </c>
      <c r="F1102" s="4">
        <v>128883</v>
      </c>
      <c r="G1102" s="4">
        <v>20164</v>
      </c>
      <c r="H1102" s="4">
        <v>21239</v>
      </c>
      <c r="I1102" s="6">
        <v>107381.98274217058</v>
      </c>
      <c r="J1102" s="4"/>
      <c r="K1102" s="4"/>
      <c r="L1102" s="4"/>
      <c r="M1102" s="4"/>
      <c r="N1102" s="4"/>
      <c r="O1102" s="4"/>
      <c r="P1102" s="4"/>
      <c r="Q1102" s="4"/>
      <c r="R1102" s="4"/>
      <c r="S1102" s="4"/>
      <c r="T1102" s="4"/>
      <c r="U1102" s="4"/>
      <c r="V1102" s="4"/>
      <c r="W1102" s="4"/>
      <c r="X1102" s="4"/>
      <c r="Y1102" s="4"/>
      <c r="Z1102" s="4"/>
    </row>
    <row r="1103" spans="1:26">
      <c r="A1103" s="5">
        <v>43466</v>
      </c>
      <c r="B1103" s="4" t="s">
        <v>9</v>
      </c>
      <c r="C1103" s="4" t="s">
        <v>19</v>
      </c>
      <c r="D1103" s="4" t="s">
        <v>11</v>
      </c>
      <c r="E1103" s="4" t="s">
        <v>13</v>
      </c>
      <c r="F1103" s="4">
        <v>709</v>
      </c>
      <c r="G1103" s="4">
        <v>785</v>
      </c>
      <c r="H1103" s="4">
        <v>8201</v>
      </c>
      <c r="I1103" s="6">
        <v>18385.723301934569</v>
      </c>
      <c r="J1103" s="4"/>
      <c r="K1103" s="4"/>
      <c r="L1103" s="4"/>
      <c r="M1103" s="4"/>
      <c r="N1103" s="4"/>
      <c r="O1103" s="4"/>
      <c r="P1103" s="4"/>
      <c r="Q1103" s="4"/>
      <c r="R1103" s="4"/>
      <c r="S1103" s="4"/>
      <c r="T1103" s="4"/>
      <c r="U1103" s="4"/>
      <c r="V1103" s="4"/>
      <c r="W1103" s="4"/>
      <c r="X1103" s="4"/>
      <c r="Y1103" s="4"/>
      <c r="Z1103" s="4"/>
    </row>
    <row r="1104" spans="1:26">
      <c r="A1104" s="5">
        <v>43466</v>
      </c>
      <c r="B1104" s="4" t="s">
        <v>9</v>
      </c>
      <c r="C1104" s="4" t="s">
        <v>19</v>
      </c>
      <c r="D1104" s="4" t="s">
        <v>14</v>
      </c>
      <c r="E1104" s="4" t="s">
        <v>12</v>
      </c>
      <c r="F1104" s="4">
        <v>316212</v>
      </c>
      <c r="G1104" s="4">
        <v>47542</v>
      </c>
      <c r="H1104" s="4">
        <v>49970</v>
      </c>
      <c r="I1104" s="6">
        <v>191337.98848884722</v>
      </c>
      <c r="J1104" s="4"/>
      <c r="K1104" s="4"/>
      <c r="L1104" s="4"/>
      <c r="M1104" s="4"/>
      <c r="N1104" s="4"/>
      <c r="O1104" s="4"/>
      <c r="P1104" s="4"/>
      <c r="Q1104" s="4"/>
      <c r="R1104" s="4"/>
      <c r="S1104" s="4"/>
      <c r="T1104" s="4"/>
      <c r="U1104" s="4"/>
      <c r="V1104" s="4"/>
      <c r="W1104" s="4"/>
      <c r="X1104" s="4"/>
      <c r="Y1104" s="4"/>
      <c r="Z1104" s="4"/>
    </row>
    <row r="1105" spans="1:26">
      <c r="A1105" s="5">
        <v>43466</v>
      </c>
      <c r="B1105" s="4" t="s">
        <v>9</v>
      </c>
      <c r="C1105" s="4" t="s">
        <v>19</v>
      </c>
      <c r="D1105" s="4" t="s">
        <v>14</v>
      </c>
      <c r="E1105" s="4" t="s">
        <v>13</v>
      </c>
      <c r="F1105" s="4">
        <v>1702</v>
      </c>
      <c r="G1105" s="4">
        <v>1753</v>
      </c>
      <c r="H1105" s="4">
        <v>44528</v>
      </c>
      <c r="I1105" s="6">
        <v>30482.710335751646</v>
      </c>
      <c r="J1105" s="4"/>
      <c r="K1105" s="4"/>
      <c r="L1105" s="4"/>
      <c r="M1105" s="4"/>
      <c r="N1105" s="4"/>
      <c r="O1105" s="4"/>
      <c r="P1105" s="4"/>
      <c r="Q1105" s="4"/>
      <c r="R1105" s="4"/>
      <c r="S1105" s="4"/>
      <c r="T1105" s="4"/>
      <c r="U1105" s="4"/>
      <c r="V1105" s="4"/>
      <c r="W1105" s="4"/>
      <c r="X1105" s="4"/>
      <c r="Y1105" s="4"/>
      <c r="Z1105" s="4"/>
    </row>
    <row r="1106" spans="1:26">
      <c r="A1106" s="5">
        <v>43466</v>
      </c>
      <c r="B1106" s="4" t="s">
        <v>9</v>
      </c>
      <c r="C1106" s="4" t="s">
        <v>19</v>
      </c>
      <c r="D1106" s="4" t="s">
        <v>15</v>
      </c>
      <c r="E1106" s="4" t="s">
        <v>12</v>
      </c>
      <c r="F1106" s="4">
        <v>149214</v>
      </c>
      <c r="G1106" s="4">
        <v>24400</v>
      </c>
      <c r="H1106" s="4">
        <v>25284</v>
      </c>
      <c r="I1106" s="6">
        <v>70743.522472780227</v>
      </c>
      <c r="J1106" s="4"/>
      <c r="K1106" s="4"/>
      <c r="L1106" s="4"/>
      <c r="M1106" s="4"/>
      <c r="N1106" s="4"/>
      <c r="O1106" s="4"/>
      <c r="P1106" s="4"/>
      <c r="Q1106" s="4"/>
      <c r="R1106" s="4"/>
      <c r="S1106" s="4"/>
      <c r="T1106" s="4"/>
      <c r="U1106" s="4"/>
      <c r="V1106" s="4"/>
      <c r="W1106" s="4"/>
      <c r="X1106" s="4"/>
      <c r="Y1106" s="4"/>
      <c r="Z1106" s="4"/>
    </row>
    <row r="1107" spans="1:26">
      <c r="A1107" s="5">
        <v>43466</v>
      </c>
      <c r="B1107" s="4" t="s">
        <v>9</v>
      </c>
      <c r="C1107" s="4" t="s">
        <v>19</v>
      </c>
      <c r="D1107" s="4" t="s">
        <v>15</v>
      </c>
      <c r="E1107" s="4" t="s">
        <v>13</v>
      </c>
      <c r="F1107" s="4">
        <v>530</v>
      </c>
      <c r="G1107" s="4">
        <v>721</v>
      </c>
      <c r="H1107" s="4">
        <v>24030</v>
      </c>
      <c r="I1107" s="6">
        <v>13327.953975678205</v>
      </c>
      <c r="J1107" s="4"/>
      <c r="K1107" s="4"/>
      <c r="L1107" s="4"/>
      <c r="M1107" s="4"/>
      <c r="N1107" s="4"/>
      <c r="O1107" s="4"/>
      <c r="P1107" s="4"/>
      <c r="Q1107" s="4"/>
      <c r="R1107" s="4"/>
      <c r="S1107" s="4"/>
      <c r="T1107" s="4"/>
      <c r="U1107" s="4"/>
      <c r="V1107" s="4"/>
      <c r="W1107" s="4"/>
      <c r="X1107" s="4"/>
      <c r="Y1107" s="4"/>
      <c r="Z1107" s="4"/>
    </row>
    <row r="1108" spans="1:26">
      <c r="A1108" s="5">
        <v>43466</v>
      </c>
      <c r="B1108" s="4" t="s">
        <v>9</v>
      </c>
      <c r="C1108" s="4" t="s">
        <v>19</v>
      </c>
      <c r="D1108" s="4" t="s">
        <v>16</v>
      </c>
      <c r="E1108" s="4" t="s">
        <v>12</v>
      </c>
      <c r="F1108" s="4">
        <v>17757226</v>
      </c>
      <c r="G1108" s="4">
        <v>74811</v>
      </c>
      <c r="H1108" s="4">
        <v>76697</v>
      </c>
      <c r="I1108" s="6">
        <v>441260.21563052345</v>
      </c>
      <c r="J1108" s="4"/>
      <c r="K1108" s="4"/>
      <c r="L1108" s="4"/>
      <c r="M1108" s="4"/>
      <c r="N1108" s="4"/>
      <c r="O1108" s="4"/>
      <c r="P1108" s="4"/>
      <c r="Q1108" s="4"/>
      <c r="R1108" s="4"/>
      <c r="S1108" s="4"/>
      <c r="T1108" s="4"/>
      <c r="U1108" s="4"/>
      <c r="V1108" s="4"/>
      <c r="W1108" s="4"/>
      <c r="X1108" s="4"/>
      <c r="Y1108" s="4"/>
      <c r="Z1108" s="4"/>
    </row>
    <row r="1109" spans="1:26">
      <c r="A1109" s="5">
        <v>43466</v>
      </c>
      <c r="B1109" s="4" t="s">
        <v>9</v>
      </c>
      <c r="C1109" s="4" t="s">
        <v>19</v>
      </c>
      <c r="D1109" s="4" t="s">
        <v>16</v>
      </c>
      <c r="E1109" s="4" t="s">
        <v>13</v>
      </c>
      <c r="F1109" s="4">
        <v>165951</v>
      </c>
      <c r="G1109" s="4">
        <v>2250</v>
      </c>
      <c r="H1109" s="4">
        <v>38712</v>
      </c>
      <c r="I1109" s="6">
        <v>59961.039692666287</v>
      </c>
      <c r="J1109" s="4"/>
      <c r="K1109" s="4"/>
      <c r="L1109" s="4"/>
      <c r="M1109" s="4"/>
      <c r="N1109" s="4"/>
      <c r="O1109" s="4"/>
      <c r="P1109" s="4"/>
      <c r="Q1109" s="4"/>
      <c r="R1109" s="4"/>
      <c r="S1109" s="4"/>
      <c r="T1109" s="4"/>
      <c r="U1109" s="4"/>
      <c r="V1109" s="4"/>
      <c r="W1109" s="4"/>
      <c r="X1109" s="4"/>
      <c r="Y1109" s="4"/>
      <c r="Z1109" s="4"/>
    </row>
    <row r="1110" spans="1:26">
      <c r="A1110" s="5">
        <v>43466</v>
      </c>
      <c r="B1110" s="4" t="s">
        <v>9</v>
      </c>
      <c r="C1110" s="4" t="s">
        <v>19</v>
      </c>
      <c r="D1110" s="4" t="s">
        <v>17</v>
      </c>
      <c r="E1110" s="4" t="s">
        <v>12</v>
      </c>
      <c r="F1110" s="4">
        <v>247680</v>
      </c>
      <c r="G1110" s="4">
        <v>26997</v>
      </c>
      <c r="H1110" s="4">
        <v>27874</v>
      </c>
      <c r="I1110" s="6">
        <v>163650.9030089452</v>
      </c>
      <c r="J1110" s="4"/>
      <c r="K1110" s="4"/>
      <c r="L1110" s="4"/>
      <c r="M1110" s="4"/>
      <c r="N1110" s="4"/>
      <c r="O1110" s="4"/>
      <c r="P1110" s="4"/>
      <c r="Q1110" s="4"/>
      <c r="R1110" s="4"/>
      <c r="S1110" s="4"/>
      <c r="T1110" s="4"/>
      <c r="U1110" s="4"/>
      <c r="V1110" s="4"/>
      <c r="W1110" s="4"/>
      <c r="X1110" s="4"/>
      <c r="Y1110" s="4"/>
      <c r="Z1110" s="4"/>
    </row>
    <row r="1111" spans="1:26">
      <c r="A1111" s="5">
        <v>43466</v>
      </c>
      <c r="B1111" s="4" t="s">
        <v>9</v>
      </c>
      <c r="C1111" s="4" t="s">
        <v>19</v>
      </c>
      <c r="D1111" s="4" t="s">
        <v>17</v>
      </c>
      <c r="E1111" s="4" t="s">
        <v>13</v>
      </c>
      <c r="F1111" s="4">
        <v>1677</v>
      </c>
      <c r="G1111" s="4">
        <v>738</v>
      </c>
      <c r="H1111" s="4">
        <v>7434</v>
      </c>
      <c r="I1111" s="6">
        <v>20289.454142793198</v>
      </c>
      <c r="J1111" s="4"/>
      <c r="K1111" s="4"/>
      <c r="L1111" s="4"/>
      <c r="M1111" s="4"/>
      <c r="N1111" s="4"/>
      <c r="O1111" s="4"/>
      <c r="P1111" s="4"/>
      <c r="Q1111" s="4"/>
      <c r="R1111" s="4"/>
      <c r="S1111" s="4"/>
      <c r="T1111" s="4"/>
      <c r="U1111" s="4"/>
      <c r="V1111" s="4"/>
      <c r="W1111" s="4"/>
      <c r="X1111" s="4"/>
      <c r="Y1111" s="4"/>
      <c r="Z1111" s="4"/>
    </row>
    <row r="1112" spans="1:26">
      <c r="A1112" s="5">
        <v>43466</v>
      </c>
      <c r="B1112" s="4" t="s">
        <v>20</v>
      </c>
      <c r="C1112" s="4" t="s">
        <v>10</v>
      </c>
      <c r="D1112" s="4" t="s">
        <v>11</v>
      </c>
      <c r="E1112" s="4" t="s">
        <v>12</v>
      </c>
      <c r="F1112" s="4">
        <v>2508074</v>
      </c>
      <c r="G1112" s="4">
        <v>5671</v>
      </c>
      <c r="H1112" s="4">
        <v>6427</v>
      </c>
      <c r="I1112" s="6">
        <v>1512.5023012360134</v>
      </c>
      <c r="J1112" s="4"/>
      <c r="K1112" s="4"/>
      <c r="L1112" s="4"/>
      <c r="M1112" s="4"/>
      <c r="N1112" s="4"/>
      <c r="O1112" s="4"/>
      <c r="P1112" s="4"/>
      <c r="Q1112" s="4"/>
      <c r="R1112" s="4"/>
      <c r="S1112" s="4"/>
      <c r="T1112" s="4"/>
      <c r="U1112" s="4"/>
      <c r="V1112" s="4"/>
      <c r="W1112" s="4"/>
      <c r="X1112" s="4"/>
      <c r="Y1112" s="4"/>
      <c r="Z1112" s="4"/>
    </row>
    <row r="1113" spans="1:26">
      <c r="A1113" s="5">
        <v>43466</v>
      </c>
      <c r="B1113" s="4" t="s">
        <v>20</v>
      </c>
      <c r="C1113" s="4" t="s">
        <v>10</v>
      </c>
      <c r="D1113" s="4" t="s">
        <v>11</v>
      </c>
      <c r="E1113" s="4" t="s">
        <v>13</v>
      </c>
      <c r="F1113" s="4">
        <v>1015</v>
      </c>
      <c r="G1113" s="4">
        <v>29</v>
      </c>
      <c r="H1113" s="4">
        <v>73</v>
      </c>
      <c r="I1113" s="6">
        <v>16232.18414141414</v>
      </c>
      <c r="J1113" s="4"/>
      <c r="K1113" s="4"/>
      <c r="L1113" s="4"/>
      <c r="M1113" s="4"/>
      <c r="N1113" s="4"/>
      <c r="O1113" s="4"/>
      <c r="P1113" s="4"/>
      <c r="Q1113" s="4"/>
      <c r="R1113" s="4"/>
      <c r="S1113" s="4"/>
      <c r="T1113" s="4"/>
      <c r="U1113" s="4"/>
      <c r="V1113" s="4"/>
      <c r="W1113" s="4"/>
      <c r="X1113" s="4"/>
      <c r="Y1113" s="4"/>
      <c r="Z1113" s="4"/>
    </row>
    <row r="1114" spans="1:26">
      <c r="A1114" s="5">
        <v>43466</v>
      </c>
      <c r="B1114" s="4" t="s">
        <v>20</v>
      </c>
      <c r="C1114" s="4" t="s">
        <v>10</v>
      </c>
      <c r="D1114" s="4" t="s">
        <v>14</v>
      </c>
      <c r="E1114" s="4" t="s">
        <v>12</v>
      </c>
      <c r="F1114" s="4">
        <v>4542057</v>
      </c>
      <c r="G1114" s="4">
        <v>10087</v>
      </c>
      <c r="H1114" s="4">
        <v>10957</v>
      </c>
      <c r="I1114" s="6">
        <v>1376.6816694128424</v>
      </c>
      <c r="J1114" s="4"/>
      <c r="K1114" s="4"/>
      <c r="L1114" s="4"/>
      <c r="M1114" s="4"/>
      <c r="N1114" s="4"/>
      <c r="O1114" s="4"/>
      <c r="P1114" s="4"/>
      <c r="Q1114" s="4"/>
      <c r="R1114" s="4"/>
      <c r="S1114" s="4"/>
      <c r="T1114" s="4"/>
      <c r="U1114" s="4"/>
      <c r="V1114" s="4"/>
      <c r="W1114" s="4"/>
      <c r="X1114" s="4"/>
      <c r="Y1114" s="4"/>
      <c r="Z1114" s="4"/>
    </row>
    <row r="1115" spans="1:26">
      <c r="A1115" s="5">
        <v>43466</v>
      </c>
      <c r="B1115" s="4" t="s">
        <v>20</v>
      </c>
      <c r="C1115" s="4" t="s">
        <v>10</v>
      </c>
      <c r="D1115" s="4" t="s">
        <v>14</v>
      </c>
      <c r="E1115" s="4" t="s">
        <v>13</v>
      </c>
      <c r="F1115" s="4">
        <v>2188</v>
      </c>
      <c r="G1115" s="4">
        <v>53</v>
      </c>
      <c r="H1115" s="4">
        <v>222</v>
      </c>
      <c r="I1115" s="6">
        <v>24867.154696551726</v>
      </c>
      <c r="J1115" s="4"/>
      <c r="K1115" s="4"/>
      <c r="L1115" s="4"/>
      <c r="M1115" s="4"/>
      <c r="N1115" s="4"/>
      <c r="O1115" s="4"/>
      <c r="P1115" s="4"/>
      <c r="Q1115" s="4"/>
      <c r="R1115" s="4"/>
      <c r="S1115" s="4"/>
      <c r="T1115" s="4"/>
      <c r="U1115" s="4"/>
      <c r="V1115" s="4"/>
      <c r="W1115" s="4"/>
      <c r="X1115" s="4"/>
      <c r="Y1115" s="4"/>
      <c r="Z1115" s="4"/>
    </row>
    <row r="1116" spans="1:26">
      <c r="A1116" s="5">
        <v>43466</v>
      </c>
      <c r="B1116" s="4" t="s">
        <v>20</v>
      </c>
      <c r="C1116" s="4" t="s">
        <v>10</v>
      </c>
      <c r="D1116" s="4" t="s">
        <v>15</v>
      </c>
      <c r="E1116" s="4" t="s">
        <v>12</v>
      </c>
      <c r="F1116" s="4">
        <v>1135161</v>
      </c>
      <c r="G1116" s="4">
        <v>2549</v>
      </c>
      <c r="H1116" s="4">
        <v>2765</v>
      </c>
      <c r="I1116" s="6">
        <v>441.06304019341195</v>
      </c>
      <c r="J1116" s="4"/>
      <c r="K1116" s="4"/>
      <c r="L1116" s="4"/>
      <c r="M1116" s="4"/>
      <c r="N1116" s="4"/>
      <c r="O1116" s="4"/>
      <c r="P1116" s="4"/>
      <c r="Q1116" s="4"/>
      <c r="R1116" s="4"/>
      <c r="S1116" s="4"/>
      <c r="T1116" s="4"/>
      <c r="U1116" s="4"/>
      <c r="V1116" s="4"/>
      <c r="W1116" s="4"/>
      <c r="X1116" s="4"/>
      <c r="Y1116" s="4"/>
      <c r="Z1116" s="4"/>
    </row>
    <row r="1117" spans="1:26">
      <c r="A1117" s="5">
        <v>43466</v>
      </c>
      <c r="B1117" s="4" t="s">
        <v>20</v>
      </c>
      <c r="C1117" s="4" t="s">
        <v>10</v>
      </c>
      <c r="D1117" s="4" t="s">
        <v>15</v>
      </c>
      <c r="E1117" s="4" t="s">
        <v>13</v>
      </c>
      <c r="F1117" s="4">
        <v>301</v>
      </c>
      <c r="G1117" s="4">
        <v>14</v>
      </c>
      <c r="H1117" s="4">
        <v>43</v>
      </c>
      <c r="I1117" s="6">
        <v>5233.3240845070422</v>
      </c>
      <c r="J1117" s="4"/>
      <c r="K1117" s="4"/>
      <c r="L1117" s="4"/>
      <c r="M1117" s="4"/>
      <c r="N1117" s="4"/>
      <c r="O1117" s="4"/>
      <c r="P1117" s="4"/>
      <c r="Q1117" s="4"/>
      <c r="R1117" s="4"/>
      <c r="S1117" s="4"/>
      <c r="T1117" s="4"/>
      <c r="U1117" s="4"/>
      <c r="V1117" s="4"/>
      <c r="W1117" s="4"/>
      <c r="X1117" s="4"/>
      <c r="Y1117" s="4"/>
      <c r="Z1117" s="4"/>
    </row>
    <row r="1118" spans="1:26">
      <c r="A1118" s="5">
        <v>43466</v>
      </c>
      <c r="B1118" s="4" t="s">
        <v>20</v>
      </c>
      <c r="C1118" s="4" t="s">
        <v>10</v>
      </c>
      <c r="D1118" s="4" t="s">
        <v>16</v>
      </c>
      <c r="E1118" s="4" t="s">
        <v>12</v>
      </c>
      <c r="F1118" s="4">
        <v>12216072</v>
      </c>
      <c r="G1118" s="4">
        <v>36735</v>
      </c>
      <c r="H1118" s="4">
        <v>38581</v>
      </c>
      <c r="I1118" s="6">
        <v>6506.4977153118762</v>
      </c>
      <c r="J1118" s="4"/>
      <c r="K1118" s="4"/>
      <c r="L1118" s="4"/>
      <c r="M1118" s="4"/>
      <c r="N1118" s="4"/>
      <c r="O1118" s="4"/>
      <c r="P1118" s="4"/>
      <c r="Q1118" s="4"/>
      <c r="R1118" s="4"/>
      <c r="S1118" s="4"/>
      <c r="T1118" s="4"/>
      <c r="U1118" s="4"/>
      <c r="V1118" s="4"/>
      <c r="W1118" s="4"/>
      <c r="X1118" s="4"/>
      <c r="Y1118" s="4"/>
      <c r="Z1118" s="4"/>
    </row>
    <row r="1119" spans="1:26">
      <c r="A1119" s="5">
        <v>43466</v>
      </c>
      <c r="B1119" s="4" t="s">
        <v>20</v>
      </c>
      <c r="C1119" s="4" t="s">
        <v>10</v>
      </c>
      <c r="D1119" s="4" t="s">
        <v>16</v>
      </c>
      <c r="E1119" s="4" t="s">
        <v>13</v>
      </c>
      <c r="F1119" s="4">
        <v>5931</v>
      </c>
      <c r="G1119" s="4">
        <v>250</v>
      </c>
      <c r="H1119" s="4">
        <v>674</v>
      </c>
      <c r="I1119" s="6">
        <v>110312.55004889975</v>
      </c>
      <c r="J1119" s="4"/>
      <c r="K1119" s="4"/>
      <c r="L1119" s="4"/>
      <c r="M1119" s="4"/>
      <c r="N1119" s="4"/>
      <c r="O1119" s="4"/>
      <c r="P1119" s="4"/>
      <c r="Q1119" s="4"/>
      <c r="R1119" s="4"/>
      <c r="S1119" s="4"/>
      <c r="T1119" s="4"/>
      <c r="U1119" s="4"/>
      <c r="V1119" s="4"/>
      <c r="W1119" s="4"/>
      <c r="X1119" s="4"/>
      <c r="Y1119" s="4"/>
      <c r="Z1119" s="4"/>
    </row>
    <row r="1120" spans="1:26">
      <c r="A1120" s="5">
        <v>43466</v>
      </c>
      <c r="B1120" s="4" t="s">
        <v>20</v>
      </c>
      <c r="C1120" s="4" t="s">
        <v>10</v>
      </c>
      <c r="D1120" s="4" t="s">
        <v>17</v>
      </c>
      <c r="E1120" s="4" t="s">
        <v>12</v>
      </c>
      <c r="F1120" s="4">
        <v>3870364</v>
      </c>
      <c r="G1120" s="4">
        <v>12226</v>
      </c>
      <c r="H1120" s="4">
        <v>12972</v>
      </c>
      <c r="I1120" s="6">
        <v>1974.1199550338604</v>
      </c>
      <c r="J1120" s="4"/>
      <c r="K1120" s="4"/>
      <c r="L1120" s="4"/>
      <c r="M1120" s="4"/>
      <c r="N1120" s="4"/>
      <c r="O1120" s="4"/>
      <c r="P1120" s="4"/>
      <c r="Q1120" s="4"/>
      <c r="R1120" s="4"/>
      <c r="S1120" s="4"/>
      <c r="T1120" s="4"/>
      <c r="U1120" s="4"/>
      <c r="V1120" s="4"/>
      <c r="W1120" s="4"/>
      <c r="X1120" s="4"/>
      <c r="Y1120" s="4"/>
      <c r="Z1120" s="4"/>
    </row>
    <row r="1121" spans="1:26">
      <c r="A1121" s="5">
        <v>43466</v>
      </c>
      <c r="B1121" s="4" t="s">
        <v>20</v>
      </c>
      <c r="C1121" s="4" t="s">
        <v>10</v>
      </c>
      <c r="D1121" s="4" t="s">
        <v>17</v>
      </c>
      <c r="E1121" s="4" t="s">
        <v>13</v>
      </c>
      <c r="F1121" s="4">
        <v>2008</v>
      </c>
      <c r="G1121" s="4">
        <v>79</v>
      </c>
      <c r="H1121" s="4">
        <v>249</v>
      </c>
      <c r="I1121" s="6">
        <v>37866.185032258058</v>
      </c>
      <c r="J1121" s="4"/>
      <c r="K1121" s="4"/>
      <c r="L1121" s="4"/>
      <c r="M1121" s="4"/>
      <c r="N1121" s="4"/>
      <c r="O1121" s="4"/>
      <c r="P1121" s="4"/>
      <c r="Q1121" s="4"/>
      <c r="R1121" s="4"/>
      <c r="S1121" s="4"/>
      <c r="T1121" s="4"/>
      <c r="U1121" s="4"/>
      <c r="V1121" s="4"/>
      <c r="W1121" s="4"/>
      <c r="X1121" s="4"/>
      <c r="Y1121" s="4"/>
      <c r="Z1121" s="4"/>
    </row>
    <row r="1122" spans="1:26">
      <c r="A1122" s="5">
        <v>43466</v>
      </c>
      <c r="B1122" s="4" t="s">
        <v>20</v>
      </c>
      <c r="C1122" s="4" t="s">
        <v>18</v>
      </c>
      <c r="D1122" s="4" t="s">
        <v>11</v>
      </c>
      <c r="E1122" s="4" t="s">
        <v>12</v>
      </c>
      <c r="F1122" s="4">
        <v>2805949</v>
      </c>
      <c r="G1122" s="4">
        <v>16029</v>
      </c>
      <c r="H1122" s="4">
        <v>30889</v>
      </c>
      <c r="I1122" s="6">
        <v>9501.9921741014605</v>
      </c>
      <c r="J1122" s="4"/>
      <c r="K1122" s="4"/>
      <c r="L1122" s="4"/>
      <c r="M1122" s="4"/>
      <c r="N1122" s="4"/>
      <c r="O1122" s="4"/>
      <c r="P1122" s="4"/>
      <c r="Q1122" s="4"/>
      <c r="R1122" s="4"/>
      <c r="S1122" s="4"/>
      <c r="T1122" s="4"/>
      <c r="U1122" s="4"/>
      <c r="V1122" s="4"/>
      <c r="W1122" s="4"/>
      <c r="X1122" s="4"/>
      <c r="Y1122" s="4"/>
      <c r="Z1122" s="4"/>
    </row>
    <row r="1123" spans="1:26">
      <c r="A1123" s="5">
        <v>43466</v>
      </c>
      <c r="B1123" s="4" t="s">
        <v>20</v>
      </c>
      <c r="C1123" s="4" t="s">
        <v>18</v>
      </c>
      <c r="D1123" s="4" t="s">
        <v>11</v>
      </c>
      <c r="E1123" s="4" t="s">
        <v>13</v>
      </c>
      <c r="F1123" s="4">
        <v>1448</v>
      </c>
      <c r="G1123" s="4">
        <v>20</v>
      </c>
      <c r="H1123" s="4">
        <v>34</v>
      </c>
      <c r="I1123" s="6">
        <v>177.4324</v>
      </c>
      <c r="J1123" s="4"/>
      <c r="K1123" s="4"/>
      <c r="L1123" s="4"/>
      <c r="M1123" s="4"/>
      <c r="N1123" s="4"/>
      <c r="O1123" s="4"/>
      <c r="P1123" s="4"/>
      <c r="Q1123" s="4"/>
      <c r="R1123" s="4"/>
      <c r="S1123" s="4"/>
      <c r="T1123" s="4"/>
      <c r="U1123" s="4"/>
      <c r="V1123" s="4"/>
      <c r="W1123" s="4"/>
      <c r="X1123" s="4"/>
      <c r="Y1123" s="4"/>
      <c r="Z1123" s="4"/>
    </row>
    <row r="1124" spans="1:26">
      <c r="A1124" s="5">
        <v>43466</v>
      </c>
      <c r="B1124" s="4" t="s">
        <v>20</v>
      </c>
      <c r="C1124" s="4" t="s">
        <v>18</v>
      </c>
      <c r="D1124" s="4" t="s">
        <v>14</v>
      </c>
      <c r="E1124" s="4" t="s">
        <v>12</v>
      </c>
      <c r="F1124" s="4">
        <v>5315733</v>
      </c>
      <c r="G1124" s="4">
        <v>31630</v>
      </c>
      <c r="H1124" s="4">
        <v>59133</v>
      </c>
      <c r="I1124" s="6">
        <v>12068.696375972831</v>
      </c>
      <c r="J1124" s="4"/>
      <c r="K1124" s="4"/>
      <c r="L1124" s="4"/>
      <c r="M1124" s="4"/>
      <c r="N1124" s="4"/>
      <c r="O1124" s="4"/>
      <c r="P1124" s="4"/>
      <c r="Q1124" s="4"/>
      <c r="R1124" s="4"/>
      <c r="S1124" s="4"/>
      <c r="T1124" s="4"/>
      <c r="U1124" s="4"/>
      <c r="V1124" s="4"/>
      <c r="W1124" s="4"/>
      <c r="X1124" s="4"/>
      <c r="Y1124" s="4"/>
      <c r="Z1124" s="4"/>
    </row>
    <row r="1125" spans="1:26">
      <c r="A1125" s="5">
        <v>43466</v>
      </c>
      <c r="B1125" s="4" t="s">
        <v>20</v>
      </c>
      <c r="C1125" s="4" t="s">
        <v>18</v>
      </c>
      <c r="D1125" s="4" t="s">
        <v>14</v>
      </c>
      <c r="E1125" s="4" t="s">
        <v>13</v>
      </c>
      <c r="F1125" s="4">
        <v>2772</v>
      </c>
      <c r="G1125" s="4">
        <v>32</v>
      </c>
      <c r="H1125" s="4">
        <v>184</v>
      </c>
      <c r="I1125" s="6">
        <v>309.32530446280992</v>
      </c>
      <c r="J1125" s="4"/>
      <c r="K1125" s="4"/>
      <c r="L1125" s="4"/>
      <c r="M1125" s="4"/>
      <c r="N1125" s="4"/>
      <c r="O1125" s="4"/>
      <c r="P1125" s="4"/>
      <c r="Q1125" s="4"/>
      <c r="R1125" s="4"/>
      <c r="S1125" s="4"/>
      <c r="T1125" s="4"/>
      <c r="U1125" s="4"/>
      <c r="V1125" s="4"/>
      <c r="W1125" s="4"/>
      <c r="X1125" s="4"/>
      <c r="Y1125" s="4"/>
      <c r="Z1125" s="4"/>
    </row>
    <row r="1126" spans="1:26">
      <c r="A1126" s="5">
        <v>43466</v>
      </c>
      <c r="B1126" s="4" t="s">
        <v>20</v>
      </c>
      <c r="C1126" s="4" t="s">
        <v>18</v>
      </c>
      <c r="D1126" s="4" t="s">
        <v>15</v>
      </c>
      <c r="E1126" s="4" t="s">
        <v>12</v>
      </c>
      <c r="F1126" s="4">
        <v>1677916</v>
      </c>
      <c r="G1126" s="4">
        <v>10949</v>
      </c>
      <c r="H1126" s="4">
        <v>20553</v>
      </c>
      <c r="I1126" s="6">
        <v>3350.6601656559078</v>
      </c>
      <c r="J1126" s="4"/>
      <c r="K1126" s="4"/>
      <c r="L1126" s="4"/>
      <c r="M1126" s="4"/>
      <c r="N1126" s="4"/>
      <c r="O1126" s="4"/>
      <c r="P1126" s="4"/>
      <c r="Q1126" s="4"/>
      <c r="R1126" s="4"/>
      <c r="S1126" s="4"/>
      <c r="T1126" s="4"/>
      <c r="U1126" s="4"/>
      <c r="V1126" s="4"/>
      <c r="W1126" s="4"/>
      <c r="X1126" s="4"/>
      <c r="Y1126" s="4"/>
      <c r="Z1126" s="4"/>
    </row>
    <row r="1127" spans="1:26">
      <c r="A1127" s="5">
        <v>43466</v>
      </c>
      <c r="B1127" s="4" t="s">
        <v>20</v>
      </c>
      <c r="C1127" s="4" t="s">
        <v>18</v>
      </c>
      <c r="D1127" s="4" t="s">
        <v>15</v>
      </c>
      <c r="E1127" s="4" t="s">
        <v>13</v>
      </c>
      <c r="F1127" s="4">
        <v>582</v>
      </c>
      <c r="G1127" s="4">
        <v>4</v>
      </c>
      <c r="H1127" s="4">
        <v>12</v>
      </c>
      <c r="I1127" s="6">
        <v>87.097142857142856</v>
      </c>
      <c r="J1127" s="4"/>
      <c r="K1127" s="4"/>
      <c r="L1127" s="4"/>
      <c r="M1127" s="4"/>
      <c r="N1127" s="4"/>
      <c r="O1127" s="4"/>
      <c r="P1127" s="4"/>
      <c r="Q1127" s="4"/>
      <c r="R1127" s="4"/>
      <c r="S1127" s="4"/>
      <c r="T1127" s="4"/>
      <c r="U1127" s="4"/>
      <c r="V1127" s="4"/>
      <c r="W1127" s="4"/>
      <c r="X1127" s="4"/>
      <c r="Y1127" s="4"/>
      <c r="Z1127" s="4"/>
    </row>
    <row r="1128" spans="1:26">
      <c r="A1128" s="5">
        <v>43466</v>
      </c>
      <c r="B1128" s="4" t="s">
        <v>20</v>
      </c>
      <c r="C1128" s="4" t="s">
        <v>18</v>
      </c>
      <c r="D1128" s="4" t="s">
        <v>16</v>
      </c>
      <c r="E1128" s="4" t="s">
        <v>12</v>
      </c>
      <c r="F1128" s="4">
        <v>24676391</v>
      </c>
      <c r="G1128" s="4">
        <v>78295</v>
      </c>
      <c r="H1128" s="4">
        <v>145831</v>
      </c>
      <c r="I1128" s="6">
        <v>48119.527150874208</v>
      </c>
      <c r="J1128" s="4"/>
      <c r="K1128" s="4"/>
      <c r="L1128" s="4"/>
      <c r="M1128" s="4"/>
      <c r="N1128" s="4"/>
      <c r="O1128" s="4"/>
      <c r="P1128" s="4"/>
      <c r="Q1128" s="4"/>
      <c r="R1128" s="4"/>
      <c r="S1128" s="4"/>
      <c r="T1128" s="4"/>
      <c r="U1128" s="4"/>
      <c r="V1128" s="4"/>
      <c r="W1128" s="4"/>
      <c r="X1128" s="4"/>
      <c r="Y1128" s="4"/>
      <c r="Z1128" s="4"/>
    </row>
    <row r="1129" spans="1:26">
      <c r="A1129" s="5">
        <v>43466</v>
      </c>
      <c r="B1129" s="4" t="s">
        <v>20</v>
      </c>
      <c r="C1129" s="4" t="s">
        <v>18</v>
      </c>
      <c r="D1129" s="4" t="s">
        <v>16</v>
      </c>
      <c r="E1129" s="4" t="s">
        <v>13</v>
      </c>
      <c r="F1129" s="4">
        <v>30236</v>
      </c>
      <c r="G1129" s="4">
        <v>96</v>
      </c>
      <c r="H1129" s="4">
        <v>1047</v>
      </c>
      <c r="I1129" s="6">
        <v>1402.9558012326656</v>
      </c>
      <c r="J1129" s="4"/>
      <c r="K1129" s="4"/>
      <c r="L1129" s="4"/>
      <c r="M1129" s="4"/>
      <c r="N1129" s="4"/>
      <c r="O1129" s="4"/>
      <c r="P1129" s="4"/>
      <c r="Q1129" s="4"/>
      <c r="R1129" s="4"/>
      <c r="S1129" s="4"/>
      <c r="T1129" s="4"/>
      <c r="U1129" s="4"/>
      <c r="V1129" s="4"/>
      <c r="W1129" s="4"/>
      <c r="X1129" s="4"/>
      <c r="Y1129" s="4"/>
      <c r="Z1129" s="4"/>
    </row>
    <row r="1130" spans="1:26">
      <c r="A1130" s="5">
        <v>43466</v>
      </c>
      <c r="B1130" s="4" t="s">
        <v>20</v>
      </c>
      <c r="C1130" s="4" t="s">
        <v>18</v>
      </c>
      <c r="D1130" s="4" t="s">
        <v>17</v>
      </c>
      <c r="E1130" s="4" t="s">
        <v>12</v>
      </c>
      <c r="F1130" s="4">
        <v>4347746</v>
      </c>
      <c r="G1130" s="4">
        <v>26433</v>
      </c>
      <c r="H1130" s="4">
        <v>46434</v>
      </c>
      <c r="I1130" s="6">
        <v>15827.429181562635</v>
      </c>
      <c r="J1130" s="4"/>
      <c r="K1130" s="4"/>
      <c r="L1130" s="4"/>
      <c r="M1130" s="4"/>
      <c r="N1130" s="4"/>
      <c r="O1130" s="4"/>
      <c r="P1130" s="4"/>
      <c r="Q1130" s="4"/>
      <c r="R1130" s="4"/>
      <c r="S1130" s="4"/>
      <c r="T1130" s="4"/>
      <c r="U1130" s="4"/>
      <c r="V1130" s="4"/>
      <c r="W1130" s="4"/>
      <c r="X1130" s="4"/>
      <c r="Y1130" s="4"/>
      <c r="Z1130" s="4"/>
    </row>
    <row r="1131" spans="1:26">
      <c r="A1131" s="5">
        <v>43466</v>
      </c>
      <c r="B1131" s="4" t="s">
        <v>20</v>
      </c>
      <c r="C1131" s="4" t="s">
        <v>18</v>
      </c>
      <c r="D1131" s="4" t="s">
        <v>17</v>
      </c>
      <c r="E1131" s="4" t="s">
        <v>13</v>
      </c>
      <c r="F1131" s="4">
        <v>1754</v>
      </c>
      <c r="G1131" s="4">
        <v>24</v>
      </c>
      <c r="H1131" s="4">
        <v>133</v>
      </c>
      <c r="I1131" s="6">
        <v>83.088858695652178</v>
      </c>
      <c r="J1131" s="4"/>
      <c r="K1131" s="4"/>
      <c r="L1131" s="4"/>
      <c r="M1131" s="4"/>
      <c r="N1131" s="4"/>
      <c r="O1131" s="4"/>
      <c r="P1131" s="4"/>
      <c r="Q1131" s="4"/>
      <c r="R1131" s="4"/>
      <c r="S1131" s="4"/>
      <c r="T1131" s="4"/>
      <c r="U1131" s="4"/>
      <c r="V1131" s="4"/>
      <c r="W1131" s="4"/>
      <c r="X1131" s="4"/>
      <c r="Y1131" s="4"/>
      <c r="Z1131" s="4"/>
    </row>
    <row r="1132" spans="1:26">
      <c r="A1132" s="5">
        <v>43466</v>
      </c>
      <c r="B1132" s="4" t="s">
        <v>20</v>
      </c>
      <c r="C1132" s="4" t="s">
        <v>19</v>
      </c>
      <c r="D1132" s="4" t="s">
        <v>11</v>
      </c>
      <c r="E1132" s="4" t="s">
        <v>12</v>
      </c>
      <c r="F1132" s="4">
        <v>858408</v>
      </c>
      <c r="G1132" s="4">
        <v>2527</v>
      </c>
      <c r="H1132" s="4">
        <v>2718</v>
      </c>
      <c r="I1132" s="6">
        <v>9517.8028580208975</v>
      </c>
      <c r="J1132" s="4"/>
      <c r="K1132" s="4"/>
      <c r="L1132" s="4"/>
      <c r="M1132" s="4"/>
      <c r="N1132" s="4"/>
      <c r="O1132" s="4"/>
      <c r="P1132" s="4"/>
      <c r="Q1132" s="4"/>
      <c r="R1132" s="4"/>
      <c r="S1132" s="4"/>
      <c r="T1132" s="4"/>
      <c r="U1132" s="4"/>
      <c r="V1132" s="4"/>
      <c r="W1132" s="4"/>
      <c r="X1132" s="4"/>
      <c r="Y1132" s="4"/>
      <c r="Z1132" s="4"/>
    </row>
    <row r="1133" spans="1:26">
      <c r="A1133" s="5">
        <v>43466</v>
      </c>
      <c r="B1133" s="4" t="s">
        <v>20</v>
      </c>
      <c r="C1133" s="4" t="s">
        <v>19</v>
      </c>
      <c r="D1133" s="4" t="s">
        <v>11</v>
      </c>
      <c r="E1133" s="4" t="s">
        <v>13</v>
      </c>
      <c r="F1133" s="4">
        <v>1168</v>
      </c>
      <c r="G1133" s="4">
        <v>44</v>
      </c>
      <c r="H1133" s="4">
        <v>259</v>
      </c>
      <c r="I1133" s="6">
        <v>1219.9902083333334</v>
      </c>
      <c r="J1133" s="4"/>
      <c r="K1133" s="4"/>
      <c r="L1133" s="4"/>
      <c r="M1133" s="4"/>
      <c r="N1133" s="4"/>
      <c r="O1133" s="4"/>
      <c r="P1133" s="4"/>
      <c r="Q1133" s="4"/>
      <c r="R1133" s="4"/>
      <c r="S1133" s="4"/>
      <c r="T1133" s="4"/>
      <c r="U1133" s="4"/>
      <c r="V1133" s="4"/>
      <c r="W1133" s="4"/>
      <c r="X1133" s="4"/>
      <c r="Y1133" s="4"/>
      <c r="Z1133" s="4"/>
    </row>
    <row r="1134" spans="1:26">
      <c r="A1134" s="5">
        <v>43466</v>
      </c>
      <c r="B1134" s="4" t="s">
        <v>20</v>
      </c>
      <c r="C1134" s="4" t="s">
        <v>19</v>
      </c>
      <c r="D1134" s="4" t="s">
        <v>14</v>
      </c>
      <c r="E1134" s="4" t="s">
        <v>12</v>
      </c>
      <c r="F1134" s="4">
        <v>2019762</v>
      </c>
      <c r="G1134" s="4">
        <v>6495</v>
      </c>
      <c r="H1134" s="4">
        <v>6561</v>
      </c>
      <c r="I1134" s="6">
        <v>20164.594289537403</v>
      </c>
      <c r="J1134" s="4"/>
      <c r="K1134" s="4"/>
      <c r="L1134" s="4"/>
      <c r="M1134" s="4"/>
      <c r="N1134" s="4"/>
      <c r="O1134" s="4"/>
      <c r="P1134" s="4"/>
      <c r="Q1134" s="4"/>
      <c r="R1134" s="4"/>
      <c r="S1134" s="4"/>
      <c r="T1134" s="4"/>
      <c r="U1134" s="4"/>
      <c r="V1134" s="4"/>
      <c r="W1134" s="4"/>
      <c r="X1134" s="4"/>
      <c r="Y1134" s="4"/>
      <c r="Z1134" s="4"/>
    </row>
    <row r="1135" spans="1:26">
      <c r="A1135" s="5">
        <v>43466</v>
      </c>
      <c r="B1135" s="4" t="s">
        <v>20</v>
      </c>
      <c r="C1135" s="4" t="s">
        <v>19</v>
      </c>
      <c r="D1135" s="4" t="s">
        <v>14</v>
      </c>
      <c r="E1135" s="4" t="s">
        <v>13</v>
      </c>
      <c r="F1135" s="4">
        <v>3051</v>
      </c>
      <c r="G1135" s="4">
        <v>121</v>
      </c>
      <c r="H1135" s="4">
        <v>501</v>
      </c>
      <c r="I1135" s="6">
        <v>2366.8544855305463</v>
      </c>
      <c r="J1135" s="4"/>
      <c r="K1135" s="4"/>
      <c r="L1135" s="4"/>
      <c r="M1135" s="4"/>
      <c r="N1135" s="4"/>
      <c r="O1135" s="4"/>
      <c r="P1135" s="4"/>
      <c r="Q1135" s="4"/>
      <c r="R1135" s="4"/>
      <c r="S1135" s="4"/>
      <c r="T1135" s="4"/>
      <c r="U1135" s="4"/>
      <c r="V1135" s="4"/>
      <c r="W1135" s="4"/>
      <c r="X1135" s="4"/>
      <c r="Y1135" s="4"/>
      <c r="Z1135" s="4"/>
    </row>
    <row r="1136" spans="1:26">
      <c r="A1136" s="5">
        <v>43466</v>
      </c>
      <c r="B1136" s="4" t="s">
        <v>20</v>
      </c>
      <c r="C1136" s="4" t="s">
        <v>19</v>
      </c>
      <c r="D1136" s="4" t="s">
        <v>15</v>
      </c>
      <c r="E1136" s="4" t="s">
        <v>12</v>
      </c>
      <c r="F1136" s="4">
        <v>525097</v>
      </c>
      <c r="G1136" s="4">
        <v>1765</v>
      </c>
      <c r="H1136" s="4">
        <v>1788</v>
      </c>
      <c r="I1136" s="6">
        <v>6482.7425932835822</v>
      </c>
      <c r="J1136" s="4"/>
      <c r="K1136" s="4"/>
      <c r="L1136" s="4"/>
      <c r="M1136" s="4"/>
      <c r="N1136" s="4"/>
      <c r="O1136" s="4"/>
      <c r="P1136" s="4"/>
      <c r="Q1136" s="4"/>
      <c r="R1136" s="4"/>
      <c r="S1136" s="4"/>
      <c r="T1136" s="4"/>
      <c r="U1136" s="4"/>
      <c r="V1136" s="4"/>
      <c r="W1136" s="4"/>
      <c r="X1136" s="4"/>
      <c r="Y1136" s="4"/>
      <c r="Z1136" s="4"/>
    </row>
    <row r="1137" spans="1:26">
      <c r="A1137" s="5">
        <v>43466</v>
      </c>
      <c r="B1137" s="4" t="s">
        <v>20</v>
      </c>
      <c r="C1137" s="4" t="s">
        <v>19</v>
      </c>
      <c r="D1137" s="4" t="s">
        <v>15</v>
      </c>
      <c r="E1137" s="4" t="s">
        <v>13</v>
      </c>
      <c r="F1137" s="4">
        <v>530</v>
      </c>
      <c r="G1137" s="4">
        <v>19</v>
      </c>
      <c r="H1137" s="4">
        <v>193</v>
      </c>
      <c r="I1137" s="6">
        <v>266.09621052631582</v>
      </c>
      <c r="J1137" s="4"/>
      <c r="K1137" s="4"/>
      <c r="L1137" s="4"/>
      <c r="M1137" s="4"/>
      <c r="N1137" s="4"/>
      <c r="O1137" s="4"/>
      <c r="P1137" s="4"/>
      <c r="Q1137" s="4"/>
      <c r="R1137" s="4"/>
      <c r="S1137" s="4"/>
      <c r="T1137" s="4"/>
      <c r="U1137" s="4"/>
      <c r="V1137" s="4"/>
      <c r="W1137" s="4"/>
      <c r="X1137" s="4"/>
      <c r="Y1137" s="4"/>
      <c r="Z1137" s="4"/>
    </row>
    <row r="1138" spans="1:26">
      <c r="A1138" s="5">
        <v>43466</v>
      </c>
      <c r="B1138" s="4" t="s">
        <v>20</v>
      </c>
      <c r="C1138" s="4" t="s">
        <v>19</v>
      </c>
      <c r="D1138" s="4" t="s">
        <v>16</v>
      </c>
      <c r="E1138" s="4" t="s">
        <v>12</v>
      </c>
      <c r="F1138" s="4">
        <v>4715834</v>
      </c>
      <c r="G1138" s="4">
        <v>12719</v>
      </c>
      <c r="H1138" s="4">
        <v>13041</v>
      </c>
      <c r="I1138" s="6">
        <v>60550.796012572966</v>
      </c>
      <c r="J1138" s="4"/>
      <c r="K1138" s="4"/>
      <c r="L1138" s="4"/>
      <c r="M1138" s="4"/>
      <c r="N1138" s="4"/>
      <c r="O1138" s="4"/>
      <c r="P1138" s="4"/>
      <c r="Q1138" s="4"/>
      <c r="R1138" s="4"/>
      <c r="S1138" s="4"/>
      <c r="T1138" s="4"/>
      <c r="U1138" s="4"/>
      <c r="V1138" s="4"/>
      <c r="W1138" s="4"/>
      <c r="X1138" s="4"/>
      <c r="Y1138" s="4"/>
      <c r="Z1138" s="4"/>
    </row>
    <row r="1139" spans="1:26">
      <c r="A1139" s="5">
        <v>43466</v>
      </c>
      <c r="B1139" s="4" t="s">
        <v>20</v>
      </c>
      <c r="C1139" s="4" t="s">
        <v>19</v>
      </c>
      <c r="D1139" s="4" t="s">
        <v>16</v>
      </c>
      <c r="E1139" s="4" t="s">
        <v>13</v>
      </c>
      <c r="F1139" s="4">
        <v>4685</v>
      </c>
      <c r="G1139" s="4">
        <v>187</v>
      </c>
      <c r="H1139" s="4">
        <v>958</v>
      </c>
      <c r="I1139" s="6">
        <v>5787.2542343883651</v>
      </c>
      <c r="J1139" s="4"/>
      <c r="K1139" s="4"/>
      <c r="L1139" s="4"/>
      <c r="M1139" s="4"/>
      <c r="N1139" s="4"/>
      <c r="O1139" s="4"/>
      <c r="P1139" s="4"/>
      <c r="Q1139" s="4"/>
      <c r="R1139" s="4"/>
      <c r="S1139" s="4"/>
      <c r="T1139" s="4"/>
      <c r="U1139" s="4"/>
      <c r="V1139" s="4"/>
      <c r="W1139" s="4"/>
      <c r="X1139" s="4"/>
      <c r="Y1139" s="4"/>
      <c r="Z1139" s="4"/>
    </row>
    <row r="1140" spans="1:26">
      <c r="A1140" s="5">
        <v>43466</v>
      </c>
      <c r="B1140" s="4" t="s">
        <v>20</v>
      </c>
      <c r="C1140" s="4" t="s">
        <v>19</v>
      </c>
      <c r="D1140" s="4" t="s">
        <v>17</v>
      </c>
      <c r="E1140" s="4" t="s">
        <v>12</v>
      </c>
      <c r="F1140" s="4">
        <v>1441621</v>
      </c>
      <c r="G1140" s="4">
        <v>4512</v>
      </c>
      <c r="H1140" s="4">
        <v>4555</v>
      </c>
      <c r="I1140" s="6">
        <v>18028.245283538265</v>
      </c>
      <c r="J1140" s="4"/>
      <c r="K1140" s="4"/>
      <c r="L1140" s="4"/>
      <c r="M1140" s="4"/>
      <c r="N1140" s="4"/>
      <c r="O1140" s="4"/>
      <c r="P1140" s="4"/>
      <c r="Q1140" s="4"/>
      <c r="R1140" s="4"/>
      <c r="S1140" s="4"/>
      <c r="T1140" s="4"/>
      <c r="U1140" s="4"/>
      <c r="V1140" s="4"/>
      <c r="W1140" s="4"/>
      <c r="X1140" s="4"/>
      <c r="Y1140" s="4"/>
      <c r="Z1140" s="4"/>
    </row>
    <row r="1141" spans="1:26">
      <c r="A1141" s="5">
        <v>43466</v>
      </c>
      <c r="B1141" s="4" t="s">
        <v>20</v>
      </c>
      <c r="C1141" s="4" t="s">
        <v>19</v>
      </c>
      <c r="D1141" s="4" t="s">
        <v>17</v>
      </c>
      <c r="E1141" s="4" t="s">
        <v>13</v>
      </c>
      <c r="F1141" s="4">
        <v>1677</v>
      </c>
      <c r="G1141" s="4">
        <v>55</v>
      </c>
      <c r="H1141" s="4">
        <v>649</v>
      </c>
      <c r="I1141" s="6">
        <v>1412.2209058402862</v>
      </c>
      <c r="J1141" s="4"/>
      <c r="K1141" s="4"/>
      <c r="L1141" s="4"/>
      <c r="M1141" s="4"/>
      <c r="N1141" s="4"/>
      <c r="O1141" s="4"/>
      <c r="P1141" s="4"/>
      <c r="Q1141" s="4"/>
      <c r="R1141" s="4"/>
      <c r="S1141" s="4"/>
      <c r="T1141" s="4"/>
      <c r="U1141" s="4"/>
      <c r="V1141" s="4"/>
      <c r="W1141" s="4"/>
      <c r="X1141" s="4"/>
      <c r="Y1141" s="4"/>
      <c r="Z1141" s="4"/>
    </row>
    <row r="1142" spans="1:26">
      <c r="A1142" s="5">
        <v>43466</v>
      </c>
      <c r="B1142" s="4" t="s">
        <v>21</v>
      </c>
      <c r="C1142" s="4" t="s">
        <v>10</v>
      </c>
      <c r="D1142" s="4" t="s">
        <v>11</v>
      </c>
      <c r="E1142" s="4" t="s">
        <v>12</v>
      </c>
      <c r="F1142" s="4">
        <v>1503273</v>
      </c>
      <c r="G1142" s="4">
        <v>11941</v>
      </c>
      <c r="H1142" s="4">
        <v>14980</v>
      </c>
      <c r="I1142" s="6">
        <v>22290.801352619234</v>
      </c>
      <c r="J1142" s="4"/>
      <c r="K1142" s="4"/>
      <c r="L1142" s="4"/>
      <c r="M1142" s="4"/>
      <c r="N1142" s="4"/>
      <c r="O1142" s="4"/>
      <c r="P1142" s="4"/>
      <c r="Q1142" s="4"/>
      <c r="R1142" s="4"/>
      <c r="S1142" s="4"/>
      <c r="T1142" s="4"/>
      <c r="U1142" s="4"/>
      <c r="V1142" s="4"/>
      <c r="W1142" s="4"/>
      <c r="X1142" s="4"/>
      <c r="Y1142" s="4"/>
      <c r="Z1142" s="4"/>
    </row>
    <row r="1143" spans="1:26">
      <c r="A1143" s="5">
        <v>43466</v>
      </c>
      <c r="B1143" s="4" t="s">
        <v>21</v>
      </c>
      <c r="C1143" s="4" t="s">
        <v>10</v>
      </c>
      <c r="D1143" s="4" t="s">
        <v>11</v>
      </c>
      <c r="E1143" s="4" t="s">
        <v>13</v>
      </c>
      <c r="F1143" s="4">
        <v>18058</v>
      </c>
      <c r="G1143" s="4">
        <v>1038</v>
      </c>
      <c r="H1143" s="4">
        <v>17467</v>
      </c>
      <c r="I1143" s="6">
        <v>96574.270360179624</v>
      </c>
      <c r="J1143" s="4"/>
      <c r="K1143" s="4"/>
      <c r="L1143" s="4"/>
      <c r="M1143" s="4"/>
      <c r="N1143" s="4"/>
      <c r="O1143" s="4"/>
      <c r="P1143" s="4"/>
      <c r="Q1143" s="4"/>
      <c r="R1143" s="4"/>
      <c r="S1143" s="4"/>
      <c r="T1143" s="4"/>
      <c r="U1143" s="4"/>
      <c r="V1143" s="4"/>
      <c r="W1143" s="4"/>
      <c r="X1143" s="4"/>
      <c r="Y1143" s="4"/>
      <c r="Z1143" s="4"/>
    </row>
    <row r="1144" spans="1:26">
      <c r="A1144" s="5">
        <v>43466</v>
      </c>
      <c r="B1144" s="4" t="s">
        <v>21</v>
      </c>
      <c r="C1144" s="4" t="s">
        <v>10</v>
      </c>
      <c r="D1144" s="4" t="s">
        <v>14</v>
      </c>
      <c r="E1144" s="4" t="s">
        <v>12</v>
      </c>
      <c r="F1144" s="4">
        <v>2310274</v>
      </c>
      <c r="G1144" s="4">
        <v>13884</v>
      </c>
      <c r="H1144" s="4">
        <v>15822</v>
      </c>
      <c r="I1144" s="6">
        <v>33620.528546954316</v>
      </c>
      <c r="J1144" s="4"/>
      <c r="K1144" s="4"/>
      <c r="L1144" s="4"/>
      <c r="M1144" s="4"/>
      <c r="N1144" s="4"/>
      <c r="O1144" s="4"/>
      <c r="P1144" s="4"/>
      <c r="Q1144" s="4"/>
      <c r="R1144" s="4"/>
      <c r="S1144" s="4"/>
      <c r="T1144" s="4"/>
      <c r="U1144" s="4"/>
      <c r="V1144" s="4"/>
      <c r="W1144" s="4"/>
      <c r="X1144" s="4"/>
      <c r="Y1144" s="4"/>
      <c r="Z1144" s="4"/>
    </row>
    <row r="1145" spans="1:26">
      <c r="A1145" s="5">
        <v>43466</v>
      </c>
      <c r="B1145" s="4" t="s">
        <v>21</v>
      </c>
      <c r="C1145" s="4" t="s">
        <v>10</v>
      </c>
      <c r="D1145" s="4" t="s">
        <v>14</v>
      </c>
      <c r="E1145" s="4" t="s">
        <v>13</v>
      </c>
      <c r="F1145" s="4">
        <v>21854</v>
      </c>
      <c r="G1145" s="4">
        <v>1363</v>
      </c>
      <c r="H1145" s="4">
        <v>18733</v>
      </c>
      <c r="I1145" s="6">
        <v>114147.48102591504</v>
      </c>
      <c r="J1145" s="4"/>
      <c r="K1145" s="4"/>
      <c r="L1145" s="4"/>
      <c r="M1145" s="4"/>
      <c r="N1145" s="4"/>
      <c r="O1145" s="4"/>
      <c r="P1145" s="4"/>
      <c r="Q1145" s="4"/>
      <c r="R1145" s="4"/>
      <c r="S1145" s="4"/>
      <c r="T1145" s="4"/>
      <c r="U1145" s="4"/>
      <c r="V1145" s="4"/>
      <c r="W1145" s="4"/>
      <c r="X1145" s="4"/>
      <c r="Y1145" s="4"/>
      <c r="Z1145" s="4"/>
    </row>
    <row r="1146" spans="1:26">
      <c r="A1146" s="5">
        <v>43466</v>
      </c>
      <c r="B1146" s="4" t="s">
        <v>21</v>
      </c>
      <c r="C1146" s="4" t="s">
        <v>10</v>
      </c>
      <c r="D1146" s="4" t="s">
        <v>15</v>
      </c>
      <c r="E1146" s="4" t="s">
        <v>12</v>
      </c>
      <c r="F1146" s="4">
        <v>613601</v>
      </c>
      <c r="G1146" s="4">
        <v>3833</v>
      </c>
      <c r="H1146" s="4">
        <v>4499</v>
      </c>
      <c r="I1146" s="6">
        <v>8283.6938870308441</v>
      </c>
      <c r="J1146" s="4"/>
      <c r="K1146" s="4"/>
      <c r="L1146" s="4"/>
      <c r="M1146" s="4"/>
      <c r="N1146" s="4"/>
      <c r="O1146" s="4"/>
      <c r="P1146" s="4"/>
      <c r="Q1146" s="4"/>
      <c r="R1146" s="4"/>
      <c r="S1146" s="4"/>
      <c r="T1146" s="4"/>
      <c r="U1146" s="4"/>
      <c r="V1146" s="4"/>
      <c r="W1146" s="4"/>
      <c r="X1146" s="4"/>
      <c r="Y1146" s="4"/>
      <c r="Z1146" s="4"/>
    </row>
    <row r="1147" spans="1:26">
      <c r="A1147" s="5">
        <v>43466</v>
      </c>
      <c r="B1147" s="4" t="s">
        <v>21</v>
      </c>
      <c r="C1147" s="4" t="s">
        <v>10</v>
      </c>
      <c r="D1147" s="4" t="s">
        <v>15</v>
      </c>
      <c r="E1147" s="4" t="s">
        <v>13</v>
      </c>
      <c r="F1147" s="4">
        <v>5371</v>
      </c>
      <c r="G1147" s="4">
        <v>346</v>
      </c>
      <c r="H1147" s="4">
        <v>3766</v>
      </c>
      <c r="I1147" s="6">
        <v>27634.323407147556</v>
      </c>
      <c r="J1147" s="4"/>
      <c r="K1147" s="4"/>
      <c r="L1147" s="4"/>
      <c r="M1147" s="4"/>
      <c r="N1147" s="4"/>
      <c r="O1147" s="4"/>
      <c r="P1147" s="4"/>
      <c r="Q1147" s="4"/>
      <c r="R1147" s="4"/>
      <c r="S1147" s="4"/>
      <c r="T1147" s="4"/>
      <c r="U1147" s="4"/>
      <c r="V1147" s="4"/>
      <c r="W1147" s="4"/>
      <c r="X1147" s="4"/>
      <c r="Y1147" s="4"/>
      <c r="Z1147" s="4"/>
    </row>
    <row r="1148" spans="1:26">
      <c r="A1148" s="5">
        <v>43466</v>
      </c>
      <c r="B1148" s="4" t="s">
        <v>21</v>
      </c>
      <c r="C1148" s="4" t="s">
        <v>10</v>
      </c>
      <c r="D1148" s="4" t="s">
        <v>16</v>
      </c>
      <c r="E1148" s="4" t="s">
        <v>12</v>
      </c>
      <c r="F1148" s="4">
        <v>7824372</v>
      </c>
      <c r="G1148" s="4">
        <v>63258</v>
      </c>
      <c r="H1148" s="4">
        <v>70061</v>
      </c>
      <c r="I1148" s="6">
        <v>172055.85685179214</v>
      </c>
      <c r="J1148" s="4"/>
      <c r="K1148" s="4"/>
      <c r="L1148" s="4"/>
      <c r="M1148" s="4"/>
      <c r="N1148" s="4"/>
      <c r="O1148" s="4"/>
      <c r="P1148" s="4"/>
      <c r="Q1148" s="4"/>
      <c r="R1148" s="4"/>
      <c r="S1148" s="4"/>
      <c r="T1148" s="4"/>
      <c r="U1148" s="4"/>
      <c r="V1148" s="4"/>
      <c r="W1148" s="4"/>
      <c r="X1148" s="4"/>
      <c r="Y1148" s="4"/>
      <c r="Z1148" s="4"/>
    </row>
    <row r="1149" spans="1:26">
      <c r="A1149" s="5">
        <v>43466</v>
      </c>
      <c r="B1149" s="4" t="s">
        <v>21</v>
      </c>
      <c r="C1149" s="4" t="s">
        <v>10</v>
      </c>
      <c r="D1149" s="4" t="s">
        <v>16</v>
      </c>
      <c r="E1149" s="4" t="s">
        <v>13</v>
      </c>
      <c r="F1149" s="4">
        <v>96069</v>
      </c>
      <c r="G1149" s="4">
        <v>6680</v>
      </c>
      <c r="H1149" s="4">
        <v>96238</v>
      </c>
      <c r="I1149" s="6">
        <v>541225.33378083643</v>
      </c>
      <c r="J1149" s="4"/>
      <c r="K1149" s="4"/>
      <c r="L1149" s="4"/>
      <c r="M1149" s="4"/>
      <c r="N1149" s="4"/>
      <c r="O1149" s="4"/>
      <c r="P1149" s="4"/>
      <c r="Q1149" s="4"/>
      <c r="R1149" s="4"/>
      <c r="S1149" s="4"/>
      <c r="T1149" s="4"/>
      <c r="U1149" s="4"/>
      <c r="V1149" s="4"/>
      <c r="W1149" s="4"/>
      <c r="X1149" s="4"/>
      <c r="Y1149" s="4"/>
      <c r="Z1149" s="4"/>
    </row>
    <row r="1150" spans="1:26">
      <c r="A1150" s="5">
        <v>43466</v>
      </c>
      <c r="B1150" s="4" t="s">
        <v>21</v>
      </c>
      <c r="C1150" s="4" t="s">
        <v>10</v>
      </c>
      <c r="D1150" s="4" t="s">
        <v>17</v>
      </c>
      <c r="E1150" s="4" t="s">
        <v>12</v>
      </c>
      <c r="F1150" s="4">
        <v>2559333</v>
      </c>
      <c r="G1150" s="4">
        <v>26264</v>
      </c>
      <c r="H1150" s="4">
        <v>28674</v>
      </c>
      <c r="I1150" s="6">
        <v>70942.391177449012</v>
      </c>
      <c r="J1150" s="4"/>
      <c r="K1150" s="4"/>
      <c r="L1150" s="4"/>
      <c r="M1150" s="4"/>
      <c r="N1150" s="4"/>
      <c r="O1150" s="4"/>
      <c r="P1150" s="4"/>
      <c r="Q1150" s="4"/>
      <c r="R1150" s="4"/>
      <c r="S1150" s="4"/>
      <c r="T1150" s="4"/>
      <c r="U1150" s="4"/>
      <c r="V1150" s="4"/>
      <c r="W1150" s="4"/>
      <c r="X1150" s="4"/>
      <c r="Y1150" s="4"/>
      <c r="Z1150" s="4"/>
    </row>
    <row r="1151" spans="1:26">
      <c r="A1151" s="5">
        <v>43466</v>
      </c>
      <c r="B1151" s="4" t="s">
        <v>21</v>
      </c>
      <c r="C1151" s="4" t="s">
        <v>10</v>
      </c>
      <c r="D1151" s="4" t="s">
        <v>17</v>
      </c>
      <c r="E1151" s="4" t="s">
        <v>13</v>
      </c>
      <c r="F1151" s="4">
        <v>36707</v>
      </c>
      <c r="G1151" s="4">
        <v>2954</v>
      </c>
      <c r="H1151" s="4">
        <v>42701</v>
      </c>
      <c r="I1151" s="6">
        <v>233830.67600000001</v>
      </c>
      <c r="J1151" s="4"/>
      <c r="K1151" s="4"/>
      <c r="L1151" s="4"/>
      <c r="M1151" s="4"/>
      <c r="N1151" s="4"/>
      <c r="O1151" s="4"/>
      <c r="P1151" s="4"/>
      <c r="Q1151" s="4"/>
      <c r="R1151" s="4"/>
      <c r="S1151" s="4"/>
      <c r="T1151" s="4"/>
      <c r="U1151" s="4"/>
      <c r="V1151" s="4"/>
      <c r="W1151" s="4"/>
      <c r="X1151" s="4"/>
      <c r="Y1151" s="4"/>
      <c r="Z1151" s="4"/>
    </row>
    <row r="1152" spans="1:26">
      <c r="A1152" s="5">
        <v>43466</v>
      </c>
      <c r="B1152" s="4" t="s">
        <v>21</v>
      </c>
      <c r="C1152" s="4" t="s">
        <v>18</v>
      </c>
      <c r="D1152" s="4" t="s">
        <v>11</v>
      </c>
      <c r="E1152" s="4" t="s">
        <v>12</v>
      </c>
      <c r="F1152" s="4">
        <v>1757556</v>
      </c>
      <c r="G1152" s="4">
        <v>30896</v>
      </c>
      <c r="H1152" s="4">
        <v>134411</v>
      </c>
      <c r="I1152" s="6">
        <v>71629.669627720519</v>
      </c>
      <c r="J1152" s="4"/>
      <c r="K1152" s="4"/>
      <c r="L1152" s="4"/>
      <c r="M1152" s="4"/>
      <c r="N1152" s="4"/>
      <c r="O1152" s="4"/>
      <c r="P1152" s="4"/>
      <c r="Q1152" s="4"/>
      <c r="R1152" s="4"/>
      <c r="S1152" s="4"/>
      <c r="T1152" s="4"/>
      <c r="U1152" s="4"/>
      <c r="V1152" s="4"/>
      <c r="W1152" s="4"/>
      <c r="X1152" s="4"/>
      <c r="Y1152" s="4"/>
      <c r="Z1152" s="4"/>
    </row>
    <row r="1153" spans="1:26">
      <c r="A1153" s="5">
        <v>43466</v>
      </c>
      <c r="B1153" s="4" t="s">
        <v>21</v>
      </c>
      <c r="C1153" s="4" t="s">
        <v>18</v>
      </c>
      <c r="D1153" s="4" t="s">
        <v>11</v>
      </c>
      <c r="E1153" s="4" t="s">
        <v>13</v>
      </c>
      <c r="F1153" s="4">
        <v>12403</v>
      </c>
      <c r="G1153" s="4">
        <v>359</v>
      </c>
      <c r="H1153" s="4">
        <v>15915</v>
      </c>
      <c r="I1153" s="6">
        <v>12581.245470609636</v>
      </c>
      <c r="J1153" s="4"/>
      <c r="K1153" s="4"/>
      <c r="L1153" s="4"/>
      <c r="M1153" s="4"/>
      <c r="N1153" s="4"/>
      <c r="O1153" s="4"/>
      <c r="P1153" s="4"/>
      <c r="Q1153" s="4"/>
      <c r="R1153" s="4"/>
      <c r="S1153" s="4"/>
      <c r="T1153" s="4"/>
      <c r="U1153" s="4"/>
      <c r="V1153" s="4"/>
      <c r="W1153" s="4"/>
      <c r="X1153" s="4"/>
      <c r="Y1153" s="4"/>
      <c r="Z1153" s="4"/>
    </row>
    <row r="1154" spans="1:26">
      <c r="A1154" s="5">
        <v>43466</v>
      </c>
      <c r="B1154" s="4" t="s">
        <v>21</v>
      </c>
      <c r="C1154" s="4" t="s">
        <v>18</v>
      </c>
      <c r="D1154" s="4" t="s">
        <v>14</v>
      </c>
      <c r="E1154" s="4" t="s">
        <v>12</v>
      </c>
      <c r="F1154" s="4">
        <v>2758688</v>
      </c>
      <c r="G1154" s="4">
        <v>44035</v>
      </c>
      <c r="H1154" s="4">
        <v>164913</v>
      </c>
      <c r="I1154" s="6">
        <v>79082.495644779119</v>
      </c>
      <c r="J1154" s="4"/>
      <c r="K1154" s="4"/>
      <c r="L1154" s="4"/>
      <c r="M1154" s="4"/>
      <c r="N1154" s="4"/>
      <c r="O1154" s="4"/>
      <c r="P1154" s="4"/>
      <c r="Q1154" s="4"/>
      <c r="R1154" s="4"/>
      <c r="S1154" s="4"/>
      <c r="T1154" s="4"/>
      <c r="U1154" s="4"/>
      <c r="V1154" s="4"/>
      <c r="W1154" s="4"/>
      <c r="X1154" s="4"/>
      <c r="Y1154" s="4"/>
      <c r="Z1154" s="4"/>
    </row>
    <row r="1155" spans="1:26">
      <c r="A1155" s="5">
        <v>43466</v>
      </c>
      <c r="B1155" s="4" t="s">
        <v>21</v>
      </c>
      <c r="C1155" s="4" t="s">
        <v>18</v>
      </c>
      <c r="D1155" s="4" t="s">
        <v>14</v>
      </c>
      <c r="E1155" s="4" t="s">
        <v>13</v>
      </c>
      <c r="F1155" s="4">
        <v>16123</v>
      </c>
      <c r="G1155" s="4">
        <v>408</v>
      </c>
      <c r="H1155" s="4">
        <v>9801</v>
      </c>
      <c r="I1155" s="6">
        <v>12355.727664974618</v>
      </c>
      <c r="J1155" s="4"/>
      <c r="K1155" s="4"/>
      <c r="L1155" s="4"/>
      <c r="M1155" s="4"/>
      <c r="N1155" s="4"/>
      <c r="O1155" s="4"/>
      <c r="P1155" s="4"/>
      <c r="Q1155" s="4"/>
      <c r="R1155" s="4"/>
      <c r="S1155" s="4"/>
      <c r="T1155" s="4"/>
      <c r="U1155" s="4"/>
      <c r="V1155" s="4"/>
      <c r="W1155" s="4"/>
      <c r="X1155" s="4"/>
      <c r="Y1155" s="4"/>
      <c r="Z1155" s="4"/>
    </row>
    <row r="1156" spans="1:26">
      <c r="A1156" s="5">
        <v>43466</v>
      </c>
      <c r="B1156" s="4" t="s">
        <v>21</v>
      </c>
      <c r="C1156" s="4" t="s">
        <v>18</v>
      </c>
      <c r="D1156" s="4" t="s">
        <v>15</v>
      </c>
      <c r="E1156" s="4" t="s">
        <v>12</v>
      </c>
      <c r="F1156" s="4">
        <v>952900</v>
      </c>
      <c r="G1156" s="4">
        <v>13811</v>
      </c>
      <c r="H1156" s="4">
        <v>65978</v>
      </c>
      <c r="I1156" s="6">
        <v>21023.655836027741</v>
      </c>
      <c r="J1156" s="4"/>
      <c r="K1156" s="4"/>
      <c r="L1156" s="4"/>
      <c r="M1156" s="4"/>
      <c r="N1156" s="4"/>
      <c r="O1156" s="4"/>
      <c r="P1156" s="4"/>
      <c r="Q1156" s="4"/>
      <c r="R1156" s="4"/>
      <c r="S1156" s="4"/>
      <c r="T1156" s="4"/>
      <c r="U1156" s="4"/>
      <c r="V1156" s="4"/>
      <c r="W1156" s="4"/>
      <c r="X1156" s="4"/>
      <c r="Y1156" s="4"/>
      <c r="Z1156" s="4"/>
    </row>
    <row r="1157" spans="1:26">
      <c r="A1157" s="5">
        <v>43466</v>
      </c>
      <c r="B1157" s="4" t="s">
        <v>21</v>
      </c>
      <c r="C1157" s="4" t="s">
        <v>18</v>
      </c>
      <c r="D1157" s="4" t="s">
        <v>15</v>
      </c>
      <c r="E1157" s="4" t="s">
        <v>13</v>
      </c>
      <c r="F1157" s="4">
        <v>4937</v>
      </c>
      <c r="G1157" s="4">
        <v>152</v>
      </c>
      <c r="H1157" s="4">
        <v>3960</v>
      </c>
      <c r="I1157" s="6">
        <v>2162.0807676602694</v>
      </c>
      <c r="J1157" s="4"/>
      <c r="K1157" s="4"/>
      <c r="L1157" s="4"/>
      <c r="M1157" s="4"/>
      <c r="N1157" s="4"/>
      <c r="O1157" s="4"/>
      <c r="P1157" s="4"/>
      <c r="Q1157" s="4"/>
      <c r="R1157" s="4"/>
      <c r="S1157" s="4"/>
      <c r="T1157" s="4"/>
      <c r="U1157" s="4"/>
      <c r="V1157" s="4"/>
      <c r="W1157" s="4"/>
      <c r="X1157" s="4"/>
      <c r="Y1157" s="4"/>
      <c r="Z1157" s="4"/>
    </row>
    <row r="1158" spans="1:26">
      <c r="A1158" s="5">
        <v>43466</v>
      </c>
      <c r="B1158" s="4" t="s">
        <v>21</v>
      </c>
      <c r="C1158" s="4" t="s">
        <v>18</v>
      </c>
      <c r="D1158" s="4" t="s">
        <v>16</v>
      </c>
      <c r="E1158" s="4" t="s">
        <v>12</v>
      </c>
      <c r="F1158" s="4">
        <v>24163239</v>
      </c>
      <c r="G1158" s="4">
        <v>134438</v>
      </c>
      <c r="H1158" s="4">
        <v>480546</v>
      </c>
      <c r="I1158" s="6">
        <v>304365.13069440384</v>
      </c>
      <c r="J1158" s="4"/>
      <c r="K1158" s="4"/>
      <c r="L1158" s="4"/>
      <c r="M1158" s="4"/>
      <c r="N1158" s="4"/>
      <c r="O1158" s="4"/>
      <c r="P1158" s="4"/>
      <c r="Q1158" s="4"/>
      <c r="R1158" s="4"/>
      <c r="S1158" s="4"/>
      <c r="T1158" s="4"/>
      <c r="U1158" s="4"/>
      <c r="V1158" s="4"/>
      <c r="W1158" s="4"/>
      <c r="X1158" s="4"/>
      <c r="Y1158" s="4"/>
      <c r="Z1158" s="4"/>
    </row>
    <row r="1159" spans="1:26">
      <c r="A1159" s="5">
        <v>43466</v>
      </c>
      <c r="B1159" s="4" t="s">
        <v>21</v>
      </c>
      <c r="C1159" s="4" t="s">
        <v>18</v>
      </c>
      <c r="D1159" s="4" t="s">
        <v>16</v>
      </c>
      <c r="E1159" s="4" t="s">
        <v>13</v>
      </c>
      <c r="F1159" s="4">
        <v>636379</v>
      </c>
      <c r="G1159" s="4">
        <v>1418</v>
      </c>
      <c r="H1159" s="4">
        <v>49678</v>
      </c>
      <c r="I1159" s="6">
        <v>36817.905736257089</v>
      </c>
      <c r="J1159" s="4"/>
      <c r="K1159" s="4"/>
      <c r="L1159" s="4"/>
      <c r="M1159" s="4"/>
      <c r="N1159" s="4"/>
      <c r="O1159" s="4"/>
      <c r="P1159" s="4"/>
      <c r="Q1159" s="4"/>
      <c r="R1159" s="4"/>
      <c r="S1159" s="4"/>
      <c r="T1159" s="4"/>
      <c r="U1159" s="4"/>
      <c r="V1159" s="4"/>
      <c r="W1159" s="4"/>
      <c r="X1159" s="4"/>
      <c r="Y1159" s="4"/>
      <c r="Z1159" s="4"/>
    </row>
    <row r="1160" spans="1:26">
      <c r="A1160" s="5">
        <v>43466</v>
      </c>
      <c r="B1160" s="4" t="s">
        <v>21</v>
      </c>
      <c r="C1160" s="4" t="s">
        <v>18</v>
      </c>
      <c r="D1160" s="4" t="s">
        <v>17</v>
      </c>
      <c r="E1160" s="4" t="s">
        <v>12</v>
      </c>
      <c r="F1160" s="4">
        <v>3207334</v>
      </c>
      <c r="G1160" s="4">
        <v>49078</v>
      </c>
      <c r="H1160" s="4">
        <v>161788</v>
      </c>
      <c r="I1160" s="6">
        <v>115400.12944415997</v>
      </c>
      <c r="J1160" s="4"/>
      <c r="K1160" s="4"/>
      <c r="L1160" s="4"/>
      <c r="M1160" s="4"/>
      <c r="N1160" s="4"/>
      <c r="O1160" s="4"/>
      <c r="P1160" s="4"/>
      <c r="Q1160" s="4"/>
      <c r="R1160" s="4"/>
      <c r="S1160" s="4"/>
      <c r="T1160" s="4"/>
      <c r="U1160" s="4"/>
      <c r="V1160" s="4"/>
      <c r="W1160" s="4"/>
      <c r="X1160" s="4"/>
      <c r="Y1160" s="4"/>
      <c r="Z1160" s="4"/>
    </row>
    <row r="1161" spans="1:26">
      <c r="A1161" s="5">
        <v>43466</v>
      </c>
      <c r="B1161" s="4" t="s">
        <v>21</v>
      </c>
      <c r="C1161" s="4" t="s">
        <v>18</v>
      </c>
      <c r="D1161" s="4" t="s">
        <v>17</v>
      </c>
      <c r="E1161" s="4" t="s">
        <v>13</v>
      </c>
      <c r="F1161" s="4">
        <v>29040</v>
      </c>
      <c r="G1161" s="4">
        <v>684</v>
      </c>
      <c r="H1161" s="4">
        <v>25703</v>
      </c>
      <c r="I1161" s="6">
        <v>20647.466453753765</v>
      </c>
      <c r="J1161" s="4"/>
      <c r="K1161" s="4"/>
      <c r="L1161" s="4"/>
      <c r="M1161" s="4"/>
      <c r="N1161" s="4"/>
      <c r="O1161" s="4"/>
      <c r="P1161" s="4"/>
      <c r="Q1161" s="4"/>
      <c r="R1161" s="4"/>
      <c r="S1161" s="4"/>
      <c r="T1161" s="4"/>
      <c r="U1161" s="4"/>
      <c r="V1161" s="4"/>
      <c r="W1161" s="4"/>
      <c r="X1161" s="4"/>
      <c r="Y1161" s="4"/>
      <c r="Z1161" s="4"/>
    </row>
    <row r="1162" spans="1:26">
      <c r="A1162" s="5">
        <v>43466</v>
      </c>
      <c r="B1162" s="4" t="s">
        <v>21</v>
      </c>
      <c r="C1162" s="4" t="s">
        <v>19</v>
      </c>
      <c r="D1162" s="4" t="s">
        <v>11</v>
      </c>
      <c r="E1162" s="4" t="s">
        <v>12</v>
      </c>
      <c r="F1162" s="4">
        <v>608073</v>
      </c>
      <c r="G1162" s="4">
        <v>8340</v>
      </c>
      <c r="H1162" s="4">
        <v>8641</v>
      </c>
      <c r="I1162" s="6">
        <v>91584.363275261319</v>
      </c>
      <c r="J1162" s="4"/>
      <c r="K1162" s="4"/>
      <c r="L1162" s="4"/>
      <c r="M1162" s="4"/>
      <c r="N1162" s="4"/>
      <c r="O1162" s="4"/>
      <c r="P1162" s="4"/>
      <c r="Q1162" s="4"/>
      <c r="R1162" s="4"/>
      <c r="S1162" s="4"/>
      <c r="T1162" s="4"/>
      <c r="U1162" s="4"/>
      <c r="V1162" s="4"/>
      <c r="W1162" s="4"/>
      <c r="X1162" s="4"/>
      <c r="Y1162" s="4"/>
      <c r="Z1162" s="4"/>
    </row>
    <row r="1163" spans="1:26">
      <c r="A1163" s="5">
        <v>43466</v>
      </c>
      <c r="B1163" s="4" t="s">
        <v>21</v>
      </c>
      <c r="C1163" s="4" t="s">
        <v>19</v>
      </c>
      <c r="D1163" s="4" t="s">
        <v>11</v>
      </c>
      <c r="E1163" s="4" t="s">
        <v>13</v>
      </c>
      <c r="F1163" s="4">
        <v>15918</v>
      </c>
      <c r="G1163" s="4">
        <v>1345</v>
      </c>
      <c r="H1163" s="4">
        <v>39577</v>
      </c>
      <c r="I1163" s="6">
        <v>22578.73940823038</v>
      </c>
      <c r="J1163" s="4"/>
      <c r="K1163" s="4"/>
      <c r="L1163" s="4"/>
      <c r="M1163" s="4"/>
      <c r="N1163" s="4"/>
      <c r="O1163" s="4"/>
      <c r="P1163" s="4"/>
      <c r="Q1163" s="4"/>
      <c r="R1163" s="4"/>
      <c r="S1163" s="4"/>
      <c r="T1163" s="4"/>
      <c r="U1163" s="4"/>
      <c r="V1163" s="4"/>
      <c r="W1163" s="4"/>
      <c r="X1163" s="4"/>
      <c r="Y1163" s="4"/>
      <c r="Z1163" s="4"/>
    </row>
    <row r="1164" spans="1:26">
      <c r="A1164" s="5">
        <v>43466</v>
      </c>
      <c r="B1164" s="4" t="s">
        <v>21</v>
      </c>
      <c r="C1164" s="4" t="s">
        <v>19</v>
      </c>
      <c r="D1164" s="4" t="s">
        <v>14</v>
      </c>
      <c r="E1164" s="4" t="s">
        <v>12</v>
      </c>
      <c r="F1164" s="4">
        <v>1092691</v>
      </c>
      <c r="G1164" s="4">
        <v>16644</v>
      </c>
      <c r="H1164" s="4">
        <v>17935</v>
      </c>
      <c r="I1164" s="6">
        <v>166764.28213902496</v>
      </c>
      <c r="J1164" s="4"/>
      <c r="K1164" s="4"/>
      <c r="L1164" s="4"/>
      <c r="M1164" s="4"/>
      <c r="N1164" s="4"/>
      <c r="O1164" s="4"/>
      <c r="P1164" s="4"/>
      <c r="Q1164" s="4"/>
      <c r="R1164" s="4"/>
      <c r="S1164" s="4"/>
      <c r="T1164" s="4"/>
      <c r="U1164" s="4"/>
      <c r="V1164" s="4"/>
      <c r="W1164" s="4"/>
      <c r="X1164" s="4"/>
      <c r="Y1164" s="4"/>
      <c r="Z1164" s="4"/>
    </row>
    <row r="1165" spans="1:26">
      <c r="A1165" s="5">
        <v>43466</v>
      </c>
      <c r="B1165" s="4" t="s">
        <v>21</v>
      </c>
      <c r="C1165" s="4" t="s">
        <v>19</v>
      </c>
      <c r="D1165" s="4" t="s">
        <v>14</v>
      </c>
      <c r="E1165" s="4" t="s">
        <v>13</v>
      </c>
      <c r="F1165" s="4">
        <v>31103</v>
      </c>
      <c r="G1165" s="4">
        <v>2572</v>
      </c>
      <c r="H1165" s="4">
        <v>121011</v>
      </c>
      <c r="I1165" s="6">
        <v>37916.702061098731</v>
      </c>
      <c r="J1165" s="4"/>
      <c r="K1165" s="4"/>
      <c r="L1165" s="4"/>
      <c r="M1165" s="4"/>
      <c r="N1165" s="4"/>
      <c r="O1165" s="4"/>
      <c r="P1165" s="4"/>
      <c r="Q1165" s="4"/>
      <c r="R1165" s="4"/>
      <c r="S1165" s="4"/>
      <c r="T1165" s="4"/>
      <c r="U1165" s="4"/>
      <c r="V1165" s="4"/>
      <c r="W1165" s="4"/>
      <c r="X1165" s="4"/>
      <c r="Y1165" s="4"/>
      <c r="Z1165" s="4"/>
    </row>
    <row r="1166" spans="1:26">
      <c r="A1166" s="5">
        <v>43466</v>
      </c>
      <c r="B1166" s="4" t="s">
        <v>21</v>
      </c>
      <c r="C1166" s="4" t="s">
        <v>19</v>
      </c>
      <c r="D1166" s="4" t="s">
        <v>15</v>
      </c>
      <c r="E1166" s="4" t="s">
        <v>12</v>
      </c>
      <c r="F1166" s="4">
        <v>331116</v>
      </c>
      <c r="G1166" s="4">
        <v>4505</v>
      </c>
      <c r="H1166" s="4">
        <v>4850</v>
      </c>
      <c r="I1166" s="6">
        <v>45863.891206896558</v>
      </c>
      <c r="J1166" s="4"/>
      <c r="K1166" s="4"/>
      <c r="L1166" s="4"/>
      <c r="M1166" s="4"/>
      <c r="N1166" s="4"/>
      <c r="O1166" s="4"/>
      <c r="P1166" s="4"/>
      <c r="Q1166" s="4"/>
      <c r="R1166" s="4"/>
      <c r="S1166" s="4"/>
      <c r="T1166" s="4"/>
      <c r="U1166" s="4"/>
      <c r="V1166" s="4"/>
      <c r="W1166" s="4"/>
      <c r="X1166" s="4"/>
      <c r="Y1166" s="4"/>
      <c r="Z1166" s="4"/>
    </row>
    <row r="1167" spans="1:26">
      <c r="A1167" s="5">
        <v>43466</v>
      </c>
      <c r="B1167" s="4" t="s">
        <v>21</v>
      </c>
      <c r="C1167" s="4" t="s">
        <v>19</v>
      </c>
      <c r="D1167" s="4" t="s">
        <v>15</v>
      </c>
      <c r="E1167" s="4" t="s">
        <v>13</v>
      </c>
      <c r="F1167" s="4">
        <v>8861</v>
      </c>
      <c r="G1167" s="4">
        <v>712</v>
      </c>
      <c r="H1167" s="4">
        <v>32230</v>
      </c>
      <c r="I1167" s="6">
        <v>10524.722155332782</v>
      </c>
      <c r="J1167" s="4"/>
      <c r="K1167" s="4"/>
      <c r="L1167" s="4"/>
      <c r="M1167" s="4"/>
      <c r="N1167" s="4"/>
      <c r="O1167" s="4"/>
      <c r="P1167" s="4"/>
      <c r="Q1167" s="4"/>
      <c r="R1167" s="4"/>
      <c r="S1167" s="4"/>
      <c r="T1167" s="4"/>
      <c r="U1167" s="4"/>
      <c r="V1167" s="4"/>
      <c r="W1167" s="4"/>
      <c r="X1167" s="4"/>
      <c r="Y1167" s="4"/>
      <c r="Z1167" s="4"/>
    </row>
    <row r="1168" spans="1:26">
      <c r="A1168" s="5">
        <v>43466</v>
      </c>
      <c r="B1168" s="4" t="s">
        <v>21</v>
      </c>
      <c r="C1168" s="4" t="s">
        <v>19</v>
      </c>
      <c r="D1168" s="4" t="s">
        <v>16</v>
      </c>
      <c r="E1168" s="4" t="s">
        <v>12</v>
      </c>
      <c r="F1168" s="4">
        <v>3077759</v>
      </c>
      <c r="G1168" s="4">
        <v>44155</v>
      </c>
      <c r="H1168" s="4">
        <v>45025</v>
      </c>
      <c r="I1168" s="6">
        <v>502165.47591945581</v>
      </c>
      <c r="J1168" s="4"/>
      <c r="K1168" s="4"/>
      <c r="L1168" s="4"/>
      <c r="M1168" s="4"/>
      <c r="N1168" s="4"/>
      <c r="O1168" s="4"/>
      <c r="P1168" s="4"/>
      <c r="Q1168" s="4"/>
      <c r="R1168" s="4"/>
      <c r="S1168" s="4"/>
      <c r="T1168" s="4"/>
      <c r="U1168" s="4"/>
      <c r="V1168" s="4"/>
      <c r="W1168" s="4"/>
      <c r="X1168" s="4"/>
      <c r="Y1168" s="4"/>
      <c r="Z1168" s="4"/>
    </row>
    <row r="1169" spans="1:26">
      <c r="A1169" s="5">
        <v>43466</v>
      </c>
      <c r="B1169" s="4" t="s">
        <v>21</v>
      </c>
      <c r="C1169" s="4" t="s">
        <v>19</v>
      </c>
      <c r="D1169" s="4" t="s">
        <v>16</v>
      </c>
      <c r="E1169" s="4" t="s">
        <v>13</v>
      </c>
      <c r="F1169" s="4">
        <v>79813</v>
      </c>
      <c r="G1169" s="4">
        <v>6678</v>
      </c>
      <c r="H1169" s="4">
        <v>442499</v>
      </c>
      <c r="I1169" s="6">
        <v>102157.10272945797</v>
      </c>
      <c r="J1169" s="4"/>
      <c r="K1169" s="4"/>
      <c r="L1169" s="4"/>
      <c r="M1169" s="4"/>
      <c r="N1169" s="4"/>
      <c r="O1169" s="4"/>
      <c r="P1169" s="4"/>
      <c r="Q1169" s="4"/>
      <c r="R1169" s="4"/>
      <c r="S1169" s="4"/>
      <c r="T1169" s="4"/>
      <c r="U1169" s="4"/>
      <c r="V1169" s="4"/>
      <c r="W1169" s="4"/>
      <c r="X1169" s="4"/>
      <c r="Y1169" s="4"/>
      <c r="Z1169" s="4"/>
    </row>
    <row r="1170" spans="1:26">
      <c r="A1170" s="5">
        <v>43466</v>
      </c>
      <c r="B1170" s="4" t="s">
        <v>21</v>
      </c>
      <c r="C1170" s="4" t="s">
        <v>19</v>
      </c>
      <c r="D1170" s="4" t="s">
        <v>17</v>
      </c>
      <c r="E1170" s="4" t="s">
        <v>12</v>
      </c>
      <c r="F1170" s="4">
        <v>1050806</v>
      </c>
      <c r="G1170" s="4">
        <v>16593</v>
      </c>
      <c r="H1170" s="4">
        <v>18309</v>
      </c>
      <c r="I1170" s="6">
        <v>171444.0737936392</v>
      </c>
      <c r="J1170" s="4"/>
      <c r="K1170" s="4"/>
      <c r="L1170" s="4"/>
      <c r="M1170" s="4"/>
      <c r="N1170" s="4"/>
      <c r="O1170" s="4"/>
      <c r="P1170" s="4"/>
      <c r="Q1170" s="4"/>
      <c r="R1170" s="4"/>
      <c r="S1170" s="4"/>
      <c r="T1170" s="4"/>
      <c r="U1170" s="4"/>
      <c r="V1170" s="4"/>
      <c r="W1170" s="4"/>
      <c r="X1170" s="4"/>
      <c r="Y1170" s="4"/>
      <c r="Z1170" s="4"/>
    </row>
    <row r="1171" spans="1:26">
      <c r="A1171" s="5">
        <v>43466</v>
      </c>
      <c r="B1171" s="4" t="s">
        <v>21</v>
      </c>
      <c r="C1171" s="4" t="s">
        <v>19</v>
      </c>
      <c r="D1171" s="4" t="s">
        <v>17</v>
      </c>
      <c r="E1171" s="4" t="s">
        <v>13</v>
      </c>
      <c r="F1171" s="4">
        <v>27587</v>
      </c>
      <c r="G1171" s="4">
        <v>2365</v>
      </c>
      <c r="H1171" s="4">
        <v>100831</v>
      </c>
      <c r="I1171" s="6">
        <v>41501.43231915986</v>
      </c>
      <c r="J1171" s="4"/>
      <c r="K1171" s="4"/>
      <c r="L1171" s="4"/>
      <c r="M1171" s="4"/>
      <c r="N1171" s="4"/>
      <c r="O1171" s="4"/>
      <c r="P1171" s="4"/>
      <c r="Q1171" s="4"/>
      <c r="R1171" s="4"/>
      <c r="S1171" s="4"/>
      <c r="T1171" s="4"/>
      <c r="U1171" s="4"/>
      <c r="V1171" s="4"/>
      <c r="W1171" s="4"/>
      <c r="X1171" s="4"/>
      <c r="Y1171" s="4"/>
      <c r="Z1171" s="4"/>
    </row>
    <row r="1172" spans="1:26">
      <c r="A1172" s="5">
        <v>43497</v>
      </c>
      <c r="B1172" s="4" t="s">
        <v>9</v>
      </c>
      <c r="C1172" s="4" t="s">
        <v>10</v>
      </c>
      <c r="D1172" s="4" t="s">
        <v>11</v>
      </c>
      <c r="E1172" s="4" t="s">
        <v>12</v>
      </c>
      <c r="F1172" s="4">
        <v>1290681</v>
      </c>
      <c r="G1172" s="4">
        <v>57518</v>
      </c>
      <c r="H1172" s="4">
        <v>68316</v>
      </c>
      <c r="I1172" s="6">
        <v>51300.407449182298</v>
      </c>
      <c r="J1172" s="4"/>
      <c r="K1172" s="4"/>
      <c r="L1172" s="4"/>
      <c r="M1172" s="4"/>
      <c r="N1172" s="4"/>
      <c r="O1172" s="4"/>
      <c r="P1172" s="4"/>
      <c r="Q1172" s="4"/>
      <c r="R1172" s="4"/>
      <c r="S1172" s="4"/>
      <c r="T1172" s="4"/>
      <c r="U1172" s="4"/>
      <c r="V1172" s="4"/>
      <c r="W1172" s="4"/>
      <c r="X1172" s="4"/>
      <c r="Y1172" s="4"/>
      <c r="Z1172" s="4"/>
    </row>
    <row r="1173" spans="1:26">
      <c r="A1173" s="5">
        <v>43497</v>
      </c>
      <c r="B1173" s="4" t="s">
        <v>9</v>
      </c>
      <c r="C1173" s="4" t="s">
        <v>10</v>
      </c>
      <c r="D1173" s="4" t="s">
        <v>11</v>
      </c>
      <c r="E1173" s="4" t="s">
        <v>13</v>
      </c>
      <c r="F1173" s="4">
        <v>7688</v>
      </c>
      <c r="G1173" s="4">
        <v>1274</v>
      </c>
      <c r="H1173" s="4">
        <v>7512</v>
      </c>
      <c r="I1173" s="6">
        <v>260809.28297438222</v>
      </c>
      <c r="J1173" s="4"/>
      <c r="K1173" s="4"/>
      <c r="L1173" s="4"/>
      <c r="M1173" s="4"/>
      <c r="N1173" s="4"/>
      <c r="O1173" s="4"/>
      <c r="P1173" s="4"/>
      <c r="Q1173" s="4"/>
      <c r="R1173" s="4"/>
      <c r="S1173" s="4"/>
      <c r="T1173" s="4"/>
      <c r="U1173" s="4"/>
      <c r="V1173" s="4"/>
      <c r="W1173" s="4"/>
      <c r="X1173" s="4"/>
      <c r="Y1173" s="4"/>
      <c r="Z1173" s="4"/>
    </row>
    <row r="1174" spans="1:26">
      <c r="A1174" s="5">
        <v>43497</v>
      </c>
      <c r="B1174" s="4" t="s">
        <v>9</v>
      </c>
      <c r="C1174" s="4" t="s">
        <v>10</v>
      </c>
      <c r="D1174" s="4" t="s">
        <v>14</v>
      </c>
      <c r="E1174" s="4" t="s">
        <v>12</v>
      </c>
      <c r="F1174" s="4">
        <v>3231515</v>
      </c>
      <c r="G1174" s="4">
        <v>100629</v>
      </c>
      <c r="H1174" s="4">
        <v>118945</v>
      </c>
      <c r="I1174" s="6">
        <v>86443.726014337793</v>
      </c>
      <c r="J1174" s="4"/>
      <c r="K1174" s="4"/>
      <c r="L1174" s="4"/>
      <c r="M1174" s="4"/>
      <c r="N1174" s="4"/>
      <c r="O1174" s="4"/>
      <c r="P1174" s="4"/>
      <c r="Q1174" s="4"/>
      <c r="R1174" s="4"/>
      <c r="S1174" s="4"/>
      <c r="T1174" s="4"/>
      <c r="U1174" s="4"/>
      <c r="V1174" s="4"/>
      <c r="W1174" s="4"/>
      <c r="X1174" s="4"/>
      <c r="Y1174" s="4"/>
      <c r="Z1174" s="4"/>
    </row>
    <row r="1175" spans="1:26">
      <c r="A1175" s="5">
        <v>43497</v>
      </c>
      <c r="B1175" s="4" t="s">
        <v>9</v>
      </c>
      <c r="C1175" s="4" t="s">
        <v>10</v>
      </c>
      <c r="D1175" s="4" t="s">
        <v>14</v>
      </c>
      <c r="E1175" s="4" t="s">
        <v>13</v>
      </c>
      <c r="F1175" s="4">
        <v>12886</v>
      </c>
      <c r="G1175" s="4">
        <v>2554</v>
      </c>
      <c r="H1175" s="4">
        <v>18710</v>
      </c>
      <c r="I1175" s="6">
        <v>402122.31365955895</v>
      </c>
      <c r="J1175" s="4"/>
      <c r="K1175" s="4"/>
      <c r="L1175" s="4"/>
      <c r="M1175" s="4"/>
      <c r="N1175" s="4"/>
      <c r="O1175" s="4"/>
      <c r="P1175" s="4"/>
      <c r="Q1175" s="4"/>
      <c r="R1175" s="4"/>
      <c r="S1175" s="4"/>
      <c r="T1175" s="4"/>
      <c r="U1175" s="4"/>
      <c r="V1175" s="4"/>
      <c r="W1175" s="4"/>
      <c r="X1175" s="4"/>
      <c r="Y1175" s="4"/>
      <c r="Z1175" s="4"/>
    </row>
    <row r="1176" spans="1:26">
      <c r="A1176" s="5">
        <v>43497</v>
      </c>
      <c r="B1176" s="4" t="s">
        <v>9</v>
      </c>
      <c r="C1176" s="4" t="s">
        <v>10</v>
      </c>
      <c r="D1176" s="4" t="s">
        <v>15</v>
      </c>
      <c r="E1176" s="4" t="s">
        <v>12</v>
      </c>
      <c r="F1176" s="4">
        <v>1305180</v>
      </c>
      <c r="G1176" s="4">
        <v>41629</v>
      </c>
      <c r="H1176" s="4">
        <v>53504</v>
      </c>
      <c r="I1176" s="6">
        <v>40139.334616746695</v>
      </c>
      <c r="J1176" s="4"/>
      <c r="K1176" s="4"/>
      <c r="L1176" s="4"/>
      <c r="M1176" s="4"/>
      <c r="N1176" s="4"/>
      <c r="O1176" s="4"/>
      <c r="P1176" s="4"/>
      <c r="Q1176" s="4"/>
      <c r="R1176" s="4"/>
      <c r="S1176" s="4"/>
      <c r="T1176" s="4"/>
      <c r="U1176" s="4"/>
      <c r="V1176" s="4"/>
      <c r="W1176" s="4"/>
      <c r="X1176" s="4"/>
      <c r="Y1176" s="4"/>
      <c r="Z1176" s="4"/>
    </row>
    <row r="1177" spans="1:26">
      <c r="A1177" s="5">
        <v>43497</v>
      </c>
      <c r="B1177" s="4" t="s">
        <v>9</v>
      </c>
      <c r="C1177" s="4" t="s">
        <v>10</v>
      </c>
      <c r="D1177" s="4" t="s">
        <v>15</v>
      </c>
      <c r="E1177" s="4" t="s">
        <v>13</v>
      </c>
      <c r="F1177" s="4">
        <v>4933</v>
      </c>
      <c r="G1177" s="4">
        <v>743</v>
      </c>
      <c r="H1177" s="4">
        <v>6167</v>
      </c>
      <c r="I1177" s="6">
        <v>100615.35128162816</v>
      </c>
      <c r="J1177" s="4"/>
      <c r="K1177" s="4"/>
      <c r="L1177" s="4"/>
      <c r="M1177" s="4"/>
      <c r="N1177" s="4"/>
      <c r="O1177" s="4"/>
      <c r="P1177" s="4"/>
      <c r="Q1177" s="4"/>
      <c r="R1177" s="4"/>
      <c r="S1177" s="4"/>
      <c r="T1177" s="4"/>
      <c r="U1177" s="4"/>
      <c r="V1177" s="4"/>
      <c r="W1177" s="4"/>
      <c r="X1177" s="4"/>
      <c r="Y1177" s="4"/>
      <c r="Z1177" s="4"/>
    </row>
    <row r="1178" spans="1:26">
      <c r="A1178" s="5">
        <v>43497</v>
      </c>
      <c r="B1178" s="4" t="s">
        <v>9</v>
      </c>
      <c r="C1178" s="4" t="s">
        <v>10</v>
      </c>
      <c r="D1178" s="4" t="s">
        <v>16</v>
      </c>
      <c r="E1178" s="4" t="s">
        <v>12</v>
      </c>
      <c r="F1178" s="4">
        <v>40221299</v>
      </c>
      <c r="G1178" s="4">
        <v>259944</v>
      </c>
      <c r="H1178" s="4">
        <v>292844</v>
      </c>
      <c r="I1178" s="6">
        <v>222368.20633898515</v>
      </c>
      <c r="J1178" s="4"/>
      <c r="K1178" s="4"/>
      <c r="L1178" s="4"/>
      <c r="M1178" s="4"/>
      <c r="N1178" s="4"/>
      <c r="O1178" s="4"/>
      <c r="P1178" s="4"/>
      <c r="Q1178" s="4"/>
      <c r="R1178" s="4"/>
      <c r="S1178" s="4"/>
      <c r="T1178" s="4"/>
      <c r="U1178" s="4"/>
      <c r="V1178" s="4"/>
      <c r="W1178" s="4"/>
      <c r="X1178" s="4"/>
      <c r="Y1178" s="4"/>
      <c r="Z1178" s="4"/>
    </row>
    <row r="1179" spans="1:26">
      <c r="A1179" s="5">
        <v>43497</v>
      </c>
      <c r="B1179" s="4" t="s">
        <v>9</v>
      </c>
      <c r="C1179" s="4" t="s">
        <v>10</v>
      </c>
      <c r="D1179" s="4" t="s">
        <v>16</v>
      </c>
      <c r="E1179" s="4" t="s">
        <v>13</v>
      </c>
      <c r="F1179" s="4">
        <v>282466</v>
      </c>
      <c r="G1179" s="4">
        <v>5533</v>
      </c>
      <c r="H1179" s="4">
        <v>36123</v>
      </c>
      <c r="I1179" s="6">
        <v>1213325.6997945788</v>
      </c>
      <c r="J1179" s="4"/>
      <c r="K1179" s="4"/>
      <c r="L1179" s="4"/>
      <c r="M1179" s="4"/>
      <c r="N1179" s="4"/>
      <c r="O1179" s="4"/>
      <c r="P1179" s="4"/>
      <c r="Q1179" s="4"/>
      <c r="R1179" s="4"/>
      <c r="S1179" s="4"/>
      <c r="T1179" s="4"/>
      <c r="U1179" s="4"/>
      <c r="V1179" s="4"/>
      <c r="W1179" s="4"/>
      <c r="X1179" s="4"/>
      <c r="Y1179" s="4"/>
      <c r="Z1179" s="4"/>
    </row>
    <row r="1180" spans="1:26">
      <c r="A1180" s="5">
        <v>43497</v>
      </c>
      <c r="B1180" s="4" t="s">
        <v>9</v>
      </c>
      <c r="C1180" s="4" t="s">
        <v>10</v>
      </c>
      <c r="D1180" s="4" t="s">
        <v>17</v>
      </c>
      <c r="E1180" s="4" t="s">
        <v>12</v>
      </c>
      <c r="F1180" s="4">
        <v>1985448</v>
      </c>
      <c r="G1180" s="4">
        <v>86253</v>
      </c>
      <c r="H1180" s="4">
        <v>98161</v>
      </c>
      <c r="I1180" s="6">
        <v>96076.63541481526</v>
      </c>
      <c r="J1180" s="4"/>
      <c r="K1180" s="4"/>
      <c r="L1180" s="4"/>
      <c r="M1180" s="4"/>
      <c r="N1180" s="4"/>
      <c r="O1180" s="4"/>
      <c r="P1180" s="4"/>
      <c r="Q1180" s="4"/>
      <c r="R1180" s="4"/>
      <c r="S1180" s="4"/>
      <c r="T1180" s="4"/>
      <c r="U1180" s="4"/>
      <c r="V1180" s="4"/>
      <c r="W1180" s="4"/>
      <c r="X1180" s="4"/>
      <c r="Y1180" s="4"/>
      <c r="Z1180" s="4"/>
    </row>
    <row r="1181" spans="1:26">
      <c r="A1181" s="5">
        <v>43497</v>
      </c>
      <c r="B1181" s="4" t="s">
        <v>9</v>
      </c>
      <c r="C1181" s="4" t="s">
        <v>10</v>
      </c>
      <c r="D1181" s="4" t="s">
        <v>17</v>
      </c>
      <c r="E1181" s="4" t="s">
        <v>13</v>
      </c>
      <c r="F1181" s="4">
        <v>11846</v>
      </c>
      <c r="G1181" s="4">
        <v>2326</v>
      </c>
      <c r="H1181" s="4">
        <v>13654</v>
      </c>
      <c r="I1181" s="6">
        <v>460160.20429213479</v>
      </c>
      <c r="J1181" s="4"/>
      <c r="K1181" s="4"/>
      <c r="L1181" s="4"/>
      <c r="M1181" s="4"/>
      <c r="N1181" s="4"/>
      <c r="O1181" s="4"/>
      <c r="P1181" s="4"/>
      <c r="Q1181" s="4"/>
      <c r="R1181" s="4"/>
      <c r="S1181" s="4"/>
      <c r="T1181" s="4"/>
      <c r="U1181" s="4"/>
      <c r="V1181" s="4"/>
      <c r="W1181" s="4"/>
      <c r="X1181" s="4"/>
      <c r="Y1181" s="4"/>
      <c r="Z1181" s="4"/>
    </row>
    <row r="1182" spans="1:26">
      <c r="A1182" s="5">
        <v>43497</v>
      </c>
      <c r="B1182" s="4" t="s">
        <v>9</v>
      </c>
      <c r="C1182" s="4" t="s">
        <v>18</v>
      </c>
      <c r="D1182" s="4" t="s">
        <v>11</v>
      </c>
      <c r="E1182" s="4" t="s">
        <v>12</v>
      </c>
      <c r="F1182" s="4">
        <v>7595226</v>
      </c>
      <c r="G1182" s="4">
        <v>202896</v>
      </c>
      <c r="H1182" s="4">
        <v>625971</v>
      </c>
      <c r="I1182" s="6">
        <v>153445.62787849203</v>
      </c>
      <c r="J1182" s="4"/>
      <c r="K1182" s="4"/>
      <c r="L1182" s="4"/>
      <c r="M1182" s="4"/>
      <c r="N1182" s="4"/>
      <c r="O1182" s="4"/>
      <c r="P1182" s="4"/>
      <c r="Q1182" s="4"/>
      <c r="R1182" s="4"/>
      <c r="S1182" s="4"/>
      <c r="T1182" s="4"/>
      <c r="U1182" s="4"/>
      <c r="V1182" s="4"/>
      <c r="W1182" s="4"/>
      <c r="X1182" s="4"/>
      <c r="Y1182" s="4"/>
      <c r="Z1182" s="4"/>
    </row>
    <row r="1183" spans="1:26">
      <c r="A1183" s="5">
        <v>43497</v>
      </c>
      <c r="B1183" s="4" t="s">
        <v>9</v>
      </c>
      <c r="C1183" s="4" t="s">
        <v>18</v>
      </c>
      <c r="D1183" s="4" t="s">
        <v>11</v>
      </c>
      <c r="E1183" s="4" t="s">
        <v>13</v>
      </c>
      <c r="F1183" s="4">
        <v>43132</v>
      </c>
      <c r="G1183" s="4">
        <v>760</v>
      </c>
      <c r="H1183" s="4">
        <v>21095</v>
      </c>
      <c r="I1183" s="6">
        <v>15484.322694521594</v>
      </c>
      <c r="J1183" s="4"/>
      <c r="K1183" s="4"/>
      <c r="L1183" s="4"/>
      <c r="M1183" s="4"/>
      <c r="N1183" s="4"/>
      <c r="O1183" s="4"/>
      <c r="P1183" s="4"/>
      <c r="Q1183" s="4"/>
      <c r="R1183" s="4"/>
      <c r="S1183" s="4"/>
      <c r="T1183" s="4"/>
      <c r="U1183" s="4"/>
      <c r="V1183" s="4"/>
      <c r="W1183" s="4"/>
      <c r="X1183" s="4"/>
      <c r="Y1183" s="4"/>
      <c r="Z1183" s="4"/>
    </row>
    <row r="1184" spans="1:26">
      <c r="A1184" s="5">
        <v>43497</v>
      </c>
      <c r="B1184" s="4" t="s">
        <v>9</v>
      </c>
      <c r="C1184" s="4" t="s">
        <v>18</v>
      </c>
      <c r="D1184" s="4" t="s">
        <v>14</v>
      </c>
      <c r="E1184" s="4" t="s">
        <v>12</v>
      </c>
      <c r="F1184" s="4">
        <v>17850274</v>
      </c>
      <c r="G1184" s="4">
        <v>419194</v>
      </c>
      <c r="H1184" s="4">
        <v>1263557</v>
      </c>
      <c r="I1184" s="6">
        <v>203757.98235500359</v>
      </c>
      <c r="J1184" s="4"/>
      <c r="K1184" s="4"/>
      <c r="L1184" s="4"/>
      <c r="M1184" s="4"/>
      <c r="N1184" s="4"/>
      <c r="O1184" s="4"/>
      <c r="P1184" s="4"/>
      <c r="Q1184" s="4"/>
      <c r="R1184" s="4"/>
      <c r="S1184" s="4"/>
      <c r="T1184" s="4"/>
      <c r="U1184" s="4"/>
      <c r="V1184" s="4"/>
      <c r="W1184" s="4"/>
      <c r="X1184" s="4"/>
      <c r="Y1184" s="4"/>
      <c r="Z1184" s="4"/>
    </row>
    <row r="1185" spans="1:26">
      <c r="A1185" s="5">
        <v>43497</v>
      </c>
      <c r="B1185" s="4" t="s">
        <v>9</v>
      </c>
      <c r="C1185" s="4" t="s">
        <v>18</v>
      </c>
      <c r="D1185" s="4" t="s">
        <v>14</v>
      </c>
      <c r="E1185" s="4" t="s">
        <v>13</v>
      </c>
      <c r="F1185" s="4">
        <v>90402</v>
      </c>
      <c r="G1185" s="4">
        <v>1056</v>
      </c>
      <c r="H1185" s="4">
        <v>15663</v>
      </c>
      <c r="I1185" s="6">
        <v>18016.755686966917</v>
      </c>
      <c r="J1185" s="4"/>
      <c r="K1185" s="4"/>
      <c r="L1185" s="4"/>
      <c r="M1185" s="4"/>
      <c r="N1185" s="4"/>
      <c r="O1185" s="4"/>
      <c r="P1185" s="4"/>
      <c r="Q1185" s="4"/>
      <c r="R1185" s="4"/>
      <c r="S1185" s="4"/>
      <c r="T1185" s="4"/>
      <c r="U1185" s="4"/>
      <c r="V1185" s="4"/>
      <c r="W1185" s="4"/>
      <c r="X1185" s="4"/>
      <c r="Y1185" s="4"/>
      <c r="Z1185" s="4"/>
    </row>
    <row r="1186" spans="1:26">
      <c r="A1186" s="5">
        <v>43497</v>
      </c>
      <c r="B1186" s="4" t="s">
        <v>9</v>
      </c>
      <c r="C1186" s="4" t="s">
        <v>18</v>
      </c>
      <c r="D1186" s="4" t="s">
        <v>15</v>
      </c>
      <c r="E1186" s="4" t="s">
        <v>12</v>
      </c>
      <c r="F1186" s="4">
        <v>8857221</v>
      </c>
      <c r="G1186" s="4">
        <v>225628</v>
      </c>
      <c r="H1186" s="4">
        <v>743430</v>
      </c>
      <c r="I1186" s="6">
        <v>82073.236277993696</v>
      </c>
      <c r="J1186" s="4"/>
      <c r="K1186" s="4"/>
      <c r="L1186" s="4"/>
      <c r="M1186" s="4"/>
      <c r="N1186" s="4"/>
      <c r="O1186" s="4"/>
      <c r="P1186" s="4"/>
      <c r="Q1186" s="4"/>
      <c r="R1186" s="4"/>
      <c r="S1186" s="4"/>
      <c r="T1186" s="4"/>
      <c r="U1186" s="4"/>
      <c r="V1186" s="4"/>
      <c r="W1186" s="4"/>
      <c r="X1186" s="4"/>
      <c r="Y1186" s="4"/>
      <c r="Z1186" s="4"/>
    </row>
    <row r="1187" spans="1:26">
      <c r="A1187" s="5">
        <v>43497</v>
      </c>
      <c r="B1187" s="4" t="s">
        <v>9</v>
      </c>
      <c r="C1187" s="4" t="s">
        <v>18</v>
      </c>
      <c r="D1187" s="4" t="s">
        <v>15</v>
      </c>
      <c r="E1187" s="4" t="s">
        <v>13</v>
      </c>
      <c r="F1187" s="4">
        <v>33000</v>
      </c>
      <c r="G1187" s="4">
        <v>423</v>
      </c>
      <c r="H1187" s="4">
        <v>6020</v>
      </c>
      <c r="I1187" s="6">
        <v>7814.0566319346663</v>
      </c>
      <c r="J1187" s="4"/>
      <c r="K1187" s="4"/>
      <c r="L1187" s="4"/>
      <c r="M1187" s="4"/>
      <c r="N1187" s="4"/>
      <c r="O1187" s="4"/>
      <c r="P1187" s="4"/>
      <c r="Q1187" s="4"/>
      <c r="R1187" s="4"/>
      <c r="S1187" s="4"/>
      <c r="T1187" s="4"/>
      <c r="U1187" s="4"/>
      <c r="V1187" s="4"/>
      <c r="W1187" s="4"/>
      <c r="X1187" s="4"/>
      <c r="Y1187" s="4"/>
      <c r="Z1187" s="4"/>
    </row>
    <row r="1188" spans="1:26">
      <c r="A1188" s="5">
        <v>43497</v>
      </c>
      <c r="B1188" s="4" t="s">
        <v>9</v>
      </c>
      <c r="C1188" s="4" t="s">
        <v>18</v>
      </c>
      <c r="D1188" s="4" t="s">
        <v>16</v>
      </c>
      <c r="E1188" s="4" t="s">
        <v>12</v>
      </c>
      <c r="F1188" s="4">
        <v>114024705</v>
      </c>
      <c r="G1188" s="4">
        <v>766327</v>
      </c>
      <c r="H1188" s="4">
        <v>2194898</v>
      </c>
      <c r="I1188" s="6">
        <v>529026.45777458628</v>
      </c>
      <c r="J1188" s="4"/>
      <c r="K1188" s="4"/>
      <c r="L1188" s="4"/>
      <c r="M1188" s="4"/>
      <c r="N1188" s="4"/>
      <c r="O1188" s="4"/>
      <c r="P1188" s="4"/>
      <c r="Q1188" s="4"/>
      <c r="R1188" s="4"/>
      <c r="S1188" s="4"/>
      <c r="T1188" s="4"/>
      <c r="U1188" s="4"/>
      <c r="V1188" s="4"/>
      <c r="W1188" s="4"/>
      <c r="X1188" s="4"/>
      <c r="Y1188" s="4"/>
      <c r="Z1188" s="4"/>
    </row>
    <row r="1189" spans="1:26">
      <c r="A1189" s="5">
        <v>43497</v>
      </c>
      <c r="B1189" s="4" t="s">
        <v>9</v>
      </c>
      <c r="C1189" s="4" t="s">
        <v>18</v>
      </c>
      <c r="D1189" s="4" t="s">
        <v>16</v>
      </c>
      <c r="E1189" s="4" t="s">
        <v>13</v>
      </c>
      <c r="F1189" s="4">
        <v>996673</v>
      </c>
      <c r="G1189" s="4">
        <v>2198</v>
      </c>
      <c r="H1189" s="4">
        <v>54118</v>
      </c>
      <c r="I1189" s="6">
        <v>34792.311263799435</v>
      </c>
      <c r="J1189" s="4"/>
      <c r="K1189" s="4"/>
      <c r="L1189" s="4"/>
      <c r="M1189" s="4"/>
      <c r="N1189" s="4"/>
      <c r="O1189" s="4"/>
      <c r="P1189" s="4"/>
      <c r="Q1189" s="4"/>
      <c r="R1189" s="4"/>
      <c r="S1189" s="4"/>
      <c r="T1189" s="4"/>
      <c r="U1189" s="4"/>
      <c r="V1189" s="4"/>
      <c r="W1189" s="4"/>
      <c r="X1189" s="4"/>
      <c r="Y1189" s="4"/>
      <c r="Z1189" s="4"/>
    </row>
    <row r="1190" spans="1:26">
      <c r="A1190" s="5">
        <v>43497</v>
      </c>
      <c r="B1190" s="4" t="s">
        <v>9</v>
      </c>
      <c r="C1190" s="4" t="s">
        <v>18</v>
      </c>
      <c r="D1190" s="4" t="s">
        <v>17</v>
      </c>
      <c r="E1190" s="4" t="s">
        <v>12</v>
      </c>
      <c r="F1190" s="4">
        <v>10793973</v>
      </c>
      <c r="G1190" s="4">
        <v>246344</v>
      </c>
      <c r="H1190" s="4">
        <v>702306</v>
      </c>
      <c r="I1190" s="6">
        <v>179663.52147918392</v>
      </c>
      <c r="J1190" s="4"/>
      <c r="K1190" s="4"/>
      <c r="L1190" s="4"/>
      <c r="M1190" s="4"/>
      <c r="N1190" s="4"/>
      <c r="O1190" s="4"/>
      <c r="P1190" s="4"/>
      <c r="Q1190" s="4"/>
      <c r="R1190" s="4"/>
      <c r="S1190" s="4"/>
      <c r="T1190" s="4"/>
      <c r="U1190" s="4"/>
      <c r="V1190" s="4"/>
      <c r="W1190" s="4"/>
      <c r="X1190" s="4"/>
      <c r="Y1190" s="4"/>
      <c r="Z1190" s="4"/>
    </row>
    <row r="1191" spans="1:26">
      <c r="A1191" s="5">
        <v>43497</v>
      </c>
      <c r="B1191" s="4" t="s">
        <v>9</v>
      </c>
      <c r="C1191" s="4" t="s">
        <v>18</v>
      </c>
      <c r="D1191" s="4" t="s">
        <v>17</v>
      </c>
      <c r="E1191" s="4" t="s">
        <v>13</v>
      </c>
      <c r="F1191" s="4">
        <v>82425</v>
      </c>
      <c r="G1191" s="4">
        <v>886</v>
      </c>
      <c r="H1191" s="4">
        <v>19586</v>
      </c>
      <c r="I1191" s="6">
        <v>14049.075091295486</v>
      </c>
      <c r="J1191" s="4"/>
      <c r="K1191" s="4"/>
      <c r="L1191" s="4"/>
      <c r="M1191" s="4"/>
      <c r="N1191" s="4"/>
      <c r="O1191" s="4"/>
      <c r="P1191" s="4"/>
      <c r="Q1191" s="4"/>
      <c r="R1191" s="4"/>
      <c r="S1191" s="4"/>
      <c r="T1191" s="4"/>
      <c r="U1191" s="4"/>
      <c r="V1191" s="4"/>
      <c r="W1191" s="4"/>
      <c r="X1191" s="4"/>
      <c r="Y1191" s="4"/>
      <c r="Z1191" s="4"/>
    </row>
    <row r="1192" spans="1:26">
      <c r="A1192" s="5">
        <v>43497</v>
      </c>
      <c r="B1192" s="4" t="s">
        <v>9</v>
      </c>
      <c r="C1192" s="4" t="s">
        <v>19</v>
      </c>
      <c r="D1192" s="4" t="s">
        <v>11</v>
      </c>
      <c r="E1192" s="4" t="s">
        <v>12</v>
      </c>
      <c r="F1192" s="4">
        <v>131461</v>
      </c>
      <c r="G1192" s="4">
        <v>20568</v>
      </c>
      <c r="H1192" s="4">
        <v>21664</v>
      </c>
      <c r="I1192" s="6">
        <v>109530.73469214104</v>
      </c>
      <c r="J1192" s="4"/>
      <c r="K1192" s="4"/>
      <c r="L1192" s="4"/>
      <c r="M1192" s="4"/>
      <c r="N1192" s="4"/>
      <c r="O1192" s="4"/>
      <c r="P1192" s="4"/>
      <c r="Q1192" s="4"/>
      <c r="R1192" s="4"/>
      <c r="S1192" s="4"/>
      <c r="T1192" s="4"/>
      <c r="U1192" s="4"/>
      <c r="V1192" s="4"/>
      <c r="W1192" s="4"/>
      <c r="X1192" s="4"/>
      <c r="Y1192" s="4"/>
      <c r="Z1192" s="4"/>
    </row>
    <row r="1193" spans="1:26">
      <c r="A1193" s="5">
        <v>43497</v>
      </c>
      <c r="B1193" s="4" t="s">
        <v>9</v>
      </c>
      <c r="C1193" s="4" t="s">
        <v>19</v>
      </c>
      <c r="D1193" s="4" t="s">
        <v>11</v>
      </c>
      <c r="E1193" s="4" t="s">
        <v>13</v>
      </c>
      <c r="F1193" s="4">
        <v>724</v>
      </c>
      <c r="G1193" s="4">
        <v>801</v>
      </c>
      <c r="H1193" s="4">
        <v>8368</v>
      </c>
      <c r="I1193" s="6">
        <v>18760.11859414565</v>
      </c>
      <c r="J1193" s="4"/>
      <c r="K1193" s="4"/>
      <c r="L1193" s="4"/>
      <c r="M1193" s="4"/>
      <c r="N1193" s="4"/>
      <c r="O1193" s="4"/>
      <c r="P1193" s="4"/>
      <c r="Q1193" s="4"/>
      <c r="R1193" s="4"/>
      <c r="S1193" s="4"/>
      <c r="T1193" s="4"/>
      <c r="U1193" s="4"/>
      <c r="V1193" s="4"/>
      <c r="W1193" s="4"/>
      <c r="X1193" s="4"/>
      <c r="Y1193" s="4"/>
      <c r="Z1193" s="4"/>
    </row>
    <row r="1194" spans="1:26">
      <c r="A1194" s="5">
        <v>43497</v>
      </c>
      <c r="B1194" s="4" t="s">
        <v>9</v>
      </c>
      <c r="C1194" s="4" t="s">
        <v>19</v>
      </c>
      <c r="D1194" s="4" t="s">
        <v>14</v>
      </c>
      <c r="E1194" s="4" t="s">
        <v>12</v>
      </c>
      <c r="F1194" s="4">
        <v>322537</v>
      </c>
      <c r="G1194" s="4">
        <v>48493</v>
      </c>
      <c r="H1194" s="4">
        <v>50969</v>
      </c>
      <c r="I1194" s="6">
        <v>195163.21663574254</v>
      </c>
      <c r="J1194" s="4"/>
      <c r="K1194" s="4"/>
      <c r="L1194" s="4"/>
      <c r="M1194" s="4"/>
      <c r="N1194" s="4"/>
      <c r="O1194" s="4"/>
      <c r="P1194" s="4"/>
      <c r="Q1194" s="4"/>
      <c r="R1194" s="4"/>
      <c r="S1194" s="4"/>
      <c r="T1194" s="4"/>
      <c r="U1194" s="4"/>
      <c r="V1194" s="4"/>
      <c r="W1194" s="4"/>
      <c r="X1194" s="4"/>
      <c r="Y1194" s="4"/>
      <c r="Z1194" s="4"/>
    </row>
    <row r="1195" spans="1:26">
      <c r="A1195" s="5">
        <v>43497</v>
      </c>
      <c r="B1195" s="4" t="s">
        <v>9</v>
      </c>
      <c r="C1195" s="4" t="s">
        <v>19</v>
      </c>
      <c r="D1195" s="4" t="s">
        <v>14</v>
      </c>
      <c r="E1195" s="4" t="s">
        <v>13</v>
      </c>
      <c r="F1195" s="4">
        <v>1737</v>
      </c>
      <c r="G1195" s="4">
        <v>1789</v>
      </c>
      <c r="H1195" s="4">
        <v>45443</v>
      </c>
      <c r="I1195" s="6">
        <v>31109.095530622577</v>
      </c>
      <c r="J1195" s="4"/>
      <c r="K1195" s="4"/>
      <c r="L1195" s="4"/>
      <c r="M1195" s="4"/>
      <c r="N1195" s="4"/>
      <c r="O1195" s="4"/>
      <c r="P1195" s="4"/>
      <c r="Q1195" s="4"/>
      <c r="R1195" s="4"/>
      <c r="S1195" s="4"/>
      <c r="T1195" s="4"/>
      <c r="U1195" s="4"/>
      <c r="V1195" s="4"/>
      <c r="W1195" s="4"/>
      <c r="X1195" s="4"/>
      <c r="Y1195" s="4"/>
      <c r="Z1195" s="4"/>
    </row>
    <row r="1196" spans="1:26">
      <c r="A1196" s="5">
        <v>43497</v>
      </c>
      <c r="B1196" s="4" t="s">
        <v>9</v>
      </c>
      <c r="C1196" s="4" t="s">
        <v>19</v>
      </c>
      <c r="D1196" s="4" t="s">
        <v>15</v>
      </c>
      <c r="E1196" s="4" t="s">
        <v>12</v>
      </c>
      <c r="F1196" s="4">
        <v>152199</v>
      </c>
      <c r="G1196" s="4">
        <v>24888</v>
      </c>
      <c r="H1196" s="4">
        <v>25790</v>
      </c>
      <c r="I1196" s="6">
        <v>72159.288268193399</v>
      </c>
      <c r="J1196" s="4"/>
      <c r="K1196" s="4"/>
      <c r="L1196" s="4"/>
      <c r="M1196" s="4"/>
      <c r="N1196" s="4"/>
      <c r="O1196" s="4"/>
      <c r="P1196" s="4"/>
      <c r="Q1196" s="4"/>
      <c r="R1196" s="4"/>
      <c r="S1196" s="4"/>
      <c r="T1196" s="4"/>
      <c r="U1196" s="4"/>
      <c r="V1196" s="4"/>
      <c r="W1196" s="4"/>
      <c r="X1196" s="4"/>
      <c r="Y1196" s="4"/>
      <c r="Z1196" s="4"/>
    </row>
    <row r="1197" spans="1:26">
      <c r="A1197" s="5">
        <v>43497</v>
      </c>
      <c r="B1197" s="4" t="s">
        <v>9</v>
      </c>
      <c r="C1197" s="4" t="s">
        <v>19</v>
      </c>
      <c r="D1197" s="4" t="s">
        <v>15</v>
      </c>
      <c r="E1197" s="4" t="s">
        <v>13</v>
      </c>
      <c r="F1197" s="4">
        <v>541</v>
      </c>
      <c r="G1197" s="4">
        <v>736</v>
      </c>
      <c r="H1197" s="4">
        <v>24530</v>
      </c>
      <c r="I1197" s="6">
        <v>13605.27303468108</v>
      </c>
      <c r="J1197" s="4"/>
      <c r="K1197" s="4"/>
      <c r="L1197" s="4"/>
      <c r="M1197" s="4"/>
      <c r="N1197" s="4"/>
      <c r="O1197" s="4"/>
      <c r="P1197" s="4"/>
      <c r="Q1197" s="4"/>
      <c r="R1197" s="4"/>
      <c r="S1197" s="4"/>
      <c r="T1197" s="4"/>
      <c r="U1197" s="4"/>
      <c r="V1197" s="4"/>
      <c r="W1197" s="4"/>
      <c r="X1197" s="4"/>
      <c r="Y1197" s="4"/>
      <c r="Z1197" s="4"/>
    </row>
    <row r="1198" spans="1:26">
      <c r="A1198" s="5">
        <v>43497</v>
      </c>
      <c r="B1198" s="4" t="s">
        <v>9</v>
      </c>
      <c r="C1198" s="4" t="s">
        <v>19</v>
      </c>
      <c r="D1198" s="4" t="s">
        <v>16</v>
      </c>
      <c r="E1198" s="4" t="s">
        <v>12</v>
      </c>
      <c r="F1198" s="4">
        <v>18112371</v>
      </c>
      <c r="G1198" s="4">
        <v>76308</v>
      </c>
      <c r="H1198" s="4">
        <v>78231</v>
      </c>
      <c r="I1198" s="6">
        <v>450085.76514063758</v>
      </c>
      <c r="J1198" s="4"/>
      <c r="K1198" s="4"/>
      <c r="L1198" s="4"/>
      <c r="M1198" s="4"/>
      <c r="N1198" s="4"/>
      <c r="O1198" s="4"/>
      <c r="P1198" s="4"/>
      <c r="Q1198" s="4"/>
      <c r="R1198" s="4"/>
      <c r="S1198" s="4"/>
      <c r="T1198" s="4"/>
      <c r="U1198" s="4"/>
      <c r="V1198" s="4"/>
      <c r="W1198" s="4"/>
      <c r="X1198" s="4"/>
      <c r="Y1198" s="4"/>
      <c r="Z1198" s="4"/>
    </row>
    <row r="1199" spans="1:26">
      <c r="A1199" s="5">
        <v>43497</v>
      </c>
      <c r="B1199" s="4" t="s">
        <v>9</v>
      </c>
      <c r="C1199" s="4" t="s">
        <v>19</v>
      </c>
      <c r="D1199" s="4" t="s">
        <v>16</v>
      </c>
      <c r="E1199" s="4" t="s">
        <v>13</v>
      </c>
      <c r="F1199" s="4">
        <v>169271</v>
      </c>
      <c r="G1199" s="4">
        <v>2295</v>
      </c>
      <c r="H1199" s="4">
        <v>39486</v>
      </c>
      <c r="I1199" s="6">
        <v>61159.888750377686</v>
      </c>
      <c r="J1199" s="4"/>
      <c r="K1199" s="4"/>
      <c r="L1199" s="4"/>
      <c r="M1199" s="4"/>
      <c r="N1199" s="4"/>
      <c r="O1199" s="4"/>
      <c r="P1199" s="4"/>
      <c r="Q1199" s="4"/>
      <c r="R1199" s="4"/>
      <c r="S1199" s="4"/>
      <c r="T1199" s="4"/>
      <c r="U1199" s="4"/>
      <c r="V1199" s="4"/>
      <c r="W1199" s="4"/>
      <c r="X1199" s="4"/>
      <c r="Y1199" s="4"/>
      <c r="Z1199" s="4"/>
    </row>
    <row r="1200" spans="1:26">
      <c r="A1200" s="5">
        <v>43497</v>
      </c>
      <c r="B1200" s="4" t="s">
        <v>9</v>
      </c>
      <c r="C1200" s="4" t="s">
        <v>19</v>
      </c>
      <c r="D1200" s="4" t="s">
        <v>17</v>
      </c>
      <c r="E1200" s="4" t="s">
        <v>12</v>
      </c>
      <c r="F1200" s="4">
        <v>252634</v>
      </c>
      <c r="G1200" s="4">
        <v>27537</v>
      </c>
      <c r="H1200" s="4">
        <v>28432</v>
      </c>
      <c r="I1200" s="6">
        <v>166926.97403854236</v>
      </c>
      <c r="J1200" s="4"/>
      <c r="K1200" s="4"/>
      <c r="L1200" s="4"/>
      <c r="M1200" s="4"/>
      <c r="N1200" s="4"/>
      <c r="O1200" s="4"/>
      <c r="P1200" s="4"/>
      <c r="Q1200" s="4"/>
      <c r="R1200" s="4"/>
      <c r="S1200" s="4"/>
      <c r="T1200" s="4"/>
      <c r="U1200" s="4"/>
      <c r="V1200" s="4"/>
      <c r="W1200" s="4"/>
      <c r="X1200" s="4"/>
      <c r="Y1200" s="4"/>
      <c r="Z1200" s="4"/>
    </row>
    <row r="1201" spans="1:26">
      <c r="A1201" s="5">
        <v>43497</v>
      </c>
      <c r="B1201" s="4" t="s">
        <v>9</v>
      </c>
      <c r="C1201" s="4" t="s">
        <v>19</v>
      </c>
      <c r="D1201" s="4" t="s">
        <v>17</v>
      </c>
      <c r="E1201" s="4" t="s">
        <v>13</v>
      </c>
      <c r="F1201" s="4">
        <v>1711</v>
      </c>
      <c r="G1201" s="4">
        <v>753</v>
      </c>
      <c r="H1201" s="4">
        <v>7586</v>
      </c>
      <c r="I1201" s="6">
        <v>20704.304429274845</v>
      </c>
      <c r="J1201" s="4"/>
      <c r="K1201" s="4"/>
      <c r="L1201" s="4"/>
      <c r="M1201" s="4"/>
      <c r="N1201" s="4"/>
      <c r="O1201" s="4"/>
      <c r="P1201" s="4"/>
      <c r="Q1201" s="4"/>
      <c r="R1201" s="4"/>
      <c r="S1201" s="4"/>
      <c r="T1201" s="4"/>
      <c r="U1201" s="4"/>
      <c r="V1201" s="4"/>
      <c r="W1201" s="4"/>
      <c r="X1201" s="4"/>
      <c r="Y1201" s="4"/>
      <c r="Z1201" s="4"/>
    </row>
    <row r="1202" spans="1:26">
      <c r="A1202" s="5">
        <v>43497</v>
      </c>
      <c r="B1202" s="4" t="s">
        <v>20</v>
      </c>
      <c r="C1202" s="4" t="s">
        <v>10</v>
      </c>
      <c r="D1202" s="4" t="s">
        <v>11</v>
      </c>
      <c r="E1202" s="4" t="s">
        <v>12</v>
      </c>
      <c r="F1202" s="4">
        <v>2558236</v>
      </c>
      <c r="G1202" s="4">
        <v>5785</v>
      </c>
      <c r="H1202" s="4">
        <v>6557</v>
      </c>
      <c r="I1202" s="6">
        <v>1543.0959373276087</v>
      </c>
      <c r="J1202" s="4"/>
      <c r="K1202" s="4"/>
      <c r="L1202" s="4"/>
      <c r="M1202" s="4"/>
      <c r="N1202" s="4"/>
      <c r="O1202" s="4"/>
      <c r="P1202" s="4"/>
      <c r="Q1202" s="4"/>
      <c r="R1202" s="4"/>
      <c r="S1202" s="4"/>
      <c r="T1202" s="4"/>
      <c r="U1202" s="4"/>
      <c r="V1202" s="4"/>
      <c r="W1202" s="4"/>
      <c r="X1202" s="4"/>
      <c r="Y1202" s="4"/>
      <c r="Z1202" s="4"/>
    </row>
    <row r="1203" spans="1:26">
      <c r="A1203" s="5">
        <v>43497</v>
      </c>
      <c r="B1203" s="4" t="s">
        <v>20</v>
      </c>
      <c r="C1203" s="4" t="s">
        <v>10</v>
      </c>
      <c r="D1203" s="4" t="s">
        <v>11</v>
      </c>
      <c r="E1203" s="4" t="s">
        <v>13</v>
      </c>
      <c r="F1203" s="4">
        <v>1036</v>
      </c>
      <c r="G1203" s="4">
        <v>30</v>
      </c>
      <c r="H1203" s="4">
        <v>76</v>
      </c>
      <c r="I1203" s="6">
        <v>16899.260202020199</v>
      </c>
      <c r="J1203" s="4"/>
      <c r="K1203" s="4"/>
      <c r="L1203" s="4"/>
      <c r="M1203" s="4"/>
      <c r="N1203" s="4"/>
      <c r="O1203" s="4"/>
      <c r="P1203" s="4"/>
      <c r="Q1203" s="4"/>
      <c r="R1203" s="4"/>
      <c r="S1203" s="4"/>
      <c r="T1203" s="4"/>
      <c r="U1203" s="4"/>
      <c r="V1203" s="4"/>
      <c r="W1203" s="4"/>
      <c r="X1203" s="4"/>
      <c r="Y1203" s="4"/>
      <c r="Z1203" s="4"/>
    </row>
    <row r="1204" spans="1:26">
      <c r="A1204" s="5">
        <v>43497</v>
      </c>
      <c r="B1204" s="4" t="s">
        <v>20</v>
      </c>
      <c r="C1204" s="4" t="s">
        <v>10</v>
      </c>
      <c r="D1204" s="4" t="s">
        <v>14</v>
      </c>
      <c r="E1204" s="4" t="s">
        <v>12</v>
      </c>
      <c r="F1204" s="4">
        <v>4632899</v>
      </c>
      <c r="G1204" s="4">
        <v>10289</v>
      </c>
      <c r="H1204" s="4">
        <v>11176</v>
      </c>
      <c r="I1204" s="6">
        <v>1404.1977126364816</v>
      </c>
      <c r="J1204" s="4"/>
      <c r="K1204" s="4"/>
      <c r="L1204" s="4"/>
      <c r="M1204" s="4"/>
      <c r="N1204" s="4"/>
      <c r="O1204" s="4"/>
      <c r="P1204" s="4"/>
      <c r="Q1204" s="4"/>
      <c r="R1204" s="4"/>
      <c r="S1204" s="4"/>
      <c r="T1204" s="4"/>
      <c r="U1204" s="4"/>
      <c r="V1204" s="4"/>
      <c r="W1204" s="4"/>
      <c r="X1204" s="4"/>
      <c r="Y1204" s="4"/>
      <c r="Z1204" s="4"/>
    </row>
    <row r="1205" spans="1:26">
      <c r="A1205" s="5">
        <v>43497</v>
      </c>
      <c r="B1205" s="4" t="s">
        <v>20</v>
      </c>
      <c r="C1205" s="4" t="s">
        <v>10</v>
      </c>
      <c r="D1205" s="4" t="s">
        <v>14</v>
      </c>
      <c r="E1205" s="4" t="s">
        <v>13</v>
      </c>
      <c r="F1205" s="4">
        <v>2232</v>
      </c>
      <c r="G1205" s="4">
        <v>55</v>
      </c>
      <c r="H1205" s="4">
        <v>231</v>
      </c>
      <c r="I1205" s="6">
        <v>25875.282589655173</v>
      </c>
      <c r="J1205" s="4"/>
      <c r="K1205" s="4"/>
      <c r="L1205" s="4"/>
      <c r="M1205" s="4"/>
      <c r="N1205" s="4"/>
      <c r="O1205" s="4"/>
      <c r="P1205" s="4"/>
      <c r="Q1205" s="4"/>
      <c r="R1205" s="4"/>
      <c r="S1205" s="4"/>
      <c r="T1205" s="4"/>
      <c r="U1205" s="4"/>
      <c r="V1205" s="4"/>
      <c r="W1205" s="4"/>
      <c r="X1205" s="4"/>
      <c r="Y1205" s="4"/>
      <c r="Z1205" s="4"/>
    </row>
    <row r="1206" spans="1:26">
      <c r="A1206" s="5">
        <v>43497</v>
      </c>
      <c r="B1206" s="4" t="s">
        <v>20</v>
      </c>
      <c r="C1206" s="4" t="s">
        <v>10</v>
      </c>
      <c r="D1206" s="4" t="s">
        <v>15</v>
      </c>
      <c r="E1206" s="4" t="s">
        <v>12</v>
      </c>
      <c r="F1206" s="4">
        <v>1157865</v>
      </c>
      <c r="G1206" s="4">
        <v>2600</v>
      </c>
      <c r="H1206" s="4">
        <v>2820</v>
      </c>
      <c r="I1206" s="6">
        <v>449.83644605621038</v>
      </c>
      <c r="J1206" s="4"/>
      <c r="K1206" s="4"/>
      <c r="L1206" s="4"/>
      <c r="M1206" s="4"/>
      <c r="N1206" s="4"/>
      <c r="O1206" s="4"/>
      <c r="P1206" s="4"/>
      <c r="Q1206" s="4"/>
      <c r="R1206" s="4"/>
      <c r="S1206" s="4"/>
      <c r="T1206" s="4"/>
      <c r="U1206" s="4"/>
      <c r="V1206" s="4"/>
      <c r="W1206" s="4"/>
      <c r="X1206" s="4"/>
      <c r="Y1206" s="4"/>
      <c r="Z1206" s="4"/>
    </row>
    <row r="1207" spans="1:26">
      <c r="A1207" s="5">
        <v>43497</v>
      </c>
      <c r="B1207" s="4" t="s">
        <v>20</v>
      </c>
      <c r="C1207" s="4" t="s">
        <v>10</v>
      </c>
      <c r="D1207" s="4" t="s">
        <v>15</v>
      </c>
      <c r="E1207" s="4" t="s">
        <v>13</v>
      </c>
      <c r="F1207" s="4">
        <v>308</v>
      </c>
      <c r="G1207" s="4">
        <v>15</v>
      </c>
      <c r="H1207" s="4">
        <v>46</v>
      </c>
      <c r="I1207" s="6">
        <v>5598.439718309859</v>
      </c>
      <c r="J1207" s="4"/>
      <c r="K1207" s="4"/>
      <c r="L1207" s="4"/>
      <c r="M1207" s="4"/>
      <c r="N1207" s="4"/>
      <c r="O1207" s="4"/>
      <c r="P1207" s="4"/>
      <c r="Q1207" s="4"/>
      <c r="R1207" s="4"/>
      <c r="S1207" s="4"/>
      <c r="T1207" s="4"/>
      <c r="U1207" s="4"/>
      <c r="V1207" s="4"/>
      <c r="W1207" s="4"/>
      <c r="X1207" s="4"/>
      <c r="Y1207" s="4"/>
      <c r="Z1207" s="4"/>
    </row>
    <row r="1208" spans="1:26">
      <c r="A1208" s="5">
        <v>43497</v>
      </c>
      <c r="B1208" s="4" t="s">
        <v>20</v>
      </c>
      <c r="C1208" s="4" t="s">
        <v>10</v>
      </c>
      <c r="D1208" s="4" t="s">
        <v>16</v>
      </c>
      <c r="E1208" s="4" t="s">
        <v>12</v>
      </c>
      <c r="F1208" s="4">
        <v>12460394</v>
      </c>
      <c r="G1208" s="4">
        <v>37470</v>
      </c>
      <c r="H1208" s="4">
        <v>39353</v>
      </c>
      <c r="I1208" s="6">
        <v>6636.6917547670682</v>
      </c>
      <c r="J1208" s="4"/>
      <c r="K1208" s="4"/>
      <c r="L1208" s="4"/>
      <c r="M1208" s="4"/>
      <c r="N1208" s="4"/>
      <c r="O1208" s="4"/>
      <c r="P1208" s="4"/>
      <c r="Q1208" s="4"/>
      <c r="R1208" s="4"/>
      <c r="S1208" s="4"/>
      <c r="T1208" s="4"/>
      <c r="U1208" s="4"/>
      <c r="V1208" s="4"/>
      <c r="W1208" s="4"/>
      <c r="X1208" s="4"/>
      <c r="Y1208" s="4"/>
      <c r="Z1208" s="4"/>
    </row>
    <row r="1209" spans="1:26">
      <c r="A1209" s="5">
        <v>43497</v>
      </c>
      <c r="B1209" s="4" t="s">
        <v>20</v>
      </c>
      <c r="C1209" s="4" t="s">
        <v>10</v>
      </c>
      <c r="D1209" s="4" t="s">
        <v>16</v>
      </c>
      <c r="E1209" s="4" t="s">
        <v>13</v>
      </c>
      <c r="F1209" s="4">
        <v>6050</v>
      </c>
      <c r="G1209" s="4">
        <v>255</v>
      </c>
      <c r="H1209" s="4">
        <v>688</v>
      </c>
      <c r="I1209" s="6">
        <v>112603.90865525672</v>
      </c>
      <c r="J1209" s="4"/>
      <c r="K1209" s="4"/>
      <c r="L1209" s="4"/>
      <c r="M1209" s="4"/>
      <c r="N1209" s="4"/>
      <c r="O1209" s="4"/>
      <c r="P1209" s="4"/>
      <c r="Q1209" s="4"/>
      <c r="R1209" s="4"/>
      <c r="S1209" s="4"/>
      <c r="T1209" s="4"/>
      <c r="U1209" s="4"/>
      <c r="V1209" s="4"/>
      <c r="W1209" s="4"/>
      <c r="X1209" s="4"/>
      <c r="Y1209" s="4"/>
      <c r="Z1209" s="4"/>
    </row>
    <row r="1210" spans="1:26">
      <c r="A1210" s="5">
        <v>43497</v>
      </c>
      <c r="B1210" s="4" t="s">
        <v>20</v>
      </c>
      <c r="C1210" s="4" t="s">
        <v>10</v>
      </c>
      <c r="D1210" s="4" t="s">
        <v>17</v>
      </c>
      <c r="E1210" s="4" t="s">
        <v>12</v>
      </c>
      <c r="F1210" s="4">
        <v>3947772</v>
      </c>
      <c r="G1210" s="4">
        <v>12471</v>
      </c>
      <c r="H1210" s="4">
        <v>13232</v>
      </c>
      <c r="I1210" s="6">
        <v>2013.6875767042893</v>
      </c>
      <c r="J1210" s="4"/>
      <c r="K1210" s="4"/>
      <c r="L1210" s="4"/>
      <c r="M1210" s="4"/>
      <c r="N1210" s="4"/>
      <c r="O1210" s="4"/>
      <c r="P1210" s="4"/>
      <c r="Q1210" s="4"/>
      <c r="R1210" s="4"/>
      <c r="S1210" s="4"/>
      <c r="T1210" s="4"/>
      <c r="U1210" s="4"/>
      <c r="V1210" s="4"/>
      <c r="W1210" s="4"/>
      <c r="X1210" s="4"/>
      <c r="Y1210" s="4"/>
      <c r="Z1210" s="4"/>
    </row>
    <row r="1211" spans="1:26">
      <c r="A1211" s="5">
        <v>43497</v>
      </c>
      <c r="B1211" s="4" t="s">
        <v>20</v>
      </c>
      <c r="C1211" s="4" t="s">
        <v>10</v>
      </c>
      <c r="D1211" s="4" t="s">
        <v>17</v>
      </c>
      <c r="E1211" s="4" t="s">
        <v>13</v>
      </c>
      <c r="F1211" s="4">
        <v>2049</v>
      </c>
      <c r="G1211" s="4">
        <v>81</v>
      </c>
      <c r="H1211" s="4">
        <v>256</v>
      </c>
      <c r="I1211" s="6">
        <v>38930.696258064512</v>
      </c>
      <c r="J1211" s="4"/>
      <c r="K1211" s="4"/>
      <c r="L1211" s="4"/>
      <c r="M1211" s="4"/>
      <c r="N1211" s="4"/>
      <c r="O1211" s="4"/>
      <c r="P1211" s="4"/>
      <c r="Q1211" s="4"/>
      <c r="R1211" s="4"/>
      <c r="S1211" s="4"/>
      <c r="T1211" s="4"/>
      <c r="U1211" s="4"/>
      <c r="V1211" s="4"/>
      <c r="W1211" s="4"/>
      <c r="X1211" s="4"/>
      <c r="Y1211" s="4"/>
      <c r="Z1211" s="4"/>
    </row>
    <row r="1212" spans="1:26">
      <c r="A1212" s="5">
        <v>43497</v>
      </c>
      <c r="B1212" s="4" t="s">
        <v>20</v>
      </c>
      <c r="C1212" s="4" t="s">
        <v>18</v>
      </c>
      <c r="D1212" s="4" t="s">
        <v>11</v>
      </c>
      <c r="E1212" s="4" t="s">
        <v>12</v>
      </c>
      <c r="F1212" s="4">
        <v>2862068</v>
      </c>
      <c r="G1212" s="4">
        <v>16350</v>
      </c>
      <c r="H1212" s="4">
        <v>31507</v>
      </c>
      <c r="I1212" s="6">
        <v>9692.0996933994211</v>
      </c>
      <c r="J1212" s="4"/>
      <c r="K1212" s="4"/>
      <c r="L1212" s="4"/>
      <c r="M1212" s="4"/>
      <c r="N1212" s="4"/>
      <c r="O1212" s="4"/>
      <c r="P1212" s="4"/>
      <c r="Q1212" s="4"/>
      <c r="R1212" s="4"/>
      <c r="S1212" s="4"/>
      <c r="T1212" s="4"/>
      <c r="U1212" s="4"/>
      <c r="V1212" s="4"/>
      <c r="W1212" s="4"/>
      <c r="X1212" s="4"/>
      <c r="Y1212" s="4"/>
      <c r="Z1212" s="4"/>
    </row>
    <row r="1213" spans="1:26">
      <c r="A1213" s="5">
        <v>43497</v>
      </c>
      <c r="B1213" s="4" t="s">
        <v>20</v>
      </c>
      <c r="C1213" s="4" t="s">
        <v>18</v>
      </c>
      <c r="D1213" s="4" t="s">
        <v>11</v>
      </c>
      <c r="E1213" s="4" t="s">
        <v>13</v>
      </c>
      <c r="F1213" s="4">
        <v>1477</v>
      </c>
      <c r="G1213" s="4">
        <v>21</v>
      </c>
      <c r="H1213" s="4">
        <v>36</v>
      </c>
      <c r="I1213" s="6">
        <v>187.86960000000002</v>
      </c>
      <c r="J1213" s="4"/>
      <c r="K1213" s="4"/>
      <c r="L1213" s="4"/>
      <c r="M1213" s="4"/>
      <c r="N1213" s="4"/>
      <c r="O1213" s="4"/>
      <c r="P1213" s="4"/>
      <c r="Q1213" s="4"/>
      <c r="R1213" s="4"/>
      <c r="S1213" s="4"/>
      <c r="T1213" s="4"/>
      <c r="U1213" s="4"/>
      <c r="V1213" s="4"/>
      <c r="W1213" s="4"/>
      <c r="X1213" s="4"/>
      <c r="Y1213" s="4"/>
      <c r="Z1213" s="4"/>
    </row>
    <row r="1214" spans="1:26">
      <c r="A1214" s="5">
        <v>43497</v>
      </c>
      <c r="B1214" s="4" t="s">
        <v>20</v>
      </c>
      <c r="C1214" s="4" t="s">
        <v>18</v>
      </c>
      <c r="D1214" s="4" t="s">
        <v>14</v>
      </c>
      <c r="E1214" s="4" t="s">
        <v>12</v>
      </c>
      <c r="F1214" s="4">
        <v>5422048</v>
      </c>
      <c r="G1214" s="4">
        <v>32263</v>
      </c>
      <c r="H1214" s="4">
        <v>60316</v>
      </c>
      <c r="I1214" s="6">
        <v>12310.139695486061</v>
      </c>
      <c r="J1214" s="4"/>
      <c r="K1214" s="4"/>
      <c r="L1214" s="4"/>
      <c r="M1214" s="4"/>
      <c r="N1214" s="4"/>
      <c r="O1214" s="4"/>
      <c r="P1214" s="4"/>
      <c r="Q1214" s="4"/>
      <c r="R1214" s="4"/>
      <c r="S1214" s="4"/>
      <c r="T1214" s="4"/>
      <c r="U1214" s="4"/>
      <c r="V1214" s="4"/>
      <c r="W1214" s="4"/>
      <c r="X1214" s="4"/>
      <c r="Y1214" s="4"/>
      <c r="Z1214" s="4"/>
    </row>
    <row r="1215" spans="1:26">
      <c r="A1215" s="5">
        <v>43497</v>
      </c>
      <c r="B1215" s="4" t="s">
        <v>20</v>
      </c>
      <c r="C1215" s="4" t="s">
        <v>18</v>
      </c>
      <c r="D1215" s="4" t="s">
        <v>14</v>
      </c>
      <c r="E1215" s="4" t="s">
        <v>13</v>
      </c>
      <c r="F1215" s="4">
        <v>2828</v>
      </c>
      <c r="G1215" s="4">
        <v>33</v>
      </c>
      <c r="H1215" s="4">
        <v>190</v>
      </c>
      <c r="I1215" s="6">
        <v>319.41199917355368</v>
      </c>
      <c r="J1215" s="4"/>
      <c r="K1215" s="4"/>
      <c r="L1215" s="4"/>
      <c r="M1215" s="4"/>
      <c r="N1215" s="4"/>
      <c r="O1215" s="4"/>
      <c r="P1215" s="4"/>
      <c r="Q1215" s="4"/>
      <c r="R1215" s="4"/>
      <c r="S1215" s="4"/>
      <c r="T1215" s="4"/>
      <c r="U1215" s="4"/>
      <c r="V1215" s="4"/>
      <c r="W1215" s="4"/>
      <c r="X1215" s="4"/>
      <c r="Y1215" s="4"/>
      <c r="Z1215" s="4"/>
    </row>
    <row r="1216" spans="1:26">
      <c r="A1216" s="5">
        <v>43497</v>
      </c>
      <c r="B1216" s="4" t="s">
        <v>20</v>
      </c>
      <c r="C1216" s="4" t="s">
        <v>18</v>
      </c>
      <c r="D1216" s="4" t="s">
        <v>15</v>
      </c>
      <c r="E1216" s="4" t="s">
        <v>12</v>
      </c>
      <c r="F1216" s="4">
        <v>1711475</v>
      </c>
      <c r="G1216" s="4">
        <v>11168</v>
      </c>
      <c r="H1216" s="4">
        <v>20964</v>
      </c>
      <c r="I1216" s="6">
        <v>3417.6635874475969</v>
      </c>
      <c r="J1216" s="4"/>
      <c r="K1216" s="4"/>
      <c r="L1216" s="4"/>
      <c r="M1216" s="4"/>
      <c r="N1216" s="4"/>
      <c r="O1216" s="4"/>
      <c r="P1216" s="4"/>
      <c r="Q1216" s="4"/>
      <c r="R1216" s="4"/>
      <c r="S1216" s="4"/>
      <c r="T1216" s="4"/>
      <c r="U1216" s="4"/>
      <c r="V1216" s="4"/>
      <c r="W1216" s="4"/>
      <c r="X1216" s="4"/>
      <c r="Y1216" s="4"/>
      <c r="Z1216" s="4"/>
    </row>
    <row r="1217" spans="1:26">
      <c r="A1217" s="5">
        <v>43497</v>
      </c>
      <c r="B1217" s="4" t="s">
        <v>20</v>
      </c>
      <c r="C1217" s="4" t="s">
        <v>18</v>
      </c>
      <c r="D1217" s="4" t="s">
        <v>15</v>
      </c>
      <c r="E1217" s="4" t="s">
        <v>13</v>
      </c>
      <c r="F1217" s="4">
        <v>594</v>
      </c>
      <c r="G1217" s="4">
        <v>5</v>
      </c>
      <c r="H1217" s="4">
        <v>16</v>
      </c>
      <c r="I1217" s="6">
        <v>116.1295238095238</v>
      </c>
      <c r="J1217" s="4"/>
      <c r="K1217" s="4"/>
      <c r="L1217" s="4"/>
      <c r="M1217" s="4"/>
      <c r="N1217" s="4"/>
      <c r="O1217" s="4"/>
      <c r="P1217" s="4"/>
      <c r="Q1217" s="4"/>
      <c r="R1217" s="4"/>
      <c r="S1217" s="4"/>
      <c r="T1217" s="4"/>
      <c r="U1217" s="4"/>
      <c r="V1217" s="4"/>
      <c r="W1217" s="4"/>
      <c r="X1217" s="4"/>
      <c r="Y1217" s="4"/>
      <c r="Z1217" s="4"/>
    </row>
    <row r="1218" spans="1:26">
      <c r="A1218" s="5">
        <v>43497</v>
      </c>
      <c r="B1218" s="4" t="s">
        <v>20</v>
      </c>
      <c r="C1218" s="4" t="s">
        <v>18</v>
      </c>
      <c r="D1218" s="4" t="s">
        <v>16</v>
      </c>
      <c r="E1218" s="4" t="s">
        <v>12</v>
      </c>
      <c r="F1218" s="4">
        <v>25169919</v>
      </c>
      <c r="G1218" s="4">
        <v>79861</v>
      </c>
      <c r="H1218" s="4">
        <v>148747</v>
      </c>
      <c r="I1218" s="6">
        <v>49081.713113885839</v>
      </c>
      <c r="J1218" s="4"/>
      <c r="K1218" s="4"/>
      <c r="L1218" s="4"/>
      <c r="M1218" s="4"/>
      <c r="N1218" s="4"/>
      <c r="O1218" s="4"/>
      <c r="P1218" s="4"/>
      <c r="Q1218" s="4"/>
      <c r="R1218" s="4"/>
      <c r="S1218" s="4"/>
      <c r="T1218" s="4"/>
      <c r="U1218" s="4"/>
      <c r="V1218" s="4"/>
      <c r="W1218" s="4"/>
      <c r="X1218" s="4"/>
      <c r="Y1218" s="4"/>
      <c r="Z1218" s="4"/>
    </row>
    <row r="1219" spans="1:26">
      <c r="A1219" s="5">
        <v>43497</v>
      </c>
      <c r="B1219" s="4" t="s">
        <v>20</v>
      </c>
      <c r="C1219" s="4" t="s">
        <v>18</v>
      </c>
      <c r="D1219" s="4" t="s">
        <v>16</v>
      </c>
      <c r="E1219" s="4" t="s">
        <v>13</v>
      </c>
      <c r="F1219" s="4">
        <v>30841</v>
      </c>
      <c r="G1219" s="4">
        <v>98</v>
      </c>
      <c r="H1219" s="4">
        <v>1068</v>
      </c>
      <c r="I1219" s="6">
        <v>1431.0953158705702</v>
      </c>
      <c r="J1219" s="4"/>
      <c r="K1219" s="4"/>
      <c r="L1219" s="4"/>
      <c r="M1219" s="4"/>
      <c r="N1219" s="4"/>
      <c r="O1219" s="4"/>
      <c r="P1219" s="4"/>
      <c r="Q1219" s="4"/>
      <c r="R1219" s="4"/>
      <c r="S1219" s="4"/>
      <c r="T1219" s="4"/>
      <c r="U1219" s="4"/>
      <c r="V1219" s="4"/>
      <c r="W1219" s="4"/>
      <c r="X1219" s="4"/>
      <c r="Y1219" s="4"/>
      <c r="Z1219" s="4"/>
    </row>
    <row r="1220" spans="1:26">
      <c r="A1220" s="5">
        <v>43497</v>
      </c>
      <c r="B1220" s="4" t="s">
        <v>20</v>
      </c>
      <c r="C1220" s="4" t="s">
        <v>18</v>
      </c>
      <c r="D1220" s="4" t="s">
        <v>17</v>
      </c>
      <c r="E1220" s="4" t="s">
        <v>12</v>
      </c>
      <c r="F1220" s="4">
        <v>4434701</v>
      </c>
      <c r="G1220" s="4">
        <v>26962</v>
      </c>
      <c r="H1220" s="4">
        <v>47364</v>
      </c>
      <c r="I1220" s="6">
        <v>16144.42769857287</v>
      </c>
      <c r="J1220" s="4"/>
      <c r="K1220" s="4"/>
      <c r="L1220" s="4"/>
      <c r="M1220" s="4"/>
      <c r="N1220" s="4"/>
      <c r="O1220" s="4"/>
      <c r="P1220" s="4"/>
      <c r="Q1220" s="4"/>
      <c r="R1220" s="4"/>
      <c r="S1220" s="4"/>
      <c r="T1220" s="4"/>
      <c r="U1220" s="4"/>
      <c r="V1220" s="4"/>
      <c r="W1220" s="4"/>
      <c r="X1220" s="4"/>
      <c r="Y1220" s="4"/>
      <c r="Z1220" s="4"/>
    </row>
    <row r="1221" spans="1:26">
      <c r="A1221" s="5">
        <v>43497</v>
      </c>
      <c r="B1221" s="4" t="s">
        <v>20</v>
      </c>
      <c r="C1221" s="4" t="s">
        <v>18</v>
      </c>
      <c r="D1221" s="4" t="s">
        <v>17</v>
      </c>
      <c r="E1221" s="4" t="s">
        <v>13</v>
      </c>
      <c r="F1221" s="4">
        <v>1790</v>
      </c>
      <c r="G1221" s="4">
        <v>25</v>
      </c>
      <c r="H1221" s="4">
        <v>139</v>
      </c>
      <c r="I1221" s="6">
        <v>86.837228260869566</v>
      </c>
      <c r="J1221" s="4"/>
      <c r="K1221" s="4"/>
      <c r="L1221" s="4"/>
      <c r="M1221" s="4"/>
      <c r="N1221" s="4"/>
      <c r="O1221" s="4"/>
      <c r="P1221" s="4"/>
      <c r="Q1221" s="4"/>
      <c r="R1221" s="4"/>
      <c r="S1221" s="4"/>
      <c r="T1221" s="4"/>
      <c r="U1221" s="4"/>
      <c r="V1221" s="4"/>
      <c r="W1221" s="4"/>
      <c r="X1221" s="4"/>
      <c r="Y1221" s="4"/>
      <c r="Z1221" s="4"/>
    </row>
    <row r="1222" spans="1:26">
      <c r="A1222" s="5">
        <v>43497</v>
      </c>
      <c r="B1222" s="4" t="s">
        <v>20</v>
      </c>
      <c r="C1222" s="4" t="s">
        <v>19</v>
      </c>
      <c r="D1222" s="4" t="s">
        <v>11</v>
      </c>
      <c r="E1222" s="4" t="s">
        <v>12</v>
      </c>
      <c r="F1222" s="4">
        <v>875577</v>
      </c>
      <c r="G1222" s="4">
        <v>2578</v>
      </c>
      <c r="H1222" s="4">
        <v>2773</v>
      </c>
      <c r="I1222" s="6">
        <v>9710.400046097111</v>
      </c>
      <c r="J1222" s="4"/>
      <c r="K1222" s="4"/>
      <c r="L1222" s="4"/>
      <c r="M1222" s="4"/>
      <c r="N1222" s="4"/>
      <c r="O1222" s="4"/>
      <c r="P1222" s="4"/>
      <c r="Q1222" s="4"/>
      <c r="R1222" s="4"/>
      <c r="S1222" s="4"/>
      <c r="T1222" s="4"/>
      <c r="U1222" s="4"/>
      <c r="V1222" s="4"/>
      <c r="W1222" s="4"/>
      <c r="X1222" s="4"/>
      <c r="Y1222" s="4"/>
      <c r="Z1222" s="4"/>
    </row>
    <row r="1223" spans="1:26">
      <c r="A1223" s="5">
        <v>43497</v>
      </c>
      <c r="B1223" s="4" t="s">
        <v>20</v>
      </c>
      <c r="C1223" s="4" t="s">
        <v>19</v>
      </c>
      <c r="D1223" s="4" t="s">
        <v>11</v>
      </c>
      <c r="E1223" s="4" t="s">
        <v>13</v>
      </c>
      <c r="F1223" s="4">
        <v>1192</v>
      </c>
      <c r="G1223" s="4">
        <v>45</v>
      </c>
      <c r="H1223" s="4">
        <v>265</v>
      </c>
      <c r="I1223" s="6">
        <v>1248.252529761905</v>
      </c>
      <c r="J1223" s="4"/>
      <c r="K1223" s="4"/>
      <c r="L1223" s="4"/>
      <c r="M1223" s="4"/>
      <c r="N1223" s="4"/>
      <c r="O1223" s="4"/>
      <c r="P1223" s="4"/>
      <c r="Q1223" s="4"/>
      <c r="R1223" s="4"/>
      <c r="S1223" s="4"/>
      <c r="T1223" s="4"/>
      <c r="U1223" s="4"/>
      <c r="V1223" s="4"/>
      <c r="W1223" s="4"/>
      <c r="X1223" s="4"/>
      <c r="Y1223" s="4"/>
      <c r="Z1223" s="4"/>
    </row>
    <row r="1224" spans="1:26">
      <c r="A1224" s="5">
        <v>43497</v>
      </c>
      <c r="B1224" s="4" t="s">
        <v>20</v>
      </c>
      <c r="C1224" s="4" t="s">
        <v>19</v>
      </c>
      <c r="D1224" s="4" t="s">
        <v>14</v>
      </c>
      <c r="E1224" s="4" t="s">
        <v>12</v>
      </c>
      <c r="F1224" s="4">
        <v>2060158</v>
      </c>
      <c r="G1224" s="4">
        <v>6625</v>
      </c>
      <c r="H1224" s="4">
        <v>6693</v>
      </c>
      <c r="I1224" s="6">
        <v>20570.283429336054</v>
      </c>
      <c r="J1224" s="4"/>
      <c r="K1224" s="4"/>
      <c r="L1224" s="4"/>
      <c r="M1224" s="4"/>
      <c r="N1224" s="4"/>
      <c r="O1224" s="4"/>
      <c r="P1224" s="4"/>
      <c r="Q1224" s="4"/>
      <c r="R1224" s="4"/>
      <c r="S1224" s="4"/>
      <c r="T1224" s="4"/>
      <c r="U1224" s="4"/>
      <c r="V1224" s="4"/>
      <c r="W1224" s="4"/>
      <c r="X1224" s="4"/>
      <c r="Y1224" s="4"/>
      <c r="Z1224" s="4"/>
    </row>
    <row r="1225" spans="1:26">
      <c r="A1225" s="5">
        <v>43497</v>
      </c>
      <c r="B1225" s="4" t="s">
        <v>20</v>
      </c>
      <c r="C1225" s="4" t="s">
        <v>19</v>
      </c>
      <c r="D1225" s="4" t="s">
        <v>14</v>
      </c>
      <c r="E1225" s="4" t="s">
        <v>13</v>
      </c>
      <c r="F1225" s="4">
        <v>3113</v>
      </c>
      <c r="G1225" s="4">
        <v>124</v>
      </c>
      <c r="H1225" s="4">
        <v>514</v>
      </c>
      <c r="I1225" s="6">
        <v>2428.2698713826362</v>
      </c>
      <c r="J1225" s="4"/>
      <c r="K1225" s="4"/>
      <c r="L1225" s="4"/>
      <c r="M1225" s="4"/>
      <c r="N1225" s="4"/>
      <c r="O1225" s="4"/>
      <c r="P1225" s="4"/>
      <c r="Q1225" s="4"/>
      <c r="R1225" s="4"/>
      <c r="S1225" s="4"/>
      <c r="T1225" s="4"/>
      <c r="U1225" s="4"/>
      <c r="V1225" s="4"/>
      <c r="W1225" s="4"/>
      <c r="X1225" s="4"/>
      <c r="Y1225" s="4"/>
      <c r="Z1225" s="4"/>
    </row>
    <row r="1226" spans="1:26">
      <c r="A1226" s="5">
        <v>43497</v>
      </c>
      <c r="B1226" s="4" t="s">
        <v>20</v>
      </c>
      <c r="C1226" s="4" t="s">
        <v>19</v>
      </c>
      <c r="D1226" s="4" t="s">
        <v>15</v>
      </c>
      <c r="E1226" s="4" t="s">
        <v>12</v>
      </c>
      <c r="F1226" s="4">
        <v>535599</v>
      </c>
      <c r="G1226" s="4">
        <v>1801</v>
      </c>
      <c r="H1226" s="4">
        <v>1824</v>
      </c>
      <c r="I1226" s="6">
        <v>6613.2676119402986</v>
      </c>
      <c r="J1226" s="4"/>
      <c r="K1226" s="4"/>
      <c r="L1226" s="4"/>
      <c r="M1226" s="4"/>
      <c r="N1226" s="4"/>
      <c r="O1226" s="4"/>
      <c r="P1226" s="4"/>
      <c r="Q1226" s="4"/>
      <c r="R1226" s="4"/>
      <c r="S1226" s="4"/>
      <c r="T1226" s="4"/>
      <c r="U1226" s="4"/>
      <c r="V1226" s="4"/>
      <c r="W1226" s="4"/>
      <c r="X1226" s="4"/>
      <c r="Y1226" s="4"/>
      <c r="Z1226" s="4"/>
    </row>
    <row r="1227" spans="1:26">
      <c r="A1227" s="5">
        <v>43497</v>
      </c>
      <c r="B1227" s="4" t="s">
        <v>20</v>
      </c>
      <c r="C1227" s="4" t="s">
        <v>19</v>
      </c>
      <c r="D1227" s="4" t="s">
        <v>15</v>
      </c>
      <c r="E1227" s="4" t="s">
        <v>13</v>
      </c>
      <c r="F1227" s="4">
        <v>541</v>
      </c>
      <c r="G1227" s="4">
        <v>20</v>
      </c>
      <c r="H1227" s="4">
        <v>203</v>
      </c>
      <c r="I1227" s="6">
        <v>279.88357894736845</v>
      </c>
      <c r="J1227" s="4"/>
      <c r="K1227" s="4"/>
      <c r="L1227" s="4"/>
      <c r="M1227" s="4"/>
      <c r="N1227" s="4"/>
      <c r="O1227" s="4"/>
      <c r="P1227" s="4"/>
      <c r="Q1227" s="4"/>
      <c r="R1227" s="4"/>
      <c r="S1227" s="4"/>
      <c r="T1227" s="4"/>
      <c r="U1227" s="4"/>
      <c r="V1227" s="4"/>
      <c r="W1227" s="4"/>
      <c r="X1227" s="4"/>
      <c r="Y1227" s="4"/>
      <c r="Z1227" s="4"/>
    </row>
    <row r="1228" spans="1:26">
      <c r="A1228" s="5">
        <v>43497</v>
      </c>
      <c r="B1228" s="4" t="s">
        <v>20</v>
      </c>
      <c r="C1228" s="4" t="s">
        <v>19</v>
      </c>
      <c r="D1228" s="4" t="s">
        <v>16</v>
      </c>
      <c r="E1228" s="4" t="s">
        <v>12</v>
      </c>
      <c r="F1228" s="4">
        <v>4810151</v>
      </c>
      <c r="G1228" s="4">
        <v>12974</v>
      </c>
      <c r="H1228" s="4">
        <v>13302</v>
      </c>
      <c r="I1228" s="6">
        <v>61762.647692603758</v>
      </c>
      <c r="J1228" s="4"/>
      <c r="K1228" s="4"/>
      <c r="L1228" s="4"/>
      <c r="M1228" s="4"/>
      <c r="N1228" s="4"/>
      <c r="O1228" s="4"/>
      <c r="P1228" s="4"/>
      <c r="Q1228" s="4"/>
      <c r="R1228" s="4"/>
      <c r="S1228" s="4"/>
      <c r="T1228" s="4"/>
      <c r="U1228" s="4"/>
      <c r="V1228" s="4"/>
      <c r="W1228" s="4"/>
      <c r="X1228" s="4"/>
      <c r="Y1228" s="4"/>
      <c r="Z1228" s="4"/>
    </row>
    <row r="1229" spans="1:26">
      <c r="A1229" s="5">
        <v>43497</v>
      </c>
      <c r="B1229" s="4" t="s">
        <v>20</v>
      </c>
      <c r="C1229" s="4" t="s">
        <v>19</v>
      </c>
      <c r="D1229" s="4" t="s">
        <v>16</v>
      </c>
      <c r="E1229" s="4" t="s">
        <v>13</v>
      </c>
      <c r="F1229" s="4">
        <v>4779</v>
      </c>
      <c r="G1229" s="4">
        <v>191</v>
      </c>
      <c r="H1229" s="4">
        <v>979</v>
      </c>
      <c r="I1229" s="6">
        <v>5914.1147134302819</v>
      </c>
      <c r="J1229" s="4"/>
      <c r="K1229" s="4"/>
      <c r="L1229" s="4"/>
      <c r="M1229" s="4"/>
      <c r="N1229" s="4"/>
      <c r="O1229" s="4"/>
      <c r="P1229" s="4"/>
      <c r="Q1229" s="4"/>
      <c r="R1229" s="4"/>
      <c r="S1229" s="4"/>
      <c r="T1229" s="4"/>
      <c r="U1229" s="4"/>
      <c r="V1229" s="4"/>
      <c r="W1229" s="4"/>
      <c r="X1229" s="4"/>
      <c r="Y1229" s="4"/>
      <c r="Z1229" s="4"/>
    </row>
    <row r="1230" spans="1:26">
      <c r="A1230" s="5">
        <v>43497</v>
      </c>
      <c r="B1230" s="4" t="s">
        <v>20</v>
      </c>
      <c r="C1230" s="4" t="s">
        <v>19</v>
      </c>
      <c r="D1230" s="4" t="s">
        <v>17</v>
      </c>
      <c r="E1230" s="4" t="s">
        <v>12</v>
      </c>
      <c r="F1230" s="4">
        <v>1470454</v>
      </c>
      <c r="G1230" s="4">
        <v>4603</v>
      </c>
      <c r="H1230" s="4">
        <v>4647</v>
      </c>
      <c r="I1230" s="6">
        <v>18392.372301339696</v>
      </c>
      <c r="J1230" s="4"/>
      <c r="K1230" s="4"/>
      <c r="L1230" s="4"/>
      <c r="M1230" s="4"/>
      <c r="N1230" s="4"/>
      <c r="O1230" s="4"/>
      <c r="P1230" s="4"/>
      <c r="Q1230" s="4"/>
      <c r="R1230" s="4"/>
      <c r="S1230" s="4"/>
      <c r="T1230" s="4"/>
      <c r="U1230" s="4"/>
      <c r="V1230" s="4"/>
      <c r="W1230" s="4"/>
      <c r="X1230" s="4"/>
      <c r="Y1230" s="4"/>
      <c r="Z1230" s="4"/>
    </row>
    <row r="1231" spans="1:26">
      <c r="A1231" s="5">
        <v>43497</v>
      </c>
      <c r="B1231" s="4" t="s">
        <v>20</v>
      </c>
      <c r="C1231" s="4" t="s">
        <v>19</v>
      </c>
      <c r="D1231" s="4" t="s">
        <v>17</v>
      </c>
      <c r="E1231" s="4" t="s">
        <v>13</v>
      </c>
      <c r="F1231" s="4">
        <v>1711</v>
      </c>
      <c r="G1231" s="4">
        <v>57</v>
      </c>
      <c r="H1231" s="4">
        <v>673</v>
      </c>
      <c r="I1231" s="6">
        <v>1464.4447914183552</v>
      </c>
      <c r="J1231" s="4"/>
      <c r="K1231" s="4"/>
      <c r="L1231" s="4"/>
      <c r="M1231" s="4"/>
      <c r="N1231" s="4"/>
      <c r="O1231" s="4"/>
      <c r="P1231" s="4"/>
      <c r="Q1231" s="4"/>
      <c r="R1231" s="4"/>
      <c r="S1231" s="4"/>
      <c r="T1231" s="4"/>
      <c r="U1231" s="4"/>
      <c r="V1231" s="4"/>
      <c r="W1231" s="4"/>
      <c r="X1231" s="4"/>
      <c r="Y1231" s="4"/>
      <c r="Z1231" s="4"/>
    </row>
    <row r="1232" spans="1:26">
      <c r="A1232" s="5">
        <v>43497</v>
      </c>
      <c r="B1232" s="4" t="s">
        <v>21</v>
      </c>
      <c r="C1232" s="4" t="s">
        <v>10</v>
      </c>
      <c r="D1232" s="4" t="s">
        <v>11</v>
      </c>
      <c r="E1232" s="4" t="s">
        <v>12</v>
      </c>
      <c r="F1232" s="4">
        <v>1533339</v>
      </c>
      <c r="G1232" s="4">
        <v>12180</v>
      </c>
      <c r="H1232" s="4">
        <v>15280</v>
      </c>
      <c r="I1232" s="6">
        <v>22737.212594661007</v>
      </c>
      <c r="J1232" s="4"/>
      <c r="K1232" s="4"/>
      <c r="L1232" s="4"/>
      <c r="M1232" s="4"/>
      <c r="N1232" s="4"/>
      <c r="O1232" s="4"/>
      <c r="P1232" s="4"/>
      <c r="Q1232" s="4"/>
      <c r="R1232" s="4"/>
      <c r="S1232" s="4"/>
      <c r="T1232" s="4"/>
      <c r="U1232" s="4"/>
      <c r="V1232" s="4"/>
      <c r="W1232" s="4"/>
      <c r="X1232" s="4"/>
      <c r="Y1232" s="4"/>
      <c r="Z1232" s="4"/>
    </row>
    <row r="1233" spans="1:26">
      <c r="A1233" s="5">
        <v>43497</v>
      </c>
      <c r="B1233" s="4" t="s">
        <v>21</v>
      </c>
      <c r="C1233" s="4" t="s">
        <v>10</v>
      </c>
      <c r="D1233" s="4" t="s">
        <v>11</v>
      </c>
      <c r="E1233" s="4" t="s">
        <v>13</v>
      </c>
      <c r="F1233" s="4">
        <v>18420</v>
      </c>
      <c r="G1233" s="4">
        <v>1059</v>
      </c>
      <c r="H1233" s="4">
        <v>17820</v>
      </c>
      <c r="I1233" s="6">
        <v>98525.991745485822</v>
      </c>
      <c r="J1233" s="4"/>
      <c r="K1233" s="4"/>
      <c r="L1233" s="4"/>
      <c r="M1233" s="4"/>
      <c r="N1233" s="4"/>
      <c r="O1233" s="4"/>
      <c r="P1233" s="4"/>
      <c r="Q1233" s="4"/>
      <c r="R1233" s="4"/>
      <c r="S1233" s="4"/>
      <c r="T1233" s="4"/>
      <c r="U1233" s="4"/>
      <c r="V1233" s="4"/>
      <c r="W1233" s="4"/>
      <c r="X1233" s="4"/>
      <c r="Y1233" s="4"/>
      <c r="Z1233" s="4"/>
    </row>
    <row r="1234" spans="1:26">
      <c r="A1234" s="5">
        <v>43497</v>
      </c>
      <c r="B1234" s="4" t="s">
        <v>21</v>
      </c>
      <c r="C1234" s="4" t="s">
        <v>10</v>
      </c>
      <c r="D1234" s="4" t="s">
        <v>14</v>
      </c>
      <c r="E1234" s="4" t="s">
        <v>12</v>
      </c>
      <c r="F1234" s="4">
        <v>2356480</v>
      </c>
      <c r="G1234" s="4">
        <v>14162</v>
      </c>
      <c r="H1234" s="4">
        <v>16139</v>
      </c>
      <c r="I1234" s="6">
        <v>34294.129074661592</v>
      </c>
      <c r="J1234" s="4"/>
      <c r="K1234" s="4"/>
      <c r="L1234" s="4"/>
      <c r="M1234" s="4"/>
      <c r="N1234" s="4"/>
      <c r="O1234" s="4"/>
      <c r="P1234" s="4"/>
      <c r="Q1234" s="4"/>
      <c r="R1234" s="4"/>
      <c r="S1234" s="4"/>
      <c r="T1234" s="4"/>
      <c r="U1234" s="4"/>
      <c r="V1234" s="4"/>
      <c r="W1234" s="4"/>
      <c r="X1234" s="4"/>
      <c r="Y1234" s="4"/>
      <c r="Z1234" s="4"/>
    </row>
    <row r="1235" spans="1:26">
      <c r="A1235" s="5">
        <v>43497</v>
      </c>
      <c r="B1235" s="4" t="s">
        <v>21</v>
      </c>
      <c r="C1235" s="4" t="s">
        <v>10</v>
      </c>
      <c r="D1235" s="4" t="s">
        <v>14</v>
      </c>
      <c r="E1235" s="4" t="s">
        <v>13</v>
      </c>
      <c r="F1235" s="4">
        <v>22292</v>
      </c>
      <c r="G1235" s="4">
        <v>1391</v>
      </c>
      <c r="H1235" s="4">
        <v>19118</v>
      </c>
      <c r="I1235" s="6">
        <v>116493.4363024312</v>
      </c>
      <c r="J1235" s="4"/>
      <c r="K1235" s="4"/>
      <c r="L1235" s="4"/>
      <c r="M1235" s="4"/>
      <c r="N1235" s="4"/>
      <c r="O1235" s="4"/>
      <c r="P1235" s="4"/>
      <c r="Q1235" s="4"/>
      <c r="R1235" s="4"/>
      <c r="S1235" s="4"/>
      <c r="T1235" s="4"/>
      <c r="U1235" s="4"/>
      <c r="V1235" s="4"/>
      <c r="W1235" s="4"/>
      <c r="X1235" s="4"/>
      <c r="Y1235" s="4"/>
      <c r="Z1235" s="4"/>
    </row>
    <row r="1236" spans="1:26">
      <c r="A1236" s="5">
        <v>43497</v>
      </c>
      <c r="B1236" s="4" t="s">
        <v>21</v>
      </c>
      <c r="C1236" s="4" t="s">
        <v>10</v>
      </c>
      <c r="D1236" s="4" t="s">
        <v>15</v>
      </c>
      <c r="E1236" s="4" t="s">
        <v>12</v>
      </c>
      <c r="F1236" s="4">
        <v>625874</v>
      </c>
      <c r="G1236" s="4">
        <v>3910</v>
      </c>
      <c r="H1236" s="4">
        <v>4589</v>
      </c>
      <c r="I1236" s="6">
        <v>8449.4045893719795</v>
      </c>
      <c r="J1236" s="4"/>
      <c r="K1236" s="4"/>
      <c r="L1236" s="4"/>
      <c r="M1236" s="4"/>
      <c r="N1236" s="4"/>
      <c r="O1236" s="4"/>
      <c r="P1236" s="4"/>
      <c r="Q1236" s="4"/>
      <c r="R1236" s="4"/>
      <c r="S1236" s="4"/>
      <c r="T1236" s="4"/>
      <c r="U1236" s="4"/>
      <c r="V1236" s="4"/>
      <c r="W1236" s="4"/>
      <c r="X1236" s="4"/>
      <c r="Y1236" s="4"/>
      <c r="Z1236" s="4"/>
    </row>
    <row r="1237" spans="1:26">
      <c r="A1237" s="5">
        <v>43497</v>
      </c>
      <c r="B1237" s="4" t="s">
        <v>21</v>
      </c>
      <c r="C1237" s="4" t="s">
        <v>10</v>
      </c>
      <c r="D1237" s="4" t="s">
        <v>15</v>
      </c>
      <c r="E1237" s="4" t="s">
        <v>13</v>
      </c>
      <c r="F1237" s="4">
        <v>5479</v>
      </c>
      <c r="G1237" s="4">
        <v>353</v>
      </c>
      <c r="H1237" s="4">
        <v>3842</v>
      </c>
      <c r="I1237" s="6">
        <v>28191.99960973471</v>
      </c>
      <c r="J1237" s="4"/>
      <c r="K1237" s="4"/>
      <c r="L1237" s="4"/>
      <c r="M1237" s="4"/>
      <c r="N1237" s="4"/>
      <c r="O1237" s="4"/>
      <c r="P1237" s="4"/>
      <c r="Q1237" s="4"/>
      <c r="R1237" s="4"/>
      <c r="S1237" s="4"/>
      <c r="T1237" s="4"/>
      <c r="U1237" s="4"/>
      <c r="V1237" s="4"/>
      <c r="W1237" s="4"/>
      <c r="X1237" s="4"/>
      <c r="Y1237" s="4"/>
      <c r="Z1237" s="4"/>
    </row>
    <row r="1238" spans="1:26">
      <c r="A1238" s="5">
        <v>43497</v>
      </c>
      <c r="B1238" s="4" t="s">
        <v>21</v>
      </c>
      <c r="C1238" s="4" t="s">
        <v>10</v>
      </c>
      <c r="D1238" s="4" t="s">
        <v>16</v>
      </c>
      <c r="E1238" s="4" t="s">
        <v>12</v>
      </c>
      <c r="F1238" s="4">
        <v>7980860</v>
      </c>
      <c r="G1238" s="4">
        <v>64524</v>
      </c>
      <c r="H1238" s="4">
        <v>71463</v>
      </c>
      <c r="I1238" s="6">
        <v>175498.8895134186</v>
      </c>
      <c r="J1238" s="4"/>
      <c r="K1238" s="4"/>
      <c r="L1238" s="4"/>
      <c r="M1238" s="4"/>
      <c r="N1238" s="4"/>
      <c r="O1238" s="4"/>
      <c r="P1238" s="4"/>
      <c r="Q1238" s="4"/>
      <c r="R1238" s="4"/>
      <c r="S1238" s="4"/>
      <c r="T1238" s="4"/>
      <c r="U1238" s="4"/>
      <c r="V1238" s="4"/>
      <c r="W1238" s="4"/>
      <c r="X1238" s="4"/>
      <c r="Y1238" s="4"/>
      <c r="Z1238" s="4"/>
    </row>
    <row r="1239" spans="1:26">
      <c r="A1239" s="5">
        <v>43497</v>
      </c>
      <c r="B1239" s="4" t="s">
        <v>21</v>
      </c>
      <c r="C1239" s="4" t="s">
        <v>10</v>
      </c>
      <c r="D1239" s="4" t="s">
        <v>16</v>
      </c>
      <c r="E1239" s="4" t="s">
        <v>13</v>
      </c>
      <c r="F1239" s="4">
        <v>97991</v>
      </c>
      <c r="G1239" s="4">
        <v>6814</v>
      </c>
      <c r="H1239" s="4">
        <v>98169</v>
      </c>
      <c r="I1239" s="6">
        <v>552084.93310263031</v>
      </c>
      <c r="J1239" s="4"/>
      <c r="K1239" s="4"/>
      <c r="L1239" s="4"/>
      <c r="M1239" s="4"/>
      <c r="N1239" s="4"/>
      <c r="O1239" s="4"/>
      <c r="P1239" s="4"/>
      <c r="Q1239" s="4"/>
      <c r="R1239" s="4"/>
      <c r="S1239" s="4"/>
      <c r="T1239" s="4"/>
      <c r="U1239" s="4"/>
      <c r="V1239" s="4"/>
      <c r="W1239" s="4"/>
      <c r="X1239" s="4"/>
      <c r="Y1239" s="4"/>
      <c r="Z1239" s="4"/>
    </row>
    <row r="1240" spans="1:26">
      <c r="A1240" s="5">
        <v>43497</v>
      </c>
      <c r="B1240" s="4" t="s">
        <v>21</v>
      </c>
      <c r="C1240" s="4" t="s">
        <v>10</v>
      </c>
      <c r="D1240" s="4" t="s">
        <v>17</v>
      </c>
      <c r="E1240" s="4" t="s">
        <v>12</v>
      </c>
      <c r="F1240" s="4">
        <v>2610520</v>
      </c>
      <c r="G1240" s="4">
        <v>26790</v>
      </c>
      <c r="H1240" s="4">
        <v>29248</v>
      </c>
      <c r="I1240" s="6">
        <v>72362.525533864435</v>
      </c>
      <c r="J1240" s="4"/>
      <c r="K1240" s="4"/>
      <c r="L1240" s="4"/>
      <c r="M1240" s="4"/>
      <c r="N1240" s="4"/>
      <c r="O1240" s="4"/>
      <c r="P1240" s="4"/>
      <c r="Q1240" s="4"/>
      <c r="R1240" s="4"/>
      <c r="S1240" s="4"/>
      <c r="T1240" s="4"/>
      <c r="U1240" s="4"/>
      <c r="V1240" s="4"/>
      <c r="W1240" s="4"/>
      <c r="X1240" s="4"/>
      <c r="Y1240" s="4"/>
      <c r="Z1240" s="4"/>
    </row>
    <row r="1241" spans="1:26">
      <c r="A1241" s="5">
        <v>43497</v>
      </c>
      <c r="B1241" s="4" t="s">
        <v>21</v>
      </c>
      <c r="C1241" s="4" t="s">
        <v>10</v>
      </c>
      <c r="D1241" s="4" t="s">
        <v>17</v>
      </c>
      <c r="E1241" s="4" t="s">
        <v>13</v>
      </c>
      <c r="F1241" s="4">
        <v>37442</v>
      </c>
      <c r="G1241" s="4">
        <v>3014</v>
      </c>
      <c r="H1241" s="4">
        <v>43568</v>
      </c>
      <c r="I1241" s="6">
        <v>238578.36799999999</v>
      </c>
      <c r="J1241" s="4"/>
      <c r="K1241" s="4"/>
      <c r="L1241" s="4"/>
      <c r="M1241" s="4"/>
      <c r="N1241" s="4"/>
      <c r="O1241" s="4"/>
      <c r="P1241" s="4"/>
      <c r="Q1241" s="4"/>
      <c r="R1241" s="4"/>
      <c r="S1241" s="4"/>
      <c r="T1241" s="4"/>
      <c r="U1241" s="4"/>
      <c r="V1241" s="4"/>
      <c r="W1241" s="4"/>
      <c r="X1241" s="4"/>
      <c r="Y1241" s="4"/>
      <c r="Z1241" s="4"/>
    </row>
    <row r="1242" spans="1:26">
      <c r="A1242" s="5">
        <v>43497</v>
      </c>
      <c r="B1242" s="4" t="s">
        <v>21</v>
      </c>
      <c r="C1242" s="4" t="s">
        <v>18</v>
      </c>
      <c r="D1242" s="4" t="s">
        <v>11</v>
      </c>
      <c r="E1242" s="4" t="s">
        <v>12</v>
      </c>
      <c r="F1242" s="4">
        <v>1792708</v>
      </c>
      <c r="G1242" s="4">
        <v>31514</v>
      </c>
      <c r="H1242" s="4">
        <v>137100</v>
      </c>
      <c r="I1242" s="6">
        <v>73062.678694158094</v>
      </c>
      <c r="J1242" s="4"/>
      <c r="K1242" s="4"/>
      <c r="L1242" s="4"/>
      <c r="M1242" s="4"/>
      <c r="N1242" s="4"/>
      <c r="O1242" s="4"/>
      <c r="P1242" s="4"/>
      <c r="Q1242" s="4"/>
      <c r="R1242" s="4"/>
      <c r="S1242" s="4"/>
      <c r="T1242" s="4"/>
      <c r="U1242" s="4"/>
      <c r="V1242" s="4"/>
      <c r="W1242" s="4"/>
      <c r="X1242" s="4"/>
      <c r="Y1242" s="4"/>
      <c r="Z1242" s="4"/>
    </row>
    <row r="1243" spans="1:26">
      <c r="A1243" s="5">
        <v>43497</v>
      </c>
      <c r="B1243" s="4" t="s">
        <v>21</v>
      </c>
      <c r="C1243" s="4" t="s">
        <v>18</v>
      </c>
      <c r="D1243" s="4" t="s">
        <v>11</v>
      </c>
      <c r="E1243" s="4" t="s">
        <v>13</v>
      </c>
      <c r="F1243" s="4">
        <v>12652</v>
      </c>
      <c r="G1243" s="4">
        <v>367</v>
      </c>
      <c r="H1243" s="4">
        <v>16270</v>
      </c>
      <c r="I1243" s="6">
        <v>12861.882739982329</v>
      </c>
      <c r="J1243" s="4"/>
      <c r="K1243" s="4"/>
      <c r="L1243" s="4"/>
      <c r="M1243" s="4"/>
      <c r="N1243" s="4"/>
      <c r="O1243" s="4"/>
      <c r="P1243" s="4"/>
      <c r="Q1243" s="4"/>
      <c r="R1243" s="4"/>
      <c r="S1243" s="4"/>
      <c r="T1243" s="4"/>
      <c r="U1243" s="4"/>
      <c r="V1243" s="4"/>
      <c r="W1243" s="4"/>
      <c r="X1243" s="4"/>
      <c r="Y1243" s="4"/>
      <c r="Z1243" s="4"/>
    </row>
    <row r="1244" spans="1:26">
      <c r="A1244" s="5">
        <v>43497</v>
      </c>
      <c r="B1244" s="4" t="s">
        <v>21</v>
      </c>
      <c r="C1244" s="4" t="s">
        <v>18</v>
      </c>
      <c r="D1244" s="4" t="s">
        <v>14</v>
      </c>
      <c r="E1244" s="4" t="s">
        <v>12</v>
      </c>
      <c r="F1244" s="4">
        <v>2813862</v>
      </c>
      <c r="G1244" s="4">
        <v>44916</v>
      </c>
      <c r="H1244" s="4">
        <v>168212</v>
      </c>
      <c r="I1244" s="6">
        <v>80664.500417793533</v>
      </c>
      <c r="J1244" s="4"/>
      <c r="K1244" s="4"/>
      <c r="L1244" s="4"/>
      <c r="M1244" s="4"/>
      <c r="N1244" s="4"/>
      <c r="O1244" s="4"/>
      <c r="P1244" s="4"/>
      <c r="Q1244" s="4"/>
      <c r="R1244" s="4"/>
      <c r="S1244" s="4"/>
      <c r="T1244" s="4"/>
      <c r="U1244" s="4"/>
      <c r="V1244" s="4"/>
      <c r="W1244" s="4"/>
      <c r="X1244" s="4"/>
      <c r="Y1244" s="4"/>
      <c r="Z1244" s="4"/>
    </row>
    <row r="1245" spans="1:26">
      <c r="A1245" s="5">
        <v>43497</v>
      </c>
      <c r="B1245" s="4" t="s">
        <v>21</v>
      </c>
      <c r="C1245" s="4" t="s">
        <v>18</v>
      </c>
      <c r="D1245" s="4" t="s">
        <v>14</v>
      </c>
      <c r="E1245" s="4" t="s">
        <v>13</v>
      </c>
      <c r="F1245" s="4">
        <v>16446</v>
      </c>
      <c r="G1245" s="4">
        <v>417</v>
      </c>
      <c r="H1245" s="4">
        <v>10018</v>
      </c>
      <c r="I1245" s="6">
        <v>12629.290862944163</v>
      </c>
      <c r="J1245" s="4"/>
      <c r="K1245" s="4"/>
      <c r="L1245" s="4"/>
      <c r="M1245" s="4"/>
      <c r="N1245" s="4"/>
      <c r="O1245" s="4"/>
      <c r="P1245" s="4"/>
      <c r="Q1245" s="4"/>
      <c r="R1245" s="4"/>
      <c r="S1245" s="4"/>
      <c r="T1245" s="4"/>
      <c r="U1245" s="4"/>
      <c r="V1245" s="4"/>
      <c r="W1245" s="4"/>
      <c r="X1245" s="4"/>
      <c r="Y1245" s="4"/>
      <c r="Z1245" s="4"/>
    </row>
    <row r="1246" spans="1:26">
      <c r="A1246" s="5">
        <v>43497</v>
      </c>
      <c r="B1246" s="4" t="s">
        <v>21</v>
      </c>
      <c r="C1246" s="4" t="s">
        <v>18</v>
      </c>
      <c r="D1246" s="4" t="s">
        <v>15</v>
      </c>
      <c r="E1246" s="4" t="s">
        <v>12</v>
      </c>
      <c r="F1246" s="4">
        <v>971959</v>
      </c>
      <c r="G1246" s="4">
        <v>14088</v>
      </c>
      <c r="H1246" s="4">
        <v>67301</v>
      </c>
      <c r="I1246" s="6">
        <v>21445.225096554957</v>
      </c>
      <c r="J1246" s="4"/>
      <c r="K1246" s="4"/>
      <c r="L1246" s="4"/>
      <c r="M1246" s="4"/>
      <c r="N1246" s="4"/>
      <c r="O1246" s="4"/>
      <c r="P1246" s="4"/>
      <c r="Q1246" s="4"/>
      <c r="R1246" s="4"/>
      <c r="S1246" s="4"/>
      <c r="T1246" s="4"/>
      <c r="U1246" s="4"/>
      <c r="V1246" s="4"/>
      <c r="W1246" s="4"/>
      <c r="X1246" s="4"/>
      <c r="Y1246" s="4"/>
      <c r="Z1246" s="4"/>
    </row>
    <row r="1247" spans="1:26">
      <c r="A1247" s="5">
        <v>43497</v>
      </c>
      <c r="B1247" s="4" t="s">
        <v>21</v>
      </c>
      <c r="C1247" s="4" t="s">
        <v>18</v>
      </c>
      <c r="D1247" s="4" t="s">
        <v>15</v>
      </c>
      <c r="E1247" s="4" t="s">
        <v>13</v>
      </c>
      <c r="F1247" s="4">
        <v>5036</v>
      </c>
      <c r="G1247" s="4">
        <v>156</v>
      </c>
      <c r="H1247" s="4">
        <v>4064</v>
      </c>
      <c r="I1247" s="6">
        <v>2218.8626868109432</v>
      </c>
      <c r="J1247" s="4"/>
      <c r="K1247" s="4"/>
      <c r="L1247" s="4"/>
      <c r="M1247" s="4"/>
      <c r="N1247" s="4"/>
      <c r="O1247" s="4"/>
      <c r="P1247" s="4"/>
      <c r="Q1247" s="4"/>
      <c r="R1247" s="4"/>
      <c r="S1247" s="4"/>
      <c r="T1247" s="4"/>
      <c r="U1247" s="4"/>
      <c r="V1247" s="4"/>
      <c r="W1247" s="4"/>
      <c r="X1247" s="4"/>
      <c r="Y1247" s="4"/>
      <c r="Z1247" s="4"/>
    </row>
    <row r="1248" spans="1:26">
      <c r="A1248" s="5">
        <v>43497</v>
      </c>
      <c r="B1248" s="4" t="s">
        <v>21</v>
      </c>
      <c r="C1248" s="4" t="s">
        <v>18</v>
      </c>
      <c r="D1248" s="4" t="s">
        <v>16</v>
      </c>
      <c r="E1248" s="4" t="s">
        <v>12</v>
      </c>
      <c r="F1248" s="4">
        <v>24646504</v>
      </c>
      <c r="G1248" s="4">
        <v>137127</v>
      </c>
      <c r="H1248" s="4">
        <v>490158</v>
      </c>
      <c r="I1248" s="6">
        <v>310453.11735173652</v>
      </c>
      <c r="J1248" s="4"/>
      <c r="K1248" s="4"/>
      <c r="L1248" s="4"/>
      <c r="M1248" s="4"/>
      <c r="N1248" s="4"/>
      <c r="O1248" s="4"/>
      <c r="P1248" s="4"/>
      <c r="Q1248" s="4"/>
      <c r="R1248" s="4"/>
      <c r="S1248" s="4"/>
      <c r="T1248" s="4"/>
      <c r="U1248" s="4"/>
      <c r="V1248" s="4"/>
      <c r="W1248" s="4"/>
      <c r="X1248" s="4"/>
      <c r="Y1248" s="4"/>
      <c r="Z1248" s="4"/>
    </row>
    <row r="1249" spans="1:26">
      <c r="A1249" s="5">
        <v>43497</v>
      </c>
      <c r="B1249" s="4" t="s">
        <v>21</v>
      </c>
      <c r="C1249" s="4" t="s">
        <v>18</v>
      </c>
      <c r="D1249" s="4" t="s">
        <v>16</v>
      </c>
      <c r="E1249" s="4" t="s">
        <v>13</v>
      </c>
      <c r="F1249" s="4">
        <v>649107</v>
      </c>
      <c r="G1249" s="4">
        <v>1447</v>
      </c>
      <c r="H1249" s="4">
        <v>50694</v>
      </c>
      <c r="I1249" s="6">
        <v>37570.894830585312</v>
      </c>
      <c r="J1249" s="4"/>
      <c r="K1249" s="4"/>
      <c r="L1249" s="4"/>
      <c r="M1249" s="4"/>
      <c r="N1249" s="4"/>
      <c r="O1249" s="4"/>
      <c r="P1249" s="4"/>
      <c r="Q1249" s="4"/>
      <c r="R1249" s="4"/>
      <c r="S1249" s="4"/>
      <c r="T1249" s="4"/>
      <c r="U1249" s="4"/>
      <c r="V1249" s="4"/>
      <c r="W1249" s="4"/>
      <c r="X1249" s="4"/>
      <c r="Y1249" s="4"/>
      <c r="Z1249" s="4"/>
    </row>
    <row r="1250" spans="1:26">
      <c r="A1250" s="5">
        <v>43497</v>
      </c>
      <c r="B1250" s="4" t="s">
        <v>21</v>
      </c>
      <c r="C1250" s="4" t="s">
        <v>18</v>
      </c>
      <c r="D1250" s="4" t="s">
        <v>17</v>
      </c>
      <c r="E1250" s="4" t="s">
        <v>12</v>
      </c>
      <c r="F1250" s="4">
        <v>3271481</v>
      </c>
      <c r="G1250" s="4">
        <v>50060</v>
      </c>
      <c r="H1250" s="4">
        <v>165026</v>
      </c>
      <c r="I1250" s="6">
        <v>117709.72978003279</v>
      </c>
      <c r="J1250" s="4"/>
      <c r="K1250" s="4"/>
      <c r="L1250" s="4"/>
      <c r="M1250" s="4"/>
      <c r="N1250" s="4"/>
      <c r="O1250" s="4"/>
      <c r="P1250" s="4"/>
      <c r="Q1250" s="4"/>
      <c r="R1250" s="4"/>
      <c r="S1250" s="4"/>
      <c r="T1250" s="4"/>
      <c r="U1250" s="4"/>
      <c r="V1250" s="4"/>
      <c r="W1250" s="4"/>
      <c r="X1250" s="4"/>
      <c r="Y1250" s="4"/>
      <c r="Z1250" s="4"/>
    </row>
    <row r="1251" spans="1:26">
      <c r="A1251" s="5">
        <v>43497</v>
      </c>
      <c r="B1251" s="4" t="s">
        <v>21</v>
      </c>
      <c r="C1251" s="4" t="s">
        <v>18</v>
      </c>
      <c r="D1251" s="4" t="s">
        <v>17</v>
      </c>
      <c r="E1251" s="4" t="s">
        <v>13</v>
      </c>
      <c r="F1251" s="4">
        <v>29621</v>
      </c>
      <c r="G1251" s="4">
        <v>698</v>
      </c>
      <c r="H1251" s="4">
        <v>26229</v>
      </c>
      <c r="I1251" s="6">
        <v>21070.007299362234</v>
      </c>
      <c r="J1251" s="4"/>
      <c r="K1251" s="4"/>
      <c r="L1251" s="4"/>
      <c r="M1251" s="4"/>
      <c r="N1251" s="4"/>
      <c r="O1251" s="4"/>
      <c r="P1251" s="4"/>
      <c r="Q1251" s="4"/>
      <c r="R1251" s="4"/>
      <c r="S1251" s="4"/>
      <c r="T1251" s="4"/>
      <c r="U1251" s="4"/>
      <c r="V1251" s="4"/>
      <c r="W1251" s="4"/>
      <c r="X1251" s="4"/>
      <c r="Y1251" s="4"/>
      <c r="Z1251" s="4"/>
    </row>
    <row r="1252" spans="1:26">
      <c r="A1252" s="5">
        <v>43497</v>
      </c>
      <c r="B1252" s="4" t="s">
        <v>21</v>
      </c>
      <c r="C1252" s="4" t="s">
        <v>19</v>
      </c>
      <c r="D1252" s="4" t="s">
        <v>11</v>
      </c>
      <c r="E1252" s="4" t="s">
        <v>12</v>
      </c>
      <c r="F1252" s="4">
        <v>620235</v>
      </c>
      <c r="G1252" s="4">
        <v>8507</v>
      </c>
      <c r="H1252" s="4">
        <v>8814</v>
      </c>
      <c r="I1252" s="6">
        <v>93417.958327526139</v>
      </c>
      <c r="J1252" s="4"/>
      <c r="K1252" s="4"/>
      <c r="L1252" s="4"/>
      <c r="M1252" s="4"/>
      <c r="N1252" s="4"/>
      <c r="O1252" s="4"/>
      <c r="P1252" s="4"/>
      <c r="Q1252" s="4"/>
      <c r="R1252" s="4"/>
      <c r="S1252" s="4"/>
      <c r="T1252" s="4"/>
      <c r="U1252" s="4"/>
      <c r="V1252" s="4"/>
      <c r="W1252" s="4"/>
      <c r="X1252" s="4"/>
      <c r="Y1252" s="4"/>
      <c r="Z1252" s="4"/>
    </row>
    <row r="1253" spans="1:26">
      <c r="A1253" s="5">
        <v>43497</v>
      </c>
      <c r="B1253" s="4" t="s">
        <v>21</v>
      </c>
      <c r="C1253" s="4" t="s">
        <v>19</v>
      </c>
      <c r="D1253" s="4" t="s">
        <v>11</v>
      </c>
      <c r="E1253" s="4" t="s">
        <v>13</v>
      </c>
      <c r="F1253" s="4">
        <v>16237</v>
      </c>
      <c r="G1253" s="4">
        <v>1372</v>
      </c>
      <c r="H1253" s="4">
        <v>40371</v>
      </c>
      <c r="I1253" s="6">
        <v>23031.717630180879</v>
      </c>
      <c r="J1253" s="4"/>
      <c r="K1253" s="4"/>
      <c r="L1253" s="4"/>
      <c r="M1253" s="4"/>
      <c r="N1253" s="4"/>
      <c r="O1253" s="4"/>
      <c r="P1253" s="4"/>
      <c r="Q1253" s="4"/>
      <c r="R1253" s="4"/>
      <c r="S1253" s="4"/>
      <c r="T1253" s="4"/>
      <c r="U1253" s="4"/>
      <c r="V1253" s="4"/>
      <c r="W1253" s="4"/>
      <c r="X1253" s="4"/>
      <c r="Y1253" s="4"/>
      <c r="Z1253" s="4"/>
    </row>
    <row r="1254" spans="1:26">
      <c r="A1254" s="5">
        <v>43497</v>
      </c>
      <c r="B1254" s="4" t="s">
        <v>21</v>
      </c>
      <c r="C1254" s="4" t="s">
        <v>19</v>
      </c>
      <c r="D1254" s="4" t="s">
        <v>14</v>
      </c>
      <c r="E1254" s="4" t="s">
        <v>12</v>
      </c>
      <c r="F1254" s="4">
        <v>1114545</v>
      </c>
      <c r="G1254" s="4">
        <v>16977</v>
      </c>
      <c r="H1254" s="4">
        <v>18293</v>
      </c>
      <c r="I1254" s="6">
        <v>170093.05900023328</v>
      </c>
      <c r="J1254" s="4"/>
      <c r="K1254" s="4"/>
      <c r="L1254" s="4"/>
      <c r="M1254" s="4"/>
      <c r="N1254" s="4"/>
      <c r="O1254" s="4"/>
      <c r="P1254" s="4"/>
      <c r="Q1254" s="4"/>
      <c r="R1254" s="4"/>
      <c r="S1254" s="4"/>
      <c r="T1254" s="4"/>
      <c r="U1254" s="4"/>
      <c r="V1254" s="4"/>
      <c r="W1254" s="4"/>
      <c r="X1254" s="4"/>
      <c r="Y1254" s="4"/>
      <c r="Z1254" s="4"/>
    </row>
    <row r="1255" spans="1:26">
      <c r="A1255" s="5">
        <v>43497</v>
      </c>
      <c r="B1255" s="4" t="s">
        <v>21</v>
      </c>
      <c r="C1255" s="4" t="s">
        <v>19</v>
      </c>
      <c r="D1255" s="4" t="s">
        <v>14</v>
      </c>
      <c r="E1255" s="4" t="s">
        <v>13</v>
      </c>
      <c r="F1255" s="4">
        <v>31726</v>
      </c>
      <c r="G1255" s="4">
        <v>2624</v>
      </c>
      <c r="H1255" s="4">
        <v>123458</v>
      </c>
      <c r="I1255" s="6">
        <v>38683.427151739328</v>
      </c>
      <c r="J1255" s="4"/>
      <c r="K1255" s="4"/>
      <c r="L1255" s="4"/>
      <c r="M1255" s="4"/>
      <c r="N1255" s="4"/>
      <c r="O1255" s="4"/>
      <c r="P1255" s="4"/>
      <c r="Q1255" s="4"/>
      <c r="R1255" s="4"/>
      <c r="S1255" s="4"/>
      <c r="T1255" s="4"/>
      <c r="U1255" s="4"/>
      <c r="V1255" s="4"/>
      <c r="W1255" s="4"/>
      <c r="X1255" s="4"/>
      <c r="Y1255" s="4"/>
      <c r="Z1255" s="4"/>
    </row>
    <row r="1256" spans="1:26">
      <c r="A1256" s="5">
        <v>43497</v>
      </c>
      <c r="B1256" s="4" t="s">
        <v>21</v>
      </c>
      <c r="C1256" s="4" t="s">
        <v>19</v>
      </c>
      <c r="D1256" s="4" t="s">
        <v>15</v>
      </c>
      <c r="E1256" s="4" t="s">
        <v>12</v>
      </c>
      <c r="F1256" s="4">
        <v>337739</v>
      </c>
      <c r="G1256" s="4">
        <v>4596</v>
      </c>
      <c r="H1256" s="4">
        <v>4948</v>
      </c>
      <c r="I1256" s="6">
        <v>46790.625503448282</v>
      </c>
      <c r="J1256" s="4"/>
      <c r="K1256" s="4"/>
      <c r="L1256" s="4"/>
      <c r="M1256" s="4"/>
      <c r="N1256" s="4"/>
      <c r="O1256" s="4"/>
      <c r="P1256" s="4"/>
      <c r="Q1256" s="4"/>
      <c r="R1256" s="4"/>
      <c r="S1256" s="4"/>
      <c r="T1256" s="4"/>
      <c r="U1256" s="4"/>
      <c r="V1256" s="4"/>
      <c r="W1256" s="4"/>
      <c r="X1256" s="4"/>
      <c r="Y1256" s="4"/>
      <c r="Z1256" s="4"/>
    </row>
    <row r="1257" spans="1:26">
      <c r="A1257" s="5">
        <v>43497</v>
      </c>
      <c r="B1257" s="4" t="s">
        <v>21</v>
      </c>
      <c r="C1257" s="4" t="s">
        <v>19</v>
      </c>
      <c r="D1257" s="4" t="s">
        <v>15</v>
      </c>
      <c r="E1257" s="4" t="s">
        <v>13</v>
      </c>
      <c r="F1257" s="4">
        <v>9039</v>
      </c>
      <c r="G1257" s="4">
        <v>727</v>
      </c>
      <c r="H1257" s="4">
        <v>32909</v>
      </c>
      <c r="I1257" s="6">
        <v>10746.449935148823</v>
      </c>
      <c r="J1257" s="4"/>
      <c r="K1257" s="4"/>
      <c r="L1257" s="4"/>
      <c r="M1257" s="4"/>
      <c r="N1257" s="4"/>
      <c r="O1257" s="4"/>
      <c r="P1257" s="4"/>
      <c r="Q1257" s="4"/>
      <c r="R1257" s="4"/>
      <c r="S1257" s="4"/>
      <c r="T1257" s="4"/>
      <c r="U1257" s="4"/>
      <c r="V1257" s="4"/>
      <c r="W1257" s="4"/>
      <c r="X1257" s="4"/>
      <c r="Y1257" s="4"/>
      <c r="Z1257" s="4"/>
    </row>
    <row r="1258" spans="1:26">
      <c r="A1258" s="5">
        <v>43497</v>
      </c>
      <c r="B1258" s="4" t="s">
        <v>21</v>
      </c>
      <c r="C1258" s="4" t="s">
        <v>19</v>
      </c>
      <c r="D1258" s="4" t="s">
        <v>16</v>
      </c>
      <c r="E1258" s="4" t="s">
        <v>12</v>
      </c>
      <c r="F1258" s="4">
        <v>3139315</v>
      </c>
      <c r="G1258" s="4">
        <v>45039</v>
      </c>
      <c r="H1258" s="4">
        <v>45926</v>
      </c>
      <c r="I1258" s="6">
        <v>512214.36195617833</v>
      </c>
      <c r="J1258" s="4"/>
      <c r="K1258" s="4"/>
      <c r="L1258" s="4"/>
      <c r="M1258" s="4"/>
      <c r="N1258" s="4"/>
      <c r="O1258" s="4"/>
      <c r="P1258" s="4"/>
      <c r="Q1258" s="4"/>
      <c r="R1258" s="4"/>
      <c r="S1258" s="4"/>
      <c r="T1258" s="4"/>
      <c r="U1258" s="4"/>
      <c r="V1258" s="4"/>
      <c r="W1258" s="4"/>
      <c r="X1258" s="4"/>
      <c r="Y1258" s="4"/>
      <c r="Z1258" s="4"/>
    </row>
    <row r="1259" spans="1:26">
      <c r="A1259" s="5">
        <v>43497</v>
      </c>
      <c r="B1259" s="4" t="s">
        <v>21</v>
      </c>
      <c r="C1259" s="4" t="s">
        <v>19</v>
      </c>
      <c r="D1259" s="4" t="s">
        <v>16</v>
      </c>
      <c r="E1259" s="4" t="s">
        <v>13</v>
      </c>
      <c r="F1259" s="4">
        <v>81410</v>
      </c>
      <c r="G1259" s="4">
        <v>6812</v>
      </c>
      <c r="H1259" s="4">
        <v>451379</v>
      </c>
      <c r="I1259" s="6">
        <v>104207.17532224934</v>
      </c>
      <c r="J1259" s="4"/>
      <c r="K1259" s="4"/>
      <c r="L1259" s="4"/>
      <c r="M1259" s="4"/>
      <c r="N1259" s="4"/>
      <c r="O1259" s="4"/>
      <c r="P1259" s="4"/>
      <c r="Q1259" s="4"/>
      <c r="R1259" s="4"/>
      <c r="S1259" s="4"/>
      <c r="T1259" s="4"/>
      <c r="U1259" s="4"/>
      <c r="V1259" s="4"/>
      <c r="W1259" s="4"/>
      <c r="X1259" s="4"/>
      <c r="Y1259" s="4"/>
      <c r="Z1259" s="4"/>
    </row>
    <row r="1260" spans="1:26">
      <c r="A1260" s="5">
        <v>43497</v>
      </c>
      <c r="B1260" s="4" t="s">
        <v>21</v>
      </c>
      <c r="C1260" s="4" t="s">
        <v>19</v>
      </c>
      <c r="D1260" s="4" t="s">
        <v>17</v>
      </c>
      <c r="E1260" s="4" t="s">
        <v>12</v>
      </c>
      <c r="F1260" s="4">
        <v>1071823</v>
      </c>
      <c r="G1260" s="4">
        <v>16925</v>
      </c>
      <c r="H1260" s="4">
        <v>18676</v>
      </c>
      <c r="I1260" s="6">
        <v>174880.63368671178</v>
      </c>
      <c r="J1260" s="4"/>
      <c r="K1260" s="4"/>
      <c r="L1260" s="4"/>
      <c r="M1260" s="4"/>
      <c r="N1260" s="4"/>
      <c r="O1260" s="4"/>
      <c r="P1260" s="4"/>
      <c r="Q1260" s="4"/>
      <c r="R1260" s="4"/>
      <c r="S1260" s="4"/>
      <c r="T1260" s="4"/>
      <c r="U1260" s="4"/>
      <c r="V1260" s="4"/>
      <c r="W1260" s="4"/>
      <c r="X1260" s="4"/>
      <c r="Y1260" s="4"/>
      <c r="Z1260" s="4"/>
    </row>
    <row r="1261" spans="1:26">
      <c r="A1261" s="5">
        <v>43497</v>
      </c>
      <c r="B1261" s="4" t="s">
        <v>21</v>
      </c>
      <c r="C1261" s="4" t="s">
        <v>19</v>
      </c>
      <c r="D1261" s="4" t="s">
        <v>17</v>
      </c>
      <c r="E1261" s="4" t="s">
        <v>13</v>
      </c>
      <c r="F1261" s="4">
        <v>28139</v>
      </c>
      <c r="G1261" s="4">
        <v>2413</v>
      </c>
      <c r="H1261" s="4">
        <v>102877</v>
      </c>
      <c r="I1261" s="6">
        <v>42343.553596594393</v>
      </c>
      <c r="J1261" s="4"/>
      <c r="K1261" s="4"/>
      <c r="L1261" s="4"/>
      <c r="M1261" s="4"/>
      <c r="N1261" s="4"/>
      <c r="O1261" s="4"/>
      <c r="P1261" s="4"/>
      <c r="Q1261" s="4"/>
      <c r="R1261" s="4"/>
      <c r="S1261" s="4"/>
      <c r="T1261" s="4"/>
      <c r="U1261" s="4"/>
      <c r="V1261" s="4"/>
      <c r="W1261" s="4"/>
      <c r="X1261" s="4"/>
      <c r="Y1261" s="4"/>
      <c r="Z1261" s="4"/>
    </row>
    <row r="1262" spans="1:26">
      <c r="A1262" s="5">
        <v>43525</v>
      </c>
      <c r="B1262" s="4" t="s">
        <v>9</v>
      </c>
      <c r="C1262" s="4" t="s">
        <v>10</v>
      </c>
      <c r="D1262" s="4" t="s">
        <v>11</v>
      </c>
      <c r="E1262" s="4" t="s">
        <v>12</v>
      </c>
      <c r="F1262" s="4">
        <v>1303588</v>
      </c>
      <c r="G1262" s="4">
        <v>58094</v>
      </c>
      <c r="H1262" s="4">
        <v>69000</v>
      </c>
      <c r="I1262" s="6">
        <v>51814.042303319547</v>
      </c>
      <c r="J1262" s="4"/>
      <c r="K1262" s="4"/>
      <c r="L1262" s="4"/>
      <c r="M1262" s="4"/>
      <c r="N1262" s="4"/>
      <c r="O1262" s="4"/>
      <c r="P1262" s="4"/>
      <c r="Q1262" s="4"/>
      <c r="R1262" s="4"/>
      <c r="S1262" s="4"/>
      <c r="T1262" s="4"/>
      <c r="U1262" s="4"/>
      <c r="V1262" s="4"/>
      <c r="W1262" s="4"/>
      <c r="X1262" s="4"/>
      <c r="Y1262" s="4"/>
      <c r="Z1262" s="4"/>
    </row>
    <row r="1263" spans="1:26">
      <c r="A1263" s="5">
        <v>43525</v>
      </c>
      <c r="B1263" s="4" t="s">
        <v>9</v>
      </c>
      <c r="C1263" s="4" t="s">
        <v>10</v>
      </c>
      <c r="D1263" s="4" t="s">
        <v>11</v>
      </c>
      <c r="E1263" s="4" t="s">
        <v>13</v>
      </c>
      <c r="F1263" s="4">
        <v>7765</v>
      </c>
      <c r="G1263" s="4">
        <v>1287</v>
      </c>
      <c r="H1263" s="4">
        <v>7589</v>
      </c>
      <c r="I1263" s="6">
        <v>263482.64756291092</v>
      </c>
      <c r="J1263" s="4"/>
      <c r="K1263" s="4"/>
      <c r="L1263" s="4"/>
      <c r="M1263" s="4"/>
      <c r="N1263" s="4"/>
      <c r="O1263" s="4"/>
      <c r="P1263" s="4"/>
      <c r="Q1263" s="4"/>
      <c r="R1263" s="4"/>
      <c r="S1263" s="4"/>
      <c r="T1263" s="4"/>
      <c r="U1263" s="4"/>
      <c r="V1263" s="4"/>
      <c r="W1263" s="4"/>
      <c r="X1263" s="4"/>
      <c r="Y1263" s="4"/>
      <c r="Z1263" s="4"/>
    </row>
    <row r="1264" spans="1:26">
      <c r="A1264" s="5">
        <v>43525</v>
      </c>
      <c r="B1264" s="4" t="s">
        <v>9</v>
      </c>
      <c r="C1264" s="4" t="s">
        <v>10</v>
      </c>
      <c r="D1264" s="4" t="s">
        <v>14</v>
      </c>
      <c r="E1264" s="4" t="s">
        <v>12</v>
      </c>
      <c r="F1264" s="4">
        <v>3263831</v>
      </c>
      <c r="G1264" s="4">
        <v>101636</v>
      </c>
      <c r="H1264" s="4">
        <v>120135</v>
      </c>
      <c r="I1264" s="6">
        <v>87308.562989049315</v>
      </c>
      <c r="J1264" s="4"/>
      <c r="K1264" s="4"/>
      <c r="L1264" s="4"/>
      <c r="M1264" s="4"/>
      <c r="N1264" s="4"/>
      <c r="O1264" s="4"/>
      <c r="P1264" s="4"/>
      <c r="Q1264" s="4"/>
      <c r="R1264" s="4"/>
      <c r="S1264" s="4"/>
      <c r="T1264" s="4"/>
      <c r="U1264" s="4"/>
      <c r="V1264" s="4"/>
      <c r="W1264" s="4"/>
      <c r="X1264" s="4"/>
      <c r="Y1264" s="4"/>
      <c r="Z1264" s="4"/>
    </row>
    <row r="1265" spans="1:26">
      <c r="A1265" s="5">
        <v>43525</v>
      </c>
      <c r="B1265" s="4" t="s">
        <v>9</v>
      </c>
      <c r="C1265" s="4" t="s">
        <v>10</v>
      </c>
      <c r="D1265" s="4" t="s">
        <v>14</v>
      </c>
      <c r="E1265" s="4" t="s">
        <v>13</v>
      </c>
      <c r="F1265" s="4">
        <v>13015</v>
      </c>
      <c r="G1265" s="4">
        <v>2580</v>
      </c>
      <c r="H1265" s="4">
        <v>18900</v>
      </c>
      <c r="I1265" s="6">
        <v>406205.86468015308</v>
      </c>
      <c r="J1265" s="4"/>
      <c r="K1265" s="4"/>
      <c r="L1265" s="4"/>
      <c r="M1265" s="4"/>
      <c r="N1265" s="4"/>
      <c r="O1265" s="4"/>
      <c r="P1265" s="4"/>
      <c r="Q1265" s="4"/>
      <c r="R1265" s="4"/>
      <c r="S1265" s="4"/>
      <c r="T1265" s="4"/>
      <c r="U1265" s="4"/>
      <c r="V1265" s="4"/>
      <c r="W1265" s="4"/>
      <c r="X1265" s="4"/>
      <c r="Y1265" s="4"/>
      <c r="Z1265" s="4"/>
    </row>
    <row r="1266" spans="1:26">
      <c r="A1266" s="5">
        <v>43525</v>
      </c>
      <c r="B1266" s="4" t="s">
        <v>9</v>
      </c>
      <c r="C1266" s="4" t="s">
        <v>10</v>
      </c>
      <c r="D1266" s="4" t="s">
        <v>15</v>
      </c>
      <c r="E1266" s="4" t="s">
        <v>12</v>
      </c>
      <c r="F1266" s="4">
        <v>1318232</v>
      </c>
      <c r="G1266" s="4">
        <v>42046</v>
      </c>
      <c r="H1266" s="4">
        <v>54040</v>
      </c>
      <c r="I1266" s="6">
        <v>40541.448166286471</v>
      </c>
      <c r="J1266" s="4"/>
      <c r="K1266" s="4"/>
      <c r="L1266" s="4"/>
      <c r="M1266" s="4"/>
      <c r="N1266" s="4"/>
      <c r="O1266" s="4"/>
      <c r="P1266" s="4"/>
      <c r="Q1266" s="4"/>
      <c r="R1266" s="4"/>
      <c r="S1266" s="4"/>
      <c r="T1266" s="4"/>
      <c r="U1266" s="4"/>
      <c r="V1266" s="4"/>
      <c r="W1266" s="4"/>
      <c r="X1266" s="4"/>
      <c r="Y1266" s="4"/>
      <c r="Z1266" s="4"/>
    </row>
    <row r="1267" spans="1:26">
      <c r="A1267" s="5">
        <v>43525</v>
      </c>
      <c r="B1267" s="4" t="s">
        <v>9</v>
      </c>
      <c r="C1267" s="4" t="s">
        <v>10</v>
      </c>
      <c r="D1267" s="4" t="s">
        <v>15</v>
      </c>
      <c r="E1267" s="4" t="s">
        <v>13</v>
      </c>
      <c r="F1267" s="4">
        <v>4983</v>
      </c>
      <c r="G1267" s="4">
        <v>751</v>
      </c>
      <c r="H1267" s="4">
        <v>6234</v>
      </c>
      <c r="I1267" s="6">
        <v>101708.46438943893</v>
      </c>
      <c r="J1267" s="4"/>
      <c r="K1267" s="4"/>
      <c r="L1267" s="4"/>
      <c r="M1267" s="4"/>
      <c r="N1267" s="4"/>
      <c r="O1267" s="4"/>
      <c r="P1267" s="4"/>
      <c r="Q1267" s="4"/>
      <c r="R1267" s="4"/>
      <c r="S1267" s="4"/>
      <c r="T1267" s="4"/>
      <c r="U1267" s="4"/>
      <c r="V1267" s="4"/>
      <c r="W1267" s="4"/>
      <c r="X1267" s="4"/>
      <c r="Y1267" s="4"/>
      <c r="Z1267" s="4"/>
    </row>
    <row r="1268" spans="1:26">
      <c r="A1268" s="5">
        <v>43525</v>
      </c>
      <c r="B1268" s="4" t="s">
        <v>9</v>
      </c>
      <c r="C1268" s="4" t="s">
        <v>10</v>
      </c>
      <c r="D1268" s="4" t="s">
        <v>16</v>
      </c>
      <c r="E1268" s="4" t="s">
        <v>12</v>
      </c>
      <c r="F1268" s="4">
        <v>40623512</v>
      </c>
      <c r="G1268" s="4">
        <v>262544</v>
      </c>
      <c r="H1268" s="4">
        <v>295773</v>
      </c>
      <c r="I1268" s="6">
        <v>224592.31363285796</v>
      </c>
      <c r="J1268" s="4"/>
      <c r="K1268" s="4"/>
      <c r="L1268" s="4"/>
      <c r="M1268" s="4"/>
      <c r="N1268" s="4"/>
      <c r="O1268" s="4"/>
      <c r="P1268" s="4"/>
      <c r="Q1268" s="4"/>
      <c r="R1268" s="4"/>
      <c r="S1268" s="4"/>
      <c r="T1268" s="4"/>
      <c r="U1268" s="4"/>
      <c r="V1268" s="4"/>
      <c r="W1268" s="4"/>
      <c r="X1268" s="4"/>
      <c r="Y1268" s="4"/>
      <c r="Z1268" s="4"/>
    </row>
    <row r="1269" spans="1:26">
      <c r="A1269" s="5">
        <v>43525</v>
      </c>
      <c r="B1269" s="4" t="s">
        <v>9</v>
      </c>
      <c r="C1269" s="4" t="s">
        <v>10</v>
      </c>
      <c r="D1269" s="4" t="s">
        <v>16</v>
      </c>
      <c r="E1269" s="4" t="s">
        <v>13</v>
      </c>
      <c r="F1269" s="4">
        <v>285291</v>
      </c>
      <c r="G1269" s="4">
        <v>5589</v>
      </c>
      <c r="H1269" s="4">
        <v>36489</v>
      </c>
      <c r="I1269" s="6">
        <v>1225619.1750354173</v>
      </c>
      <c r="J1269" s="4"/>
      <c r="K1269" s="4"/>
      <c r="L1269" s="4"/>
      <c r="M1269" s="4"/>
      <c r="N1269" s="4"/>
      <c r="O1269" s="4"/>
      <c r="P1269" s="4"/>
      <c r="Q1269" s="4"/>
      <c r="R1269" s="4"/>
      <c r="S1269" s="4"/>
      <c r="T1269" s="4"/>
      <c r="U1269" s="4"/>
      <c r="V1269" s="4"/>
      <c r="W1269" s="4"/>
      <c r="X1269" s="4"/>
      <c r="Y1269" s="4"/>
      <c r="Z1269" s="4"/>
    </row>
    <row r="1270" spans="1:26">
      <c r="A1270" s="5">
        <v>43525</v>
      </c>
      <c r="B1270" s="4" t="s">
        <v>9</v>
      </c>
      <c r="C1270" s="4" t="s">
        <v>10</v>
      </c>
      <c r="D1270" s="4" t="s">
        <v>17</v>
      </c>
      <c r="E1270" s="4" t="s">
        <v>12</v>
      </c>
      <c r="F1270" s="4">
        <v>2005303</v>
      </c>
      <c r="G1270" s="4">
        <v>87116</v>
      </c>
      <c r="H1270" s="4">
        <v>99144</v>
      </c>
      <c r="I1270" s="6">
        <v>97038.762253506429</v>
      </c>
      <c r="J1270" s="4"/>
      <c r="K1270" s="4"/>
      <c r="L1270" s="4"/>
      <c r="M1270" s="4"/>
      <c r="N1270" s="4"/>
      <c r="O1270" s="4"/>
      <c r="P1270" s="4"/>
      <c r="Q1270" s="4"/>
      <c r="R1270" s="4"/>
      <c r="S1270" s="4"/>
      <c r="T1270" s="4"/>
      <c r="U1270" s="4"/>
      <c r="V1270" s="4"/>
      <c r="W1270" s="4"/>
      <c r="X1270" s="4"/>
      <c r="Y1270" s="4"/>
      <c r="Z1270" s="4"/>
    </row>
    <row r="1271" spans="1:26">
      <c r="A1271" s="5">
        <v>43525</v>
      </c>
      <c r="B1271" s="4" t="s">
        <v>9</v>
      </c>
      <c r="C1271" s="4" t="s">
        <v>10</v>
      </c>
      <c r="D1271" s="4" t="s">
        <v>17</v>
      </c>
      <c r="E1271" s="4" t="s">
        <v>13</v>
      </c>
      <c r="F1271" s="4">
        <v>11965</v>
      </c>
      <c r="G1271" s="4">
        <v>2350</v>
      </c>
      <c r="H1271" s="4">
        <v>13795</v>
      </c>
      <c r="I1271" s="6">
        <v>464912.11499999993</v>
      </c>
      <c r="J1271" s="4"/>
      <c r="K1271" s="4"/>
      <c r="L1271" s="4"/>
      <c r="M1271" s="4"/>
      <c r="N1271" s="4"/>
      <c r="O1271" s="4"/>
      <c r="P1271" s="4"/>
      <c r="Q1271" s="4"/>
      <c r="R1271" s="4"/>
      <c r="S1271" s="4"/>
      <c r="T1271" s="4"/>
      <c r="U1271" s="4"/>
      <c r="V1271" s="4"/>
      <c r="W1271" s="4"/>
      <c r="X1271" s="4"/>
      <c r="Y1271" s="4"/>
      <c r="Z1271" s="4"/>
    </row>
    <row r="1272" spans="1:26">
      <c r="A1272" s="5">
        <v>43525</v>
      </c>
      <c r="B1272" s="4" t="s">
        <v>9</v>
      </c>
      <c r="C1272" s="4" t="s">
        <v>18</v>
      </c>
      <c r="D1272" s="4" t="s">
        <v>11</v>
      </c>
      <c r="E1272" s="4" t="s">
        <v>12</v>
      </c>
      <c r="F1272" s="4">
        <v>7671179</v>
      </c>
      <c r="G1272" s="4">
        <v>204925</v>
      </c>
      <c r="H1272" s="4">
        <v>632231</v>
      </c>
      <c r="I1272" s="6">
        <v>154980.15524560545</v>
      </c>
      <c r="J1272" s="4"/>
      <c r="K1272" s="4"/>
      <c r="L1272" s="4"/>
      <c r="M1272" s="4"/>
      <c r="N1272" s="4"/>
      <c r="O1272" s="4"/>
      <c r="P1272" s="4"/>
      <c r="Q1272" s="4"/>
      <c r="R1272" s="4"/>
      <c r="S1272" s="4"/>
      <c r="T1272" s="4"/>
      <c r="U1272" s="4"/>
      <c r="V1272" s="4"/>
      <c r="W1272" s="4"/>
      <c r="X1272" s="4"/>
      <c r="Y1272" s="4"/>
      <c r="Z1272" s="4"/>
    </row>
    <row r="1273" spans="1:26">
      <c r="A1273" s="5">
        <v>43525</v>
      </c>
      <c r="B1273" s="4" t="s">
        <v>9</v>
      </c>
      <c r="C1273" s="4" t="s">
        <v>18</v>
      </c>
      <c r="D1273" s="4" t="s">
        <v>11</v>
      </c>
      <c r="E1273" s="4" t="s">
        <v>13</v>
      </c>
      <c r="F1273" s="4">
        <v>43564</v>
      </c>
      <c r="G1273" s="4">
        <v>768</v>
      </c>
      <c r="H1273" s="4">
        <v>21317</v>
      </c>
      <c r="I1273" s="6">
        <v>15647.276931932534</v>
      </c>
      <c r="J1273" s="4"/>
      <c r="K1273" s="4"/>
      <c r="L1273" s="4"/>
      <c r="M1273" s="4"/>
      <c r="N1273" s="4"/>
      <c r="O1273" s="4"/>
      <c r="P1273" s="4"/>
      <c r="Q1273" s="4"/>
      <c r="R1273" s="4"/>
      <c r="S1273" s="4"/>
      <c r="T1273" s="4"/>
      <c r="U1273" s="4"/>
      <c r="V1273" s="4"/>
      <c r="W1273" s="4"/>
      <c r="X1273" s="4"/>
      <c r="Y1273" s="4"/>
      <c r="Z1273" s="4"/>
    </row>
    <row r="1274" spans="1:26">
      <c r="A1274" s="5">
        <v>43525</v>
      </c>
      <c r="B1274" s="4" t="s">
        <v>9</v>
      </c>
      <c r="C1274" s="4" t="s">
        <v>18</v>
      </c>
      <c r="D1274" s="4" t="s">
        <v>14</v>
      </c>
      <c r="E1274" s="4" t="s">
        <v>12</v>
      </c>
      <c r="F1274" s="4">
        <v>18028777</v>
      </c>
      <c r="G1274" s="4">
        <v>423386</v>
      </c>
      <c r="H1274" s="4">
        <v>1276193</v>
      </c>
      <c r="I1274" s="6">
        <v>205795.63151925799</v>
      </c>
      <c r="J1274" s="4"/>
      <c r="K1274" s="4"/>
      <c r="L1274" s="4"/>
      <c r="M1274" s="4"/>
      <c r="N1274" s="4"/>
      <c r="O1274" s="4"/>
      <c r="P1274" s="4"/>
      <c r="Q1274" s="4"/>
      <c r="R1274" s="4"/>
      <c r="S1274" s="4"/>
      <c r="T1274" s="4"/>
      <c r="U1274" s="4"/>
      <c r="V1274" s="4"/>
      <c r="W1274" s="4"/>
      <c r="X1274" s="4"/>
      <c r="Y1274" s="4"/>
      <c r="Z1274" s="4"/>
    </row>
    <row r="1275" spans="1:26">
      <c r="A1275" s="5">
        <v>43525</v>
      </c>
      <c r="B1275" s="4" t="s">
        <v>9</v>
      </c>
      <c r="C1275" s="4" t="s">
        <v>18</v>
      </c>
      <c r="D1275" s="4" t="s">
        <v>14</v>
      </c>
      <c r="E1275" s="4" t="s">
        <v>13</v>
      </c>
      <c r="F1275" s="4">
        <v>91307</v>
      </c>
      <c r="G1275" s="4">
        <v>1067</v>
      </c>
      <c r="H1275" s="4">
        <v>15826</v>
      </c>
      <c r="I1275" s="6">
        <v>18204.250494920412</v>
      </c>
      <c r="J1275" s="4"/>
      <c r="K1275" s="4"/>
      <c r="L1275" s="4"/>
      <c r="M1275" s="4"/>
      <c r="N1275" s="4"/>
      <c r="O1275" s="4"/>
      <c r="P1275" s="4"/>
      <c r="Q1275" s="4"/>
      <c r="R1275" s="4"/>
      <c r="S1275" s="4"/>
      <c r="T1275" s="4"/>
      <c r="U1275" s="4"/>
      <c r="V1275" s="4"/>
      <c r="W1275" s="4"/>
      <c r="X1275" s="4"/>
      <c r="Y1275" s="4"/>
      <c r="Z1275" s="4"/>
    </row>
    <row r="1276" spans="1:26">
      <c r="A1276" s="5">
        <v>43525</v>
      </c>
      <c r="B1276" s="4" t="s">
        <v>9</v>
      </c>
      <c r="C1276" s="4" t="s">
        <v>18</v>
      </c>
      <c r="D1276" s="4" t="s">
        <v>15</v>
      </c>
      <c r="E1276" s="4" t="s">
        <v>12</v>
      </c>
      <c r="F1276" s="4">
        <v>8945794</v>
      </c>
      <c r="G1276" s="4">
        <v>227885</v>
      </c>
      <c r="H1276" s="4">
        <v>750867</v>
      </c>
      <c r="I1276" s="6">
        <v>82894.266715559352</v>
      </c>
      <c r="J1276" s="4"/>
      <c r="K1276" s="4"/>
      <c r="L1276" s="4"/>
      <c r="M1276" s="4"/>
      <c r="N1276" s="4"/>
      <c r="O1276" s="4"/>
      <c r="P1276" s="4"/>
      <c r="Q1276" s="4"/>
      <c r="R1276" s="4"/>
      <c r="S1276" s="4"/>
      <c r="T1276" s="4"/>
      <c r="U1276" s="4"/>
      <c r="V1276" s="4"/>
      <c r="W1276" s="4"/>
      <c r="X1276" s="4"/>
      <c r="Y1276" s="4"/>
      <c r="Z1276" s="4"/>
    </row>
    <row r="1277" spans="1:26">
      <c r="A1277" s="5">
        <v>43525</v>
      </c>
      <c r="B1277" s="4" t="s">
        <v>9</v>
      </c>
      <c r="C1277" s="4" t="s">
        <v>18</v>
      </c>
      <c r="D1277" s="4" t="s">
        <v>15</v>
      </c>
      <c r="E1277" s="4" t="s">
        <v>13</v>
      </c>
      <c r="F1277" s="4">
        <v>33330</v>
      </c>
      <c r="G1277" s="4">
        <v>428</v>
      </c>
      <c r="H1277" s="4">
        <v>6091</v>
      </c>
      <c r="I1277" s="6">
        <v>7906.2157716136298</v>
      </c>
      <c r="J1277" s="4"/>
      <c r="K1277" s="4"/>
      <c r="L1277" s="4"/>
      <c r="M1277" s="4"/>
      <c r="N1277" s="4"/>
      <c r="O1277" s="4"/>
      <c r="P1277" s="4"/>
      <c r="Q1277" s="4"/>
      <c r="R1277" s="4"/>
      <c r="S1277" s="4"/>
      <c r="T1277" s="4"/>
      <c r="U1277" s="4"/>
      <c r="V1277" s="4"/>
      <c r="W1277" s="4"/>
      <c r="X1277" s="4"/>
      <c r="Y1277" s="4"/>
      <c r="Z1277" s="4"/>
    </row>
    <row r="1278" spans="1:26">
      <c r="A1278" s="5">
        <v>43525</v>
      </c>
      <c r="B1278" s="4" t="s">
        <v>9</v>
      </c>
      <c r="C1278" s="4" t="s">
        <v>18</v>
      </c>
      <c r="D1278" s="4" t="s">
        <v>16</v>
      </c>
      <c r="E1278" s="4" t="s">
        <v>12</v>
      </c>
      <c r="F1278" s="4">
        <v>115164953</v>
      </c>
      <c r="G1278" s="4">
        <v>773991</v>
      </c>
      <c r="H1278" s="4">
        <v>2216849</v>
      </c>
      <c r="I1278" s="6">
        <v>534317.20922390639</v>
      </c>
      <c r="J1278" s="4"/>
      <c r="K1278" s="4"/>
      <c r="L1278" s="4"/>
      <c r="M1278" s="4"/>
      <c r="N1278" s="4"/>
      <c r="O1278" s="4"/>
      <c r="P1278" s="4"/>
      <c r="Q1278" s="4"/>
      <c r="R1278" s="4"/>
      <c r="S1278" s="4"/>
      <c r="T1278" s="4"/>
      <c r="U1278" s="4"/>
      <c r="V1278" s="4"/>
      <c r="W1278" s="4"/>
      <c r="X1278" s="4"/>
      <c r="Y1278" s="4"/>
      <c r="Z1278" s="4"/>
    </row>
    <row r="1279" spans="1:26">
      <c r="A1279" s="5">
        <v>43525</v>
      </c>
      <c r="B1279" s="4" t="s">
        <v>9</v>
      </c>
      <c r="C1279" s="4" t="s">
        <v>18</v>
      </c>
      <c r="D1279" s="4" t="s">
        <v>16</v>
      </c>
      <c r="E1279" s="4" t="s">
        <v>13</v>
      </c>
      <c r="F1279" s="4">
        <v>1006640</v>
      </c>
      <c r="G1279" s="4">
        <v>2220</v>
      </c>
      <c r="H1279" s="4">
        <v>54659</v>
      </c>
      <c r="I1279" s="6">
        <v>35140.118654939455</v>
      </c>
      <c r="J1279" s="4"/>
      <c r="K1279" s="4"/>
      <c r="L1279" s="4"/>
      <c r="M1279" s="4"/>
      <c r="N1279" s="4"/>
      <c r="O1279" s="4"/>
      <c r="P1279" s="4"/>
      <c r="Q1279" s="4"/>
      <c r="R1279" s="4"/>
      <c r="S1279" s="4"/>
      <c r="T1279" s="4"/>
      <c r="U1279" s="4"/>
      <c r="V1279" s="4"/>
      <c r="W1279" s="4"/>
      <c r="X1279" s="4"/>
      <c r="Y1279" s="4"/>
      <c r="Z1279" s="4"/>
    </row>
    <row r="1280" spans="1:26">
      <c r="A1280" s="5">
        <v>43525</v>
      </c>
      <c r="B1280" s="4" t="s">
        <v>9</v>
      </c>
      <c r="C1280" s="4" t="s">
        <v>18</v>
      </c>
      <c r="D1280" s="4" t="s">
        <v>17</v>
      </c>
      <c r="E1280" s="4" t="s">
        <v>12</v>
      </c>
      <c r="F1280" s="4">
        <v>10901913</v>
      </c>
      <c r="G1280" s="4">
        <v>248808</v>
      </c>
      <c r="H1280" s="4">
        <v>709331</v>
      </c>
      <c r="I1280" s="6">
        <v>181460.65298367239</v>
      </c>
      <c r="J1280" s="4"/>
      <c r="K1280" s="4"/>
      <c r="L1280" s="4"/>
      <c r="M1280" s="4"/>
      <c r="N1280" s="4"/>
      <c r="O1280" s="4"/>
      <c r="P1280" s="4"/>
      <c r="Q1280" s="4"/>
      <c r="R1280" s="4"/>
      <c r="S1280" s="4"/>
      <c r="T1280" s="4"/>
      <c r="U1280" s="4"/>
      <c r="V1280" s="4"/>
      <c r="W1280" s="4"/>
      <c r="X1280" s="4"/>
      <c r="Y1280" s="4"/>
      <c r="Z1280" s="4"/>
    </row>
    <row r="1281" spans="1:26">
      <c r="A1281" s="5">
        <v>43525</v>
      </c>
      <c r="B1281" s="4" t="s">
        <v>9</v>
      </c>
      <c r="C1281" s="4" t="s">
        <v>18</v>
      </c>
      <c r="D1281" s="4" t="s">
        <v>17</v>
      </c>
      <c r="E1281" s="4" t="s">
        <v>13</v>
      </c>
      <c r="F1281" s="4">
        <v>83250</v>
      </c>
      <c r="G1281" s="4">
        <v>895</v>
      </c>
      <c r="H1281" s="4">
        <v>19785</v>
      </c>
      <c r="I1281" s="6">
        <v>14191.818170186929</v>
      </c>
      <c r="J1281" s="4"/>
      <c r="K1281" s="4"/>
      <c r="L1281" s="4"/>
      <c r="M1281" s="4"/>
      <c r="N1281" s="4"/>
      <c r="O1281" s="4"/>
      <c r="P1281" s="4"/>
      <c r="Q1281" s="4"/>
      <c r="R1281" s="4"/>
      <c r="S1281" s="4"/>
      <c r="T1281" s="4"/>
      <c r="U1281" s="4"/>
      <c r="V1281" s="4"/>
      <c r="W1281" s="4"/>
      <c r="X1281" s="4"/>
      <c r="Y1281" s="4"/>
      <c r="Z1281" s="4"/>
    </row>
    <row r="1282" spans="1:26">
      <c r="A1282" s="5">
        <v>43525</v>
      </c>
      <c r="B1282" s="4" t="s">
        <v>9</v>
      </c>
      <c r="C1282" s="4" t="s">
        <v>19</v>
      </c>
      <c r="D1282" s="4" t="s">
        <v>11</v>
      </c>
      <c r="E1282" s="4" t="s">
        <v>12</v>
      </c>
      <c r="F1282" s="4">
        <v>132776</v>
      </c>
      <c r="G1282" s="4">
        <v>20774</v>
      </c>
      <c r="H1282" s="4">
        <v>21881</v>
      </c>
      <c r="I1282" s="6">
        <v>110627.86215836124</v>
      </c>
      <c r="J1282" s="4"/>
      <c r="K1282" s="4"/>
      <c r="L1282" s="4"/>
      <c r="M1282" s="4"/>
      <c r="N1282" s="4"/>
      <c r="O1282" s="4"/>
      <c r="P1282" s="4"/>
      <c r="Q1282" s="4"/>
      <c r="R1282" s="4"/>
      <c r="S1282" s="4"/>
      <c r="T1282" s="4"/>
      <c r="U1282" s="4"/>
      <c r="V1282" s="4"/>
      <c r="W1282" s="4"/>
      <c r="X1282" s="4"/>
      <c r="Y1282" s="4"/>
      <c r="Z1282" s="4"/>
    </row>
    <row r="1283" spans="1:26">
      <c r="A1283" s="5">
        <v>43525</v>
      </c>
      <c r="B1283" s="4" t="s">
        <v>9</v>
      </c>
      <c r="C1283" s="4" t="s">
        <v>19</v>
      </c>
      <c r="D1283" s="4" t="s">
        <v>11</v>
      </c>
      <c r="E1283" s="4" t="s">
        <v>13</v>
      </c>
      <c r="F1283" s="4">
        <v>732</v>
      </c>
      <c r="G1283" s="4">
        <v>810</v>
      </c>
      <c r="H1283" s="4">
        <v>8462</v>
      </c>
      <c r="I1283" s="6">
        <v>18970.856064012965</v>
      </c>
      <c r="J1283" s="4"/>
      <c r="K1283" s="4"/>
      <c r="L1283" s="4"/>
      <c r="M1283" s="4"/>
      <c r="N1283" s="4"/>
      <c r="O1283" s="4"/>
      <c r="P1283" s="4"/>
      <c r="Q1283" s="4"/>
      <c r="R1283" s="4"/>
      <c r="S1283" s="4"/>
      <c r="T1283" s="4"/>
      <c r="U1283" s="4"/>
      <c r="V1283" s="4"/>
      <c r="W1283" s="4"/>
      <c r="X1283" s="4"/>
      <c r="Y1283" s="4"/>
      <c r="Z1283" s="4"/>
    </row>
    <row r="1284" spans="1:26">
      <c r="A1284" s="5">
        <v>43525</v>
      </c>
      <c r="B1284" s="4" t="s">
        <v>9</v>
      </c>
      <c r="C1284" s="4" t="s">
        <v>19</v>
      </c>
      <c r="D1284" s="4" t="s">
        <v>14</v>
      </c>
      <c r="E1284" s="4" t="s">
        <v>12</v>
      </c>
      <c r="F1284" s="4">
        <v>325763</v>
      </c>
      <c r="G1284" s="4">
        <v>48978</v>
      </c>
      <c r="H1284" s="4">
        <v>51479</v>
      </c>
      <c r="I1284" s="6">
        <v>197116.03580983324</v>
      </c>
      <c r="J1284" s="4"/>
      <c r="K1284" s="4"/>
      <c r="L1284" s="4"/>
      <c r="M1284" s="4"/>
      <c r="N1284" s="4"/>
      <c r="O1284" s="4"/>
      <c r="P1284" s="4"/>
      <c r="Q1284" s="4"/>
      <c r="R1284" s="4"/>
      <c r="S1284" s="4"/>
      <c r="T1284" s="4"/>
      <c r="U1284" s="4"/>
      <c r="V1284" s="4"/>
      <c r="W1284" s="4"/>
      <c r="X1284" s="4"/>
      <c r="Y1284" s="4"/>
      <c r="Z1284" s="4"/>
    </row>
    <row r="1285" spans="1:26">
      <c r="A1285" s="5">
        <v>43525</v>
      </c>
      <c r="B1285" s="4" t="s">
        <v>9</v>
      </c>
      <c r="C1285" s="4" t="s">
        <v>19</v>
      </c>
      <c r="D1285" s="4" t="s">
        <v>14</v>
      </c>
      <c r="E1285" s="4" t="s">
        <v>13</v>
      </c>
      <c r="F1285" s="4">
        <v>1755</v>
      </c>
      <c r="G1285" s="4">
        <v>1807</v>
      </c>
      <c r="H1285" s="4">
        <v>45900</v>
      </c>
      <c r="I1285" s="6">
        <v>31421.94584106631</v>
      </c>
      <c r="J1285" s="4"/>
      <c r="K1285" s="4"/>
      <c r="L1285" s="4"/>
      <c r="M1285" s="4"/>
      <c r="N1285" s="4"/>
      <c r="O1285" s="4"/>
      <c r="P1285" s="4"/>
      <c r="Q1285" s="4"/>
      <c r="R1285" s="4"/>
      <c r="S1285" s="4"/>
      <c r="T1285" s="4"/>
      <c r="U1285" s="4"/>
      <c r="V1285" s="4"/>
      <c r="W1285" s="4"/>
      <c r="X1285" s="4"/>
      <c r="Y1285" s="4"/>
      <c r="Z1285" s="4"/>
    </row>
    <row r="1286" spans="1:26">
      <c r="A1286" s="5">
        <v>43525</v>
      </c>
      <c r="B1286" s="4" t="s">
        <v>9</v>
      </c>
      <c r="C1286" s="4" t="s">
        <v>19</v>
      </c>
      <c r="D1286" s="4" t="s">
        <v>15</v>
      </c>
      <c r="E1286" s="4" t="s">
        <v>12</v>
      </c>
      <c r="F1286" s="4">
        <v>153721</v>
      </c>
      <c r="G1286" s="4">
        <v>25137</v>
      </c>
      <c r="H1286" s="4">
        <v>26048</v>
      </c>
      <c r="I1286" s="6">
        <v>72881.160946487085</v>
      </c>
      <c r="J1286" s="4"/>
      <c r="K1286" s="4"/>
      <c r="L1286" s="4"/>
      <c r="M1286" s="4"/>
      <c r="N1286" s="4"/>
      <c r="O1286" s="4"/>
      <c r="P1286" s="4"/>
      <c r="Q1286" s="4"/>
      <c r="R1286" s="4"/>
      <c r="S1286" s="4"/>
      <c r="T1286" s="4"/>
      <c r="U1286" s="4"/>
      <c r="V1286" s="4"/>
      <c r="W1286" s="4"/>
      <c r="X1286" s="4"/>
      <c r="Y1286" s="4"/>
      <c r="Z1286" s="4"/>
    </row>
    <row r="1287" spans="1:26">
      <c r="A1287" s="5">
        <v>43525</v>
      </c>
      <c r="B1287" s="4" t="s">
        <v>9</v>
      </c>
      <c r="C1287" s="4" t="s">
        <v>19</v>
      </c>
      <c r="D1287" s="4" t="s">
        <v>15</v>
      </c>
      <c r="E1287" s="4" t="s">
        <v>13</v>
      </c>
      <c r="F1287" s="4">
        <v>547</v>
      </c>
      <c r="G1287" s="4">
        <v>744</v>
      </c>
      <c r="H1287" s="4">
        <v>24796</v>
      </c>
      <c r="I1287" s="6">
        <v>13752.80677407061</v>
      </c>
      <c r="J1287" s="4"/>
      <c r="K1287" s="4"/>
      <c r="L1287" s="4"/>
      <c r="M1287" s="4"/>
      <c r="N1287" s="4"/>
      <c r="O1287" s="4"/>
      <c r="P1287" s="4"/>
      <c r="Q1287" s="4"/>
      <c r="R1287" s="4"/>
      <c r="S1287" s="4"/>
      <c r="T1287" s="4"/>
      <c r="U1287" s="4"/>
      <c r="V1287" s="4"/>
      <c r="W1287" s="4"/>
      <c r="X1287" s="4"/>
      <c r="Y1287" s="4"/>
      <c r="Z1287" s="4"/>
    </row>
    <row r="1288" spans="1:26">
      <c r="A1288" s="5">
        <v>43525</v>
      </c>
      <c r="B1288" s="4" t="s">
        <v>9</v>
      </c>
      <c r="C1288" s="4" t="s">
        <v>19</v>
      </c>
      <c r="D1288" s="4" t="s">
        <v>16</v>
      </c>
      <c r="E1288" s="4" t="s">
        <v>12</v>
      </c>
      <c r="F1288" s="4">
        <v>18293495</v>
      </c>
      <c r="G1288" s="4">
        <v>77072</v>
      </c>
      <c r="H1288" s="4">
        <v>79015</v>
      </c>
      <c r="I1288" s="6">
        <v>454596.34585506358</v>
      </c>
      <c r="J1288" s="4"/>
      <c r="K1288" s="4"/>
      <c r="L1288" s="4"/>
      <c r="M1288" s="4"/>
      <c r="N1288" s="4"/>
      <c r="O1288" s="4"/>
      <c r="P1288" s="4"/>
      <c r="Q1288" s="4"/>
      <c r="R1288" s="4"/>
      <c r="S1288" s="4"/>
      <c r="T1288" s="4"/>
      <c r="U1288" s="4"/>
      <c r="V1288" s="4"/>
      <c r="W1288" s="4"/>
      <c r="X1288" s="4"/>
      <c r="Y1288" s="4"/>
      <c r="Z1288" s="4"/>
    </row>
    <row r="1289" spans="1:26">
      <c r="A1289" s="5">
        <v>43525</v>
      </c>
      <c r="B1289" s="4" t="s">
        <v>9</v>
      </c>
      <c r="C1289" s="4" t="s">
        <v>19</v>
      </c>
      <c r="D1289" s="4" t="s">
        <v>16</v>
      </c>
      <c r="E1289" s="4" t="s">
        <v>13</v>
      </c>
      <c r="F1289" s="4">
        <v>170964</v>
      </c>
      <c r="G1289" s="4">
        <v>2318</v>
      </c>
      <c r="H1289" s="4">
        <v>39881</v>
      </c>
      <c r="I1289" s="6">
        <v>61771.704483964255</v>
      </c>
      <c r="J1289" s="4"/>
      <c r="K1289" s="4"/>
      <c r="L1289" s="4"/>
      <c r="M1289" s="4"/>
      <c r="N1289" s="4"/>
      <c r="O1289" s="4"/>
      <c r="P1289" s="4"/>
      <c r="Q1289" s="4"/>
      <c r="R1289" s="4"/>
      <c r="S1289" s="4"/>
      <c r="T1289" s="4"/>
      <c r="U1289" s="4"/>
      <c r="V1289" s="4"/>
      <c r="W1289" s="4"/>
      <c r="X1289" s="4"/>
      <c r="Y1289" s="4"/>
      <c r="Z1289" s="4"/>
    </row>
    <row r="1290" spans="1:26">
      <c r="A1290" s="5">
        <v>43525</v>
      </c>
      <c r="B1290" s="4" t="s">
        <v>9</v>
      </c>
      <c r="C1290" s="4" t="s">
        <v>19</v>
      </c>
      <c r="D1290" s="4" t="s">
        <v>17</v>
      </c>
      <c r="E1290" s="4" t="s">
        <v>12</v>
      </c>
      <c r="F1290" s="4">
        <v>255161</v>
      </c>
      <c r="G1290" s="4">
        <v>27813</v>
      </c>
      <c r="H1290" s="4">
        <v>28717</v>
      </c>
      <c r="I1290" s="6">
        <v>168600.23612355167</v>
      </c>
      <c r="J1290" s="4"/>
      <c r="K1290" s="4"/>
      <c r="L1290" s="4"/>
      <c r="M1290" s="4"/>
      <c r="N1290" s="4"/>
      <c r="O1290" s="4"/>
      <c r="P1290" s="4"/>
      <c r="Q1290" s="4"/>
      <c r="R1290" s="4"/>
      <c r="S1290" s="4"/>
      <c r="T1290" s="4"/>
      <c r="U1290" s="4"/>
      <c r="V1290" s="4"/>
      <c r="W1290" s="4"/>
      <c r="X1290" s="4"/>
      <c r="Y1290" s="4"/>
      <c r="Z1290" s="4"/>
    </row>
    <row r="1291" spans="1:26">
      <c r="A1291" s="5">
        <v>43525</v>
      </c>
      <c r="B1291" s="4" t="s">
        <v>9</v>
      </c>
      <c r="C1291" s="4" t="s">
        <v>19</v>
      </c>
      <c r="D1291" s="4" t="s">
        <v>17</v>
      </c>
      <c r="E1291" s="4" t="s">
        <v>13</v>
      </c>
      <c r="F1291" s="4">
        <v>1729</v>
      </c>
      <c r="G1291" s="4">
        <v>761</v>
      </c>
      <c r="H1291" s="4">
        <v>7666</v>
      </c>
      <c r="I1291" s="6">
        <v>20922.646685317817</v>
      </c>
      <c r="J1291" s="4"/>
      <c r="K1291" s="4"/>
      <c r="L1291" s="4"/>
      <c r="M1291" s="4"/>
      <c r="N1291" s="4"/>
      <c r="O1291" s="4"/>
      <c r="P1291" s="4"/>
      <c r="Q1291" s="4"/>
      <c r="R1291" s="4"/>
      <c r="S1291" s="4"/>
      <c r="T1291" s="4"/>
      <c r="U1291" s="4"/>
      <c r="V1291" s="4"/>
      <c r="W1291" s="4"/>
      <c r="X1291" s="4"/>
      <c r="Y1291" s="4"/>
      <c r="Z1291" s="4"/>
    </row>
    <row r="1292" spans="1:26">
      <c r="A1292" s="5">
        <v>43525</v>
      </c>
      <c r="B1292" s="4" t="s">
        <v>20</v>
      </c>
      <c r="C1292" s="4" t="s">
        <v>10</v>
      </c>
      <c r="D1292" s="4" t="s">
        <v>11</v>
      </c>
      <c r="E1292" s="4" t="s">
        <v>12</v>
      </c>
      <c r="F1292" s="4">
        <v>2583819</v>
      </c>
      <c r="G1292" s="4">
        <v>5843</v>
      </c>
      <c r="H1292" s="4">
        <v>6622</v>
      </c>
      <c r="I1292" s="6">
        <v>1558.3927553734061</v>
      </c>
      <c r="J1292" s="4"/>
      <c r="K1292" s="4"/>
      <c r="L1292" s="4"/>
      <c r="M1292" s="4"/>
      <c r="N1292" s="4"/>
      <c r="O1292" s="4"/>
      <c r="P1292" s="4"/>
      <c r="Q1292" s="4"/>
      <c r="R1292" s="4"/>
      <c r="S1292" s="4"/>
      <c r="T1292" s="4"/>
      <c r="U1292" s="4"/>
      <c r="V1292" s="4"/>
      <c r="W1292" s="4"/>
      <c r="X1292" s="4"/>
      <c r="Y1292" s="4"/>
      <c r="Z1292" s="4"/>
    </row>
    <row r="1293" spans="1:26">
      <c r="A1293" s="5">
        <v>43525</v>
      </c>
      <c r="B1293" s="4" t="s">
        <v>20</v>
      </c>
      <c r="C1293" s="4" t="s">
        <v>10</v>
      </c>
      <c r="D1293" s="4" t="s">
        <v>11</v>
      </c>
      <c r="E1293" s="4" t="s">
        <v>13</v>
      </c>
      <c r="F1293" s="4">
        <v>1047</v>
      </c>
      <c r="G1293" s="4">
        <v>31</v>
      </c>
      <c r="H1293" s="4">
        <v>78</v>
      </c>
      <c r="I1293" s="6">
        <v>17343.977575757574</v>
      </c>
      <c r="J1293" s="4"/>
      <c r="K1293" s="4"/>
      <c r="L1293" s="4"/>
      <c r="M1293" s="4"/>
      <c r="N1293" s="4"/>
      <c r="O1293" s="4"/>
      <c r="P1293" s="4"/>
      <c r="Q1293" s="4"/>
      <c r="R1293" s="4"/>
      <c r="S1293" s="4"/>
      <c r="T1293" s="4"/>
      <c r="U1293" s="4"/>
      <c r="V1293" s="4"/>
      <c r="W1293" s="4"/>
      <c r="X1293" s="4"/>
      <c r="Y1293" s="4"/>
      <c r="Z1293" s="4"/>
    </row>
    <row r="1294" spans="1:26">
      <c r="A1294" s="5">
        <v>43525</v>
      </c>
      <c r="B1294" s="4" t="s">
        <v>20</v>
      </c>
      <c r="C1294" s="4" t="s">
        <v>10</v>
      </c>
      <c r="D1294" s="4" t="s">
        <v>14</v>
      </c>
      <c r="E1294" s="4" t="s">
        <v>12</v>
      </c>
      <c r="F1294" s="4">
        <v>4679228</v>
      </c>
      <c r="G1294" s="4">
        <v>10392</v>
      </c>
      <c r="H1294" s="4">
        <v>11288</v>
      </c>
      <c r="I1294" s="6">
        <v>1418.2698443307627</v>
      </c>
      <c r="J1294" s="4"/>
      <c r="K1294" s="4"/>
      <c r="L1294" s="4"/>
      <c r="M1294" s="4"/>
      <c r="N1294" s="4"/>
      <c r="O1294" s="4"/>
      <c r="P1294" s="4"/>
      <c r="Q1294" s="4"/>
      <c r="R1294" s="4"/>
      <c r="S1294" s="4"/>
      <c r="T1294" s="4"/>
      <c r="U1294" s="4"/>
      <c r="V1294" s="4"/>
      <c r="W1294" s="4"/>
      <c r="X1294" s="4"/>
      <c r="Y1294" s="4"/>
      <c r="Z1294" s="4"/>
    </row>
    <row r="1295" spans="1:26">
      <c r="A1295" s="5">
        <v>43525</v>
      </c>
      <c r="B1295" s="4" t="s">
        <v>20</v>
      </c>
      <c r="C1295" s="4" t="s">
        <v>10</v>
      </c>
      <c r="D1295" s="4" t="s">
        <v>14</v>
      </c>
      <c r="E1295" s="4" t="s">
        <v>13</v>
      </c>
      <c r="F1295" s="4">
        <v>2255</v>
      </c>
      <c r="G1295" s="4">
        <v>56</v>
      </c>
      <c r="H1295" s="4">
        <v>235</v>
      </c>
      <c r="I1295" s="6">
        <v>26323.339431034485</v>
      </c>
      <c r="J1295" s="4"/>
      <c r="K1295" s="4"/>
      <c r="L1295" s="4"/>
      <c r="M1295" s="4"/>
      <c r="N1295" s="4"/>
      <c r="O1295" s="4"/>
      <c r="P1295" s="4"/>
      <c r="Q1295" s="4"/>
      <c r="R1295" s="4"/>
      <c r="S1295" s="4"/>
      <c r="T1295" s="4"/>
      <c r="U1295" s="4"/>
      <c r="V1295" s="4"/>
      <c r="W1295" s="4"/>
      <c r="X1295" s="4"/>
      <c r="Y1295" s="4"/>
      <c r="Z1295" s="4"/>
    </row>
    <row r="1296" spans="1:26">
      <c r="A1296" s="5">
        <v>43525</v>
      </c>
      <c r="B1296" s="4" t="s">
        <v>20</v>
      </c>
      <c r="C1296" s="4" t="s">
        <v>10</v>
      </c>
      <c r="D1296" s="4" t="s">
        <v>15</v>
      </c>
      <c r="E1296" s="4" t="s">
        <v>12</v>
      </c>
      <c r="F1296" s="4">
        <v>1169444</v>
      </c>
      <c r="G1296" s="4">
        <v>2626</v>
      </c>
      <c r="H1296" s="4">
        <v>2848</v>
      </c>
      <c r="I1296" s="6">
        <v>454.30290722272593</v>
      </c>
      <c r="J1296" s="4"/>
      <c r="K1296" s="4"/>
      <c r="L1296" s="4"/>
      <c r="M1296" s="4"/>
      <c r="N1296" s="4"/>
      <c r="O1296" s="4"/>
      <c r="P1296" s="4"/>
      <c r="Q1296" s="4"/>
      <c r="R1296" s="4"/>
      <c r="S1296" s="4"/>
      <c r="T1296" s="4"/>
      <c r="U1296" s="4"/>
      <c r="V1296" s="4"/>
      <c r="W1296" s="4"/>
      <c r="X1296" s="4"/>
      <c r="Y1296" s="4"/>
      <c r="Z1296" s="4"/>
    </row>
    <row r="1297" spans="1:26">
      <c r="A1297" s="5">
        <v>43525</v>
      </c>
      <c r="B1297" s="4" t="s">
        <v>20</v>
      </c>
      <c r="C1297" s="4" t="s">
        <v>10</v>
      </c>
      <c r="D1297" s="4" t="s">
        <v>15</v>
      </c>
      <c r="E1297" s="4" t="s">
        <v>13</v>
      </c>
      <c r="F1297" s="4">
        <v>312</v>
      </c>
      <c r="G1297" s="4">
        <v>16</v>
      </c>
      <c r="H1297" s="4">
        <v>49</v>
      </c>
      <c r="I1297" s="6">
        <v>5963.5553521126758</v>
      </c>
      <c r="J1297" s="4"/>
      <c r="K1297" s="4"/>
      <c r="L1297" s="4"/>
      <c r="M1297" s="4"/>
      <c r="N1297" s="4"/>
      <c r="O1297" s="4"/>
      <c r="P1297" s="4"/>
      <c r="Q1297" s="4"/>
      <c r="R1297" s="4"/>
      <c r="S1297" s="4"/>
      <c r="T1297" s="4"/>
      <c r="U1297" s="4"/>
      <c r="V1297" s="4"/>
      <c r="W1297" s="4"/>
      <c r="X1297" s="4"/>
      <c r="Y1297" s="4"/>
      <c r="Z1297" s="4"/>
    </row>
    <row r="1298" spans="1:26">
      <c r="A1298" s="5">
        <v>43525</v>
      </c>
      <c r="B1298" s="4" t="s">
        <v>20</v>
      </c>
      <c r="C1298" s="4" t="s">
        <v>10</v>
      </c>
      <c r="D1298" s="4" t="s">
        <v>16</v>
      </c>
      <c r="E1298" s="4" t="s">
        <v>12</v>
      </c>
      <c r="F1298" s="4">
        <v>12584998</v>
      </c>
      <c r="G1298" s="4">
        <v>37845</v>
      </c>
      <c r="H1298" s="4">
        <v>39747</v>
      </c>
      <c r="I1298" s="6">
        <v>6703.1379355252884</v>
      </c>
      <c r="J1298" s="4"/>
      <c r="K1298" s="4"/>
      <c r="L1298" s="4"/>
      <c r="M1298" s="4"/>
      <c r="N1298" s="4"/>
      <c r="O1298" s="4"/>
      <c r="P1298" s="4"/>
      <c r="Q1298" s="4"/>
      <c r="R1298" s="4"/>
      <c r="S1298" s="4"/>
      <c r="T1298" s="4"/>
      <c r="U1298" s="4"/>
      <c r="V1298" s="4"/>
      <c r="W1298" s="4"/>
      <c r="X1298" s="4"/>
      <c r="Y1298" s="4"/>
      <c r="Z1298" s="4"/>
    </row>
    <row r="1299" spans="1:26">
      <c r="A1299" s="5">
        <v>43525</v>
      </c>
      <c r="B1299" s="4" t="s">
        <v>20</v>
      </c>
      <c r="C1299" s="4" t="s">
        <v>10</v>
      </c>
      <c r="D1299" s="4" t="s">
        <v>16</v>
      </c>
      <c r="E1299" s="4" t="s">
        <v>13</v>
      </c>
      <c r="F1299" s="4">
        <v>6111</v>
      </c>
      <c r="G1299" s="4">
        <v>258</v>
      </c>
      <c r="H1299" s="4">
        <v>696</v>
      </c>
      <c r="I1299" s="6">
        <v>113913.25643031784</v>
      </c>
      <c r="J1299" s="4"/>
      <c r="K1299" s="4"/>
      <c r="L1299" s="4"/>
      <c r="M1299" s="4"/>
      <c r="N1299" s="4"/>
      <c r="O1299" s="4"/>
      <c r="P1299" s="4"/>
      <c r="Q1299" s="4"/>
      <c r="R1299" s="4"/>
      <c r="S1299" s="4"/>
      <c r="T1299" s="4"/>
      <c r="U1299" s="4"/>
      <c r="V1299" s="4"/>
      <c r="W1299" s="4"/>
      <c r="X1299" s="4"/>
      <c r="Y1299" s="4"/>
      <c r="Z1299" s="4"/>
    </row>
    <row r="1300" spans="1:26">
      <c r="A1300" s="5">
        <v>43525</v>
      </c>
      <c r="B1300" s="4" t="s">
        <v>20</v>
      </c>
      <c r="C1300" s="4" t="s">
        <v>10</v>
      </c>
      <c r="D1300" s="4" t="s">
        <v>17</v>
      </c>
      <c r="E1300" s="4" t="s">
        <v>12</v>
      </c>
      <c r="F1300" s="4">
        <v>3987250</v>
      </c>
      <c r="G1300" s="4">
        <v>12596</v>
      </c>
      <c r="H1300" s="4">
        <v>13364</v>
      </c>
      <c r="I1300" s="6">
        <v>2033.7757538600454</v>
      </c>
      <c r="J1300" s="4"/>
      <c r="K1300" s="4"/>
      <c r="L1300" s="4"/>
      <c r="M1300" s="4"/>
      <c r="N1300" s="4"/>
      <c r="O1300" s="4"/>
      <c r="P1300" s="4"/>
      <c r="Q1300" s="4"/>
      <c r="R1300" s="4"/>
      <c r="S1300" s="4"/>
      <c r="T1300" s="4"/>
      <c r="U1300" s="4"/>
      <c r="V1300" s="4"/>
      <c r="W1300" s="4"/>
      <c r="X1300" s="4"/>
      <c r="Y1300" s="4"/>
      <c r="Z1300" s="4"/>
    </row>
    <row r="1301" spans="1:26">
      <c r="A1301" s="5">
        <v>43525</v>
      </c>
      <c r="B1301" s="4" t="s">
        <v>20</v>
      </c>
      <c r="C1301" s="4" t="s">
        <v>10</v>
      </c>
      <c r="D1301" s="4" t="s">
        <v>17</v>
      </c>
      <c r="E1301" s="4" t="s">
        <v>13</v>
      </c>
      <c r="F1301" s="4">
        <v>2070</v>
      </c>
      <c r="G1301" s="4">
        <v>82</v>
      </c>
      <c r="H1301" s="4">
        <v>259</v>
      </c>
      <c r="I1301" s="6">
        <v>39386.915354838704</v>
      </c>
      <c r="J1301" s="4"/>
      <c r="K1301" s="4"/>
      <c r="L1301" s="4"/>
      <c r="M1301" s="4"/>
      <c r="N1301" s="4"/>
      <c r="O1301" s="4"/>
      <c r="P1301" s="4"/>
      <c r="Q1301" s="4"/>
      <c r="R1301" s="4"/>
      <c r="S1301" s="4"/>
      <c r="T1301" s="4"/>
      <c r="U1301" s="4"/>
      <c r="V1301" s="4"/>
      <c r="W1301" s="4"/>
      <c r="X1301" s="4"/>
      <c r="Y1301" s="4"/>
      <c r="Z1301" s="4"/>
    </row>
    <row r="1302" spans="1:26">
      <c r="A1302" s="5">
        <v>43525</v>
      </c>
      <c r="B1302" s="4" t="s">
        <v>20</v>
      </c>
      <c r="C1302" s="4" t="s">
        <v>18</v>
      </c>
      <c r="D1302" s="4" t="s">
        <v>11</v>
      </c>
      <c r="E1302" s="4" t="s">
        <v>12</v>
      </c>
      <c r="F1302" s="4">
        <v>2890689</v>
      </c>
      <c r="G1302" s="4">
        <v>16514</v>
      </c>
      <c r="H1302" s="4">
        <v>31823</v>
      </c>
      <c r="I1302" s="6">
        <v>9789.3067744643977</v>
      </c>
      <c r="J1302" s="4"/>
      <c r="K1302" s="4"/>
      <c r="L1302" s="4"/>
      <c r="M1302" s="4"/>
      <c r="N1302" s="4"/>
      <c r="O1302" s="4"/>
      <c r="P1302" s="4"/>
      <c r="Q1302" s="4"/>
      <c r="R1302" s="4"/>
      <c r="S1302" s="4"/>
      <c r="T1302" s="4"/>
      <c r="U1302" s="4"/>
      <c r="V1302" s="4"/>
      <c r="W1302" s="4"/>
      <c r="X1302" s="4"/>
      <c r="Y1302" s="4"/>
      <c r="Z1302" s="4"/>
    </row>
    <row r="1303" spans="1:26">
      <c r="A1303" s="5">
        <v>43525</v>
      </c>
      <c r="B1303" s="4" t="s">
        <v>20</v>
      </c>
      <c r="C1303" s="4" t="s">
        <v>18</v>
      </c>
      <c r="D1303" s="4" t="s">
        <v>11</v>
      </c>
      <c r="E1303" s="4" t="s">
        <v>13</v>
      </c>
      <c r="F1303" s="4">
        <v>1492</v>
      </c>
      <c r="G1303" s="4">
        <v>22</v>
      </c>
      <c r="H1303" s="4">
        <v>37</v>
      </c>
      <c r="I1303" s="6">
        <v>193.0882</v>
      </c>
      <c r="J1303" s="4"/>
      <c r="K1303" s="4"/>
      <c r="L1303" s="4"/>
      <c r="M1303" s="4"/>
      <c r="N1303" s="4"/>
      <c r="O1303" s="4"/>
      <c r="P1303" s="4"/>
      <c r="Q1303" s="4"/>
      <c r="R1303" s="4"/>
      <c r="S1303" s="4"/>
      <c r="T1303" s="4"/>
      <c r="U1303" s="4"/>
      <c r="V1303" s="4"/>
      <c r="W1303" s="4"/>
      <c r="X1303" s="4"/>
      <c r="Y1303" s="4"/>
      <c r="Z1303" s="4"/>
    </row>
    <row r="1304" spans="1:26">
      <c r="A1304" s="5">
        <v>43525</v>
      </c>
      <c r="B1304" s="4" t="s">
        <v>20</v>
      </c>
      <c r="C1304" s="4" t="s">
        <v>18</v>
      </c>
      <c r="D1304" s="4" t="s">
        <v>14</v>
      </c>
      <c r="E1304" s="4" t="s">
        <v>12</v>
      </c>
      <c r="F1304" s="4">
        <v>5476269</v>
      </c>
      <c r="G1304" s="4">
        <v>32586</v>
      </c>
      <c r="H1304" s="4">
        <v>60920</v>
      </c>
      <c r="I1304" s="6">
        <v>12433.412531484364</v>
      </c>
      <c r="J1304" s="4"/>
      <c r="K1304" s="4"/>
      <c r="L1304" s="4"/>
      <c r="M1304" s="4"/>
      <c r="N1304" s="4"/>
      <c r="O1304" s="4"/>
      <c r="P1304" s="4"/>
      <c r="Q1304" s="4"/>
      <c r="R1304" s="4"/>
      <c r="S1304" s="4"/>
      <c r="T1304" s="4"/>
      <c r="U1304" s="4"/>
      <c r="V1304" s="4"/>
      <c r="W1304" s="4"/>
      <c r="X1304" s="4"/>
      <c r="Y1304" s="4"/>
      <c r="Z1304" s="4"/>
    </row>
    <row r="1305" spans="1:26">
      <c r="A1305" s="5">
        <v>43525</v>
      </c>
      <c r="B1305" s="4" t="s">
        <v>20</v>
      </c>
      <c r="C1305" s="4" t="s">
        <v>18</v>
      </c>
      <c r="D1305" s="4" t="s">
        <v>14</v>
      </c>
      <c r="E1305" s="4" t="s">
        <v>13</v>
      </c>
      <c r="F1305" s="4">
        <v>2857</v>
      </c>
      <c r="G1305" s="4">
        <v>34</v>
      </c>
      <c r="H1305" s="4">
        <v>195</v>
      </c>
      <c r="I1305" s="6">
        <v>327.81757809917355</v>
      </c>
      <c r="J1305" s="4"/>
      <c r="K1305" s="4"/>
      <c r="L1305" s="4"/>
      <c r="M1305" s="4"/>
      <c r="N1305" s="4"/>
      <c r="O1305" s="4"/>
      <c r="P1305" s="4"/>
      <c r="Q1305" s="4"/>
      <c r="R1305" s="4"/>
      <c r="S1305" s="4"/>
      <c r="T1305" s="4"/>
      <c r="U1305" s="4"/>
      <c r="V1305" s="4"/>
      <c r="W1305" s="4"/>
      <c r="X1305" s="4"/>
      <c r="Y1305" s="4"/>
      <c r="Z1305" s="4"/>
    </row>
    <row r="1306" spans="1:26">
      <c r="A1306" s="5">
        <v>43525</v>
      </c>
      <c r="B1306" s="4" t="s">
        <v>20</v>
      </c>
      <c r="C1306" s="4" t="s">
        <v>18</v>
      </c>
      <c r="D1306" s="4" t="s">
        <v>15</v>
      </c>
      <c r="E1306" s="4" t="s">
        <v>12</v>
      </c>
      <c r="F1306" s="4">
        <v>1728590</v>
      </c>
      <c r="G1306" s="4">
        <v>11280</v>
      </c>
      <c r="H1306" s="4">
        <v>21174</v>
      </c>
      <c r="I1306" s="6">
        <v>3451.8989124506493</v>
      </c>
      <c r="J1306" s="4"/>
      <c r="K1306" s="4"/>
      <c r="L1306" s="4"/>
      <c r="M1306" s="4"/>
      <c r="N1306" s="4"/>
      <c r="O1306" s="4"/>
      <c r="P1306" s="4"/>
      <c r="Q1306" s="4"/>
      <c r="R1306" s="4"/>
      <c r="S1306" s="4"/>
      <c r="T1306" s="4"/>
      <c r="U1306" s="4"/>
      <c r="V1306" s="4"/>
      <c r="W1306" s="4"/>
      <c r="X1306" s="4"/>
      <c r="Y1306" s="4"/>
      <c r="Z1306" s="4"/>
    </row>
    <row r="1307" spans="1:26">
      <c r="A1307" s="5">
        <v>43525</v>
      </c>
      <c r="B1307" s="4" t="s">
        <v>20</v>
      </c>
      <c r="C1307" s="4" t="s">
        <v>18</v>
      </c>
      <c r="D1307" s="4" t="s">
        <v>15</v>
      </c>
      <c r="E1307" s="4" t="s">
        <v>13</v>
      </c>
      <c r="F1307" s="4">
        <v>600</v>
      </c>
      <c r="G1307" s="4">
        <v>6</v>
      </c>
      <c r="H1307" s="4">
        <v>19</v>
      </c>
      <c r="I1307" s="6">
        <v>137.90380952380951</v>
      </c>
      <c r="J1307" s="4"/>
      <c r="K1307" s="4"/>
      <c r="L1307" s="4"/>
      <c r="M1307" s="4"/>
      <c r="N1307" s="4"/>
      <c r="O1307" s="4"/>
      <c r="P1307" s="4"/>
      <c r="Q1307" s="4"/>
      <c r="R1307" s="4"/>
      <c r="S1307" s="4"/>
      <c r="T1307" s="4"/>
      <c r="U1307" s="4"/>
      <c r="V1307" s="4"/>
      <c r="W1307" s="4"/>
      <c r="X1307" s="4"/>
      <c r="Y1307" s="4"/>
      <c r="Z1307" s="4"/>
    </row>
    <row r="1308" spans="1:26">
      <c r="A1308" s="5">
        <v>43525</v>
      </c>
      <c r="B1308" s="4" t="s">
        <v>20</v>
      </c>
      <c r="C1308" s="4" t="s">
        <v>18</v>
      </c>
      <c r="D1308" s="4" t="s">
        <v>16</v>
      </c>
      <c r="E1308" s="4" t="s">
        <v>12</v>
      </c>
      <c r="F1308" s="4">
        <v>25421619</v>
      </c>
      <c r="G1308" s="4">
        <v>80660</v>
      </c>
      <c r="H1308" s="4">
        <v>150236</v>
      </c>
      <c r="I1308" s="6">
        <v>49573.035095684303</v>
      </c>
      <c r="J1308" s="4"/>
      <c r="K1308" s="4"/>
      <c r="L1308" s="4"/>
      <c r="M1308" s="4"/>
      <c r="N1308" s="4"/>
      <c r="O1308" s="4"/>
      <c r="P1308" s="4"/>
      <c r="Q1308" s="4"/>
      <c r="R1308" s="4"/>
      <c r="S1308" s="4"/>
      <c r="T1308" s="4"/>
      <c r="U1308" s="4"/>
      <c r="V1308" s="4"/>
      <c r="W1308" s="4"/>
      <c r="X1308" s="4"/>
      <c r="Y1308" s="4"/>
      <c r="Z1308" s="4"/>
    </row>
    <row r="1309" spans="1:26">
      <c r="A1309" s="5">
        <v>43525</v>
      </c>
      <c r="B1309" s="4" t="s">
        <v>20</v>
      </c>
      <c r="C1309" s="4" t="s">
        <v>18</v>
      </c>
      <c r="D1309" s="4" t="s">
        <v>16</v>
      </c>
      <c r="E1309" s="4" t="s">
        <v>13</v>
      </c>
      <c r="F1309" s="4">
        <v>31150</v>
      </c>
      <c r="G1309" s="4">
        <v>99</v>
      </c>
      <c r="H1309" s="4">
        <v>1079</v>
      </c>
      <c r="I1309" s="6">
        <v>1445.8350616332818</v>
      </c>
      <c r="J1309" s="4"/>
      <c r="K1309" s="4"/>
      <c r="L1309" s="4"/>
      <c r="M1309" s="4"/>
      <c r="N1309" s="4"/>
      <c r="O1309" s="4"/>
      <c r="P1309" s="4"/>
      <c r="Q1309" s="4"/>
      <c r="R1309" s="4"/>
      <c r="S1309" s="4"/>
      <c r="T1309" s="4"/>
      <c r="U1309" s="4"/>
      <c r="V1309" s="4"/>
      <c r="W1309" s="4"/>
      <c r="X1309" s="4"/>
      <c r="Y1309" s="4"/>
      <c r="Z1309" s="4"/>
    </row>
    <row r="1310" spans="1:26">
      <c r="A1310" s="5">
        <v>43525</v>
      </c>
      <c r="B1310" s="4" t="s">
        <v>20</v>
      </c>
      <c r="C1310" s="4" t="s">
        <v>18</v>
      </c>
      <c r="D1310" s="4" t="s">
        <v>17</v>
      </c>
      <c r="E1310" s="4" t="s">
        <v>12</v>
      </c>
      <c r="F1310" s="4">
        <v>4479049</v>
      </c>
      <c r="G1310" s="4">
        <v>27232</v>
      </c>
      <c r="H1310" s="4">
        <v>47838</v>
      </c>
      <c r="I1310" s="6">
        <v>16305.994684661957</v>
      </c>
      <c r="J1310" s="4"/>
      <c r="K1310" s="4"/>
      <c r="L1310" s="4"/>
      <c r="M1310" s="4"/>
      <c r="N1310" s="4"/>
      <c r="O1310" s="4"/>
      <c r="P1310" s="4"/>
      <c r="Q1310" s="4"/>
      <c r="R1310" s="4"/>
      <c r="S1310" s="4"/>
      <c r="T1310" s="4"/>
      <c r="U1310" s="4"/>
      <c r="V1310" s="4"/>
      <c r="W1310" s="4"/>
      <c r="X1310" s="4"/>
      <c r="Y1310" s="4"/>
      <c r="Z1310" s="4"/>
    </row>
    <row r="1311" spans="1:26">
      <c r="A1311" s="5">
        <v>43525</v>
      </c>
      <c r="B1311" s="4" t="s">
        <v>20</v>
      </c>
      <c r="C1311" s="4" t="s">
        <v>18</v>
      </c>
      <c r="D1311" s="4" t="s">
        <v>17</v>
      </c>
      <c r="E1311" s="4" t="s">
        <v>13</v>
      </c>
      <c r="F1311" s="4">
        <v>1808</v>
      </c>
      <c r="G1311" s="4">
        <v>26</v>
      </c>
      <c r="H1311" s="4">
        <v>144</v>
      </c>
      <c r="I1311" s="6">
        <v>89.960869565217394</v>
      </c>
      <c r="J1311" s="4"/>
      <c r="K1311" s="4"/>
      <c r="L1311" s="4"/>
      <c r="M1311" s="4"/>
      <c r="N1311" s="4"/>
      <c r="O1311" s="4"/>
      <c r="P1311" s="4"/>
      <c r="Q1311" s="4"/>
      <c r="R1311" s="4"/>
      <c r="S1311" s="4"/>
      <c r="T1311" s="4"/>
      <c r="U1311" s="4"/>
      <c r="V1311" s="4"/>
      <c r="W1311" s="4"/>
      <c r="X1311" s="4"/>
      <c r="Y1311" s="4"/>
      <c r="Z1311" s="4"/>
    </row>
    <row r="1312" spans="1:26">
      <c r="A1312" s="5">
        <v>43525</v>
      </c>
      <c r="B1312" s="4" t="s">
        <v>20</v>
      </c>
      <c r="C1312" s="4" t="s">
        <v>19</v>
      </c>
      <c r="D1312" s="4" t="s">
        <v>11</v>
      </c>
      <c r="E1312" s="4" t="s">
        <v>12</v>
      </c>
      <c r="F1312" s="4">
        <v>884333</v>
      </c>
      <c r="G1312" s="4">
        <v>2604</v>
      </c>
      <c r="H1312" s="4">
        <v>2801</v>
      </c>
      <c r="I1312" s="6">
        <v>9808.4495236631828</v>
      </c>
      <c r="J1312" s="4"/>
      <c r="K1312" s="4"/>
      <c r="L1312" s="4"/>
      <c r="M1312" s="4"/>
      <c r="N1312" s="4"/>
      <c r="O1312" s="4"/>
      <c r="P1312" s="4"/>
      <c r="Q1312" s="4"/>
      <c r="R1312" s="4"/>
      <c r="S1312" s="4"/>
      <c r="T1312" s="4"/>
      <c r="U1312" s="4"/>
      <c r="V1312" s="4"/>
      <c r="W1312" s="4"/>
      <c r="X1312" s="4"/>
      <c r="Y1312" s="4"/>
      <c r="Z1312" s="4"/>
    </row>
    <row r="1313" spans="1:26">
      <c r="A1313" s="5">
        <v>43525</v>
      </c>
      <c r="B1313" s="4" t="s">
        <v>20</v>
      </c>
      <c r="C1313" s="4" t="s">
        <v>19</v>
      </c>
      <c r="D1313" s="4" t="s">
        <v>11</v>
      </c>
      <c r="E1313" s="4" t="s">
        <v>13</v>
      </c>
      <c r="F1313" s="4">
        <v>1204</v>
      </c>
      <c r="G1313" s="4">
        <v>46</v>
      </c>
      <c r="H1313" s="4">
        <v>271</v>
      </c>
      <c r="I1313" s="6">
        <v>1276.5148511904763</v>
      </c>
      <c r="J1313" s="4"/>
      <c r="K1313" s="4"/>
      <c r="L1313" s="4"/>
      <c r="M1313" s="4"/>
      <c r="N1313" s="4"/>
      <c r="O1313" s="4"/>
      <c r="P1313" s="4"/>
      <c r="Q1313" s="4"/>
      <c r="R1313" s="4"/>
      <c r="S1313" s="4"/>
      <c r="T1313" s="4"/>
      <c r="U1313" s="4"/>
      <c r="V1313" s="4"/>
      <c r="W1313" s="4"/>
      <c r="X1313" s="4"/>
      <c r="Y1313" s="4"/>
      <c r="Z1313" s="4"/>
    </row>
    <row r="1314" spans="1:26">
      <c r="A1314" s="5">
        <v>43525</v>
      </c>
      <c r="B1314" s="4" t="s">
        <v>20</v>
      </c>
      <c r="C1314" s="4" t="s">
        <v>19</v>
      </c>
      <c r="D1314" s="4" t="s">
        <v>14</v>
      </c>
      <c r="E1314" s="4" t="s">
        <v>12</v>
      </c>
      <c r="F1314" s="4">
        <v>2080760</v>
      </c>
      <c r="G1314" s="4">
        <v>6692</v>
      </c>
      <c r="H1314" s="4">
        <v>6760</v>
      </c>
      <c r="I1314" s="6">
        <v>20776.201401809609</v>
      </c>
      <c r="J1314" s="4"/>
      <c r="K1314" s="4"/>
      <c r="L1314" s="4"/>
      <c r="M1314" s="4"/>
      <c r="N1314" s="4"/>
      <c r="O1314" s="4"/>
      <c r="P1314" s="4"/>
      <c r="Q1314" s="4"/>
      <c r="R1314" s="4"/>
      <c r="S1314" s="4"/>
      <c r="T1314" s="4"/>
      <c r="U1314" s="4"/>
      <c r="V1314" s="4"/>
      <c r="W1314" s="4"/>
      <c r="X1314" s="4"/>
      <c r="Y1314" s="4"/>
      <c r="Z1314" s="4"/>
    </row>
    <row r="1315" spans="1:26">
      <c r="A1315" s="5">
        <v>43525</v>
      </c>
      <c r="B1315" s="4" t="s">
        <v>20</v>
      </c>
      <c r="C1315" s="4" t="s">
        <v>19</v>
      </c>
      <c r="D1315" s="4" t="s">
        <v>14</v>
      </c>
      <c r="E1315" s="4" t="s">
        <v>13</v>
      </c>
      <c r="F1315" s="4">
        <v>3145</v>
      </c>
      <c r="G1315" s="4">
        <v>126</v>
      </c>
      <c r="H1315" s="4">
        <v>522</v>
      </c>
      <c r="I1315" s="6">
        <v>2466.0639549839225</v>
      </c>
      <c r="J1315" s="4"/>
      <c r="K1315" s="4"/>
      <c r="L1315" s="4"/>
      <c r="M1315" s="4"/>
      <c r="N1315" s="4"/>
      <c r="O1315" s="4"/>
      <c r="P1315" s="4"/>
      <c r="Q1315" s="4"/>
      <c r="R1315" s="4"/>
      <c r="S1315" s="4"/>
      <c r="T1315" s="4"/>
      <c r="U1315" s="4"/>
      <c r="V1315" s="4"/>
      <c r="W1315" s="4"/>
      <c r="X1315" s="4"/>
      <c r="Y1315" s="4"/>
      <c r="Z1315" s="4"/>
    </row>
    <row r="1316" spans="1:26">
      <c r="A1316" s="5">
        <v>43525</v>
      </c>
      <c r="B1316" s="4" t="s">
        <v>20</v>
      </c>
      <c r="C1316" s="4" t="s">
        <v>19</v>
      </c>
      <c r="D1316" s="4" t="s">
        <v>15</v>
      </c>
      <c r="E1316" s="4" t="s">
        <v>12</v>
      </c>
      <c r="F1316" s="4">
        <v>540955</v>
      </c>
      <c r="G1316" s="4">
        <v>1820</v>
      </c>
      <c r="H1316" s="4">
        <v>1844</v>
      </c>
      <c r="I1316" s="6">
        <v>6685.7815111940299</v>
      </c>
      <c r="J1316" s="4"/>
      <c r="K1316" s="4"/>
      <c r="L1316" s="4"/>
      <c r="M1316" s="4"/>
      <c r="N1316" s="4"/>
      <c r="O1316" s="4"/>
      <c r="P1316" s="4"/>
      <c r="Q1316" s="4"/>
      <c r="R1316" s="4"/>
      <c r="S1316" s="4"/>
      <c r="T1316" s="4"/>
      <c r="U1316" s="4"/>
      <c r="V1316" s="4"/>
      <c r="W1316" s="4"/>
      <c r="X1316" s="4"/>
      <c r="Y1316" s="4"/>
      <c r="Z1316" s="4"/>
    </row>
    <row r="1317" spans="1:26">
      <c r="A1317" s="5">
        <v>43525</v>
      </c>
      <c r="B1317" s="4" t="s">
        <v>20</v>
      </c>
      <c r="C1317" s="4" t="s">
        <v>19</v>
      </c>
      <c r="D1317" s="4" t="s">
        <v>15</v>
      </c>
      <c r="E1317" s="4" t="s">
        <v>13</v>
      </c>
      <c r="F1317" s="4">
        <v>547</v>
      </c>
      <c r="G1317" s="4">
        <v>21</v>
      </c>
      <c r="H1317" s="4">
        <v>213</v>
      </c>
      <c r="I1317" s="6">
        <v>293.67094736842108</v>
      </c>
      <c r="J1317" s="4"/>
      <c r="K1317" s="4"/>
      <c r="L1317" s="4"/>
      <c r="M1317" s="4"/>
      <c r="N1317" s="4"/>
      <c r="O1317" s="4"/>
      <c r="P1317" s="4"/>
      <c r="Q1317" s="4"/>
      <c r="R1317" s="4"/>
      <c r="S1317" s="4"/>
      <c r="T1317" s="4"/>
      <c r="U1317" s="4"/>
      <c r="V1317" s="4"/>
      <c r="W1317" s="4"/>
      <c r="X1317" s="4"/>
      <c r="Y1317" s="4"/>
      <c r="Z1317" s="4"/>
    </row>
    <row r="1318" spans="1:26">
      <c r="A1318" s="5">
        <v>43525</v>
      </c>
      <c r="B1318" s="4" t="s">
        <v>20</v>
      </c>
      <c r="C1318" s="4" t="s">
        <v>19</v>
      </c>
      <c r="D1318" s="4" t="s">
        <v>16</v>
      </c>
      <c r="E1318" s="4" t="s">
        <v>12</v>
      </c>
      <c r="F1318" s="4">
        <v>4858253</v>
      </c>
      <c r="G1318" s="4">
        <v>13104</v>
      </c>
      <c r="H1318" s="4">
        <v>13435</v>
      </c>
      <c r="I1318" s="6">
        <v>62380.181307332088</v>
      </c>
      <c r="J1318" s="4"/>
      <c r="K1318" s="4"/>
      <c r="L1318" s="4"/>
      <c r="M1318" s="4"/>
      <c r="N1318" s="4"/>
      <c r="O1318" s="4"/>
      <c r="P1318" s="4"/>
      <c r="Q1318" s="4"/>
      <c r="R1318" s="4"/>
      <c r="S1318" s="4"/>
      <c r="T1318" s="4"/>
      <c r="U1318" s="4"/>
      <c r="V1318" s="4"/>
      <c r="W1318" s="4"/>
      <c r="X1318" s="4"/>
      <c r="Y1318" s="4"/>
      <c r="Z1318" s="4"/>
    </row>
    <row r="1319" spans="1:26">
      <c r="A1319" s="5">
        <v>43525</v>
      </c>
      <c r="B1319" s="4" t="s">
        <v>20</v>
      </c>
      <c r="C1319" s="4" t="s">
        <v>19</v>
      </c>
      <c r="D1319" s="4" t="s">
        <v>16</v>
      </c>
      <c r="E1319" s="4" t="s">
        <v>13</v>
      </c>
      <c r="F1319" s="4">
        <v>4827</v>
      </c>
      <c r="G1319" s="4">
        <v>193</v>
      </c>
      <c r="H1319" s="4">
        <v>989</v>
      </c>
      <c r="I1319" s="6">
        <v>5974.5244653550035</v>
      </c>
      <c r="J1319" s="4"/>
      <c r="K1319" s="4"/>
      <c r="L1319" s="4"/>
      <c r="M1319" s="4"/>
      <c r="N1319" s="4"/>
      <c r="O1319" s="4"/>
      <c r="P1319" s="4"/>
      <c r="Q1319" s="4"/>
      <c r="R1319" s="4"/>
      <c r="S1319" s="4"/>
      <c r="T1319" s="4"/>
      <c r="U1319" s="4"/>
      <c r="V1319" s="4"/>
      <c r="W1319" s="4"/>
      <c r="X1319" s="4"/>
      <c r="Y1319" s="4"/>
      <c r="Z1319" s="4"/>
    </row>
    <row r="1320" spans="1:26">
      <c r="A1320" s="5">
        <v>43525</v>
      </c>
      <c r="B1320" s="4" t="s">
        <v>20</v>
      </c>
      <c r="C1320" s="4" t="s">
        <v>19</v>
      </c>
      <c r="D1320" s="4" t="s">
        <v>17</v>
      </c>
      <c r="E1320" s="4" t="s">
        <v>12</v>
      </c>
      <c r="F1320" s="4">
        <v>1485159</v>
      </c>
      <c r="G1320" s="4">
        <v>4650</v>
      </c>
      <c r="H1320" s="4">
        <v>4694</v>
      </c>
      <c r="I1320" s="6">
        <v>18578.39371260782</v>
      </c>
      <c r="J1320" s="4"/>
      <c r="K1320" s="4"/>
      <c r="L1320" s="4"/>
      <c r="M1320" s="4"/>
      <c r="N1320" s="4"/>
      <c r="O1320" s="4"/>
      <c r="P1320" s="4"/>
      <c r="Q1320" s="4"/>
      <c r="R1320" s="4"/>
      <c r="S1320" s="4"/>
      <c r="T1320" s="4"/>
      <c r="U1320" s="4"/>
      <c r="V1320" s="4"/>
      <c r="W1320" s="4"/>
      <c r="X1320" s="4"/>
      <c r="Y1320" s="4"/>
      <c r="Z1320" s="4"/>
    </row>
    <row r="1321" spans="1:26">
      <c r="A1321" s="5">
        <v>43525</v>
      </c>
      <c r="B1321" s="4" t="s">
        <v>20</v>
      </c>
      <c r="C1321" s="4" t="s">
        <v>19</v>
      </c>
      <c r="D1321" s="4" t="s">
        <v>17</v>
      </c>
      <c r="E1321" s="4" t="s">
        <v>13</v>
      </c>
      <c r="F1321" s="4">
        <v>1729</v>
      </c>
      <c r="G1321" s="4">
        <v>58</v>
      </c>
      <c r="H1321" s="4">
        <v>685</v>
      </c>
      <c r="I1321" s="6">
        <v>1490.5567342073898</v>
      </c>
      <c r="J1321" s="4"/>
      <c r="K1321" s="4"/>
      <c r="L1321" s="4"/>
      <c r="M1321" s="4"/>
      <c r="N1321" s="4"/>
      <c r="O1321" s="4"/>
      <c r="P1321" s="4"/>
      <c r="Q1321" s="4"/>
      <c r="R1321" s="4"/>
      <c r="S1321" s="4"/>
      <c r="T1321" s="4"/>
      <c r="U1321" s="4"/>
      <c r="V1321" s="4"/>
      <c r="W1321" s="4"/>
      <c r="X1321" s="4"/>
      <c r="Y1321" s="4"/>
      <c r="Z1321" s="4"/>
    </row>
    <row r="1322" spans="1:26">
      <c r="A1322" s="5">
        <v>43525</v>
      </c>
      <c r="B1322" s="4" t="s">
        <v>21</v>
      </c>
      <c r="C1322" s="4" t="s">
        <v>10</v>
      </c>
      <c r="D1322" s="4" t="s">
        <v>11</v>
      </c>
      <c r="E1322" s="4" t="s">
        <v>12</v>
      </c>
      <c r="F1322" s="4">
        <v>1548673</v>
      </c>
      <c r="G1322" s="4">
        <v>12302</v>
      </c>
      <c r="H1322" s="4">
        <v>15433</v>
      </c>
      <c r="I1322" s="6">
        <v>22964.882328102311</v>
      </c>
      <c r="J1322" s="4"/>
      <c r="K1322" s="4"/>
      <c r="L1322" s="4"/>
      <c r="M1322" s="4"/>
      <c r="N1322" s="4"/>
      <c r="O1322" s="4"/>
      <c r="P1322" s="4"/>
      <c r="Q1322" s="4"/>
      <c r="R1322" s="4"/>
      <c r="S1322" s="4"/>
      <c r="T1322" s="4"/>
      <c r="U1322" s="4"/>
      <c r="V1322" s="4"/>
      <c r="W1322" s="4"/>
      <c r="X1322" s="4"/>
      <c r="Y1322" s="4"/>
      <c r="Z1322" s="4"/>
    </row>
    <row r="1323" spans="1:26">
      <c r="A1323" s="5">
        <v>43525</v>
      </c>
      <c r="B1323" s="4" t="s">
        <v>21</v>
      </c>
      <c r="C1323" s="4" t="s">
        <v>10</v>
      </c>
      <c r="D1323" s="4" t="s">
        <v>11</v>
      </c>
      <c r="E1323" s="4" t="s">
        <v>13</v>
      </c>
      <c r="F1323" s="4">
        <v>18605</v>
      </c>
      <c r="G1323" s="4">
        <v>1070</v>
      </c>
      <c r="H1323" s="4">
        <v>18005</v>
      </c>
      <c r="I1323" s="6">
        <v>99548.848562147716</v>
      </c>
      <c r="J1323" s="4"/>
      <c r="K1323" s="4"/>
      <c r="L1323" s="4"/>
      <c r="M1323" s="4"/>
      <c r="N1323" s="4"/>
      <c r="O1323" s="4"/>
      <c r="P1323" s="4"/>
      <c r="Q1323" s="4"/>
      <c r="R1323" s="4"/>
      <c r="S1323" s="4"/>
      <c r="T1323" s="4"/>
      <c r="U1323" s="4"/>
      <c r="V1323" s="4"/>
      <c r="W1323" s="4"/>
      <c r="X1323" s="4"/>
      <c r="Y1323" s="4"/>
      <c r="Z1323" s="4"/>
    </row>
    <row r="1324" spans="1:26">
      <c r="A1324" s="5">
        <v>43525</v>
      </c>
      <c r="B1324" s="4" t="s">
        <v>21</v>
      </c>
      <c r="C1324" s="4" t="s">
        <v>10</v>
      </c>
      <c r="D1324" s="4" t="s">
        <v>14</v>
      </c>
      <c r="E1324" s="4" t="s">
        <v>12</v>
      </c>
      <c r="F1324" s="4">
        <v>2380045</v>
      </c>
      <c r="G1324" s="4">
        <v>14304</v>
      </c>
      <c r="H1324" s="4">
        <v>16301</v>
      </c>
      <c r="I1324" s="6">
        <v>34638.366568316414</v>
      </c>
      <c r="J1324" s="4"/>
      <c r="K1324" s="4"/>
      <c r="L1324" s="4"/>
      <c r="M1324" s="4"/>
      <c r="N1324" s="4"/>
      <c r="O1324" s="4"/>
      <c r="P1324" s="4"/>
      <c r="Q1324" s="4"/>
      <c r="R1324" s="4"/>
      <c r="S1324" s="4"/>
      <c r="T1324" s="4"/>
      <c r="U1324" s="4"/>
      <c r="V1324" s="4"/>
      <c r="W1324" s="4"/>
      <c r="X1324" s="4"/>
      <c r="Y1324" s="4"/>
      <c r="Z1324" s="4"/>
    </row>
    <row r="1325" spans="1:26">
      <c r="A1325" s="5">
        <v>43525</v>
      </c>
      <c r="B1325" s="4" t="s">
        <v>21</v>
      </c>
      <c r="C1325" s="4" t="s">
        <v>10</v>
      </c>
      <c r="D1325" s="4" t="s">
        <v>14</v>
      </c>
      <c r="E1325" s="4" t="s">
        <v>13</v>
      </c>
      <c r="F1325" s="4">
        <v>22515</v>
      </c>
      <c r="G1325" s="4">
        <v>1405</v>
      </c>
      <c r="H1325" s="4">
        <v>19310</v>
      </c>
      <c r="I1325" s="6">
        <v>117663.36724552498</v>
      </c>
      <c r="J1325" s="4"/>
      <c r="K1325" s="4"/>
      <c r="L1325" s="4"/>
      <c r="M1325" s="4"/>
      <c r="N1325" s="4"/>
      <c r="O1325" s="4"/>
      <c r="P1325" s="4"/>
      <c r="Q1325" s="4"/>
      <c r="R1325" s="4"/>
      <c r="S1325" s="4"/>
      <c r="T1325" s="4"/>
      <c r="U1325" s="4"/>
      <c r="V1325" s="4"/>
      <c r="W1325" s="4"/>
      <c r="X1325" s="4"/>
      <c r="Y1325" s="4"/>
      <c r="Z1325" s="4"/>
    </row>
    <row r="1326" spans="1:26">
      <c r="A1326" s="5">
        <v>43525</v>
      </c>
      <c r="B1326" s="4" t="s">
        <v>21</v>
      </c>
      <c r="C1326" s="4" t="s">
        <v>10</v>
      </c>
      <c r="D1326" s="4" t="s">
        <v>15</v>
      </c>
      <c r="E1326" s="4" t="s">
        <v>12</v>
      </c>
      <c r="F1326" s="4">
        <v>632133</v>
      </c>
      <c r="G1326" s="4">
        <v>3950</v>
      </c>
      <c r="H1326" s="4">
        <v>4636</v>
      </c>
      <c r="I1326" s="6">
        <v>8535.9424005945748</v>
      </c>
      <c r="J1326" s="4"/>
      <c r="K1326" s="4"/>
      <c r="L1326" s="4"/>
      <c r="M1326" s="4"/>
      <c r="N1326" s="4"/>
      <c r="O1326" s="4"/>
      <c r="P1326" s="4"/>
      <c r="Q1326" s="4"/>
      <c r="R1326" s="4"/>
      <c r="S1326" s="4"/>
      <c r="T1326" s="4"/>
      <c r="U1326" s="4"/>
      <c r="V1326" s="4"/>
      <c r="W1326" s="4"/>
      <c r="X1326" s="4"/>
      <c r="Y1326" s="4"/>
      <c r="Z1326" s="4"/>
    </row>
    <row r="1327" spans="1:26">
      <c r="A1327" s="5">
        <v>43525</v>
      </c>
      <c r="B1327" s="4" t="s">
        <v>21</v>
      </c>
      <c r="C1327" s="4" t="s">
        <v>10</v>
      </c>
      <c r="D1327" s="4" t="s">
        <v>15</v>
      </c>
      <c r="E1327" s="4" t="s">
        <v>13</v>
      </c>
      <c r="F1327" s="4">
        <v>5534</v>
      </c>
      <c r="G1327" s="4">
        <v>357</v>
      </c>
      <c r="H1327" s="4">
        <v>3886</v>
      </c>
      <c r="I1327" s="6">
        <v>28514.864779653588</v>
      </c>
      <c r="J1327" s="4"/>
      <c r="K1327" s="4"/>
      <c r="L1327" s="4"/>
      <c r="M1327" s="4"/>
      <c r="N1327" s="4"/>
      <c r="O1327" s="4"/>
      <c r="P1327" s="4"/>
      <c r="Q1327" s="4"/>
      <c r="R1327" s="4"/>
      <c r="S1327" s="4"/>
      <c r="T1327" s="4"/>
      <c r="U1327" s="4"/>
      <c r="V1327" s="4"/>
      <c r="W1327" s="4"/>
      <c r="X1327" s="4"/>
      <c r="Y1327" s="4"/>
      <c r="Z1327" s="4"/>
    </row>
    <row r="1328" spans="1:26">
      <c r="A1328" s="5">
        <v>43525</v>
      </c>
      <c r="B1328" s="4" t="s">
        <v>21</v>
      </c>
      <c r="C1328" s="4" t="s">
        <v>10</v>
      </c>
      <c r="D1328" s="4" t="s">
        <v>16</v>
      </c>
      <c r="E1328" s="4" t="s">
        <v>12</v>
      </c>
      <c r="F1328" s="4">
        <v>8060669</v>
      </c>
      <c r="G1328" s="4">
        <v>65170</v>
      </c>
      <c r="H1328" s="4">
        <v>72178</v>
      </c>
      <c r="I1328" s="6">
        <v>177254.78705483297</v>
      </c>
      <c r="J1328" s="4"/>
      <c r="K1328" s="4"/>
      <c r="L1328" s="4"/>
      <c r="M1328" s="4"/>
      <c r="N1328" s="4"/>
      <c r="O1328" s="4"/>
      <c r="P1328" s="4"/>
      <c r="Q1328" s="4"/>
      <c r="R1328" s="4"/>
      <c r="S1328" s="4"/>
      <c r="T1328" s="4"/>
      <c r="U1328" s="4"/>
      <c r="V1328" s="4"/>
      <c r="W1328" s="4"/>
      <c r="X1328" s="4"/>
      <c r="Y1328" s="4"/>
      <c r="Z1328" s="4"/>
    </row>
    <row r="1329" spans="1:26">
      <c r="A1329" s="5">
        <v>43525</v>
      </c>
      <c r="B1329" s="4" t="s">
        <v>21</v>
      </c>
      <c r="C1329" s="4" t="s">
        <v>10</v>
      </c>
      <c r="D1329" s="4" t="s">
        <v>16</v>
      </c>
      <c r="E1329" s="4" t="s">
        <v>13</v>
      </c>
      <c r="F1329" s="4">
        <v>98971</v>
      </c>
      <c r="G1329" s="4">
        <v>6883</v>
      </c>
      <c r="H1329" s="4">
        <v>99163</v>
      </c>
      <c r="I1329" s="6">
        <v>557675.01167635527</v>
      </c>
      <c r="J1329" s="4"/>
      <c r="K1329" s="4"/>
      <c r="L1329" s="4"/>
      <c r="M1329" s="4"/>
      <c r="N1329" s="4"/>
      <c r="O1329" s="4"/>
      <c r="P1329" s="4"/>
      <c r="Q1329" s="4"/>
      <c r="R1329" s="4"/>
      <c r="S1329" s="4"/>
      <c r="T1329" s="4"/>
      <c r="U1329" s="4"/>
      <c r="V1329" s="4"/>
      <c r="W1329" s="4"/>
      <c r="X1329" s="4"/>
      <c r="Y1329" s="4"/>
      <c r="Z1329" s="4"/>
    </row>
    <row r="1330" spans="1:26">
      <c r="A1330" s="5">
        <v>43525</v>
      </c>
      <c r="B1330" s="4" t="s">
        <v>21</v>
      </c>
      <c r="C1330" s="4" t="s">
        <v>10</v>
      </c>
      <c r="D1330" s="4" t="s">
        <v>17</v>
      </c>
      <c r="E1330" s="4" t="s">
        <v>12</v>
      </c>
      <c r="F1330" s="4">
        <v>2636626</v>
      </c>
      <c r="G1330" s="4">
        <v>27058</v>
      </c>
      <c r="H1330" s="4">
        <v>29541</v>
      </c>
      <c r="I1330" s="6">
        <v>73087.437322069512</v>
      </c>
      <c r="J1330" s="4"/>
      <c r="K1330" s="4"/>
      <c r="L1330" s="4"/>
      <c r="M1330" s="4"/>
      <c r="N1330" s="4"/>
      <c r="O1330" s="4"/>
      <c r="P1330" s="4"/>
      <c r="Q1330" s="4"/>
      <c r="R1330" s="4"/>
      <c r="S1330" s="4"/>
      <c r="T1330" s="4"/>
      <c r="U1330" s="4"/>
      <c r="V1330" s="4"/>
      <c r="W1330" s="4"/>
      <c r="X1330" s="4"/>
      <c r="Y1330" s="4"/>
      <c r="Z1330" s="4"/>
    </row>
    <row r="1331" spans="1:26">
      <c r="A1331" s="5">
        <v>43525</v>
      </c>
      <c r="B1331" s="4" t="s">
        <v>21</v>
      </c>
      <c r="C1331" s="4" t="s">
        <v>10</v>
      </c>
      <c r="D1331" s="4" t="s">
        <v>17</v>
      </c>
      <c r="E1331" s="4" t="s">
        <v>13</v>
      </c>
      <c r="F1331" s="4">
        <v>37817</v>
      </c>
      <c r="G1331" s="4">
        <v>3045</v>
      </c>
      <c r="H1331" s="4">
        <v>44016</v>
      </c>
      <c r="I1331" s="6">
        <v>241031.61600000001</v>
      </c>
      <c r="J1331" s="4"/>
      <c r="K1331" s="4"/>
      <c r="L1331" s="4"/>
      <c r="M1331" s="4"/>
      <c r="N1331" s="4"/>
      <c r="O1331" s="4"/>
      <c r="P1331" s="4"/>
      <c r="Q1331" s="4"/>
      <c r="R1331" s="4"/>
      <c r="S1331" s="4"/>
      <c r="T1331" s="4"/>
      <c r="U1331" s="4"/>
      <c r="V1331" s="4"/>
      <c r="W1331" s="4"/>
      <c r="X1331" s="4"/>
      <c r="Y1331" s="4"/>
      <c r="Z1331" s="4"/>
    </row>
    <row r="1332" spans="1:26">
      <c r="A1332" s="5">
        <v>43525</v>
      </c>
      <c r="B1332" s="4" t="s">
        <v>21</v>
      </c>
      <c r="C1332" s="4" t="s">
        <v>18</v>
      </c>
      <c r="D1332" s="4" t="s">
        <v>11</v>
      </c>
      <c r="E1332" s="4" t="s">
        <v>12</v>
      </c>
      <c r="F1332" s="4">
        <v>1810636</v>
      </c>
      <c r="G1332" s="4">
        <v>31830</v>
      </c>
      <c r="H1332" s="4">
        <v>138475</v>
      </c>
      <c r="I1332" s="6">
        <v>73795.437142038951</v>
      </c>
      <c r="J1332" s="4"/>
      <c r="K1332" s="4"/>
      <c r="L1332" s="4"/>
      <c r="M1332" s="4"/>
      <c r="N1332" s="4"/>
      <c r="O1332" s="4"/>
      <c r="P1332" s="4"/>
      <c r="Q1332" s="4"/>
      <c r="R1332" s="4"/>
      <c r="S1332" s="4"/>
      <c r="T1332" s="4"/>
      <c r="U1332" s="4"/>
      <c r="V1332" s="4"/>
      <c r="W1332" s="4"/>
      <c r="X1332" s="4"/>
      <c r="Y1332" s="4"/>
      <c r="Z1332" s="4"/>
    </row>
    <row r="1333" spans="1:26">
      <c r="A1333" s="5">
        <v>43525</v>
      </c>
      <c r="B1333" s="4" t="s">
        <v>21</v>
      </c>
      <c r="C1333" s="4" t="s">
        <v>18</v>
      </c>
      <c r="D1333" s="4" t="s">
        <v>11</v>
      </c>
      <c r="E1333" s="4" t="s">
        <v>13</v>
      </c>
      <c r="F1333" s="4">
        <v>12779</v>
      </c>
      <c r="G1333" s="4">
        <v>371</v>
      </c>
      <c r="H1333" s="4">
        <v>16447</v>
      </c>
      <c r="I1333" s="6">
        <v>13001.806110908998</v>
      </c>
      <c r="J1333" s="4"/>
      <c r="K1333" s="4"/>
      <c r="L1333" s="4"/>
      <c r="M1333" s="4"/>
      <c r="N1333" s="4"/>
      <c r="O1333" s="4"/>
      <c r="P1333" s="4"/>
      <c r="Q1333" s="4"/>
      <c r="R1333" s="4"/>
      <c r="S1333" s="4"/>
      <c r="T1333" s="4"/>
      <c r="U1333" s="4"/>
      <c r="V1333" s="4"/>
      <c r="W1333" s="4"/>
      <c r="X1333" s="4"/>
      <c r="Y1333" s="4"/>
      <c r="Z1333" s="4"/>
    </row>
    <row r="1334" spans="1:26">
      <c r="A1334" s="5">
        <v>43525</v>
      </c>
      <c r="B1334" s="4" t="s">
        <v>21</v>
      </c>
      <c r="C1334" s="4" t="s">
        <v>18</v>
      </c>
      <c r="D1334" s="4" t="s">
        <v>14</v>
      </c>
      <c r="E1334" s="4" t="s">
        <v>12</v>
      </c>
      <c r="F1334" s="4">
        <v>2842001</v>
      </c>
      <c r="G1334" s="4">
        <v>45366</v>
      </c>
      <c r="H1334" s="4">
        <v>169897</v>
      </c>
      <c r="I1334" s="6">
        <v>81472.526499190702</v>
      </c>
      <c r="J1334" s="4"/>
      <c r="K1334" s="4"/>
      <c r="L1334" s="4"/>
      <c r="M1334" s="4"/>
      <c r="N1334" s="4"/>
      <c r="O1334" s="4"/>
      <c r="P1334" s="4"/>
      <c r="Q1334" s="4"/>
      <c r="R1334" s="4"/>
      <c r="S1334" s="4"/>
      <c r="T1334" s="4"/>
      <c r="U1334" s="4"/>
      <c r="V1334" s="4"/>
      <c r="W1334" s="4"/>
      <c r="X1334" s="4"/>
      <c r="Y1334" s="4"/>
      <c r="Z1334" s="4"/>
    </row>
    <row r="1335" spans="1:26">
      <c r="A1335" s="5">
        <v>43525</v>
      </c>
      <c r="B1335" s="4" t="s">
        <v>21</v>
      </c>
      <c r="C1335" s="4" t="s">
        <v>18</v>
      </c>
      <c r="D1335" s="4" t="s">
        <v>14</v>
      </c>
      <c r="E1335" s="4" t="s">
        <v>13</v>
      </c>
      <c r="F1335" s="4">
        <v>16611</v>
      </c>
      <c r="G1335" s="4">
        <v>422</v>
      </c>
      <c r="H1335" s="4">
        <v>10138</v>
      </c>
      <c r="I1335" s="6">
        <v>12780.57005076142</v>
      </c>
      <c r="J1335" s="4"/>
      <c r="K1335" s="4"/>
      <c r="L1335" s="4"/>
      <c r="M1335" s="4"/>
      <c r="N1335" s="4"/>
      <c r="O1335" s="4"/>
      <c r="P1335" s="4"/>
      <c r="Q1335" s="4"/>
      <c r="R1335" s="4"/>
      <c r="S1335" s="4"/>
      <c r="T1335" s="4"/>
      <c r="U1335" s="4"/>
      <c r="V1335" s="4"/>
      <c r="W1335" s="4"/>
      <c r="X1335" s="4"/>
      <c r="Y1335" s="4"/>
      <c r="Z1335" s="4"/>
    </row>
    <row r="1336" spans="1:26">
      <c r="A1336" s="5">
        <v>43525</v>
      </c>
      <c r="B1336" s="4" t="s">
        <v>21</v>
      </c>
      <c r="C1336" s="4" t="s">
        <v>18</v>
      </c>
      <c r="D1336" s="4" t="s">
        <v>15</v>
      </c>
      <c r="E1336" s="4" t="s">
        <v>12</v>
      </c>
      <c r="F1336" s="4">
        <v>981679</v>
      </c>
      <c r="G1336" s="4">
        <v>14229</v>
      </c>
      <c r="H1336" s="4">
        <v>67974</v>
      </c>
      <c r="I1336" s="6">
        <v>21659.674161055951</v>
      </c>
      <c r="J1336" s="4"/>
      <c r="K1336" s="4"/>
      <c r="L1336" s="4"/>
      <c r="M1336" s="4"/>
      <c r="N1336" s="4"/>
      <c r="O1336" s="4"/>
      <c r="P1336" s="4"/>
      <c r="Q1336" s="4"/>
      <c r="R1336" s="4"/>
      <c r="S1336" s="4"/>
      <c r="T1336" s="4"/>
      <c r="U1336" s="4"/>
      <c r="V1336" s="4"/>
      <c r="W1336" s="4"/>
      <c r="X1336" s="4"/>
      <c r="Y1336" s="4"/>
      <c r="Z1336" s="4"/>
    </row>
    <row r="1337" spans="1:26">
      <c r="A1337" s="5">
        <v>43525</v>
      </c>
      <c r="B1337" s="4" t="s">
        <v>21</v>
      </c>
      <c r="C1337" s="4" t="s">
        <v>18</v>
      </c>
      <c r="D1337" s="4" t="s">
        <v>15</v>
      </c>
      <c r="E1337" s="4" t="s">
        <v>13</v>
      </c>
      <c r="F1337" s="4">
        <v>5087</v>
      </c>
      <c r="G1337" s="4">
        <v>158</v>
      </c>
      <c r="H1337" s="4">
        <v>4116</v>
      </c>
      <c r="I1337" s="6">
        <v>2247.2536463862803</v>
      </c>
      <c r="J1337" s="4"/>
      <c r="K1337" s="4"/>
      <c r="L1337" s="4"/>
      <c r="M1337" s="4"/>
      <c r="N1337" s="4"/>
      <c r="O1337" s="4"/>
      <c r="P1337" s="4"/>
      <c r="Q1337" s="4"/>
      <c r="R1337" s="4"/>
      <c r="S1337" s="4"/>
      <c r="T1337" s="4"/>
      <c r="U1337" s="4"/>
      <c r="V1337" s="4"/>
      <c r="W1337" s="4"/>
      <c r="X1337" s="4"/>
      <c r="Y1337" s="4"/>
      <c r="Z1337" s="4"/>
    </row>
    <row r="1338" spans="1:26">
      <c r="A1338" s="5">
        <v>43525</v>
      </c>
      <c r="B1338" s="4" t="s">
        <v>21</v>
      </c>
      <c r="C1338" s="4" t="s">
        <v>18</v>
      </c>
      <c r="D1338" s="4" t="s">
        <v>16</v>
      </c>
      <c r="E1338" s="4" t="s">
        <v>12</v>
      </c>
      <c r="F1338" s="4">
        <v>24892970</v>
      </c>
      <c r="G1338" s="4">
        <v>138499</v>
      </c>
      <c r="H1338" s="4">
        <v>495062</v>
      </c>
      <c r="I1338" s="6">
        <v>313559.18128926877</v>
      </c>
      <c r="J1338" s="4"/>
      <c r="K1338" s="4"/>
      <c r="L1338" s="4"/>
      <c r="M1338" s="4"/>
      <c r="N1338" s="4"/>
      <c r="O1338" s="4"/>
      <c r="P1338" s="4"/>
      <c r="Q1338" s="4"/>
      <c r="R1338" s="4"/>
      <c r="S1338" s="4"/>
      <c r="T1338" s="4"/>
      <c r="U1338" s="4"/>
      <c r="V1338" s="4"/>
      <c r="W1338" s="4"/>
      <c r="X1338" s="4"/>
      <c r="Y1338" s="4"/>
      <c r="Z1338" s="4"/>
    </row>
    <row r="1339" spans="1:26">
      <c r="A1339" s="5">
        <v>43525</v>
      </c>
      <c r="B1339" s="4" t="s">
        <v>21</v>
      </c>
      <c r="C1339" s="4" t="s">
        <v>18</v>
      </c>
      <c r="D1339" s="4" t="s">
        <v>16</v>
      </c>
      <c r="E1339" s="4" t="s">
        <v>13</v>
      </c>
      <c r="F1339" s="4">
        <v>655599</v>
      </c>
      <c r="G1339" s="4">
        <v>1462</v>
      </c>
      <c r="H1339" s="4">
        <v>51219</v>
      </c>
      <c r="I1339" s="6">
        <v>37959.988604721446</v>
      </c>
      <c r="J1339" s="4"/>
      <c r="K1339" s="4"/>
      <c r="L1339" s="4"/>
      <c r="M1339" s="4"/>
      <c r="N1339" s="4"/>
      <c r="O1339" s="4"/>
      <c r="P1339" s="4"/>
      <c r="Q1339" s="4"/>
      <c r="R1339" s="4"/>
      <c r="S1339" s="4"/>
      <c r="T1339" s="4"/>
      <c r="U1339" s="4"/>
      <c r="V1339" s="4"/>
      <c r="W1339" s="4"/>
      <c r="X1339" s="4"/>
      <c r="Y1339" s="4"/>
      <c r="Z1339" s="4"/>
    </row>
    <row r="1340" spans="1:26">
      <c r="A1340" s="5">
        <v>43525</v>
      </c>
      <c r="B1340" s="4" t="s">
        <v>21</v>
      </c>
      <c r="C1340" s="4" t="s">
        <v>18</v>
      </c>
      <c r="D1340" s="4" t="s">
        <v>17</v>
      </c>
      <c r="E1340" s="4" t="s">
        <v>12</v>
      </c>
      <c r="F1340" s="4">
        <v>3304196</v>
      </c>
      <c r="G1340" s="4">
        <v>50561</v>
      </c>
      <c r="H1340" s="4">
        <v>166677</v>
      </c>
      <c r="I1340" s="6">
        <v>118887.35490496361</v>
      </c>
      <c r="J1340" s="4"/>
      <c r="K1340" s="4"/>
      <c r="L1340" s="4"/>
      <c r="M1340" s="4"/>
      <c r="N1340" s="4"/>
      <c r="O1340" s="4"/>
      <c r="P1340" s="4"/>
      <c r="Q1340" s="4"/>
      <c r="R1340" s="4"/>
      <c r="S1340" s="4"/>
      <c r="T1340" s="4"/>
      <c r="U1340" s="4"/>
      <c r="V1340" s="4"/>
      <c r="W1340" s="4"/>
      <c r="X1340" s="4"/>
      <c r="Y1340" s="4"/>
      <c r="Z1340" s="4"/>
    </row>
    <row r="1341" spans="1:26">
      <c r="A1341" s="5">
        <v>43525</v>
      </c>
      <c r="B1341" s="4" t="s">
        <v>21</v>
      </c>
      <c r="C1341" s="4" t="s">
        <v>18</v>
      </c>
      <c r="D1341" s="4" t="s">
        <v>17</v>
      </c>
      <c r="E1341" s="4" t="s">
        <v>13</v>
      </c>
      <c r="F1341" s="4">
        <v>29918</v>
      </c>
      <c r="G1341" s="4">
        <v>705</v>
      </c>
      <c r="H1341" s="4">
        <v>26492</v>
      </c>
      <c r="I1341" s="6">
        <v>21281.277722166466</v>
      </c>
      <c r="J1341" s="4"/>
      <c r="K1341" s="4"/>
      <c r="L1341" s="4"/>
      <c r="M1341" s="4"/>
      <c r="N1341" s="4"/>
      <c r="O1341" s="4"/>
      <c r="P1341" s="4"/>
      <c r="Q1341" s="4"/>
      <c r="R1341" s="4"/>
      <c r="S1341" s="4"/>
      <c r="T1341" s="4"/>
      <c r="U1341" s="4"/>
      <c r="V1341" s="4"/>
      <c r="W1341" s="4"/>
      <c r="X1341" s="4"/>
      <c r="Y1341" s="4"/>
      <c r="Z1341" s="4"/>
    </row>
    <row r="1342" spans="1:26">
      <c r="A1342" s="5">
        <v>43525</v>
      </c>
      <c r="B1342" s="4" t="s">
        <v>21</v>
      </c>
      <c r="C1342" s="4" t="s">
        <v>19</v>
      </c>
      <c r="D1342" s="4" t="s">
        <v>11</v>
      </c>
      <c r="E1342" s="4" t="s">
        <v>12</v>
      </c>
      <c r="F1342" s="4">
        <v>626438</v>
      </c>
      <c r="G1342" s="4">
        <v>8593</v>
      </c>
      <c r="H1342" s="4">
        <v>8904</v>
      </c>
      <c r="I1342" s="6">
        <v>94371.851707317066</v>
      </c>
      <c r="J1342" s="4"/>
      <c r="K1342" s="4"/>
      <c r="L1342" s="4"/>
      <c r="M1342" s="4"/>
      <c r="N1342" s="4"/>
      <c r="O1342" s="4"/>
      <c r="P1342" s="4"/>
      <c r="Q1342" s="4"/>
      <c r="R1342" s="4"/>
      <c r="S1342" s="4"/>
      <c r="T1342" s="4"/>
      <c r="U1342" s="4"/>
      <c r="V1342" s="4"/>
      <c r="W1342" s="4"/>
      <c r="X1342" s="4"/>
      <c r="Y1342" s="4"/>
      <c r="Z1342" s="4"/>
    </row>
    <row r="1343" spans="1:26">
      <c r="A1343" s="5">
        <v>43525</v>
      </c>
      <c r="B1343" s="4" t="s">
        <v>21</v>
      </c>
      <c r="C1343" s="4" t="s">
        <v>19</v>
      </c>
      <c r="D1343" s="4" t="s">
        <v>11</v>
      </c>
      <c r="E1343" s="4" t="s">
        <v>13</v>
      </c>
      <c r="F1343" s="4">
        <v>16400</v>
      </c>
      <c r="G1343" s="4">
        <v>1386</v>
      </c>
      <c r="H1343" s="4">
        <v>40783</v>
      </c>
      <c r="I1343" s="6">
        <v>23266.764264240835</v>
      </c>
      <c r="J1343" s="4"/>
      <c r="K1343" s="4"/>
      <c r="L1343" s="4"/>
      <c r="M1343" s="4"/>
      <c r="N1343" s="4"/>
      <c r="O1343" s="4"/>
      <c r="P1343" s="4"/>
      <c r="Q1343" s="4"/>
      <c r="R1343" s="4"/>
      <c r="S1343" s="4"/>
      <c r="T1343" s="4"/>
      <c r="U1343" s="4"/>
      <c r="V1343" s="4"/>
      <c r="W1343" s="4"/>
      <c r="X1343" s="4"/>
      <c r="Y1343" s="4"/>
      <c r="Z1343" s="4"/>
    </row>
    <row r="1344" spans="1:26">
      <c r="A1344" s="5">
        <v>43525</v>
      </c>
      <c r="B1344" s="4" t="s">
        <v>21</v>
      </c>
      <c r="C1344" s="4" t="s">
        <v>19</v>
      </c>
      <c r="D1344" s="4" t="s">
        <v>14</v>
      </c>
      <c r="E1344" s="4" t="s">
        <v>12</v>
      </c>
      <c r="F1344" s="4">
        <v>1125691</v>
      </c>
      <c r="G1344" s="4">
        <v>17147</v>
      </c>
      <c r="H1344" s="4">
        <v>18477</v>
      </c>
      <c r="I1344" s="6">
        <v>171803.93872778167</v>
      </c>
      <c r="J1344" s="4"/>
      <c r="K1344" s="4"/>
      <c r="L1344" s="4"/>
      <c r="M1344" s="4"/>
      <c r="N1344" s="4"/>
      <c r="O1344" s="4"/>
      <c r="P1344" s="4"/>
      <c r="Q1344" s="4"/>
      <c r="R1344" s="4"/>
      <c r="S1344" s="4"/>
      <c r="T1344" s="4"/>
      <c r="U1344" s="4"/>
      <c r="V1344" s="4"/>
      <c r="W1344" s="4"/>
      <c r="X1344" s="4"/>
      <c r="Y1344" s="4"/>
      <c r="Z1344" s="4"/>
    </row>
    <row r="1345" spans="1:26">
      <c r="A1345" s="5">
        <v>43525</v>
      </c>
      <c r="B1345" s="4" t="s">
        <v>21</v>
      </c>
      <c r="C1345" s="4" t="s">
        <v>19</v>
      </c>
      <c r="D1345" s="4" t="s">
        <v>14</v>
      </c>
      <c r="E1345" s="4" t="s">
        <v>13</v>
      </c>
      <c r="F1345" s="4">
        <v>32044</v>
      </c>
      <c r="G1345" s="4">
        <v>2651</v>
      </c>
      <c r="H1345" s="4">
        <v>124728</v>
      </c>
      <c r="I1345" s="6">
        <v>39081.359667110613</v>
      </c>
      <c r="J1345" s="4"/>
      <c r="K1345" s="4"/>
      <c r="L1345" s="4"/>
      <c r="M1345" s="4"/>
      <c r="N1345" s="4"/>
      <c r="O1345" s="4"/>
      <c r="P1345" s="4"/>
      <c r="Q1345" s="4"/>
      <c r="R1345" s="4"/>
      <c r="S1345" s="4"/>
      <c r="T1345" s="4"/>
      <c r="U1345" s="4"/>
      <c r="V1345" s="4"/>
      <c r="W1345" s="4"/>
      <c r="X1345" s="4"/>
      <c r="Y1345" s="4"/>
      <c r="Z1345" s="4"/>
    </row>
    <row r="1346" spans="1:26">
      <c r="A1346" s="5">
        <v>43525</v>
      </c>
      <c r="B1346" s="4" t="s">
        <v>21</v>
      </c>
      <c r="C1346" s="4" t="s">
        <v>19</v>
      </c>
      <c r="D1346" s="4" t="s">
        <v>15</v>
      </c>
      <c r="E1346" s="4" t="s">
        <v>12</v>
      </c>
      <c r="F1346" s="4">
        <v>341117</v>
      </c>
      <c r="G1346" s="4">
        <v>4642</v>
      </c>
      <c r="H1346" s="4">
        <v>4997</v>
      </c>
      <c r="I1346" s="6">
        <v>47253.99265172414</v>
      </c>
      <c r="J1346" s="4"/>
      <c r="K1346" s="4"/>
      <c r="L1346" s="4"/>
      <c r="M1346" s="4"/>
      <c r="N1346" s="4"/>
      <c r="O1346" s="4"/>
      <c r="P1346" s="4"/>
      <c r="Q1346" s="4"/>
      <c r="R1346" s="4"/>
      <c r="S1346" s="4"/>
      <c r="T1346" s="4"/>
      <c r="U1346" s="4"/>
      <c r="V1346" s="4"/>
      <c r="W1346" s="4"/>
      <c r="X1346" s="4"/>
      <c r="Y1346" s="4"/>
      <c r="Z1346" s="4"/>
    </row>
    <row r="1347" spans="1:26">
      <c r="A1347" s="5">
        <v>43525</v>
      </c>
      <c r="B1347" s="4" t="s">
        <v>21</v>
      </c>
      <c r="C1347" s="4" t="s">
        <v>19</v>
      </c>
      <c r="D1347" s="4" t="s">
        <v>15</v>
      </c>
      <c r="E1347" s="4" t="s">
        <v>13</v>
      </c>
      <c r="F1347" s="4">
        <v>9130</v>
      </c>
      <c r="G1347" s="4">
        <v>735</v>
      </c>
      <c r="H1347" s="4">
        <v>33271</v>
      </c>
      <c r="I1347" s="6">
        <v>10864.661210985945</v>
      </c>
      <c r="J1347" s="4"/>
      <c r="K1347" s="4"/>
      <c r="L1347" s="4"/>
      <c r="M1347" s="4"/>
      <c r="N1347" s="4"/>
      <c r="O1347" s="4"/>
      <c r="P1347" s="4"/>
      <c r="Q1347" s="4"/>
      <c r="R1347" s="4"/>
      <c r="S1347" s="4"/>
      <c r="T1347" s="4"/>
      <c r="U1347" s="4"/>
      <c r="V1347" s="4"/>
      <c r="W1347" s="4"/>
      <c r="X1347" s="4"/>
      <c r="Y1347" s="4"/>
      <c r="Z1347" s="4"/>
    </row>
    <row r="1348" spans="1:26">
      <c r="A1348" s="5">
        <v>43525</v>
      </c>
      <c r="B1348" s="4" t="s">
        <v>21</v>
      </c>
      <c r="C1348" s="4" t="s">
        <v>19</v>
      </c>
      <c r="D1348" s="4" t="s">
        <v>16</v>
      </c>
      <c r="E1348" s="4" t="s">
        <v>12</v>
      </c>
      <c r="F1348" s="4">
        <v>3170709</v>
      </c>
      <c r="G1348" s="4">
        <v>45490</v>
      </c>
      <c r="H1348" s="4">
        <v>46386</v>
      </c>
      <c r="I1348" s="6">
        <v>517344.75882287347</v>
      </c>
      <c r="J1348" s="4"/>
      <c r="K1348" s="4"/>
      <c r="L1348" s="4"/>
      <c r="M1348" s="4"/>
      <c r="N1348" s="4"/>
      <c r="O1348" s="4"/>
      <c r="P1348" s="4"/>
      <c r="Q1348" s="4"/>
      <c r="R1348" s="4"/>
      <c r="S1348" s="4"/>
      <c r="T1348" s="4"/>
      <c r="U1348" s="4"/>
      <c r="V1348" s="4"/>
      <c r="W1348" s="4"/>
      <c r="X1348" s="4"/>
      <c r="Y1348" s="4"/>
      <c r="Z1348" s="4"/>
    </row>
    <row r="1349" spans="1:26">
      <c r="A1349" s="5">
        <v>43525</v>
      </c>
      <c r="B1349" s="4" t="s">
        <v>21</v>
      </c>
      <c r="C1349" s="4" t="s">
        <v>19</v>
      </c>
      <c r="D1349" s="4" t="s">
        <v>16</v>
      </c>
      <c r="E1349" s="4" t="s">
        <v>13</v>
      </c>
      <c r="F1349" s="4">
        <v>82225</v>
      </c>
      <c r="G1349" s="4">
        <v>6881</v>
      </c>
      <c r="H1349" s="4">
        <v>455951</v>
      </c>
      <c r="I1349" s="6">
        <v>105262.68567070003</v>
      </c>
      <c r="J1349" s="4"/>
      <c r="K1349" s="4"/>
      <c r="L1349" s="4"/>
      <c r="M1349" s="4"/>
      <c r="N1349" s="4"/>
      <c r="O1349" s="4"/>
      <c r="P1349" s="4"/>
      <c r="Q1349" s="4"/>
      <c r="R1349" s="4"/>
      <c r="S1349" s="4"/>
      <c r="T1349" s="4"/>
      <c r="U1349" s="4"/>
      <c r="V1349" s="4"/>
      <c r="W1349" s="4"/>
      <c r="X1349" s="4"/>
      <c r="Y1349" s="4"/>
      <c r="Z1349" s="4"/>
    </row>
    <row r="1350" spans="1:26">
      <c r="A1350" s="5">
        <v>43525</v>
      </c>
      <c r="B1350" s="4" t="s">
        <v>21</v>
      </c>
      <c r="C1350" s="4" t="s">
        <v>19</v>
      </c>
      <c r="D1350" s="4" t="s">
        <v>17</v>
      </c>
      <c r="E1350" s="4" t="s">
        <v>12</v>
      </c>
      <c r="F1350" s="4">
        <v>1082542</v>
      </c>
      <c r="G1350" s="4">
        <v>17095</v>
      </c>
      <c r="H1350" s="4">
        <v>18863</v>
      </c>
      <c r="I1350" s="6">
        <v>176631.68736519833</v>
      </c>
      <c r="J1350" s="4"/>
      <c r="K1350" s="4"/>
      <c r="L1350" s="4"/>
      <c r="M1350" s="4"/>
      <c r="N1350" s="4"/>
      <c r="O1350" s="4"/>
      <c r="P1350" s="4"/>
      <c r="Q1350" s="4"/>
      <c r="R1350" s="4"/>
      <c r="S1350" s="4"/>
      <c r="T1350" s="4"/>
      <c r="U1350" s="4"/>
      <c r="V1350" s="4"/>
      <c r="W1350" s="4"/>
      <c r="X1350" s="4"/>
      <c r="Y1350" s="4"/>
      <c r="Z1350" s="4"/>
    </row>
    <row r="1351" spans="1:26">
      <c r="A1351" s="5">
        <v>43525</v>
      </c>
      <c r="B1351" s="4" t="s">
        <v>21</v>
      </c>
      <c r="C1351" s="4" t="s">
        <v>19</v>
      </c>
      <c r="D1351" s="4" t="s">
        <v>17</v>
      </c>
      <c r="E1351" s="4" t="s">
        <v>13</v>
      </c>
      <c r="F1351" s="4">
        <v>28421</v>
      </c>
      <c r="G1351" s="4">
        <v>2438</v>
      </c>
      <c r="H1351" s="4">
        <v>103943</v>
      </c>
      <c r="I1351" s="6">
        <v>42782.312776333005</v>
      </c>
      <c r="J1351" s="4"/>
      <c r="K1351" s="4"/>
      <c r="L1351" s="4"/>
      <c r="M1351" s="4"/>
      <c r="N1351" s="4"/>
      <c r="O1351" s="4"/>
      <c r="P1351" s="4"/>
      <c r="Q1351" s="4"/>
      <c r="R1351" s="4"/>
      <c r="S1351" s="4"/>
      <c r="T1351" s="4"/>
      <c r="U1351" s="4"/>
      <c r="V1351" s="4"/>
      <c r="W1351" s="4"/>
      <c r="X1351" s="4"/>
      <c r="Y1351" s="4"/>
      <c r="Z1351" s="4"/>
    </row>
    <row r="1352" spans="1:26">
      <c r="A1352" s="5">
        <v>43556</v>
      </c>
      <c r="B1352" s="4" t="s">
        <v>9</v>
      </c>
      <c r="C1352" s="4" t="s">
        <v>10</v>
      </c>
      <c r="D1352" s="4" t="s">
        <v>11</v>
      </c>
      <c r="E1352" s="4" t="s">
        <v>12</v>
      </c>
      <c r="F1352" s="4">
        <v>1323142</v>
      </c>
      <c r="G1352" s="4">
        <v>59256</v>
      </c>
      <c r="H1352" s="4">
        <v>70381</v>
      </c>
      <c r="I1352" s="6">
        <v>52851.074077535268</v>
      </c>
      <c r="J1352" s="4"/>
      <c r="K1352" s="4"/>
      <c r="L1352" s="4"/>
      <c r="M1352" s="4"/>
      <c r="N1352" s="4"/>
      <c r="O1352" s="4"/>
      <c r="P1352" s="4"/>
      <c r="Q1352" s="4"/>
      <c r="R1352" s="4"/>
      <c r="S1352" s="4"/>
      <c r="T1352" s="4"/>
      <c r="U1352" s="4"/>
      <c r="V1352" s="4"/>
      <c r="W1352" s="4"/>
      <c r="X1352" s="4"/>
      <c r="Y1352" s="4"/>
      <c r="Z1352" s="4"/>
    </row>
    <row r="1353" spans="1:26">
      <c r="A1353" s="5">
        <v>43556</v>
      </c>
      <c r="B1353" s="4" t="s">
        <v>9</v>
      </c>
      <c r="C1353" s="4" t="s">
        <v>10</v>
      </c>
      <c r="D1353" s="4" t="s">
        <v>11</v>
      </c>
      <c r="E1353" s="4" t="s">
        <v>13</v>
      </c>
      <c r="F1353" s="4">
        <v>7882</v>
      </c>
      <c r="G1353" s="4">
        <v>1313</v>
      </c>
      <c r="H1353" s="4">
        <v>7742</v>
      </c>
      <c r="I1353" s="6">
        <v>268794.65771933802</v>
      </c>
      <c r="J1353" s="4"/>
      <c r="K1353" s="4"/>
      <c r="L1353" s="4"/>
      <c r="M1353" s="4"/>
      <c r="N1353" s="4"/>
      <c r="O1353" s="4"/>
      <c r="P1353" s="4"/>
      <c r="Q1353" s="4"/>
      <c r="R1353" s="4"/>
      <c r="S1353" s="4"/>
      <c r="T1353" s="4"/>
      <c r="U1353" s="4"/>
      <c r="V1353" s="4"/>
      <c r="W1353" s="4"/>
      <c r="X1353" s="4"/>
      <c r="Y1353" s="4"/>
      <c r="Z1353" s="4"/>
    </row>
    <row r="1354" spans="1:26">
      <c r="A1354" s="5">
        <v>43556</v>
      </c>
      <c r="B1354" s="4" t="s">
        <v>9</v>
      </c>
      <c r="C1354" s="4" t="s">
        <v>10</v>
      </c>
      <c r="D1354" s="4" t="s">
        <v>14</v>
      </c>
      <c r="E1354" s="4" t="s">
        <v>12</v>
      </c>
      <c r="F1354" s="4">
        <v>3312789</v>
      </c>
      <c r="G1354" s="4">
        <v>103669</v>
      </c>
      <c r="H1354" s="4">
        <v>122538</v>
      </c>
      <c r="I1354" s="6">
        <v>89054.95227495837</v>
      </c>
      <c r="J1354" s="4"/>
      <c r="K1354" s="4"/>
      <c r="L1354" s="4"/>
      <c r="M1354" s="4"/>
      <c r="N1354" s="4"/>
      <c r="O1354" s="4"/>
      <c r="P1354" s="4"/>
      <c r="Q1354" s="4"/>
      <c r="R1354" s="4"/>
      <c r="S1354" s="4"/>
      <c r="T1354" s="4"/>
      <c r="U1354" s="4"/>
      <c r="V1354" s="4"/>
      <c r="W1354" s="4"/>
      <c r="X1354" s="4"/>
      <c r="Y1354" s="4"/>
      <c r="Z1354" s="4"/>
    </row>
    <row r="1355" spans="1:26">
      <c r="A1355" s="5">
        <v>43556</v>
      </c>
      <c r="B1355" s="4" t="s">
        <v>9</v>
      </c>
      <c r="C1355" s="4" t="s">
        <v>10</v>
      </c>
      <c r="D1355" s="4" t="s">
        <v>14</v>
      </c>
      <c r="E1355" s="4" t="s">
        <v>13</v>
      </c>
      <c r="F1355" s="4">
        <v>13211</v>
      </c>
      <c r="G1355" s="4">
        <v>2632</v>
      </c>
      <c r="H1355" s="4">
        <v>19281</v>
      </c>
      <c r="I1355" s="6">
        <v>414394.45909513393</v>
      </c>
      <c r="J1355" s="4"/>
      <c r="K1355" s="4"/>
      <c r="L1355" s="4"/>
      <c r="M1355" s="4"/>
      <c r="N1355" s="4"/>
      <c r="O1355" s="4"/>
      <c r="P1355" s="4"/>
      <c r="Q1355" s="4"/>
      <c r="R1355" s="4"/>
      <c r="S1355" s="4"/>
      <c r="T1355" s="4"/>
      <c r="U1355" s="4"/>
      <c r="V1355" s="4"/>
      <c r="W1355" s="4"/>
      <c r="X1355" s="4"/>
      <c r="Y1355" s="4"/>
      <c r="Z1355" s="4"/>
    </row>
    <row r="1356" spans="1:26">
      <c r="A1356" s="5">
        <v>43556</v>
      </c>
      <c r="B1356" s="4" t="s">
        <v>9</v>
      </c>
      <c r="C1356" s="4" t="s">
        <v>10</v>
      </c>
      <c r="D1356" s="4" t="s">
        <v>15</v>
      </c>
      <c r="E1356" s="4" t="s">
        <v>12</v>
      </c>
      <c r="F1356" s="4">
        <v>1338006</v>
      </c>
      <c r="G1356" s="4">
        <v>42887</v>
      </c>
      <c r="H1356" s="4">
        <v>55121</v>
      </c>
      <c r="I1356" s="6">
        <v>41352.427171981428</v>
      </c>
      <c r="J1356" s="4"/>
      <c r="K1356" s="4"/>
      <c r="L1356" s="4"/>
      <c r="M1356" s="4"/>
      <c r="N1356" s="4"/>
      <c r="O1356" s="4"/>
      <c r="P1356" s="4"/>
      <c r="Q1356" s="4"/>
      <c r="R1356" s="4"/>
      <c r="S1356" s="4"/>
      <c r="T1356" s="4"/>
      <c r="U1356" s="4"/>
      <c r="V1356" s="4"/>
      <c r="W1356" s="4"/>
      <c r="X1356" s="4"/>
      <c r="Y1356" s="4"/>
      <c r="Z1356" s="4"/>
    </row>
    <row r="1357" spans="1:26">
      <c r="A1357" s="5">
        <v>43556</v>
      </c>
      <c r="B1357" s="4" t="s">
        <v>9</v>
      </c>
      <c r="C1357" s="4" t="s">
        <v>10</v>
      </c>
      <c r="D1357" s="4" t="s">
        <v>15</v>
      </c>
      <c r="E1357" s="4" t="s">
        <v>13</v>
      </c>
      <c r="F1357" s="4">
        <v>5058</v>
      </c>
      <c r="G1357" s="4">
        <v>767</v>
      </c>
      <c r="H1357" s="4">
        <v>6367</v>
      </c>
      <c r="I1357" s="6">
        <v>103878.37548404839</v>
      </c>
      <c r="J1357" s="4"/>
      <c r="K1357" s="4"/>
      <c r="L1357" s="4"/>
      <c r="M1357" s="4"/>
      <c r="N1357" s="4"/>
      <c r="O1357" s="4"/>
      <c r="P1357" s="4"/>
      <c r="Q1357" s="4"/>
      <c r="R1357" s="4"/>
      <c r="S1357" s="4"/>
      <c r="T1357" s="4"/>
      <c r="U1357" s="4"/>
      <c r="V1357" s="4"/>
      <c r="W1357" s="4"/>
      <c r="X1357" s="4"/>
      <c r="Y1357" s="4"/>
      <c r="Z1357" s="4"/>
    </row>
    <row r="1358" spans="1:26">
      <c r="A1358" s="5">
        <v>43556</v>
      </c>
      <c r="B1358" s="4" t="s">
        <v>9</v>
      </c>
      <c r="C1358" s="4" t="s">
        <v>10</v>
      </c>
      <c r="D1358" s="4" t="s">
        <v>16</v>
      </c>
      <c r="E1358" s="4" t="s">
        <v>12</v>
      </c>
      <c r="F1358" s="4">
        <v>41232865</v>
      </c>
      <c r="G1358" s="4">
        <v>267795</v>
      </c>
      <c r="H1358" s="4">
        <v>301689</v>
      </c>
      <c r="I1358" s="6">
        <v>229084.56994919511</v>
      </c>
      <c r="J1358" s="4"/>
      <c r="K1358" s="4"/>
      <c r="L1358" s="4"/>
      <c r="M1358" s="4"/>
      <c r="N1358" s="4"/>
      <c r="O1358" s="4"/>
      <c r="P1358" s="4"/>
      <c r="Q1358" s="4"/>
      <c r="R1358" s="4"/>
      <c r="S1358" s="4"/>
      <c r="T1358" s="4"/>
      <c r="U1358" s="4"/>
      <c r="V1358" s="4"/>
      <c r="W1358" s="4"/>
      <c r="X1358" s="4"/>
      <c r="Y1358" s="4"/>
      <c r="Z1358" s="4"/>
    </row>
    <row r="1359" spans="1:26">
      <c r="A1359" s="5">
        <v>43556</v>
      </c>
      <c r="B1359" s="4" t="s">
        <v>9</v>
      </c>
      <c r="C1359" s="4" t="s">
        <v>10</v>
      </c>
      <c r="D1359" s="4" t="s">
        <v>16</v>
      </c>
      <c r="E1359" s="4" t="s">
        <v>13</v>
      </c>
      <c r="F1359" s="4">
        <v>289571</v>
      </c>
      <c r="G1359" s="4">
        <v>5701</v>
      </c>
      <c r="H1359" s="4">
        <v>37220</v>
      </c>
      <c r="I1359" s="6">
        <v>1250172.5367869285</v>
      </c>
      <c r="J1359" s="4"/>
      <c r="K1359" s="4"/>
      <c r="L1359" s="4"/>
      <c r="M1359" s="4"/>
      <c r="N1359" s="4"/>
      <c r="O1359" s="4"/>
      <c r="P1359" s="4"/>
      <c r="Q1359" s="4"/>
      <c r="R1359" s="4"/>
      <c r="S1359" s="4"/>
      <c r="T1359" s="4"/>
      <c r="U1359" s="4"/>
      <c r="V1359" s="4"/>
      <c r="W1359" s="4"/>
      <c r="X1359" s="4"/>
      <c r="Y1359" s="4"/>
      <c r="Z1359" s="4"/>
    </row>
    <row r="1360" spans="1:26">
      <c r="A1360" s="5">
        <v>43556</v>
      </c>
      <c r="B1360" s="4" t="s">
        <v>9</v>
      </c>
      <c r="C1360" s="4" t="s">
        <v>10</v>
      </c>
      <c r="D1360" s="4" t="s">
        <v>17</v>
      </c>
      <c r="E1360" s="4" t="s">
        <v>12</v>
      </c>
      <c r="F1360" s="4">
        <v>2035383</v>
      </c>
      <c r="G1360" s="4">
        <v>88859</v>
      </c>
      <c r="H1360" s="4">
        <v>101127</v>
      </c>
      <c r="I1360" s="6">
        <v>98979.654950479555</v>
      </c>
      <c r="J1360" s="4"/>
      <c r="K1360" s="4"/>
      <c r="L1360" s="4"/>
      <c r="M1360" s="4"/>
      <c r="N1360" s="4"/>
      <c r="O1360" s="4"/>
      <c r="P1360" s="4"/>
      <c r="Q1360" s="4"/>
      <c r="R1360" s="4"/>
      <c r="S1360" s="4"/>
      <c r="T1360" s="4"/>
      <c r="U1360" s="4"/>
      <c r="V1360" s="4"/>
      <c r="W1360" s="4"/>
      <c r="X1360" s="4"/>
      <c r="Y1360" s="4"/>
      <c r="Z1360" s="4"/>
    </row>
    <row r="1361" spans="1:26">
      <c r="A1361" s="5">
        <v>43556</v>
      </c>
      <c r="B1361" s="4" t="s">
        <v>9</v>
      </c>
      <c r="C1361" s="4" t="s">
        <v>10</v>
      </c>
      <c r="D1361" s="4" t="s">
        <v>17</v>
      </c>
      <c r="E1361" s="4" t="s">
        <v>13</v>
      </c>
      <c r="F1361" s="4">
        <v>12145</v>
      </c>
      <c r="G1361" s="4">
        <v>2397</v>
      </c>
      <c r="H1361" s="4">
        <v>14071</v>
      </c>
      <c r="I1361" s="6">
        <v>474213.72744943813</v>
      </c>
      <c r="J1361" s="4"/>
      <c r="K1361" s="4"/>
      <c r="L1361" s="4"/>
      <c r="M1361" s="4"/>
      <c r="N1361" s="4"/>
      <c r="O1361" s="4"/>
      <c r="P1361" s="4"/>
      <c r="Q1361" s="4"/>
      <c r="R1361" s="4"/>
      <c r="S1361" s="4"/>
      <c r="T1361" s="4"/>
      <c r="U1361" s="4"/>
      <c r="V1361" s="4"/>
      <c r="W1361" s="4"/>
      <c r="X1361" s="4"/>
      <c r="Y1361" s="4"/>
      <c r="Z1361" s="4"/>
    </row>
    <row r="1362" spans="1:26">
      <c r="A1362" s="5">
        <v>43556</v>
      </c>
      <c r="B1362" s="4" t="s">
        <v>9</v>
      </c>
      <c r="C1362" s="4" t="s">
        <v>18</v>
      </c>
      <c r="D1362" s="4" t="s">
        <v>11</v>
      </c>
      <c r="E1362" s="4" t="s">
        <v>12</v>
      </c>
      <c r="F1362" s="4">
        <v>7786247</v>
      </c>
      <c r="G1362" s="4">
        <v>209024</v>
      </c>
      <c r="H1362" s="4">
        <v>644877</v>
      </c>
      <c r="I1362" s="6">
        <v>158080.09663290839</v>
      </c>
      <c r="J1362" s="4"/>
      <c r="K1362" s="4"/>
      <c r="L1362" s="4"/>
      <c r="M1362" s="4"/>
      <c r="N1362" s="4"/>
      <c r="O1362" s="4"/>
      <c r="P1362" s="4"/>
      <c r="Q1362" s="4"/>
      <c r="R1362" s="4"/>
      <c r="S1362" s="4"/>
      <c r="T1362" s="4"/>
      <c r="U1362" s="4"/>
      <c r="V1362" s="4"/>
      <c r="W1362" s="4"/>
      <c r="X1362" s="4"/>
      <c r="Y1362" s="4"/>
      <c r="Z1362" s="4"/>
    </row>
    <row r="1363" spans="1:26">
      <c r="A1363" s="5">
        <v>43556</v>
      </c>
      <c r="B1363" s="4" t="s">
        <v>9</v>
      </c>
      <c r="C1363" s="4" t="s">
        <v>18</v>
      </c>
      <c r="D1363" s="4" t="s">
        <v>11</v>
      </c>
      <c r="E1363" s="4" t="s">
        <v>13</v>
      </c>
      <c r="F1363" s="4">
        <v>44218</v>
      </c>
      <c r="G1363" s="4">
        <v>784</v>
      </c>
      <c r="H1363" s="4">
        <v>21761</v>
      </c>
      <c r="I1363" s="6">
        <v>15973.185406754415</v>
      </c>
      <c r="J1363" s="4"/>
      <c r="K1363" s="4"/>
      <c r="L1363" s="4"/>
      <c r="M1363" s="4"/>
      <c r="N1363" s="4"/>
      <c r="O1363" s="4"/>
      <c r="P1363" s="4"/>
      <c r="Q1363" s="4"/>
      <c r="R1363" s="4"/>
      <c r="S1363" s="4"/>
      <c r="T1363" s="4"/>
      <c r="U1363" s="4"/>
      <c r="V1363" s="4"/>
      <c r="W1363" s="4"/>
      <c r="X1363" s="4"/>
      <c r="Y1363" s="4"/>
      <c r="Z1363" s="4"/>
    </row>
    <row r="1364" spans="1:26">
      <c r="A1364" s="5">
        <v>43556</v>
      </c>
      <c r="B1364" s="4" t="s">
        <v>9</v>
      </c>
      <c r="C1364" s="4" t="s">
        <v>18</v>
      </c>
      <c r="D1364" s="4" t="s">
        <v>14</v>
      </c>
      <c r="E1364" s="4" t="s">
        <v>12</v>
      </c>
      <c r="F1364" s="4">
        <v>18299209</v>
      </c>
      <c r="G1364" s="4">
        <v>431854</v>
      </c>
      <c r="H1364" s="4">
        <v>1301718</v>
      </c>
      <c r="I1364" s="6">
        <v>209911.72798313852</v>
      </c>
      <c r="J1364" s="4"/>
      <c r="K1364" s="4"/>
      <c r="L1364" s="4"/>
      <c r="M1364" s="4"/>
      <c r="N1364" s="4"/>
      <c r="O1364" s="4"/>
      <c r="P1364" s="4"/>
      <c r="Q1364" s="4"/>
      <c r="R1364" s="4"/>
      <c r="S1364" s="4"/>
      <c r="T1364" s="4"/>
      <c r="U1364" s="4"/>
      <c r="V1364" s="4"/>
      <c r="W1364" s="4"/>
      <c r="X1364" s="4"/>
      <c r="Y1364" s="4"/>
      <c r="Z1364" s="4"/>
    </row>
    <row r="1365" spans="1:26">
      <c r="A1365" s="5">
        <v>43556</v>
      </c>
      <c r="B1365" s="4" t="s">
        <v>9</v>
      </c>
      <c r="C1365" s="4" t="s">
        <v>18</v>
      </c>
      <c r="D1365" s="4" t="s">
        <v>14</v>
      </c>
      <c r="E1365" s="4" t="s">
        <v>13</v>
      </c>
      <c r="F1365" s="4">
        <v>92677</v>
      </c>
      <c r="G1365" s="4">
        <v>1089</v>
      </c>
      <c r="H1365" s="4">
        <v>16152</v>
      </c>
      <c r="I1365" s="6">
        <v>18579.240110827403</v>
      </c>
      <c r="J1365" s="4"/>
      <c r="K1365" s="4"/>
      <c r="L1365" s="4"/>
      <c r="M1365" s="4"/>
      <c r="N1365" s="4"/>
      <c r="O1365" s="4"/>
      <c r="P1365" s="4"/>
      <c r="Q1365" s="4"/>
      <c r="R1365" s="4"/>
      <c r="S1365" s="4"/>
      <c r="T1365" s="4"/>
      <c r="U1365" s="4"/>
      <c r="V1365" s="4"/>
      <c r="W1365" s="4"/>
      <c r="X1365" s="4"/>
      <c r="Y1365" s="4"/>
      <c r="Z1365" s="4"/>
    </row>
    <row r="1366" spans="1:26">
      <c r="A1366" s="5">
        <v>43556</v>
      </c>
      <c r="B1366" s="4" t="s">
        <v>9</v>
      </c>
      <c r="C1366" s="4" t="s">
        <v>18</v>
      </c>
      <c r="D1366" s="4" t="s">
        <v>15</v>
      </c>
      <c r="E1366" s="4" t="s">
        <v>12</v>
      </c>
      <c r="F1366" s="4">
        <v>9079981</v>
      </c>
      <c r="G1366" s="4">
        <v>232443</v>
      </c>
      <c r="H1366" s="4">
        <v>765885</v>
      </c>
      <c r="I1366" s="6">
        <v>84552.224912595935</v>
      </c>
      <c r="J1366" s="4"/>
      <c r="K1366" s="4"/>
      <c r="L1366" s="4"/>
      <c r="M1366" s="4"/>
      <c r="N1366" s="4"/>
      <c r="O1366" s="4"/>
      <c r="P1366" s="4"/>
      <c r="Q1366" s="4"/>
      <c r="R1366" s="4"/>
      <c r="S1366" s="4"/>
      <c r="T1366" s="4"/>
      <c r="U1366" s="4"/>
      <c r="V1366" s="4"/>
      <c r="W1366" s="4"/>
      <c r="X1366" s="4"/>
      <c r="Y1366" s="4"/>
      <c r="Z1366" s="4"/>
    </row>
    <row r="1367" spans="1:26">
      <c r="A1367" s="5">
        <v>43556</v>
      </c>
      <c r="B1367" s="4" t="s">
        <v>9</v>
      </c>
      <c r="C1367" s="4" t="s">
        <v>18</v>
      </c>
      <c r="D1367" s="4" t="s">
        <v>15</v>
      </c>
      <c r="E1367" s="4" t="s">
        <v>13</v>
      </c>
      <c r="F1367" s="4">
        <v>33830</v>
      </c>
      <c r="G1367" s="4">
        <v>437</v>
      </c>
      <c r="H1367" s="4">
        <v>6219</v>
      </c>
      <c r="I1367" s="6">
        <v>8072.3618262461277</v>
      </c>
      <c r="J1367" s="4"/>
      <c r="K1367" s="4"/>
      <c r="L1367" s="4"/>
      <c r="M1367" s="4"/>
      <c r="N1367" s="4"/>
      <c r="O1367" s="4"/>
      <c r="P1367" s="4"/>
      <c r="Q1367" s="4"/>
      <c r="R1367" s="4"/>
      <c r="S1367" s="4"/>
      <c r="T1367" s="4"/>
      <c r="U1367" s="4"/>
      <c r="V1367" s="4"/>
      <c r="W1367" s="4"/>
      <c r="X1367" s="4"/>
      <c r="Y1367" s="4"/>
      <c r="Z1367" s="4"/>
    </row>
    <row r="1368" spans="1:26">
      <c r="A1368" s="5">
        <v>43556</v>
      </c>
      <c r="B1368" s="4" t="s">
        <v>9</v>
      </c>
      <c r="C1368" s="4" t="s">
        <v>18</v>
      </c>
      <c r="D1368" s="4" t="s">
        <v>16</v>
      </c>
      <c r="E1368" s="4" t="s">
        <v>12</v>
      </c>
      <c r="F1368" s="4">
        <v>116892428</v>
      </c>
      <c r="G1368" s="4">
        <v>789471</v>
      </c>
      <c r="H1368" s="4">
        <v>2261187</v>
      </c>
      <c r="I1368" s="6">
        <v>545003.79925442697</v>
      </c>
      <c r="J1368" s="4"/>
      <c r="K1368" s="4"/>
      <c r="L1368" s="4"/>
      <c r="M1368" s="4"/>
      <c r="N1368" s="4"/>
      <c r="O1368" s="4"/>
      <c r="P1368" s="4"/>
      <c r="Q1368" s="4"/>
      <c r="R1368" s="4"/>
      <c r="S1368" s="4"/>
      <c r="T1368" s="4"/>
      <c r="U1368" s="4"/>
      <c r="V1368" s="4"/>
      <c r="W1368" s="4"/>
      <c r="X1368" s="4"/>
      <c r="Y1368" s="4"/>
      <c r="Z1368" s="4"/>
    </row>
    <row r="1369" spans="1:26">
      <c r="A1369" s="5">
        <v>43556</v>
      </c>
      <c r="B1369" s="4" t="s">
        <v>9</v>
      </c>
      <c r="C1369" s="4" t="s">
        <v>18</v>
      </c>
      <c r="D1369" s="4" t="s">
        <v>16</v>
      </c>
      <c r="E1369" s="4" t="s">
        <v>13</v>
      </c>
      <c r="F1369" s="4">
        <v>1021740</v>
      </c>
      <c r="G1369" s="4">
        <v>2265</v>
      </c>
      <c r="H1369" s="4">
        <v>55767</v>
      </c>
      <c r="I1369" s="6">
        <v>35852.448764704961</v>
      </c>
      <c r="J1369" s="4"/>
      <c r="K1369" s="4"/>
      <c r="L1369" s="4"/>
      <c r="M1369" s="4"/>
      <c r="N1369" s="4"/>
      <c r="O1369" s="4"/>
      <c r="P1369" s="4"/>
      <c r="Q1369" s="4"/>
      <c r="R1369" s="4"/>
      <c r="S1369" s="4"/>
      <c r="T1369" s="4"/>
      <c r="U1369" s="4"/>
      <c r="V1369" s="4"/>
      <c r="W1369" s="4"/>
      <c r="X1369" s="4"/>
      <c r="Y1369" s="4"/>
      <c r="Z1369" s="4"/>
    </row>
    <row r="1370" spans="1:26">
      <c r="A1370" s="5">
        <v>43556</v>
      </c>
      <c r="B1370" s="4" t="s">
        <v>9</v>
      </c>
      <c r="C1370" s="4" t="s">
        <v>18</v>
      </c>
      <c r="D1370" s="4" t="s">
        <v>17</v>
      </c>
      <c r="E1370" s="4" t="s">
        <v>12</v>
      </c>
      <c r="F1370" s="4">
        <v>11065442</v>
      </c>
      <c r="G1370" s="4">
        <v>253785</v>
      </c>
      <c r="H1370" s="4">
        <v>723520</v>
      </c>
      <c r="I1370" s="6">
        <v>185090.47489359218</v>
      </c>
      <c r="J1370" s="4"/>
      <c r="K1370" s="4"/>
      <c r="L1370" s="4"/>
      <c r="M1370" s="4"/>
      <c r="N1370" s="4"/>
      <c r="O1370" s="4"/>
      <c r="P1370" s="4"/>
      <c r="Q1370" s="4"/>
      <c r="R1370" s="4"/>
      <c r="S1370" s="4"/>
      <c r="T1370" s="4"/>
      <c r="U1370" s="4"/>
      <c r="V1370" s="4"/>
      <c r="W1370" s="4"/>
      <c r="X1370" s="4"/>
      <c r="Y1370" s="4"/>
      <c r="Z1370" s="4"/>
    </row>
    <row r="1371" spans="1:26">
      <c r="A1371" s="5">
        <v>43556</v>
      </c>
      <c r="B1371" s="4" t="s">
        <v>9</v>
      </c>
      <c r="C1371" s="4" t="s">
        <v>18</v>
      </c>
      <c r="D1371" s="4" t="s">
        <v>17</v>
      </c>
      <c r="E1371" s="4" t="s">
        <v>13</v>
      </c>
      <c r="F1371" s="4">
        <v>84499</v>
      </c>
      <c r="G1371" s="4">
        <v>913</v>
      </c>
      <c r="H1371" s="4">
        <v>20183</v>
      </c>
      <c r="I1371" s="6">
        <v>14477.304327969814</v>
      </c>
      <c r="J1371" s="4"/>
      <c r="K1371" s="4"/>
      <c r="L1371" s="4"/>
      <c r="M1371" s="4"/>
      <c r="N1371" s="4"/>
      <c r="O1371" s="4"/>
      <c r="P1371" s="4"/>
      <c r="Q1371" s="4"/>
      <c r="R1371" s="4"/>
      <c r="S1371" s="4"/>
      <c r="T1371" s="4"/>
      <c r="U1371" s="4"/>
      <c r="V1371" s="4"/>
      <c r="W1371" s="4"/>
      <c r="X1371" s="4"/>
      <c r="Y1371" s="4"/>
      <c r="Z1371" s="4"/>
    </row>
    <row r="1372" spans="1:26">
      <c r="A1372" s="5">
        <v>43556</v>
      </c>
      <c r="B1372" s="4" t="s">
        <v>9</v>
      </c>
      <c r="C1372" s="4" t="s">
        <v>19</v>
      </c>
      <c r="D1372" s="4" t="s">
        <v>11</v>
      </c>
      <c r="E1372" s="4" t="s">
        <v>12</v>
      </c>
      <c r="F1372" s="4">
        <v>134768</v>
      </c>
      <c r="G1372" s="4">
        <v>21190</v>
      </c>
      <c r="H1372" s="4">
        <v>22319</v>
      </c>
      <c r="I1372" s="6">
        <v>112842.34063856609</v>
      </c>
      <c r="J1372" s="4"/>
      <c r="K1372" s="4"/>
      <c r="L1372" s="4"/>
      <c r="M1372" s="4"/>
      <c r="N1372" s="4"/>
      <c r="O1372" s="4"/>
      <c r="P1372" s="4"/>
      <c r="Q1372" s="4"/>
      <c r="R1372" s="4"/>
      <c r="S1372" s="4"/>
      <c r="T1372" s="4"/>
      <c r="U1372" s="4"/>
      <c r="V1372" s="4"/>
      <c r="W1372" s="4"/>
      <c r="X1372" s="4"/>
      <c r="Y1372" s="4"/>
      <c r="Z1372" s="4"/>
    </row>
    <row r="1373" spans="1:26">
      <c r="A1373" s="5">
        <v>43556</v>
      </c>
      <c r="B1373" s="4" t="s">
        <v>9</v>
      </c>
      <c r="C1373" s="4" t="s">
        <v>19</v>
      </c>
      <c r="D1373" s="4" t="s">
        <v>11</v>
      </c>
      <c r="E1373" s="4" t="s">
        <v>13</v>
      </c>
      <c r="F1373" s="4">
        <v>743</v>
      </c>
      <c r="G1373" s="4">
        <v>827</v>
      </c>
      <c r="H1373" s="4">
        <v>8640</v>
      </c>
      <c r="I1373" s="6">
        <v>19369.912123974475</v>
      </c>
      <c r="J1373" s="4"/>
      <c r="K1373" s="4"/>
      <c r="L1373" s="4"/>
      <c r="M1373" s="4"/>
      <c r="N1373" s="4"/>
      <c r="O1373" s="4"/>
      <c r="P1373" s="4"/>
      <c r="Q1373" s="4"/>
      <c r="R1373" s="4"/>
      <c r="S1373" s="4"/>
      <c r="T1373" s="4"/>
      <c r="U1373" s="4"/>
      <c r="V1373" s="4"/>
      <c r="W1373" s="4"/>
      <c r="X1373" s="4"/>
      <c r="Y1373" s="4"/>
      <c r="Z1373" s="4"/>
    </row>
    <row r="1374" spans="1:26">
      <c r="A1374" s="5">
        <v>43556</v>
      </c>
      <c r="B1374" s="4" t="s">
        <v>9</v>
      </c>
      <c r="C1374" s="4" t="s">
        <v>19</v>
      </c>
      <c r="D1374" s="4" t="s">
        <v>14</v>
      </c>
      <c r="E1374" s="4" t="s">
        <v>12</v>
      </c>
      <c r="F1374" s="4">
        <v>330650</v>
      </c>
      <c r="G1374" s="4">
        <v>49958</v>
      </c>
      <c r="H1374" s="4">
        <v>52509</v>
      </c>
      <c r="I1374" s="6">
        <v>201059.96473005562</v>
      </c>
      <c r="J1374" s="4"/>
      <c r="K1374" s="4"/>
      <c r="L1374" s="4"/>
      <c r="M1374" s="4"/>
      <c r="N1374" s="4"/>
      <c r="O1374" s="4"/>
      <c r="P1374" s="4"/>
      <c r="Q1374" s="4"/>
      <c r="R1374" s="4"/>
      <c r="S1374" s="4"/>
      <c r="T1374" s="4"/>
      <c r="U1374" s="4"/>
      <c r="V1374" s="4"/>
      <c r="W1374" s="4"/>
      <c r="X1374" s="4"/>
      <c r="Y1374" s="4"/>
      <c r="Z1374" s="4"/>
    </row>
    <row r="1375" spans="1:26">
      <c r="A1375" s="5">
        <v>43556</v>
      </c>
      <c r="B1375" s="4" t="s">
        <v>9</v>
      </c>
      <c r="C1375" s="4" t="s">
        <v>19</v>
      </c>
      <c r="D1375" s="4" t="s">
        <v>14</v>
      </c>
      <c r="E1375" s="4" t="s">
        <v>13</v>
      </c>
      <c r="F1375" s="4">
        <v>1782</v>
      </c>
      <c r="G1375" s="4">
        <v>1844</v>
      </c>
      <c r="H1375" s="4">
        <v>46840</v>
      </c>
      <c r="I1375" s="6">
        <v>32065.445385523875</v>
      </c>
      <c r="J1375" s="4"/>
      <c r="K1375" s="4"/>
      <c r="L1375" s="4"/>
      <c r="M1375" s="4"/>
      <c r="N1375" s="4"/>
      <c r="O1375" s="4"/>
      <c r="P1375" s="4"/>
      <c r="Q1375" s="4"/>
      <c r="R1375" s="4"/>
      <c r="S1375" s="4"/>
      <c r="T1375" s="4"/>
      <c r="U1375" s="4"/>
      <c r="V1375" s="4"/>
      <c r="W1375" s="4"/>
      <c r="X1375" s="4"/>
      <c r="Y1375" s="4"/>
      <c r="Z1375" s="4"/>
    </row>
    <row r="1376" spans="1:26">
      <c r="A1376" s="5">
        <v>43556</v>
      </c>
      <c r="B1376" s="4" t="s">
        <v>9</v>
      </c>
      <c r="C1376" s="4" t="s">
        <v>19</v>
      </c>
      <c r="D1376" s="4" t="s">
        <v>15</v>
      </c>
      <c r="E1376" s="4" t="s">
        <v>12</v>
      </c>
      <c r="F1376" s="4">
        <v>156027</v>
      </c>
      <c r="G1376" s="4">
        <v>25640</v>
      </c>
      <c r="H1376" s="4">
        <v>26569</v>
      </c>
      <c r="I1376" s="6">
        <v>74338.896083661515</v>
      </c>
      <c r="J1376" s="4"/>
      <c r="K1376" s="4"/>
      <c r="L1376" s="4"/>
      <c r="M1376" s="4"/>
      <c r="N1376" s="4"/>
      <c r="O1376" s="4"/>
      <c r="P1376" s="4"/>
      <c r="Q1376" s="4"/>
      <c r="R1376" s="4"/>
      <c r="S1376" s="4"/>
      <c r="T1376" s="4"/>
      <c r="U1376" s="4"/>
      <c r="V1376" s="4"/>
      <c r="W1376" s="4"/>
      <c r="X1376" s="4"/>
      <c r="Y1376" s="4"/>
      <c r="Z1376" s="4"/>
    </row>
    <row r="1377" spans="1:26">
      <c r="A1377" s="5">
        <v>43556</v>
      </c>
      <c r="B1377" s="4" t="s">
        <v>9</v>
      </c>
      <c r="C1377" s="4" t="s">
        <v>19</v>
      </c>
      <c r="D1377" s="4" t="s">
        <v>15</v>
      </c>
      <c r="E1377" s="4" t="s">
        <v>13</v>
      </c>
      <c r="F1377" s="4">
        <v>556</v>
      </c>
      <c r="G1377" s="4">
        <v>759</v>
      </c>
      <c r="H1377" s="4">
        <v>25296</v>
      </c>
      <c r="I1377" s="6">
        <v>14030.125833073487</v>
      </c>
      <c r="J1377" s="4"/>
      <c r="K1377" s="4"/>
      <c r="L1377" s="4"/>
      <c r="M1377" s="4"/>
      <c r="N1377" s="4"/>
      <c r="O1377" s="4"/>
      <c r="P1377" s="4"/>
      <c r="Q1377" s="4"/>
      <c r="R1377" s="4"/>
      <c r="S1377" s="4"/>
      <c r="T1377" s="4"/>
      <c r="U1377" s="4"/>
      <c r="V1377" s="4"/>
      <c r="W1377" s="4"/>
      <c r="X1377" s="4"/>
      <c r="Y1377" s="4"/>
      <c r="Z1377" s="4"/>
    </row>
    <row r="1378" spans="1:26">
      <c r="A1378" s="5">
        <v>43556</v>
      </c>
      <c r="B1378" s="4" t="s">
        <v>9</v>
      </c>
      <c r="C1378" s="4" t="s">
        <v>19</v>
      </c>
      <c r="D1378" s="4" t="s">
        <v>16</v>
      </c>
      <c r="E1378" s="4" t="s">
        <v>12</v>
      </c>
      <c r="F1378" s="4">
        <v>18567898</v>
      </c>
      <c r="G1378" s="4">
        <v>78614</v>
      </c>
      <c r="H1378" s="4">
        <v>80596</v>
      </c>
      <c r="I1378" s="6">
        <v>463692.3000763742</v>
      </c>
      <c r="J1378" s="4"/>
      <c r="K1378" s="4"/>
      <c r="L1378" s="4"/>
      <c r="M1378" s="4"/>
      <c r="N1378" s="4"/>
      <c r="O1378" s="4"/>
      <c r="P1378" s="4"/>
      <c r="Q1378" s="4"/>
      <c r="R1378" s="4"/>
      <c r="S1378" s="4"/>
      <c r="T1378" s="4"/>
      <c r="U1378" s="4"/>
      <c r="V1378" s="4"/>
      <c r="W1378" s="4"/>
      <c r="X1378" s="4"/>
      <c r="Y1378" s="4"/>
      <c r="Z1378" s="4"/>
    </row>
    <row r="1379" spans="1:26">
      <c r="A1379" s="5">
        <v>43556</v>
      </c>
      <c r="B1379" s="4" t="s">
        <v>9</v>
      </c>
      <c r="C1379" s="4" t="s">
        <v>19</v>
      </c>
      <c r="D1379" s="4" t="s">
        <v>16</v>
      </c>
      <c r="E1379" s="4" t="s">
        <v>13</v>
      </c>
      <c r="F1379" s="4">
        <v>173529</v>
      </c>
      <c r="G1379" s="4">
        <v>2365</v>
      </c>
      <c r="H1379" s="4">
        <v>40690</v>
      </c>
      <c r="I1379" s="6">
        <v>63024.765062373197</v>
      </c>
      <c r="J1379" s="4"/>
      <c r="K1379" s="4"/>
      <c r="L1379" s="4"/>
      <c r="M1379" s="4"/>
      <c r="N1379" s="4"/>
      <c r="O1379" s="4"/>
      <c r="P1379" s="4"/>
      <c r="Q1379" s="4"/>
      <c r="R1379" s="4"/>
      <c r="S1379" s="4"/>
      <c r="T1379" s="4"/>
      <c r="U1379" s="4"/>
      <c r="V1379" s="4"/>
      <c r="W1379" s="4"/>
      <c r="X1379" s="4"/>
      <c r="Y1379" s="4"/>
      <c r="Z1379" s="4"/>
    </row>
    <row r="1380" spans="1:26">
      <c r="A1380" s="5">
        <v>43556</v>
      </c>
      <c r="B1380" s="4" t="s">
        <v>9</v>
      </c>
      <c r="C1380" s="4" t="s">
        <v>19</v>
      </c>
      <c r="D1380" s="4" t="s">
        <v>17</v>
      </c>
      <c r="E1380" s="4" t="s">
        <v>12</v>
      </c>
      <c r="F1380" s="4">
        <v>258989</v>
      </c>
      <c r="G1380" s="4">
        <v>28370</v>
      </c>
      <c r="H1380" s="4">
        <v>29292</v>
      </c>
      <c r="I1380" s="6">
        <v>171976.11576874589</v>
      </c>
      <c r="J1380" s="4"/>
      <c r="K1380" s="4"/>
      <c r="L1380" s="4"/>
      <c r="M1380" s="4"/>
      <c r="N1380" s="4"/>
      <c r="O1380" s="4"/>
      <c r="P1380" s="4"/>
      <c r="Q1380" s="4"/>
      <c r="R1380" s="4"/>
      <c r="S1380" s="4"/>
      <c r="T1380" s="4"/>
      <c r="U1380" s="4"/>
      <c r="V1380" s="4"/>
      <c r="W1380" s="4"/>
      <c r="X1380" s="4"/>
      <c r="Y1380" s="4"/>
      <c r="Z1380" s="4"/>
    </row>
    <row r="1381" spans="1:26">
      <c r="A1381" s="5">
        <v>43556</v>
      </c>
      <c r="B1381" s="4" t="s">
        <v>9</v>
      </c>
      <c r="C1381" s="4" t="s">
        <v>19</v>
      </c>
      <c r="D1381" s="4" t="s">
        <v>17</v>
      </c>
      <c r="E1381" s="4" t="s">
        <v>13</v>
      </c>
      <c r="F1381" s="4">
        <v>1755</v>
      </c>
      <c r="G1381" s="4">
        <v>777</v>
      </c>
      <c r="H1381" s="4">
        <v>7827</v>
      </c>
      <c r="I1381" s="6">
        <v>21362.060475604299</v>
      </c>
      <c r="J1381" s="4"/>
      <c r="K1381" s="4"/>
      <c r="L1381" s="4"/>
      <c r="M1381" s="4"/>
      <c r="N1381" s="4"/>
      <c r="O1381" s="4"/>
      <c r="P1381" s="4"/>
      <c r="Q1381" s="4"/>
      <c r="R1381" s="4"/>
      <c r="S1381" s="4"/>
      <c r="T1381" s="4"/>
      <c r="U1381" s="4"/>
      <c r="V1381" s="4"/>
      <c r="W1381" s="4"/>
      <c r="X1381" s="4"/>
      <c r="Y1381" s="4"/>
      <c r="Z1381" s="4"/>
    </row>
    <row r="1382" spans="1:26">
      <c r="A1382" s="5">
        <v>43556</v>
      </c>
      <c r="B1382" s="4" t="s">
        <v>20</v>
      </c>
      <c r="C1382" s="4" t="s">
        <v>10</v>
      </c>
      <c r="D1382" s="4" t="s">
        <v>11</v>
      </c>
      <c r="E1382" s="4" t="s">
        <v>12</v>
      </c>
      <c r="F1382" s="4">
        <v>2622577</v>
      </c>
      <c r="G1382" s="4">
        <v>5960</v>
      </c>
      <c r="H1382" s="4">
        <v>6755</v>
      </c>
      <c r="I1382" s="6">
        <v>1589.6923984517305</v>
      </c>
      <c r="J1382" s="4"/>
      <c r="K1382" s="4"/>
      <c r="L1382" s="4"/>
      <c r="M1382" s="4"/>
      <c r="N1382" s="4"/>
      <c r="O1382" s="4"/>
      <c r="P1382" s="4"/>
      <c r="Q1382" s="4"/>
      <c r="R1382" s="4"/>
      <c r="S1382" s="4"/>
      <c r="T1382" s="4"/>
      <c r="U1382" s="4"/>
      <c r="V1382" s="4"/>
      <c r="W1382" s="4"/>
      <c r="X1382" s="4"/>
      <c r="Y1382" s="4"/>
      <c r="Z1382" s="4"/>
    </row>
    <row r="1383" spans="1:26">
      <c r="A1383" s="5">
        <v>43556</v>
      </c>
      <c r="B1383" s="4" t="s">
        <v>20</v>
      </c>
      <c r="C1383" s="4" t="s">
        <v>10</v>
      </c>
      <c r="D1383" s="4" t="s">
        <v>11</v>
      </c>
      <c r="E1383" s="4" t="s">
        <v>13</v>
      </c>
      <c r="F1383" s="4">
        <v>1063</v>
      </c>
      <c r="G1383" s="4">
        <v>32</v>
      </c>
      <c r="H1383" s="4">
        <v>81</v>
      </c>
      <c r="I1383" s="6">
        <v>18011.053636363635</v>
      </c>
      <c r="J1383" s="4"/>
      <c r="K1383" s="4"/>
      <c r="L1383" s="4"/>
      <c r="M1383" s="4"/>
      <c r="N1383" s="4"/>
      <c r="O1383" s="4"/>
      <c r="P1383" s="4"/>
      <c r="Q1383" s="4"/>
      <c r="R1383" s="4"/>
      <c r="S1383" s="4"/>
      <c r="T1383" s="4"/>
      <c r="U1383" s="4"/>
      <c r="V1383" s="4"/>
      <c r="W1383" s="4"/>
      <c r="X1383" s="4"/>
      <c r="Y1383" s="4"/>
      <c r="Z1383" s="4"/>
    </row>
    <row r="1384" spans="1:26">
      <c r="A1384" s="5">
        <v>43556</v>
      </c>
      <c r="B1384" s="4" t="s">
        <v>20</v>
      </c>
      <c r="C1384" s="4" t="s">
        <v>10</v>
      </c>
      <c r="D1384" s="4" t="s">
        <v>14</v>
      </c>
      <c r="E1384" s="4" t="s">
        <v>12</v>
      </c>
      <c r="F1384" s="4">
        <v>4749417</v>
      </c>
      <c r="G1384" s="4">
        <v>10600</v>
      </c>
      <c r="H1384" s="4">
        <v>11514</v>
      </c>
      <c r="I1384" s="6">
        <v>1446.6653957852941</v>
      </c>
      <c r="J1384" s="4"/>
      <c r="K1384" s="4"/>
      <c r="L1384" s="4"/>
      <c r="M1384" s="4"/>
      <c r="N1384" s="4"/>
      <c r="O1384" s="4"/>
      <c r="P1384" s="4"/>
      <c r="Q1384" s="4"/>
      <c r="R1384" s="4"/>
      <c r="S1384" s="4"/>
      <c r="T1384" s="4"/>
      <c r="U1384" s="4"/>
      <c r="V1384" s="4"/>
      <c r="W1384" s="4"/>
      <c r="X1384" s="4"/>
      <c r="Y1384" s="4"/>
      <c r="Z1384" s="4"/>
    </row>
    <row r="1385" spans="1:26">
      <c r="A1385" s="5">
        <v>43556</v>
      </c>
      <c r="B1385" s="4" t="s">
        <v>20</v>
      </c>
      <c r="C1385" s="4" t="s">
        <v>10</v>
      </c>
      <c r="D1385" s="4" t="s">
        <v>14</v>
      </c>
      <c r="E1385" s="4" t="s">
        <v>13</v>
      </c>
      <c r="F1385" s="4">
        <v>2289</v>
      </c>
      <c r="G1385" s="4">
        <v>58</v>
      </c>
      <c r="H1385" s="4">
        <v>243</v>
      </c>
      <c r="I1385" s="6">
        <v>27219.453113793104</v>
      </c>
      <c r="J1385" s="4"/>
      <c r="K1385" s="4"/>
      <c r="L1385" s="4"/>
      <c r="M1385" s="4"/>
      <c r="N1385" s="4"/>
      <c r="O1385" s="4"/>
      <c r="P1385" s="4"/>
      <c r="Q1385" s="4"/>
      <c r="R1385" s="4"/>
      <c r="S1385" s="4"/>
      <c r="T1385" s="4"/>
      <c r="U1385" s="4"/>
      <c r="V1385" s="4"/>
      <c r="W1385" s="4"/>
      <c r="X1385" s="4"/>
      <c r="Y1385" s="4"/>
      <c r="Z1385" s="4"/>
    </row>
    <row r="1386" spans="1:26">
      <c r="A1386" s="5">
        <v>43556</v>
      </c>
      <c r="B1386" s="4" t="s">
        <v>20</v>
      </c>
      <c r="C1386" s="4" t="s">
        <v>10</v>
      </c>
      <c r="D1386" s="4" t="s">
        <v>15</v>
      </c>
      <c r="E1386" s="4" t="s">
        <v>12</v>
      </c>
      <c r="F1386" s="4">
        <v>1186986</v>
      </c>
      <c r="G1386" s="4">
        <v>2679</v>
      </c>
      <c r="H1386" s="4">
        <v>2906</v>
      </c>
      <c r="I1386" s="6">
        <v>463.55486249622248</v>
      </c>
      <c r="J1386" s="4"/>
      <c r="K1386" s="4"/>
      <c r="L1386" s="4"/>
      <c r="M1386" s="4"/>
      <c r="N1386" s="4"/>
      <c r="O1386" s="4"/>
      <c r="P1386" s="4"/>
      <c r="Q1386" s="4"/>
      <c r="R1386" s="4"/>
      <c r="S1386" s="4"/>
      <c r="T1386" s="4"/>
      <c r="U1386" s="4"/>
      <c r="V1386" s="4"/>
      <c r="W1386" s="4"/>
      <c r="X1386" s="4"/>
      <c r="Y1386" s="4"/>
      <c r="Z1386" s="4"/>
    </row>
    <row r="1387" spans="1:26">
      <c r="A1387" s="5">
        <v>43556</v>
      </c>
      <c r="B1387" s="4" t="s">
        <v>20</v>
      </c>
      <c r="C1387" s="4" t="s">
        <v>10</v>
      </c>
      <c r="D1387" s="4" t="s">
        <v>15</v>
      </c>
      <c r="E1387" s="4" t="s">
        <v>13</v>
      </c>
      <c r="F1387" s="4">
        <v>317</v>
      </c>
      <c r="G1387" s="4">
        <v>17</v>
      </c>
      <c r="H1387" s="4">
        <v>52</v>
      </c>
      <c r="I1387" s="6">
        <v>6328.6709859154926</v>
      </c>
      <c r="J1387" s="4"/>
      <c r="K1387" s="4"/>
      <c r="L1387" s="4"/>
      <c r="M1387" s="4"/>
      <c r="N1387" s="4"/>
      <c r="O1387" s="4"/>
      <c r="P1387" s="4"/>
      <c r="Q1387" s="4"/>
      <c r="R1387" s="4"/>
      <c r="S1387" s="4"/>
      <c r="T1387" s="4"/>
      <c r="U1387" s="4"/>
      <c r="V1387" s="4"/>
      <c r="W1387" s="4"/>
      <c r="X1387" s="4"/>
      <c r="Y1387" s="4"/>
      <c r="Z1387" s="4"/>
    </row>
    <row r="1388" spans="1:26">
      <c r="A1388" s="5">
        <v>43556</v>
      </c>
      <c r="B1388" s="4" t="s">
        <v>20</v>
      </c>
      <c r="C1388" s="4" t="s">
        <v>10</v>
      </c>
      <c r="D1388" s="4" t="s">
        <v>16</v>
      </c>
      <c r="E1388" s="4" t="s">
        <v>12</v>
      </c>
      <c r="F1388" s="4">
        <v>12773773</v>
      </c>
      <c r="G1388" s="4">
        <v>38602</v>
      </c>
      <c r="H1388" s="4">
        <v>40542</v>
      </c>
      <c r="I1388" s="6">
        <v>6837.2108129435237</v>
      </c>
      <c r="J1388" s="4"/>
      <c r="K1388" s="4"/>
      <c r="L1388" s="4"/>
      <c r="M1388" s="4"/>
      <c r="N1388" s="4"/>
      <c r="O1388" s="4"/>
      <c r="P1388" s="4"/>
      <c r="Q1388" s="4"/>
      <c r="R1388" s="4"/>
      <c r="S1388" s="4"/>
      <c r="T1388" s="4"/>
      <c r="U1388" s="4"/>
      <c r="V1388" s="4"/>
      <c r="W1388" s="4"/>
      <c r="X1388" s="4"/>
      <c r="Y1388" s="4"/>
      <c r="Z1388" s="4"/>
    </row>
    <row r="1389" spans="1:26">
      <c r="A1389" s="5">
        <v>43556</v>
      </c>
      <c r="B1389" s="4" t="s">
        <v>20</v>
      </c>
      <c r="C1389" s="4" t="s">
        <v>10</v>
      </c>
      <c r="D1389" s="4" t="s">
        <v>16</v>
      </c>
      <c r="E1389" s="4" t="s">
        <v>13</v>
      </c>
      <c r="F1389" s="4">
        <v>6203</v>
      </c>
      <c r="G1389" s="4">
        <v>264</v>
      </c>
      <c r="H1389" s="4">
        <v>712</v>
      </c>
      <c r="I1389" s="6">
        <v>116531.95198044009</v>
      </c>
      <c r="J1389" s="4"/>
      <c r="K1389" s="4"/>
      <c r="L1389" s="4"/>
      <c r="M1389" s="4"/>
      <c r="N1389" s="4"/>
      <c r="O1389" s="4"/>
      <c r="P1389" s="4"/>
      <c r="Q1389" s="4"/>
      <c r="R1389" s="4"/>
      <c r="S1389" s="4"/>
      <c r="T1389" s="4"/>
      <c r="U1389" s="4"/>
      <c r="V1389" s="4"/>
      <c r="W1389" s="4"/>
      <c r="X1389" s="4"/>
      <c r="Y1389" s="4"/>
      <c r="Z1389" s="4"/>
    </row>
    <row r="1390" spans="1:26">
      <c r="A1390" s="5">
        <v>43556</v>
      </c>
      <c r="B1390" s="4" t="s">
        <v>20</v>
      </c>
      <c r="C1390" s="4" t="s">
        <v>10</v>
      </c>
      <c r="D1390" s="4" t="s">
        <v>17</v>
      </c>
      <c r="E1390" s="4" t="s">
        <v>12</v>
      </c>
      <c r="F1390" s="4">
        <v>4047059</v>
      </c>
      <c r="G1390" s="4">
        <v>12848</v>
      </c>
      <c r="H1390" s="4">
        <v>13632</v>
      </c>
      <c r="I1390" s="6">
        <v>2074.5608408126413</v>
      </c>
      <c r="J1390" s="4"/>
      <c r="K1390" s="4"/>
      <c r="L1390" s="4"/>
      <c r="M1390" s="4"/>
      <c r="N1390" s="4"/>
      <c r="O1390" s="4"/>
      <c r="P1390" s="4"/>
      <c r="Q1390" s="4"/>
      <c r="R1390" s="4"/>
      <c r="S1390" s="4"/>
      <c r="T1390" s="4"/>
      <c r="U1390" s="4"/>
      <c r="V1390" s="4"/>
      <c r="W1390" s="4"/>
      <c r="X1390" s="4"/>
      <c r="Y1390" s="4"/>
      <c r="Z1390" s="4"/>
    </row>
    <row r="1391" spans="1:26">
      <c r="A1391" s="5">
        <v>43556</v>
      </c>
      <c r="B1391" s="4" t="s">
        <v>20</v>
      </c>
      <c r="C1391" s="4" t="s">
        <v>10</v>
      </c>
      <c r="D1391" s="4" t="s">
        <v>17</v>
      </c>
      <c r="E1391" s="4" t="s">
        <v>13</v>
      </c>
      <c r="F1391" s="4">
        <v>2102</v>
      </c>
      <c r="G1391" s="4">
        <v>84</v>
      </c>
      <c r="H1391" s="4">
        <v>265</v>
      </c>
      <c r="I1391" s="6">
        <v>40299.353548387095</v>
      </c>
      <c r="J1391" s="4"/>
      <c r="K1391" s="4"/>
      <c r="L1391" s="4"/>
      <c r="M1391" s="4"/>
      <c r="N1391" s="4"/>
      <c r="O1391" s="4"/>
      <c r="P1391" s="4"/>
      <c r="Q1391" s="4"/>
      <c r="R1391" s="4"/>
      <c r="S1391" s="4"/>
      <c r="T1391" s="4"/>
      <c r="U1391" s="4"/>
      <c r="V1391" s="4"/>
      <c r="W1391" s="4"/>
      <c r="X1391" s="4"/>
      <c r="Y1391" s="4"/>
      <c r="Z1391" s="4"/>
    </row>
    <row r="1392" spans="1:26">
      <c r="A1392" s="5">
        <v>43556</v>
      </c>
      <c r="B1392" s="4" t="s">
        <v>20</v>
      </c>
      <c r="C1392" s="4" t="s">
        <v>18</v>
      </c>
      <c r="D1392" s="4" t="s">
        <v>11</v>
      </c>
      <c r="E1392" s="4" t="s">
        <v>12</v>
      </c>
      <c r="F1392" s="4">
        <v>2934050</v>
      </c>
      <c r="G1392" s="4">
        <v>16845</v>
      </c>
      <c r="H1392" s="4">
        <v>32461</v>
      </c>
      <c r="I1392" s="6">
        <v>9985.5666406652053</v>
      </c>
      <c r="J1392" s="4"/>
      <c r="K1392" s="4"/>
      <c r="L1392" s="4"/>
      <c r="M1392" s="4"/>
      <c r="N1392" s="4"/>
      <c r="O1392" s="4"/>
      <c r="P1392" s="4"/>
      <c r="Q1392" s="4"/>
      <c r="R1392" s="4"/>
      <c r="S1392" s="4"/>
      <c r="T1392" s="4"/>
      <c r="U1392" s="4"/>
      <c r="V1392" s="4"/>
      <c r="W1392" s="4"/>
      <c r="X1392" s="4"/>
      <c r="Y1392" s="4"/>
      <c r="Z1392" s="4"/>
    </row>
    <row r="1393" spans="1:26">
      <c r="A1393" s="5">
        <v>43556</v>
      </c>
      <c r="B1393" s="4" t="s">
        <v>20</v>
      </c>
      <c r="C1393" s="4" t="s">
        <v>18</v>
      </c>
      <c r="D1393" s="4" t="s">
        <v>11</v>
      </c>
      <c r="E1393" s="4" t="s">
        <v>13</v>
      </c>
      <c r="F1393" s="4">
        <v>1515</v>
      </c>
      <c r="G1393" s="4">
        <v>23</v>
      </c>
      <c r="H1393" s="4">
        <v>39</v>
      </c>
      <c r="I1393" s="6">
        <v>203.52540000000002</v>
      </c>
      <c r="J1393" s="4"/>
      <c r="K1393" s="4"/>
      <c r="L1393" s="4"/>
      <c r="M1393" s="4"/>
      <c r="N1393" s="4"/>
      <c r="O1393" s="4"/>
      <c r="P1393" s="4"/>
      <c r="Q1393" s="4"/>
      <c r="R1393" s="4"/>
      <c r="S1393" s="4"/>
      <c r="T1393" s="4"/>
      <c r="U1393" s="4"/>
      <c r="V1393" s="4"/>
      <c r="W1393" s="4"/>
      <c r="X1393" s="4"/>
      <c r="Y1393" s="4"/>
      <c r="Z1393" s="4"/>
    </row>
    <row r="1394" spans="1:26">
      <c r="A1394" s="5">
        <v>43556</v>
      </c>
      <c r="B1394" s="4" t="s">
        <v>20</v>
      </c>
      <c r="C1394" s="4" t="s">
        <v>18</v>
      </c>
      <c r="D1394" s="4" t="s">
        <v>14</v>
      </c>
      <c r="E1394" s="4" t="s">
        <v>12</v>
      </c>
      <c r="F1394" s="4">
        <v>5558414</v>
      </c>
      <c r="G1394" s="4">
        <v>33238</v>
      </c>
      <c r="H1394" s="4">
        <v>62139</v>
      </c>
      <c r="I1394" s="6">
        <v>12682.203238573651</v>
      </c>
      <c r="J1394" s="4"/>
      <c r="K1394" s="4"/>
      <c r="L1394" s="4"/>
      <c r="M1394" s="4"/>
      <c r="N1394" s="4"/>
      <c r="O1394" s="4"/>
      <c r="P1394" s="4"/>
      <c r="Q1394" s="4"/>
      <c r="R1394" s="4"/>
      <c r="S1394" s="4"/>
      <c r="T1394" s="4"/>
      <c r="U1394" s="4"/>
      <c r="V1394" s="4"/>
      <c r="W1394" s="4"/>
      <c r="X1394" s="4"/>
      <c r="Y1394" s="4"/>
      <c r="Z1394" s="4"/>
    </row>
    <row r="1395" spans="1:26">
      <c r="A1395" s="5">
        <v>43556</v>
      </c>
      <c r="B1395" s="4" t="s">
        <v>20</v>
      </c>
      <c r="C1395" s="4" t="s">
        <v>18</v>
      </c>
      <c r="D1395" s="4" t="s">
        <v>14</v>
      </c>
      <c r="E1395" s="4" t="s">
        <v>13</v>
      </c>
      <c r="F1395" s="4">
        <v>2900</v>
      </c>
      <c r="G1395" s="4">
        <v>35</v>
      </c>
      <c r="H1395" s="4">
        <v>201</v>
      </c>
      <c r="I1395" s="6">
        <v>337.90427280991736</v>
      </c>
      <c r="J1395" s="4"/>
      <c r="K1395" s="4"/>
      <c r="L1395" s="4"/>
      <c r="M1395" s="4"/>
      <c r="N1395" s="4"/>
      <c r="O1395" s="4"/>
      <c r="P1395" s="4"/>
      <c r="Q1395" s="4"/>
      <c r="R1395" s="4"/>
      <c r="S1395" s="4"/>
      <c r="T1395" s="4"/>
      <c r="U1395" s="4"/>
      <c r="V1395" s="4"/>
      <c r="W1395" s="4"/>
      <c r="X1395" s="4"/>
      <c r="Y1395" s="4"/>
      <c r="Z1395" s="4"/>
    </row>
    <row r="1396" spans="1:26">
      <c r="A1396" s="5">
        <v>43556</v>
      </c>
      <c r="B1396" s="4" t="s">
        <v>20</v>
      </c>
      <c r="C1396" s="4" t="s">
        <v>18</v>
      </c>
      <c r="D1396" s="4" t="s">
        <v>15</v>
      </c>
      <c r="E1396" s="4" t="s">
        <v>12</v>
      </c>
      <c r="F1396" s="4">
        <v>1754519</v>
      </c>
      <c r="G1396" s="4">
        <v>11506</v>
      </c>
      <c r="H1396" s="4">
        <v>21599</v>
      </c>
      <c r="I1396" s="6">
        <v>3521.1846892425415</v>
      </c>
      <c r="J1396" s="4"/>
      <c r="K1396" s="4"/>
      <c r="L1396" s="4"/>
      <c r="M1396" s="4"/>
      <c r="N1396" s="4"/>
      <c r="O1396" s="4"/>
      <c r="P1396" s="4"/>
      <c r="Q1396" s="4"/>
      <c r="R1396" s="4"/>
      <c r="S1396" s="4"/>
      <c r="T1396" s="4"/>
      <c r="U1396" s="4"/>
      <c r="V1396" s="4"/>
      <c r="W1396" s="4"/>
      <c r="X1396" s="4"/>
      <c r="Y1396" s="4"/>
      <c r="Z1396" s="4"/>
    </row>
    <row r="1397" spans="1:26">
      <c r="A1397" s="5">
        <v>43556</v>
      </c>
      <c r="B1397" s="4" t="s">
        <v>20</v>
      </c>
      <c r="C1397" s="4" t="s">
        <v>18</v>
      </c>
      <c r="D1397" s="4" t="s">
        <v>15</v>
      </c>
      <c r="E1397" s="4" t="s">
        <v>13</v>
      </c>
      <c r="F1397" s="4">
        <v>609</v>
      </c>
      <c r="G1397" s="4">
        <v>7</v>
      </c>
      <c r="H1397" s="4">
        <v>22</v>
      </c>
      <c r="I1397" s="6">
        <v>159.67809523809524</v>
      </c>
      <c r="J1397" s="4"/>
      <c r="K1397" s="4"/>
      <c r="L1397" s="4"/>
      <c r="M1397" s="4"/>
      <c r="N1397" s="4"/>
      <c r="O1397" s="4"/>
      <c r="P1397" s="4"/>
      <c r="Q1397" s="4"/>
      <c r="R1397" s="4"/>
      <c r="S1397" s="4"/>
      <c r="T1397" s="4"/>
      <c r="U1397" s="4"/>
      <c r="V1397" s="4"/>
      <c r="W1397" s="4"/>
      <c r="X1397" s="4"/>
      <c r="Y1397" s="4"/>
      <c r="Z1397" s="4"/>
    </row>
    <row r="1398" spans="1:26">
      <c r="A1398" s="5">
        <v>43556</v>
      </c>
      <c r="B1398" s="4" t="s">
        <v>20</v>
      </c>
      <c r="C1398" s="4" t="s">
        <v>18</v>
      </c>
      <c r="D1398" s="4" t="s">
        <v>16</v>
      </c>
      <c r="E1398" s="4" t="s">
        <v>12</v>
      </c>
      <c r="F1398" s="4">
        <v>25802944</v>
      </c>
      <c r="G1398" s="4">
        <v>82274</v>
      </c>
      <c r="H1398" s="4">
        <v>153242</v>
      </c>
      <c r="I1398" s="6">
        <v>50564.918156319749</v>
      </c>
      <c r="J1398" s="4"/>
      <c r="K1398" s="4"/>
      <c r="L1398" s="4"/>
      <c r="M1398" s="4"/>
      <c r="N1398" s="4"/>
      <c r="O1398" s="4"/>
      <c r="P1398" s="4"/>
      <c r="Q1398" s="4"/>
      <c r="R1398" s="4"/>
      <c r="S1398" s="4"/>
      <c r="T1398" s="4"/>
      <c r="U1398" s="4"/>
      <c r="V1398" s="4"/>
      <c r="W1398" s="4"/>
      <c r="X1398" s="4"/>
      <c r="Y1398" s="4"/>
      <c r="Z1398" s="4"/>
    </row>
    <row r="1399" spans="1:26">
      <c r="A1399" s="5">
        <v>43556</v>
      </c>
      <c r="B1399" s="4" t="s">
        <v>20</v>
      </c>
      <c r="C1399" s="4" t="s">
        <v>18</v>
      </c>
      <c r="D1399" s="4" t="s">
        <v>16</v>
      </c>
      <c r="E1399" s="4" t="s">
        <v>13</v>
      </c>
      <c r="F1399" s="4">
        <v>31618</v>
      </c>
      <c r="G1399" s="4">
        <v>101</v>
      </c>
      <c r="H1399" s="4">
        <v>1101</v>
      </c>
      <c r="I1399" s="6">
        <v>1475.3145531587056</v>
      </c>
      <c r="J1399" s="4"/>
      <c r="K1399" s="4"/>
      <c r="L1399" s="4"/>
      <c r="M1399" s="4"/>
      <c r="N1399" s="4"/>
      <c r="O1399" s="4"/>
      <c r="P1399" s="4"/>
      <c r="Q1399" s="4"/>
      <c r="R1399" s="4"/>
      <c r="S1399" s="4"/>
      <c r="T1399" s="4"/>
      <c r="U1399" s="4"/>
      <c r="V1399" s="4"/>
      <c r="W1399" s="4"/>
      <c r="X1399" s="4"/>
      <c r="Y1399" s="4"/>
      <c r="Z1399" s="4"/>
    </row>
    <row r="1400" spans="1:26">
      <c r="A1400" s="5">
        <v>43556</v>
      </c>
      <c r="B1400" s="4" t="s">
        <v>20</v>
      </c>
      <c r="C1400" s="4" t="s">
        <v>18</v>
      </c>
      <c r="D1400" s="4" t="s">
        <v>17</v>
      </c>
      <c r="E1400" s="4" t="s">
        <v>12</v>
      </c>
      <c r="F1400" s="4">
        <v>4546235</v>
      </c>
      <c r="G1400" s="4">
        <v>27777</v>
      </c>
      <c r="H1400" s="4">
        <v>48795</v>
      </c>
      <c r="I1400" s="6">
        <v>16632.196384424104</v>
      </c>
      <c r="J1400" s="4"/>
      <c r="K1400" s="4"/>
      <c r="L1400" s="4"/>
      <c r="M1400" s="4"/>
      <c r="N1400" s="4"/>
      <c r="O1400" s="4"/>
      <c r="P1400" s="4"/>
      <c r="Q1400" s="4"/>
      <c r="R1400" s="4"/>
      <c r="S1400" s="4"/>
      <c r="T1400" s="4"/>
      <c r="U1400" s="4"/>
      <c r="V1400" s="4"/>
      <c r="W1400" s="4"/>
      <c r="X1400" s="4"/>
      <c r="Y1400" s="4"/>
      <c r="Z1400" s="4"/>
    </row>
    <row r="1401" spans="1:26">
      <c r="A1401" s="5">
        <v>43556</v>
      </c>
      <c r="B1401" s="4" t="s">
        <v>20</v>
      </c>
      <c r="C1401" s="4" t="s">
        <v>18</v>
      </c>
      <c r="D1401" s="4" t="s">
        <v>17</v>
      </c>
      <c r="E1401" s="4" t="s">
        <v>13</v>
      </c>
      <c r="F1401" s="4">
        <v>1836</v>
      </c>
      <c r="G1401" s="4">
        <v>27</v>
      </c>
      <c r="H1401" s="4">
        <v>150</v>
      </c>
      <c r="I1401" s="6">
        <v>93.709239130434781</v>
      </c>
      <c r="J1401" s="4"/>
      <c r="K1401" s="4"/>
      <c r="L1401" s="4"/>
      <c r="M1401" s="4"/>
      <c r="N1401" s="4"/>
      <c r="O1401" s="4"/>
      <c r="P1401" s="4"/>
      <c r="Q1401" s="4"/>
      <c r="R1401" s="4"/>
      <c r="S1401" s="4"/>
      <c r="T1401" s="4"/>
      <c r="U1401" s="4"/>
      <c r="V1401" s="4"/>
      <c r="W1401" s="4"/>
      <c r="X1401" s="4"/>
      <c r="Y1401" s="4"/>
      <c r="Z1401" s="4"/>
    </row>
    <row r="1402" spans="1:26">
      <c r="A1402" s="5">
        <v>43556</v>
      </c>
      <c r="B1402" s="4" t="s">
        <v>20</v>
      </c>
      <c r="C1402" s="4" t="s">
        <v>19</v>
      </c>
      <c r="D1402" s="4" t="s">
        <v>11</v>
      </c>
      <c r="E1402" s="4" t="s">
        <v>12</v>
      </c>
      <c r="F1402" s="4">
        <v>897598</v>
      </c>
      <c r="G1402" s="4">
        <v>2657</v>
      </c>
      <c r="H1402" s="4">
        <v>2858</v>
      </c>
      <c r="I1402" s="6">
        <v>10008.05024585126</v>
      </c>
      <c r="J1402" s="4"/>
      <c r="K1402" s="4"/>
      <c r="L1402" s="4"/>
      <c r="M1402" s="4"/>
      <c r="N1402" s="4"/>
      <c r="O1402" s="4"/>
      <c r="P1402" s="4"/>
      <c r="Q1402" s="4"/>
      <c r="R1402" s="4"/>
      <c r="S1402" s="4"/>
      <c r="T1402" s="4"/>
      <c r="U1402" s="4"/>
      <c r="V1402" s="4"/>
      <c r="W1402" s="4"/>
      <c r="X1402" s="4"/>
      <c r="Y1402" s="4"/>
      <c r="Z1402" s="4"/>
    </row>
    <row r="1403" spans="1:26">
      <c r="A1403" s="5">
        <v>43556</v>
      </c>
      <c r="B1403" s="4" t="s">
        <v>20</v>
      </c>
      <c r="C1403" s="4" t="s">
        <v>19</v>
      </c>
      <c r="D1403" s="4" t="s">
        <v>11</v>
      </c>
      <c r="E1403" s="4" t="s">
        <v>13</v>
      </c>
      <c r="F1403" s="4">
        <v>1223</v>
      </c>
      <c r="G1403" s="4">
        <v>47</v>
      </c>
      <c r="H1403" s="4">
        <v>277</v>
      </c>
      <c r="I1403" s="6">
        <v>1304.7771726190476</v>
      </c>
      <c r="J1403" s="4"/>
      <c r="K1403" s="4"/>
      <c r="L1403" s="4"/>
      <c r="M1403" s="4"/>
      <c r="N1403" s="4"/>
      <c r="O1403" s="4"/>
      <c r="P1403" s="4"/>
      <c r="Q1403" s="4"/>
      <c r="R1403" s="4"/>
      <c r="S1403" s="4"/>
      <c r="T1403" s="4"/>
      <c r="U1403" s="4"/>
      <c r="V1403" s="4"/>
      <c r="W1403" s="4"/>
      <c r="X1403" s="4"/>
      <c r="Y1403" s="4"/>
      <c r="Z1403" s="4"/>
    </row>
    <row r="1404" spans="1:26">
      <c r="A1404" s="5">
        <v>43556</v>
      </c>
      <c r="B1404" s="4" t="s">
        <v>20</v>
      </c>
      <c r="C1404" s="4" t="s">
        <v>19</v>
      </c>
      <c r="D1404" s="4" t="s">
        <v>14</v>
      </c>
      <c r="E1404" s="4" t="s">
        <v>12</v>
      </c>
      <c r="F1404" s="4">
        <v>2111972</v>
      </c>
      <c r="G1404" s="4">
        <v>6826</v>
      </c>
      <c r="H1404" s="4">
        <v>6896</v>
      </c>
      <c r="I1404" s="6">
        <v>21194.184151905189</v>
      </c>
      <c r="J1404" s="4"/>
      <c r="K1404" s="4"/>
      <c r="L1404" s="4"/>
      <c r="M1404" s="4"/>
      <c r="N1404" s="4"/>
      <c r="O1404" s="4"/>
      <c r="P1404" s="4"/>
      <c r="Q1404" s="4"/>
      <c r="R1404" s="4"/>
      <c r="S1404" s="4"/>
      <c r="T1404" s="4"/>
      <c r="U1404" s="4"/>
      <c r="V1404" s="4"/>
      <c r="W1404" s="4"/>
      <c r="X1404" s="4"/>
      <c r="Y1404" s="4"/>
      <c r="Z1404" s="4"/>
    </row>
    <row r="1405" spans="1:26">
      <c r="A1405" s="5">
        <v>43556</v>
      </c>
      <c r="B1405" s="4" t="s">
        <v>20</v>
      </c>
      <c r="C1405" s="4" t="s">
        <v>19</v>
      </c>
      <c r="D1405" s="4" t="s">
        <v>14</v>
      </c>
      <c r="E1405" s="4" t="s">
        <v>13</v>
      </c>
      <c r="F1405" s="4">
        <v>3193</v>
      </c>
      <c r="G1405" s="4">
        <v>129</v>
      </c>
      <c r="H1405" s="4">
        <v>534</v>
      </c>
      <c r="I1405" s="6">
        <v>2522.7550803858517</v>
      </c>
      <c r="J1405" s="4"/>
      <c r="K1405" s="4"/>
      <c r="L1405" s="4"/>
      <c r="M1405" s="4"/>
      <c r="N1405" s="4"/>
      <c r="O1405" s="4"/>
      <c r="P1405" s="4"/>
      <c r="Q1405" s="4"/>
      <c r="R1405" s="4"/>
      <c r="S1405" s="4"/>
      <c r="T1405" s="4"/>
      <c r="U1405" s="4"/>
      <c r="V1405" s="4"/>
      <c r="W1405" s="4"/>
      <c r="X1405" s="4"/>
      <c r="Y1405" s="4"/>
      <c r="Z1405" s="4"/>
    </row>
    <row r="1406" spans="1:26">
      <c r="A1406" s="5">
        <v>43556</v>
      </c>
      <c r="B1406" s="4" t="s">
        <v>20</v>
      </c>
      <c r="C1406" s="4" t="s">
        <v>19</v>
      </c>
      <c r="D1406" s="4" t="s">
        <v>15</v>
      </c>
      <c r="E1406" s="4" t="s">
        <v>12</v>
      </c>
      <c r="F1406" s="4">
        <v>549070</v>
      </c>
      <c r="G1406" s="4">
        <v>1857</v>
      </c>
      <c r="H1406" s="4">
        <v>1881</v>
      </c>
      <c r="I1406" s="6">
        <v>6819.9322248134331</v>
      </c>
      <c r="J1406" s="4"/>
      <c r="K1406" s="4"/>
      <c r="L1406" s="4"/>
      <c r="M1406" s="4"/>
      <c r="N1406" s="4"/>
      <c r="O1406" s="4"/>
      <c r="P1406" s="4"/>
      <c r="Q1406" s="4"/>
      <c r="R1406" s="4"/>
      <c r="S1406" s="4"/>
      <c r="T1406" s="4"/>
      <c r="U1406" s="4"/>
      <c r="V1406" s="4"/>
      <c r="W1406" s="4"/>
      <c r="X1406" s="4"/>
      <c r="Y1406" s="4"/>
      <c r="Z1406" s="4"/>
    </row>
    <row r="1407" spans="1:26">
      <c r="A1407" s="5">
        <v>43556</v>
      </c>
      <c r="B1407" s="4" t="s">
        <v>20</v>
      </c>
      <c r="C1407" s="4" t="s">
        <v>19</v>
      </c>
      <c r="D1407" s="4" t="s">
        <v>15</v>
      </c>
      <c r="E1407" s="4" t="s">
        <v>13</v>
      </c>
      <c r="F1407" s="4">
        <v>556</v>
      </c>
      <c r="G1407" s="4">
        <v>22</v>
      </c>
      <c r="H1407" s="4">
        <v>223</v>
      </c>
      <c r="I1407" s="6">
        <v>307.45831578947372</v>
      </c>
      <c r="J1407" s="4"/>
      <c r="K1407" s="4"/>
      <c r="L1407" s="4"/>
      <c r="M1407" s="4"/>
      <c r="N1407" s="4"/>
      <c r="O1407" s="4"/>
      <c r="P1407" s="4"/>
      <c r="Q1407" s="4"/>
      <c r="R1407" s="4"/>
      <c r="S1407" s="4"/>
      <c r="T1407" s="4"/>
      <c r="U1407" s="4"/>
      <c r="V1407" s="4"/>
      <c r="W1407" s="4"/>
      <c r="X1407" s="4"/>
      <c r="Y1407" s="4"/>
      <c r="Z1407" s="4"/>
    </row>
    <row r="1408" spans="1:26">
      <c r="A1408" s="5">
        <v>43556</v>
      </c>
      <c r="B1408" s="4" t="s">
        <v>20</v>
      </c>
      <c r="C1408" s="4" t="s">
        <v>19</v>
      </c>
      <c r="D1408" s="4" t="s">
        <v>16</v>
      </c>
      <c r="E1408" s="4" t="s">
        <v>12</v>
      </c>
      <c r="F1408" s="4">
        <v>4931127</v>
      </c>
      <c r="G1408" s="4">
        <v>13367</v>
      </c>
      <c r="H1408" s="4">
        <v>13705</v>
      </c>
      <c r="I1408" s="6">
        <v>63633.820976329458</v>
      </c>
      <c r="J1408" s="4"/>
      <c r="K1408" s="4"/>
      <c r="L1408" s="4"/>
      <c r="M1408" s="4"/>
      <c r="N1408" s="4"/>
      <c r="O1408" s="4"/>
      <c r="P1408" s="4"/>
      <c r="Q1408" s="4"/>
      <c r="R1408" s="4"/>
      <c r="S1408" s="4"/>
      <c r="T1408" s="4"/>
      <c r="U1408" s="4"/>
      <c r="V1408" s="4"/>
      <c r="W1408" s="4"/>
      <c r="X1408" s="4"/>
      <c r="Y1408" s="4"/>
      <c r="Z1408" s="4"/>
    </row>
    <row r="1409" spans="1:26">
      <c r="A1409" s="5">
        <v>43556</v>
      </c>
      <c r="B1409" s="4" t="s">
        <v>20</v>
      </c>
      <c r="C1409" s="4" t="s">
        <v>19</v>
      </c>
      <c r="D1409" s="4" t="s">
        <v>16</v>
      </c>
      <c r="E1409" s="4" t="s">
        <v>13</v>
      </c>
      <c r="F1409" s="4">
        <v>4900</v>
      </c>
      <c r="G1409" s="4">
        <v>197</v>
      </c>
      <c r="H1409" s="4">
        <v>1010</v>
      </c>
      <c r="I1409" s="6">
        <v>6101.3849443969193</v>
      </c>
      <c r="J1409" s="4"/>
      <c r="K1409" s="4"/>
      <c r="L1409" s="4"/>
      <c r="M1409" s="4"/>
      <c r="N1409" s="4"/>
      <c r="O1409" s="4"/>
      <c r="P1409" s="4"/>
      <c r="Q1409" s="4"/>
      <c r="R1409" s="4"/>
      <c r="S1409" s="4"/>
      <c r="T1409" s="4"/>
      <c r="U1409" s="4"/>
      <c r="V1409" s="4"/>
      <c r="W1409" s="4"/>
      <c r="X1409" s="4"/>
      <c r="Y1409" s="4"/>
      <c r="Z1409" s="4"/>
    </row>
    <row r="1410" spans="1:26">
      <c r="A1410" s="5">
        <v>43556</v>
      </c>
      <c r="B1410" s="4" t="s">
        <v>20</v>
      </c>
      <c r="C1410" s="4" t="s">
        <v>19</v>
      </c>
      <c r="D1410" s="4" t="s">
        <v>17</v>
      </c>
      <c r="E1410" s="4" t="s">
        <v>12</v>
      </c>
      <c r="F1410" s="4">
        <v>1507437</v>
      </c>
      <c r="G1410" s="4">
        <v>4744</v>
      </c>
      <c r="H1410" s="4">
        <v>4789</v>
      </c>
      <c r="I1410" s="6">
        <v>18954.39443751147</v>
      </c>
      <c r="J1410" s="4"/>
      <c r="K1410" s="4"/>
      <c r="L1410" s="4"/>
      <c r="M1410" s="4"/>
      <c r="N1410" s="4"/>
      <c r="O1410" s="4"/>
      <c r="P1410" s="4"/>
      <c r="Q1410" s="4"/>
      <c r="R1410" s="4"/>
      <c r="S1410" s="4"/>
      <c r="T1410" s="4"/>
      <c r="U1410" s="4"/>
      <c r="V1410" s="4"/>
      <c r="W1410" s="4"/>
      <c r="X1410" s="4"/>
      <c r="Y1410" s="4"/>
      <c r="Z1410" s="4"/>
    </row>
    <row r="1411" spans="1:26">
      <c r="A1411" s="5">
        <v>43556</v>
      </c>
      <c r="B1411" s="4" t="s">
        <v>20</v>
      </c>
      <c r="C1411" s="4" t="s">
        <v>19</v>
      </c>
      <c r="D1411" s="4" t="s">
        <v>17</v>
      </c>
      <c r="E1411" s="4" t="s">
        <v>13</v>
      </c>
      <c r="F1411" s="4">
        <v>1755</v>
      </c>
      <c r="G1411" s="4">
        <v>60</v>
      </c>
      <c r="H1411" s="4">
        <v>709</v>
      </c>
      <c r="I1411" s="6">
        <v>1542.7806197854588</v>
      </c>
      <c r="J1411" s="4"/>
      <c r="K1411" s="4"/>
      <c r="L1411" s="4"/>
      <c r="M1411" s="4"/>
      <c r="N1411" s="4"/>
      <c r="O1411" s="4"/>
      <c r="P1411" s="4"/>
      <c r="Q1411" s="4"/>
      <c r="R1411" s="4"/>
      <c r="S1411" s="4"/>
      <c r="T1411" s="4"/>
      <c r="U1411" s="4"/>
      <c r="V1411" s="4"/>
      <c r="W1411" s="4"/>
      <c r="X1411" s="4"/>
      <c r="Y1411" s="4"/>
      <c r="Z1411" s="4"/>
    </row>
    <row r="1412" spans="1:26">
      <c r="A1412" s="5">
        <v>43556</v>
      </c>
      <c r="B1412" s="4" t="s">
        <v>21</v>
      </c>
      <c r="C1412" s="4" t="s">
        <v>10</v>
      </c>
      <c r="D1412" s="4" t="s">
        <v>11</v>
      </c>
      <c r="E1412" s="4" t="s">
        <v>12</v>
      </c>
      <c r="F1412" s="4">
        <v>1571904</v>
      </c>
      <c r="G1412" s="4">
        <v>12549</v>
      </c>
      <c r="H1412" s="4">
        <v>15743</v>
      </c>
      <c r="I1412" s="6">
        <v>23426.17394487881</v>
      </c>
      <c r="J1412" s="4"/>
      <c r="K1412" s="4"/>
      <c r="L1412" s="4"/>
      <c r="M1412" s="4"/>
      <c r="N1412" s="4"/>
      <c r="O1412" s="4"/>
      <c r="P1412" s="4"/>
      <c r="Q1412" s="4"/>
      <c r="R1412" s="4"/>
      <c r="S1412" s="4"/>
      <c r="T1412" s="4"/>
      <c r="U1412" s="4"/>
      <c r="V1412" s="4"/>
      <c r="W1412" s="4"/>
      <c r="X1412" s="4"/>
      <c r="Y1412" s="4"/>
      <c r="Z1412" s="4"/>
    </row>
    <row r="1413" spans="1:26">
      <c r="A1413" s="5">
        <v>43556</v>
      </c>
      <c r="B1413" s="4" t="s">
        <v>21</v>
      </c>
      <c r="C1413" s="4" t="s">
        <v>10</v>
      </c>
      <c r="D1413" s="4" t="s">
        <v>11</v>
      </c>
      <c r="E1413" s="4" t="s">
        <v>13</v>
      </c>
      <c r="F1413" s="4">
        <v>18885</v>
      </c>
      <c r="G1413" s="4">
        <v>1092</v>
      </c>
      <c r="H1413" s="4">
        <v>18376</v>
      </c>
      <c r="I1413" s="6">
        <v>101600.09115123723</v>
      </c>
      <c r="J1413" s="4"/>
      <c r="K1413" s="4"/>
      <c r="L1413" s="4"/>
      <c r="M1413" s="4"/>
      <c r="N1413" s="4"/>
      <c r="O1413" s="4"/>
      <c r="P1413" s="4"/>
      <c r="Q1413" s="4"/>
      <c r="R1413" s="4"/>
      <c r="S1413" s="4"/>
      <c r="T1413" s="4"/>
      <c r="U1413" s="4"/>
      <c r="V1413" s="4"/>
      <c r="W1413" s="4"/>
      <c r="X1413" s="4"/>
      <c r="Y1413" s="4"/>
      <c r="Z1413" s="4"/>
    </row>
    <row r="1414" spans="1:26">
      <c r="A1414" s="5">
        <v>43556</v>
      </c>
      <c r="B1414" s="4" t="s">
        <v>21</v>
      </c>
      <c r="C1414" s="4" t="s">
        <v>10</v>
      </c>
      <c r="D1414" s="4" t="s">
        <v>14</v>
      </c>
      <c r="E1414" s="4" t="s">
        <v>12</v>
      </c>
      <c r="F1414" s="4">
        <v>2415746</v>
      </c>
      <c r="G1414" s="4">
        <v>14591</v>
      </c>
      <c r="H1414" s="4">
        <v>16628</v>
      </c>
      <c r="I1414" s="6">
        <v>35333.216324027075</v>
      </c>
      <c r="J1414" s="4"/>
      <c r="K1414" s="4"/>
      <c r="L1414" s="4"/>
      <c r="M1414" s="4"/>
      <c r="N1414" s="4"/>
      <c r="O1414" s="4"/>
      <c r="P1414" s="4"/>
      <c r="Q1414" s="4"/>
      <c r="R1414" s="4"/>
      <c r="S1414" s="4"/>
      <c r="T1414" s="4"/>
      <c r="U1414" s="4"/>
      <c r="V1414" s="4"/>
      <c r="W1414" s="4"/>
      <c r="X1414" s="4"/>
      <c r="Y1414" s="4"/>
      <c r="Z1414" s="4"/>
    </row>
    <row r="1415" spans="1:26">
      <c r="A1415" s="5">
        <v>43556</v>
      </c>
      <c r="B1415" s="4" t="s">
        <v>21</v>
      </c>
      <c r="C1415" s="4" t="s">
        <v>10</v>
      </c>
      <c r="D1415" s="4" t="s">
        <v>14</v>
      </c>
      <c r="E1415" s="4" t="s">
        <v>13</v>
      </c>
      <c r="F1415" s="4">
        <v>22853</v>
      </c>
      <c r="G1415" s="4">
        <v>1434</v>
      </c>
      <c r="H1415" s="4">
        <v>19709</v>
      </c>
      <c r="I1415" s="6">
        <v>120094.62998664172</v>
      </c>
      <c r="J1415" s="4"/>
      <c r="K1415" s="4"/>
      <c r="L1415" s="4"/>
      <c r="M1415" s="4"/>
      <c r="N1415" s="4"/>
      <c r="O1415" s="4"/>
      <c r="P1415" s="4"/>
      <c r="Q1415" s="4"/>
      <c r="R1415" s="4"/>
      <c r="S1415" s="4"/>
      <c r="T1415" s="4"/>
      <c r="U1415" s="4"/>
      <c r="V1415" s="4"/>
      <c r="W1415" s="4"/>
      <c r="X1415" s="4"/>
      <c r="Y1415" s="4"/>
      <c r="Z1415" s="4"/>
    </row>
    <row r="1416" spans="1:26">
      <c r="A1416" s="5">
        <v>43556</v>
      </c>
      <c r="B1416" s="4" t="s">
        <v>21</v>
      </c>
      <c r="C1416" s="4" t="s">
        <v>10</v>
      </c>
      <c r="D1416" s="4" t="s">
        <v>15</v>
      </c>
      <c r="E1416" s="4" t="s">
        <v>12</v>
      </c>
      <c r="F1416" s="4">
        <v>641616</v>
      </c>
      <c r="G1416" s="4">
        <v>4029</v>
      </c>
      <c r="H1416" s="4">
        <v>4729</v>
      </c>
      <c r="I1416" s="6">
        <v>8707.1767930137485</v>
      </c>
      <c r="J1416" s="4"/>
      <c r="K1416" s="4"/>
      <c r="L1416" s="4"/>
      <c r="M1416" s="4"/>
      <c r="N1416" s="4"/>
      <c r="O1416" s="4"/>
      <c r="P1416" s="4"/>
      <c r="Q1416" s="4"/>
      <c r="R1416" s="4"/>
      <c r="S1416" s="4"/>
      <c r="T1416" s="4"/>
      <c r="U1416" s="4"/>
      <c r="V1416" s="4"/>
      <c r="W1416" s="4"/>
      <c r="X1416" s="4"/>
      <c r="Y1416" s="4"/>
      <c r="Z1416" s="4"/>
    </row>
    <row r="1417" spans="1:26">
      <c r="A1417" s="5">
        <v>43556</v>
      </c>
      <c r="B1417" s="4" t="s">
        <v>21</v>
      </c>
      <c r="C1417" s="4" t="s">
        <v>10</v>
      </c>
      <c r="D1417" s="4" t="s">
        <v>15</v>
      </c>
      <c r="E1417" s="4" t="s">
        <v>13</v>
      </c>
      <c r="F1417" s="4">
        <v>5618</v>
      </c>
      <c r="G1417" s="4">
        <v>365</v>
      </c>
      <c r="H1417" s="4">
        <v>3973</v>
      </c>
      <c r="I1417" s="6">
        <v>29153.257274720458</v>
      </c>
      <c r="J1417" s="4"/>
      <c r="K1417" s="4"/>
      <c r="L1417" s="4"/>
      <c r="M1417" s="4"/>
      <c r="N1417" s="4"/>
      <c r="O1417" s="4"/>
      <c r="P1417" s="4"/>
      <c r="Q1417" s="4"/>
      <c r="R1417" s="4"/>
      <c r="S1417" s="4"/>
      <c r="T1417" s="4"/>
      <c r="U1417" s="4"/>
      <c r="V1417" s="4"/>
      <c r="W1417" s="4"/>
      <c r="X1417" s="4"/>
      <c r="Y1417" s="4"/>
      <c r="Z1417" s="4"/>
    </row>
    <row r="1418" spans="1:26">
      <c r="A1418" s="5">
        <v>43556</v>
      </c>
      <c r="B1418" s="4" t="s">
        <v>21</v>
      </c>
      <c r="C1418" s="4" t="s">
        <v>10</v>
      </c>
      <c r="D1418" s="4" t="s">
        <v>16</v>
      </c>
      <c r="E1418" s="4" t="s">
        <v>12</v>
      </c>
      <c r="F1418" s="4">
        <v>8181580</v>
      </c>
      <c r="G1418" s="4">
        <v>66474</v>
      </c>
      <c r="H1418" s="4">
        <v>73622</v>
      </c>
      <c r="I1418" s="6">
        <v>180800.9633482628</v>
      </c>
      <c r="J1418" s="4"/>
      <c r="K1418" s="4"/>
      <c r="L1418" s="4"/>
      <c r="M1418" s="4"/>
      <c r="N1418" s="4"/>
      <c r="O1418" s="4"/>
      <c r="P1418" s="4"/>
      <c r="Q1418" s="4"/>
      <c r="R1418" s="4"/>
      <c r="S1418" s="4"/>
      <c r="T1418" s="4"/>
      <c r="U1418" s="4"/>
      <c r="V1418" s="4"/>
      <c r="W1418" s="4"/>
      <c r="X1418" s="4"/>
      <c r="Y1418" s="4"/>
      <c r="Z1418" s="4"/>
    </row>
    <row r="1419" spans="1:26">
      <c r="A1419" s="5">
        <v>43556</v>
      </c>
      <c r="B1419" s="4" t="s">
        <v>21</v>
      </c>
      <c r="C1419" s="4" t="s">
        <v>10</v>
      </c>
      <c r="D1419" s="4" t="s">
        <v>16</v>
      </c>
      <c r="E1419" s="4" t="s">
        <v>13</v>
      </c>
      <c r="F1419" s="4">
        <v>100456</v>
      </c>
      <c r="G1419" s="4">
        <v>7021</v>
      </c>
      <c r="H1419" s="4">
        <v>101151</v>
      </c>
      <c r="I1419" s="6">
        <v>568855.1688238054</v>
      </c>
      <c r="J1419" s="4"/>
      <c r="K1419" s="4"/>
      <c r="L1419" s="4"/>
      <c r="M1419" s="4"/>
      <c r="N1419" s="4"/>
      <c r="O1419" s="4"/>
      <c r="P1419" s="4"/>
      <c r="Q1419" s="4"/>
      <c r="R1419" s="4"/>
      <c r="S1419" s="4"/>
      <c r="T1419" s="4"/>
      <c r="U1419" s="4"/>
      <c r="V1419" s="4"/>
      <c r="W1419" s="4"/>
      <c r="X1419" s="4"/>
      <c r="Y1419" s="4"/>
      <c r="Z1419" s="4"/>
    </row>
    <row r="1420" spans="1:26">
      <c r="A1420" s="5">
        <v>43556</v>
      </c>
      <c r="B1420" s="4" t="s">
        <v>21</v>
      </c>
      <c r="C1420" s="4" t="s">
        <v>10</v>
      </c>
      <c r="D1420" s="4" t="s">
        <v>17</v>
      </c>
      <c r="E1420" s="4" t="s">
        <v>12</v>
      </c>
      <c r="F1420" s="4">
        <v>2676176</v>
      </c>
      <c r="G1420" s="4">
        <v>27600</v>
      </c>
      <c r="H1420" s="4">
        <v>30133</v>
      </c>
      <c r="I1420" s="6">
        <v>74552.105508477049</v>
      </c>
      <c r="J1420" s="4"/>
      <c r="K1420" s="4"/>
      <c r="L1420" s="4"/>
      <c r="M1420" s="4"/>
      <c r="N1420" s="4"/>
      <c r="O1420" s="4"/>
      <c r="P1420" s="4"/>
      <c r="Q1420" s="4"/>
      <c r="R1420" s="4"/>
      <c r="S1420" s="4"/>
      <c r="T1420" s="4"/>
      <c r="U1420" s="4"/>
      <c r="V1420" s="4"/>
      <c r="W1420" s="4"/>
      <c r="X1420" s="4"/>
      <c r="Y1420" s="4"/>
      <c r="Z1420" s="4"/>
    </row>
    <row r="1421" spans="1:26">
      <c r="A1421" s="5">
        <v>43556</v>
      </c>
      <c r="B1421" s="4" t="s">
        <v>21</v>
      </c>
      <c r="C1421" s="4" t="s">
        <v>10</v>
      </c>
      <c r="D1421" s="4" t="s">
        <v>17</v>
      </c>
      <c r="E1421" s="4" t="s">
        <v>13</v>
      </c>
      <c r="F1421" s="4">
        <v>38385</v>
      </c>
      <c r="G1421" s="4">
        <v>3106</v>
      </c>
      <c r="H1421" s="4">
        <v>44898</v>
      </c>
      <c r="I1421" s="6">
        <v>245861.448</v>
      </c>
      <c r="J1421" s="4"/>
      <c r="K1421" s="4"/>
      <c r="L1421" s="4"/>
      <c r="M1421" s="4"/>
      <c r="N1421" s="4"/>
      <c r="O1421" s="4"/>
      <c r="P1421" s="4"/>
      <c r="Q1421" s="4"/>
      <c r="R1421" s="4"/>
      <c r="S1421" s="4"/>
      <c r="T1421" s="4"/>
      <c r="U1421" s="4"/>
      <c r="V1421" s="4"/>
      <c r="W1421" s="4"/>
      <c r="X1421" s="4"/>
      <c r="Y1421" s="4"/>
      <c r="Z1421" s="4"/>
    </row>
    <row r="1422" spans="1:26">
      <c r="A1422" s="5">
        <v>43556</v>
      </c>
      <c r="B1422" s="4" t="s">
        <v>21</v>
      </c>
      <c r="C1422" s="4" t="s">
        <v>18</v>
      </c>
      <c r="D1422" s="4" t="s">
        <v>11</v>
      </c>
      <c r="E1422" s="4" t="s">
        <v>12</v>
      </c>
      <c r="F1422" s="4">
        <v>1837796</v>
      </c>
      <c r="G1422" s="4">
        <v>32467</v>
      </c>
      <c r="H1422" s="4">
        <v>141246</v>
      </c>
      <c r="I1422" s="6">
        <v>75272.145257731972</v>
      </c>
      <c r="J1422" s="4"/>
      <c r="K1422" s="4"/>
      <c r="L1422" s="4"/>
      <c r="M1422" s="4"/>
      <c r="N1422" s="4"/>
      <c r="O1422" s="4"/>
      <c r="P1422" s="4"/>
      <c r="Q1422" s="4"/>
      <c r="R1422" s="4"/>
      <c r="S1422" s="4"/>
      <c r="T1422" s="4"/>
      <c r="U1422" s="4"/>
      <c r="V1422" s="4"/>
      <c r="W1422" s="4"/>
      <c r="X1422" s="4"/>
      <c r="Y1422" s="4"/>
      <c r="Z1422" s="4"/>
    </row>
    <row r="1423" spans="1:26">
      <c r="A1423" s="5">
        <v>43556</v>
      </c>
      <c r="B1423" s="4" t="s">
        <v>21</v>
      </c>
      <c r="C1423" s="4" t="s">
        <v>18</v>
      </c>
      <c r="D1423" s="4" t="s">
        <v>11</v>
      </c>
      <c r="E1423" s="4" t="s">
        <v>13</v>
      </c>
      <c r="F1423" s="4">
        <v>12971</v>
      </c>
      <c r="G1423" s="4">
        <v>379</v>
      </c>
      <c r="H1423" s="4">
        <v>16802</v>
      </c>
      <c r="I1423" s="6">
        <v>13282.443380281691</v>
      </c>
      <c r="J1423" s="4"/>
      <c r="K1423" s="4"/>
      <c r="L1423" s="4"/>
      <c r="M1423" s="4"/>
      <c r="N1423" s="4"/>
      <c r="O1423" s="4"/>
      <c r="P1423" s="4"/>
      <c r="Q1423" s="4"/>
      <c r="R1423" s="4"/>
      <c r="S1423" s="4"/>
      <c r="T1423" s="4"/>
      <c r="U1423" s="4"/>
      <c r="V1423" s="4"/>
      <c r="W1423" s="4"/>
      <c r="X1423" s="4"/>
      <c r="Y1423" s="4"/>
      <c r="Z1423" s="4"/>
    </row>
    <row r="1424" spans="1:26">
      <c r="A1424" s="5">
        <v>43556</v>
      </c>
      <c r="B1424" s="4" t="s">
        <v>21</v>
      </c>
      <c r="C1424" s="4" t="s">
        <v>18</v>
      </c>
      <c r="D1424" s="4" t="s">
        <v>14</v>
      </c>
      <c r="E1424" s="4" t="s">
        <v>12</v>
      </c>
      <c r="F1424" s="4">
        <v>2884632</v>
      </c>
      <c r="G1424" s="4">
        <v>46274</v>
      </c>
      <c r="H1424" s="4">
        <v>173298</v>
      </c>
      <c r="I1424" s="6">
        <v>83103.444423719964</v>
      </c>
      <c r="J1424" s="4"/>
      <c r="K1424" s="4"/>
      <c r="L1424" s="4"/>
      <c r="M1424" s="4"/>
      <c r="N1424" s="4"/>
      <c r="O1424" s="4"/>
      <c r="P1424" s="4"/>
      <c r="Q1424" s="4"/>
      <c r="R1424" s="4"/>
      <c r="S1424" s="4"/>
      <c r="T1424" s="4"/>
      <c r="U1424" s="4"/>
      <c r="V1424" s="4"/>
      <c r="W1424" s="4"/>
      <c r="X1424" s="4"/>
      <c r="Y1424" s="4"/>
      <c r="Z1424" s="4"/>
    </row>
    <row r="1425" spans="1:26">
      <c r="A1425" s="5">
        <v>43556</v>
      </c>
      <c r="B1425" s="4" t="s">
        <v>21</v>
      </c>
      <c r="C1425" s="4" t="s">
        <v>18</v>
      </c>
      <c r="D1425" s="4" t="s">
        <v>14</v>
      </c>
      <c r="E1425" s="4" t="s">
        <v>13</v>
      </c>
      <c r="F1425" s="4">
        <v>16861</v>
      </c>
      <c r="G1425" s="4">
        <v>431</v>
      </c>
      <c r="H1425" s="4">
        <v>10354</v>
      </c>
      <c r="I1425" s="6">
        <v>13052.872588832486</v>
      </c>
      <c r="J1425" s="4"/>
      <c r="K1425" s="4"/>
      <c r="L1425" s="4"/>
      <c r="M1425" s="4"/>
      <c r="N1425" s="4"/>
      <c r="O1425" s="4"/>
      <c r="P1425" s="4"/>
      <c r="Q1425" s="4"/>
      <c r="R1425" s="4"/>
      <c r="S1425" s="4"/>
      <c r="T1425" s="4"/>
      <c r="U1425" s="4"/>
      <c r="V1425" s="4"/>
      <c r="W1425" s="4"/>
      <c r="X1425" s="4"/>
      <c r="Y1425" s="4"/>
      <c r="Z1425" s="4"/>
    </row>
    <row r="1426" spans="1:26">
      <c r="A1426" s="5">
        <v>43556</v>
      </c>
      <c r="B1426" s="4" t="s">
        <v>21</v>
      </c>
      <c r="C1426" s="4" t="s">
        <v>18</v>
      </c>
      <c r="D1426" s="4" t="s">
        <v>15</v>
      </c>
      <c r="E1426" s="4" t="s">
        <v>12</v>
      </c>
      <c r="F1426" s="4">
        <v>996405</v>
      </c>
      <c r="G1426" s="4">
        <v>14514</v>
      </c>
      <c r="H1426" s="4">
        <v>69336</v>
      </c>
      <c r="I1426" s="6">
        <v>22093.670633344744</v>
      </c>
      <c r="J1426" s="4"/>
      <c r="K1426" s="4"/>
      <c r="L1426" s="4"/>
      <c r="M1426" s="4"/>
      <c r="N1426" s="4"/>
      <c r="O1426" s="4"/>
      <c r="P1426" s="4"/>
      <c r="Q1426" s="4"/>
      <c r="R1426" s="4"/>
      <c r="S1426" s="4"/>
      <c r="T1426" s="4"/>
      <c r="U1426" s="4"/>
      <c r="V1426" s="4"/>
      <c r="W1426" s="4"/>
      <c r="X1426" s="4"/>
      <c r="Y1426" s="4"/>
      <c r="Z1426" s="4"/>
    </row>
    <row r="1427" spans="1:26">
      <c r="A1427" s="5">
        <v>43556</v>
      </c>
      <c r="B1427" s="4" t="s">
        <v>21</v>
      </c>
      <c r="C1427" s="4" t="s">
        <v>18</v>
      </c>
      <c r="D1427" s="4" t="s">
        <v>15</v>
      </c>
      <c r="E1427" s="4" t="s">
        <v>13</v>
      </c>
      <c r="F1427" s="4">
        <v>5164</v>
      </c>
      <c r="G1427" s="4">
        <v>162</v>
      </c>
      <c r="H1427" s="4">
        <v>4220</v>
      </c>
      <c r="I1427" s="6">
        <v>2304.035565536954</v>
      </c>
      <c r="J1427" s="4"/>
      <c r="K1427" s="4"/>
      <c r="L1427" s="4"/>
      <c r="M1427" s="4"/>
      <c r="N1427" s="4"/>
      <c r="O1427" s="4"/>
      <c r="P1427" s="4"/>
      <c r="Q1427" s="4"/>
      <c r="R1427" s="4"/>
      <c r="S1427" s="4"/>
      <c r="T1427" s="4"/>
      <c r="U1427" s="4"/>
      <c r="V1427" s="4"/>
      <c r="W1427" s="4"/>
      <c r="X1427" s="4"/>
      <c r="Y1427" s="4"/>
      <c r="Z1427" s="4"/>
    </row>
    <row r="1428" spans="1:26">
      <c r="A1428" s="5">
        <v>43556</v>
      </c>
      <c r="B1428" s="4" t="s">
        <v>21</v>
      </c>
      <c r="C1428" s="4" t="s">
        <v>18</v>
      </c>
      <c r="D1428" s="4" t="s">
        <v>16</v>
      </c>
      <c r="E1428" s="4" t="s">
        <v>12</v>
      </c>
      <c r="F1428" s="4">
        <v>25266365</v>
      </c>
      <c r="G1428" s="4">
        <v>141269</v>
      </c>
      <c r="H1428" s="4">
        <v>504963</v>
      </c>
      <c r="I1428" s="6">
        <v>319830.21290539973</v>
      </c>
      <c r="J1428" s="4"/>
      <c r="K1428" s="4"/>
      <c r="L1428" s="4"/>
      <c r="M1428" s="4"/>
      <c r="N1428" s="4"/>
      <c r="O1428" s="4"/>
      <c r="P1428" s="4"/>
      <c r="Q1428" s="4"/>
      <c r="R1428" s="4"/>
      <c r="S1428" s="4"/>
      <c r="T1428" s="4"/>
      <c r="U1428" s="4"/>
      <c r="V1428" s="4"/>
      <c r="W1428" s="4"/>
      <c r="X1428" s="4"/>
      <c r="Y1428" s="4"/>
      <c r="Z1428" s="4"/>
    </row>
    <row r="1429" spans="1:26">
      <c r="A1429" s="5">
        <v>43556</v>
      </c>
      <c r="B1429" s="4" t="s">
        <v>21</v>
      </c>
      <c r="C1429" s="4" t="s">
        <v>18</v>
      </c>
      <c r="D1429" s="4" t="s">
        <v>16</v>
      </c>
      <c r="E1429" s="4" t="s">
        <v>13</v>
      </c>
      <c r="F1429" s="4">
        <v>665433</v>
      </c>
      <c r="G1429" s="4">
        <v>1492</v>
      </c>
      <c r="H1429" s="4">
        <v>52270</v>
      </c>
      <c r="I1429" s="6">
        <v>38738.917283992072</v>
      </c>
      <c r="J1429" s="4"/>
      <c r="K1429" s="4"/>
      <c r="L1429" s="4"/>
      <c r="M1429" s="4"/>
      <c r="N1429" s="4"/>
      <c r="O1429" s="4"/>
      <c r="P1429" s="4"/>
      <c r="Q1429" s="4"/>
      <c r="R1429" s="4"/>
      <c r="S1429" s="4"/>
      <c r="T1429" s="4"/>
      <c r="U1429" s="4"/>
      <c r="V1429" s="4"/>
      <c r="W1429" s="4"/>
      <c r="X1429" s="4"/>
      <c r="Y1429" s="4"/>
      <c r="Z1429" s="4"/>
    </row>
    <row r="1430" spans="1:26">
      <c r="A1430" s="5">
        <v>43556</v>
      </c>
      <c r="B1430" s="4" t="s">
        <v>21</v>
      </c>
      <c r="C1430" s="4" t="s">
        <v>18</v>
      </c>
      <c r="D1430" s="4" t="s">
        <v>17</v>
      </c>
      <c r="E1430" s="4" t="s">
        <v>12</v>
      </c>
      <c r="F1430" s="4">
        <v>3353759</v>
      </c>
      <c r="G1430" s="4">
        <v>51573</v>
      </c>
      <c r="H1430" s="4">
        <v>170013</v>
      </c>
      <c r="I1430" s="6">
        <v>121266.85667163183</v>
      </c>
      <c r="J1430" s="4"/>
      <c r="K1430" s="4"/>
      <c r="L1430" s="4"/>
      <c r="M1430" s="4"/>
      <c r="N1430" s="4"/>
      <c r="O1430" s="4"/>
      <c r="P1430" s="4"/>
      <c r="Q1430" s="4"/>
      <c r="R1430" s="4"/>
      <c r="S1430" s="4"/>
      <c r="T1430" s="4"/>
      <c r="U1430" s="4"/>
      <c r="V1430" s="4"/>
      <c r="W1430" s="4"/>
      <c r="X1430" s="4"/>
      <c r="Y1430" s="4"/>
      <c r="Z1430" s="4"/>
    </row>
    <row r="1431" spans="1:26">
      <c r="A1431" s="5">
        <v>43556</v>
      </c>
      <c r="B1431" s="4" t="s">
        <v>21</v>
      </c>
      <c r="C1431" s="4" t="s">
        <v>18</v>
      </c>
      <c r="D1431" s="4" t="s">
        <v>17</v>
      </c>
      <c r="E1431" s="4" t="s">
        <v>13</v>
      </c>
      <c r="F1431" s="4">
        <v>30367</v>
      </c>
      <c r="G1431" s="4">
        <v>720</v>
      </c>
      <c r="H1431" s="4">
        <v>27056</v>
      </c>
      <c r="I1431" s="6">
        <v>21734.344332286575</v>
      </c>
      <c r="J1431" s="4"/>
      <c r="K1431" s="4"/>
      <c r="L1431" s="4"/>
      <c r="M1431" s="4"/>
      <c r="N1431" s="4"/>
      <c r="O1431" s="4"/>
      <c r="P1431" s="4"/>
      <c r="Q1431" s="4"/>
      <c r="R1431" s="4"/>
      <c r="S1431" s="4"/>
      <c r="T1431" s="4"/>
      <c r="U1431" s="4"/>
      <c r="V1431" s="4"/>
      <c r="W1431" s="4"/>
      <c r="X1431" s="4"/>
      <c r="Y1431" s="4"/>
      <c r="Z1431" s="4"/>
    </row>
    <row r="1432" spans="1:26">
      <c r="A1432" s="5">
        <v>43556</v>
      </c>
      <c r="B1432" s="4" t="s">
        <v>21</v>
      </c>
      <c r="C1432" s="4" t="s">
        <v>19</v>
      </c>
      <c r="D1432" s="4" t="s">
        <v>11</v>
      </c>
      <c r="E1432" s="4" t="s">
        <v>12</v>
      </c>
      <c r="F1432" s="4">
        <v>635835</v>
      </c>
      <c r="G1432" s="4">
        <v>8765</v>
      </c>
      <c r="H1432" s="4">
        <v>9082</v>
      </c>
      <c r="I1432" s="6">
        <v>96258.440836236929</v>
      </c>
      <c r="J1432" s="4"/>
      <c r="K1432" s="4"/>
      <c r="L1432" s="4"/>
      <c r="M1432" s="4"/>
      <c r="N1432" s="4"/>
      <c r="O1432" s="4"/>
      <c r="P1432" s="4"/>
      <c r="Q1432" s="4"/>
      <c r="R1432" s="4"/>
      <c r="S1432" s="4"/>
      <c r="T1432" s="4"/>
      <c r="U1432" s="4"/>
      <c r="V1432" s="4"/>
      <c r="W1432" s="4"/>
      <c r="X1432" s="4"/>
      <c r="Y1432" s="4"/>
      <c r="Z1432" s="4"/>
    </row>
    <row r="1433" spans="1:26">
      <c r="A1433" s="5">
        <v>43556</v>
      </c>
      <c r="B1433" s="4" t="s">
        <v>21</v>
      </c>
      <c r="C1433" s="4" t="s">
        <v>19</v>
      </c>
      <c r="D1433" s="4" t="s">
        <v>11</v>
      </c>
      <c r="E1433" s="4" t="s">
        <v>13</v>
      </c>
      <c r="F1433" s="4">
        <v>16647</v>
      </c>
      <c r="G1433" s="4">
        <v>1414</v>
      </c>
      <c r="H1433" s="4">
        <v>41607</v>
      </c>
      <c r="I1433" s="6">
        <v>23736.857532360751</v>
      </c>
      <c r="J1433" s="4"/>
      <c r="K1433" s="4"/>
      <c r="L1433" s="4"/>
      <c r="M1433" s="4"/>
      <c r="N1433" s="4"/>
      <c r="O1433" s="4"/>
      <c r="P1433" s="4"/>
      <c r="Q1433" s="4"/>
      <c r="R1433" s="4"/>
      <c r="S1433" s="4"/>
      <c r="T1433" s="4"/>
      <c r="U1433" s="4"/>
      <c r="V1433" s="4"/>
      <c r="W1433" s="4"/>
      <c r="X1433" s="4"/>
      <c r="Y1433" s="4"/>
      <c r="Z1433" s="4"/>
    </row>
    <row r="1434" spans="1:26">
      <c r="A1434" s="5">
        <v>43556</v>
      </c>
      <c r="B1434" s="4" t="s">
        <v>21</v>
      </c>
      <c r="C1434" s="4" t="s">
        <v>19</v>
      </c>
      <c r="D1434" s="4" t="s">
        <v>14</v>
      </c>
      <c r="E1434" s="4" t="s">
        <v>12</v>
      </c>
      <c r="F1434" s="4">
        <v>1142577</v>
      </c>
      <c r="G1434" s="4">
        <v>17490</v>
      </c>
      <c r="H1434" s="4">
        <v>18846</v>
      </c>
      <c r="I1434" s="6">
        <v>175234.99644226732</v>
      </c>
      <c r="J1434" s="4"/>
      <c r="K1434" s="4"/>
      <c r="L1434" s="4"/>
      <c r="M1434" s="4"/>
      <c r="N1434" s="4"/>
      <c r="O1434" s="4"/>
      <c r="P1434" s="4"/>
      <c r="Q1434" s="4"/>
      <c r="R1434" s="4"/>
      <c r="S1434" s="4"/>
      <c r="T1434" s="4"/>
      <c r="U1434" s="4"/>
      <c r="V1434" s="4"/>
      <c r="W1434" s="4"/>
      <c r="X1434" s="4"/>
      <c r="Y1434" s="4"/>
      <c r="Z1434" s="4"/>
    </row>
    <row r="1435" spans="1:26">
      <c r="A1435" s="5">
        <v>43556</v>
      </c>
      <c r="B1435" s="4" t="s">
        <v>21</v>
      </c>
      <c r="C1435" s="4" t="s">
        <v>19</v>
      </c>
      <c r="D1435" s="4" t="s">
        <v>14</v>
      </c>
      <c r="E1435" s="4" t="s">
        <v>13</v>
      </c>
      <c r="F1435" s="4">
        <v>32525</v>
      </c>
      <c r="G1435" s="4">
        <v>2705</v>
      </c>
      <c r="H1435" s="4">
        <v>127269</v>
      </c>
      <c r="I1435" s="6">
        <v>39877.53803054247</v>
      </c>
      <c r="J1435" s="4"/>
      <c r="K1435" s="4"/>
      <c r="L1435" s="4"/>
      <c r="M1435" s="4"/>
      <c r="N1435" s="4"/>
      <c r="O1435" s="4"/>
      <c r="P1435" s="4"/>
      <c r="Q1435" s="4"/>
      <c r="R1435" s="4"/>
      <c r="S1435" s="4"/>
      <c r="T1435" s="4"/>
      <c r="U1435" s="4"/>
      <c r="V1435" s="4"/>
      <c r="W1435" s="4"/>
      <c r="X1435" s="4"/>
      <c r="Y1435" s="4"/>
      <c r="Z1435" s="4"/>
    </row>
    <row r="1436" spans="1:26">
      <c r="A1436" s="5">
        <v>43556</v>
      </c>
      <c r="B1436" s="4" t="s">
        <v>21</v>
      </c>
      <c r="C1436" s="4" t="s">
        <v>19</v>
      </c>
      <c r="D1436" s="4" t="s">
        <v>15</v>
      </c>
      <c r="E1436" s="4" t="s">
        <v>12</v>
      </c>
      <c r="F1436" s="4">
        <v>346234</v>
      </c>
      <c r="G1436" s="4">
        <v>4735</v>
      </c>
      <c r="H1436" s="4">
        <v>5098</v>
      </c>
      <c r="I1436" s="6">
        <v>48209.096365517245</v>
      </c>
      <c r="J1436" s="4"/>
      <c r="K1436" s="4"/>
      <c r="L1436" s="4"/>
      <c r="M1436" s="4"/>
      <c r="N1436" s="4"/>
      <c r="O1436" s="4"/>
      <c r="P1436" s="4"/>
      <c r="Q1436" s="4"/>
      <c r="R1436" s="4"/>
      <c r="S1436" s="4"/>
      <c r="T1436" s="4"/>
      <c r="U1436" s="4"/>
      <c r="V1436" s="4"/>
      <c r="W1436" s="4"/>
      <c r="X1436" s="4"/>
      <c r="Y1436" s="4"/>
      <c r="Z1436" s="4"/>
    </row>
    <row r="1437" spans="1:26">
      <c r="A1437" s="5">
        <v>43556</v>
      </c>
      <c r="B1437" s="4" t="s">
        <v>21</v>
      </c>
      <c r="C1437" s="4" t="s">
        <v>19</v>
      </c>
      <c r="D1437" s="4" t="s">
        <v>15</v>
      </c>
      <c r="E1437" s="4" t="s">
        <v>13</v>
      </c>
      <c r="F1437" s="4">
        <v>9267</v>
      </c>
      <c r="G1437" s="4">
        <v>750</v>
      </c>
      <c r="H1437" s="4">
        <v>33950</v>
      </c>
      <c r="I1437" s="6">
        <v>11086.388990801985</v>
      </c>
      <c r="J1437" s="4"/>
      <c r="K1437" s="4"/>
      <c r="L1437" s="4"/>
      <c r="M1437" s="4"/>
      <c r="N1437" s="4"/>
      <c r="O1437" s="4"/>
      <c r="P1437" s="4"/>
      <c r="Q1437" s="4"/>
      <c r="R1437" s="4"/>
      <c r="S1437" s="4"/>
      <c r="T1437" s="4"/>
      <c r="U1437" s="4"/>
      <c r="V1437" s="4"/>
      <c r="W1437" s="4"/>
      <c r="X1437" s="4"/>
      <c r="Y1437" s="4"/>
      <c r="Z1437" s="4"/>
    </row>
    <row r="1438" spans="1:26">
      <c r="A1438" s="5">
        <v>43556</v>
      </c>
      <c r="B1438" s="4" t="s">
        <v>21</v>
      </c>
      <c r="C1438" s="4" t="s">
        <v>19</v>
      </c>
      <c r="D1438" s="4" t="s">
        <v>16</v>
      </c>
      <c r="E1438" s="4" t="s">
        <v>12</v>
      </c>
      <c r="F1438" s="4">
        <v>3218270</v>
      </c>
      <c r="G1438" s="4">
        <v>46400</v>
      </c>
      <c r="H1438" s="4">
        <v>47314</v>
      </c>
      <c r="I1438" s="6">
        <v>527694.77684959769</v>
      </c>
      <c r="J1438" s="4"/>
      <c r="K1438" s="4"/>
      <c r="L1438" s="4"/>
      <c r="M1438" s="4"/>
      <c r="N1438" s="4"/>
      <c r="O1438" s="4"/>
      <c r="P1438" s="4"/>
      <c r="Q1438" s="4"/>
      <c r="R1438" s="4"/>
      <c r="S1438" s="4"/>
      <c r="T1438" s="4"/>
      <c r="U1438" s="4"/>
      <c r="V1438" s="4"/>
      <c r="W1438" s="4"/>
      <c r="X1438" s="4"/>
      <c r="Y1438" s="4"/>
      <c r="Z1438" s="4"/>
    </row>
    <row r="1439" spans="1:26">
      <c r="A1439" s="5">
        <v>43556</v>
      </c>
      <c r="B1439" s="4" t="s">
        <v>21</v>
      </c>
      <c r="C1439" s="4" t="s">
        <v>19</v>
      </c>
      <c r="D1439" s="4" t="s">
        <v>16</v>
      </c>
      <c r="E1439" s="4" t="s">
        <v>13</v>
      </c>
      <c r="F1439" s="4">
        <v>83459</v>
      </c>
      <c r="G1439" s="4">
        <v>7019</v>
      </c>
      <c r="H1439" s="4">
        <v>465095</v>
      </c>
      <c r="I1439" s="6">
        <v>107373.70636760141</v>
      </c>
      <c r="J1439" s="4"/>
      <c r="K1439" s="4"/>
      <c r="L1439" s="4"/>
      <c r="M1439" s="4"/>
      <c r="N1439" s="4"/>
      <c r="O1439" s="4"/>
      <c r="P1439" s="4"/>
      <c r="Q1439" s="4"/>
      <c r="R1439" s="4"/>
      <c r="S1439" s="4"/>
      <c r="T1439" s="4"/>
      <c r="U1439" s="4"/>
      <c r="V1439" s="4"/>
      <c r="W1439" s="4"/>
      <c r="X1439" s="4"/>
      <c r="Y1439" s="4"/>
      <c r="Z1439" s="4"/>
    </row>
    <row r="1440" spans="1:26">
      <c r="A1440" s="5">
        <v>43556</v>
      </c>
      <c r="B1440" s="4" t="s">
        <v>21</v>
      </c>
      <c r="C1440" s="4" t="s">
        <v>19</v>
      </c>
      <c r="D1440" s="4" t="s">
        <v>17</v>
      </c>
      <c r="E1440" s="4" t="s">
        <v>12</v>
      </c>
      <c r="F1440" s="4">
        <v>1098781</v>
      </c>
      <c r="G1440" s="4">
        <v>17437</v>
      </c>
      <c r="H1440" s="4">
        <v>19241</v>
      </c>
      <c r="I1440" s="6">
        <v>180171.25041582892</v>
      </c>
      <c r="J1440" s="4"/>
      <c r="K1440" s="4"/>
      <c r="L1440" s="4"/>
      <c r="M1440" s="4"/>
      <c r="N1440" s="4"/>
      <c r="O1440" s="4"/>
      <c r="P1440" s="4"/>
      <c r="Q1440" s="4"/>
      <c r="R1440" s="4"/>
      <c r="S1440" s="4"/>
      <c r="T1440" s="4"/>
      <c r="U1440" s="4"/>
      <c r="V1440" s="4"/>
      <c r="W1440" s="4"/>
      <c r="X1440" s="4"/>
      <c r="Y1440" s="4"/>
      <c r="Z1440" s="4"/>
    </row>
    <row r="1441" spans="1:26">
      <c r="A1441" s="5">
        <v>43556</v>
      </c>
      <c r="B1441" s="4" t="s">
        <v>21</v>
      </c>
      <c r="C1441" s="4" t="s">
        <v>19</v>
      </c>
      <c r="D1441" s="4" t="s">
        <v>17</v>
      </c>
      <c r="E1441" s="4" t="s">
        <v>13</v>
      </c>
      <c r="F1441" s="4">
        <v>28848</v>
      </c>
      <c r="G1441" s="4">
        <v>2487</v>
      </c>
      <c r="H1441" s="4">
        <v>106032</v>
      </c>
      <c r="I1441" s="6">
        <v>43642.132594788891</v>
      </c>
      <c r="J1441" s="4"/>
      <c r="K1441" s="4"/>
      <c r="L1441" s="4"/>
      <c r="M1441" s="4"/>
      <c r="N1441" s="4"/>
      <c r="O1441" s="4"/>
      <c r="P1441" s="4"/>
      <c r="Q1441" s="4"/>
      <c r="R1441" s="4"/>
      <c r="S1441" s="4"/>
      <c r="T1441" s="4"/>
      <c r="U1441" s="4"/>
      <c r="V1441" s="4"/>
      <c r="W1441" s="4"/>
      <c r="X1441" s="4"/>
      <c r="Y1441" s="4"/>
      <c r="Z1441" s="4"/>
    </row>
    <row r="1442" spans="1:26">
      <c r="A1442" s="5">
        <v>43586</v>
      </c>
      <c r="B1442" s="4" t="s">
        <v>9</v>
      </c>
      <c r="C1442" s="4" t="s">
        <v>10</v>
      </c>
      <c r="D1442" s="4" t="s">
        <v>11</v>
      </c>
      <c r="E1442" s="4" t="s">
        <v>12</v>
      </c>
      <c r="F1442" s="4">
        <v>1349605</v>
      </c>
      <c r="G1442" s="4">
        <v>60442</v>
      </c>
      <c r="H1442" s="4">
        <v>71789</v>
      </c>
      <c r="I1442" s="6">
        <v>53908.380911782711</v>
      </c>
      <c r="J1442" s="4"/>
      <c r="K1442" s="4"/>
      <c r="L1442" s="4"/>
      <c r="M1442" s="4"/>
      <c r="N1442" s="4"/>
      <c r="O1442" s="4"/>
      <c r="P1442" s="4"/>
      <c r="Q1442" s="4"/>
      <c r="R1442" s="4"/>
      <c r="S1442" s="4"/>
      <c r="T1442" s="4"/>
      <c r="U1442" s="4"/>
      <c r="V1442" s="4"/>
      <c r="W1442" s="4"/>
      <c r="X1442" s="4"/>
      <c r="Y1442" s="4"/>
      <c r="Z1442" s="4"/>
    </row>
    <row r="1443" spans="1:26">
      <c r="A1443" s="5">
        <v>43586</v>
      </c>
      <c r="B1443" s="4" t="s">
        <v>9</v>
      </c>
      <c r="C1443" s="4" t="s">
        <v>10</v>
      </c>
      <c r="D1443" s="4" t="s">
        <v>11</v>
      </c>
      <c r="E1443" s="4" t="s">
        <v>13</v>
      </c>
      <c r="F1443" s="4">
        <v>8040</v>
      </c>
      <c r="G1443" s="4">
        <v>1340</v>
      </c>
      <c r="H1443" s="4">
        <v>7902</v>
      </c>
      <c r="I1443" s="6">
        <v>274349.70102017681</v>
      </c>
      <c r="J1443" s="4"/>
      <c r="K1443" s="4"/>
      <c r="L1443" s="4"/>
      <c r="M1443" s="4"/>
      <c r="N1443" s="4"/>
      <c r="O1443" s="4"/>
      <c r="P1443" s="4"/>
      <c r="Q1443" s="4"/>
      <c r="R1443" s="4"/>
      <c r="S1443" s="4"/>
      <c r="T1443" s="4"/>
      <c r="U1443" s="4"/>
      <c r="V1443" s="4"/>
      <c r="W1443" s="4"/>
      <c r="X1443" s="4"/>
      <c r="Y1443" s="4"/>
      <c r="Z1443" s="4"/>
    </row>
    <row r="1444" spans="1:26">
      <c r="A1444" s="5">
        <v>43586</v>
      </c>
      <c r="B1444" s="4" t="s">
        <v>9</v>
      </c>
      <c r="C1444" s="4" t="s">
        <v>10</v>
      </c>
      <c r="D1444" s="4" t="s">
        <v>14</v>
      </c>
      <c r="E1444" s="4" t="s">
        <v>12</v>
      </c>
      <c r="F1444" s="4">
        <v>3379045</v>
      </c>
      <c r="G1444" s="4">
        <v>105743</v>
      </c>
      <c r="H1444" s="4">
        <v>124990</v>
      </c>
      <c r="I1444" s="6">
        <v>90836.952495120262</v>
      </c>
      <c r="J1444" s="4"/>
      <c r="K1444" s="4"/>
      <c r="L1444" s="4"/>
      <c r="M1444" s="4"/>
      <c r="N1444" s="4"/>
      <c r="O1444" s="4"/>
      <c r="P1444" s="4"/>
      <c r="Q1444" s="4"/>
      <c r="R1444" s="4"/>
      <c r="S1444" s="4"/>
      <c r="T1444" s="4"/>
      <c r="U1444" s="4"/>
      <c r="V1444" s="4"/>
      <c r="W1444" s="4"/>
      <c r="X1444" s="4"/>
      <c r="Y1444" s="4"/>
      <c r="Z1444" s="4"/>
    </row>
    <row r="1445" spans="1:26">
      <c r="A1445" s="5">
        <v>43586</v>
      </c>
      <c r="B1445" s="4" t="s">
        <v>9</v>
      </c>
      <c r="C1445" s="4" t="s">
        <v>10</v>
      </c>
      <c r="D1445" s="4" t="s">
        <v>14</v>
      </c>
      <c r="E1445" s="4" t="s">
        <v>13</v>
      </c>
      <c r="F1445" s="4">
        <v>13476</v>
      </c>
      <c r="G1445" s="4">
        <v>2685</v>
      </c>
      <c r="H1445" s="4">
        <v>19669</v>
      </c>
      <c r="I1445" s="6">
        <v>422733.50012666301</v>
      </c>
      <c r="J1445" s="4"/>
      <c r="K1445" s="4"/>
      <c r="L1445" s="4"/>
      <c r="M1445" s="4"/>
      <c r="N1445" s="4"/>
      <c r="O1445" s="4"/>
      <c r="P1445" s="4"/>
      <c r="Q1445" s="4"/>
      <c r="R1445" s="4"/>
      <c r="S1445" s="4"/>
      <c r="T1445" s="4"/>
      <c r="U1445" s="4"/>
      <c r="V1445" s="4"/>
      <c r="W1445" s="4"/>
      <c r="X1445" s="4"/>
      <c r="Y1445" s="4"/>
      <c r="Z1445" s="4"/>
    </row>
    <row r="1446" spans="1:26">
      <c r="A1446" s="5">
        <v>43586</v>
      </c>
      <c r="B1446" s="4" t="s">
        <v>9</v>
      </c>
      <c r="C1446" s="4" t="s">
        <v>10</v>
      </c>
      <c r="D1446" s="4" t="s">
        <v>15</v>
      </c>
      <c r="E1446" s="4" t="s">
        <v>12</v>
      </c>
      <c r="F1446" s="4">
        <v>1364767</v>
      </c>
      <c r="G1446" s="4">
        <v>43745</v>
      </c>
      <c r="H1446" s="4">
        <v>56224</v>
      </c>
      <c r="I1446" s="6">
        <v>42179.910838291828</v>
      </c>
      <c r="J1446" s="4"/>
      <c r="K1446" s="4"/>
      <c r="L1446" s="4"/>
      <c r="M1446" s="4"/>
      <c r="N1446" s="4"/>
      <c r="O1446" s="4"/>
      <c r="P1446" s="4"/>
      <c r="Q1446" s="4"/>
      <c r="R1446" s="4"/>
      <c r="S1446" s="4"/>
      <c r="T1446" s="4"/>
      <c r="U1446" s="4"/>
      <c r="V1446" s="4"/>
      <c r="W1446" s="4"/>
      <c r="X1446" s="4"/>
      <c r="Y1446" s="4"/>
      <c r="Z1446" s="4"/>
    </row>
    <row r="1447" spans="1:26">
      <c r="A1447" s="5">
        <v>43586</v>
      </c>
      <c r="B1447" s="4" t="s">
        <v>9</v>
      </c>
      <c r="C1447" s="4" t="s">
        <v>10</v>
      </c>
      <c r="D1447" s="4" t="s">
        <v>15</v>
      </c>
      <c r="E1447" s="4" t="s">
        <v>13</v>
      </c>
      <c r="F1447" s="4">
        <v>5160</v>
      </c>
      <c r="G1447" s="4">
        <v>783</v>
      </c>
      <c r="H1447" s="4">
        <v>6499</v>
      </c>
      <c r="I1447" s="6">
        <v>106031.97145764575</v>
      </c>
      <c r="J1447" s="4"/>
      <c r="K1447" s="4"/>
      <c r="L1447" s="4"/>
      <c r="M1447" s="4"/>
      <c r="N1447" s="4"/>
      <c r="O1447" s="4"/>
      <c r="P1447" s="4"/>
      <c r="Q1447" s="4"/>
      <c r="R1447" s="4"/>
      <c r="S1447" s="4"/>
      <c r="T1447" s="4"/>
      <c r="U1447" s="4"/>
      <c r="V1447" s="4"/>
      <c r="W1447" s="4"/>
      <c r="X1447" s="4"/>
      <c r="Y1447" s="4"/>
      <c r="Z1447" s="4"/>
    </row>
    <row r="1448" spans="1:26">
      <c r="A1448" s="5">
        <v>43586</v>
      </c>
      <c r="B1448" s="4" t="s">
        <v>9</v>
      </c>
      <c r="C1448" s="4" t="s">
        <v>10</v>
      </c>
      <c r="D1448" s="4" t="s">
        <v>16</v>
      </c>
      <c r="E1448" s="4" t="s">
        <v>12</v>
      </c>
      <c r="F1448" s="4">
        <v>42057523</v>
      </c>
      <c r="G1448" s="4">
        <v>273151</v>
      </c>
      <c r="H1448" s="4">
        <v>307723</v>
      </c>
      <c r="I1448" s="6">
        <v>233666.42840301158</v>
      </c>
      <c r="J1448" s="4"/>
      <c r="K1448" s="4"/>
      <c r="L1448" s="4"/>
      <c r="M1448" s="4"/>
      <c r="N1448" s="4"/>
      <c r="O1448" s="4"/>
      <c r="P1448" s="4"/>
      <c r="Q1448" s="4"/>
      <c r="R1448" s="4"/>
      <c r="S1448" s="4"/>
      <c r="T1448" s="4"/>
      <c r="U1448" s="4"/>
      <c r="V1448" s="4"/>
      <c r="W1448" s="4"/>
      <c r="X1448" s="4"/>
      <c r="Y1448" s="4"/>
      <c r="Z1448" s="4"/>
    </row>
    <row r="1449" spans="1:26">
      <c r="A1449" s="5">
        <v>43586</v>
      </c>
      <c r="B1449" s="4" t="s">
        <v>9</v>
      </c>
      <c r="C1449" s="4" t="s">
        <v>10</v>
      </c>
      <c r="D1449" s="4" t="s">
        <v>16</v>
      </c>
      <c r="E1449" s="4" t="s">
        <v>13</v>
      </c>
      <c r="F1449" s="4">
        <v>295363</v>
      </c>
      <c r="G1449" s="4">
        <v>5816</v>
      </c>
      <c r="H1449" s="4">
        <v>37971</v>
      </c>
      <c r="I1449" s="6">
        <v>1275397.6731417642</v>
      </c>
      <c r="J1449" s="4"/>
      <c r="K1449" s="4"/>
      <c r="L1449" s="4"/>
      <c r="M1449" s="4"/>
      <c r="N1449" s="4"/>
      <c r="O1449" s="4"/>
      <c r="P1449" s="4"/>
      <c r="Q1449" s="4"/>
      <c r="R1449" s="4"/>
      <c r="S1449" s="4"/>
      <c r="T1449" s="4"/>
      <c r="U1449" s="4"/>
      <c r="V1449" s="4"/>
      <c r="W1449" s="4"/>
      <c r="X1449" s="4"/>
      <c r="Y1449" s="4"/>
      <c r="Z1449" s="4"/>
    </row>
    <row r="1450" spans="1:26">
      <c r="A1450" s="5">
        <v>43586</v>
      </c>
      <c r="B1450" s="4" t="s">
        <v>9</v>
      </c>
      <c r="C1450" s="4" t="s">
        <v>10</v>
      </c>
      <c r="D1450" s="4" t="s">
        <v>17</v>
      </c>
      <c r="E1450" s="4" t="s">
        <v>12</v>
      </c>
      <c r="F1450" s="4">
        <v>2076091</v>
      </c>
      <c r="G1450" s="4">
        <v>90637</v>
      </c>
      <c r="H1450" s="4">
        <v>103151</v>
      </c>
      <c r="I1450" s="6">
        <v>100960.67704764224</v>
      </c>
      <c r="J1450" s="4"/>
      <c r="K1450" s="4"/>
      <c r="L1450" s="4"/>
      <c r="M1450" s="4"/>
      <c r="N1450" s="4"/>
      <c r="O1450" s="4"/>
      <c r="P1450" s="4"/>
      <c r="Q1450" s="4"/>
      <c r="R1450" s="4"/>
      <c r="S1450" s="4"/>
      <c r="T1450" s="4"/>
      <c r="U1450" s="4"/>
      <c r="V1450" s="4"/>
      <c r="W1450" s="4"/>
      <c r="X1450" s="4"/>
      <c r="Y1450" s="4"/>
      <c r="Z1450" s="4"/>
    </row>
    <row r="1451" spans="1:26">
      <c r="A1451" s="5">
        <v>43586</v>
      </c>
      <c r="B1451" s="4" t="s">
        <v>9</v>
      </c>
      <c r="C1451" s="4" t="s">
        <v>10</v>
      </c>
      <c r="D1451" s="4" t="s">
        <v>17</v>
      </c>
      <c r="E1451" s="4" t="s">
        <v>13</v>
      </c>
      <c r="F1451" s="4">
        <v>12388</v>
      </c>
      <c r="G1451" s="4">
        <v>2445</v>
      </c>
      <c r="H1451" s="4">
        <v>14352</v>
      </c>
      <c r="I1451" s="6">
        <v>483683.84737078648</v>
      </c>
      <c r="J1451" s="4"/>
      <c r="K1451" s="4"/>
      <c r="L1451" s="4"/>
      <c r="M1451" s="4"/>
      <c r="N1451" s="4"/>
      <c r="O1451" s="4"/>
      <c r="P1451" s="4"/>
      <c r="Q1451" s="4"/>
      <c r="R1451" s="4"/>
      <c r="S1451" s="4"/>
      <c r="T1451" s="4"/>
      <c r="U1451" s="4"/>
      <c r="V1451" s="4"/>
      <c r="W1451" s="4"/>
      <c r="X1451" s="4"/>
      <c r="Y1451" s="4"/>
      <c r="Z1451" s="4"/>
    </row>
    <row r="1452" spans="1:26">
      <c r="A1452" s="5">
        <v>43586</v>
      </c>
      <c r="B1452" s="4" t="s">
        <v>9</v>
      </c>
      <c r="C1452" s="4" t="s">
        <v>18</v>
      </c>
      <c r="D1452" s="4" t="s">
        <v>11</v>
      </c>
      <c r="E1452" s="4" t="s">
        <v>12</v>
      </c>
      <c r="F1452" s="4">
        <v>7941972</v>
      </c>
      <c r="G1452" s="4">
        <v>213205</v>
      </c>
      <c r="H1452" s="4">
        <v>657776</v>
      </c>
      <c r="I1452" s="6">
        <v>161242.05645853077</v>
      </c>
      <c r="J1452" s="4"/>
      <c r="K1452" s="4"/>
      <c r="L1452" s="4"/>
      <c r="M1452" s="4"/>
      <c r="N1452" s="4"/>
      <c r="O1452" s="4"/>
      <c r="P1452" s="4"/>
      <c r="Q1452" s="4"/>
      <c r="R1452" s="4"/>
      <c r="S1452" s="4"/>
      <c r="T1452" s="4"/>
      <c r="U1452" s="4"/>
      <c r="V1452" s="4"/>
      <c r="W1452" s="4"/>
      <c r="X1452" s="4"/>
      <c r="Y1452" s="4"/>
      <c r="Z1452" s="4"/>
    </row>
    <row r="1453" spans="1:26">
      <c r="A1453" s="5">
        <v>43586</v>
      </c>
      <c r="B1453" s="4" t="s">
        <v>9</v>
      </c>
      <c r="C1453" s="4" t="s">
        <v>18</v>
      </c>
      <c r="D1453" s="4" t="s">
        <v>11</v>
      </c>
      <c r="E1453" s="4" t="s">
        <v>13</v>
      </c>
      <c r="F1453" s="4">
        <v>45103</v>
      </c>
      <c r="G1453" s="4">
        <v>800</v>
      </c>
      <c r="H1453" s="4">
        <v>22206</v>
      </c>
      <c r="I1453" s="6">
        <v>16299.827909672744</v>
      </c>
      <c r="J1453" s="4"/>
      <c r="K1453" s="4"/>
      <c r="L1453" s="4"/>
      <c r="M1453" s="4"/>
      <c r="N1453" s="4"/>
      <c r="O1453" s="4"/>
      <c r="P1453" s="4"/>
      <c r="Q1453" s="4"/>
      <c r="R1453" s="4"/>
      <c r="S1453" s="4"/>
      <c r="T1453" s="4"/>
      <c r="U1453" s="4"/>
      <c r="V1453" s="4"/>
      <c r="W1453" s="4"/>
      <c r="X1453" s="4"/>
      <c r="Y1453" s="4"/>
      <c r="Z1453" s="4"/>
    </row>
    <row r="1454" spans="1:26">
      <c r="A1454" s="5">
        <v>43586</v>
      </c>
      <c r="B1454" s="4" t="s">
        <v>9</v>
      </c>
      <c r="C1454" s="4" t="s">
        <v>18</v>
      </c>
      <c r="D1454" s="4" t="s">
        <v>14</v>
      </c>
      <c r="E1454" s="4" t="s">
        <v>12</v>
      </c>
      <c r="F1454" s="4">
        <v>18665194</v>
      </c>
      <c r="G1454" s="4">
        <v>440492</v>
      </c>
      <c r="H1454" s="4">
        <v>1327755</v>
      </c>
      <c r="I1454" s="6">
        <v>214110.38826247473</v>
      </c>
      <c r="J1454" s="4"/>
      <c r="K1454" s="4"/>
      <c r="L1454" s="4"/>
      <c r="M1454" s="4"/>
      <c r="N1454" s="4"/>
      <c r="O1454" s="4"/>
      <c r="P1454" s="4"/>
      <c r="Q1454" s="4"/>
      <c r="R1454" s="4"/>
      <c r="S1454" s="4"/>
      <c r="T1454" s="4"/>
      <c r="U1454" s="4"/>
      <c r="V1454" s="4"/>
      <c r="W1454" s="4"/>
      <c r="X1454" s="4"/>
      <c r="Y1454" s="4"/>
      <c r="Z1454" s="4"/>
    </row>
    <row r="1455" spans="1:26">
      <c r="A1455" s="5">
        <v>43586</v>
      </c>
      <c r="B1455" s="4" t="s">
        <v>9</v>
      </c>
      <c r="C1455" s="4" t="s">
        <v>18</v>
      </c>
      <c r="D1455" s="4" t="s">
        <v>14</v>
      </c>
      <c r="E1455" s="4" t="s">
        <v>13</v>
      </c>
      <c r="F1455" s="4">
        <v>94531</v>
      </c>
      <c r="G1455" s="4">
        <v>1111</v>
      </c>
      <c r="H1455" s="4">
        <v>16478</v>
      </c>
      <c r="I1455" s="6">
        <v>18954.229726734397</v>
      </c>
      <c r="J1455" s="4"/>
      <c r="K1455" s="4"/>
      <c r="L1455" s="4"/>
      <c r="M1455" s="4"/>
      <c r="N1455" s="4"/>
      <c r="O1455" s="4"/>
      <c r="P1455" s="4"/>
      <c r="Q1455" s="4"/>
      <c r="R1455" s="4"/>
      <c r="S1455" s="4"/>
      <c r="T1455" s="4"/>
      <c r="U1455" s="4"/>
      <c r="V1455" s="4"/>
      <c r="W1455" s="4"/>
      <c r="X1455" s="4"/>
      <c r="Y1455" s="4"/>
      <c r="Z1455" s="4"/>
    </row>
    <row r="1456" spans="1:26">
      <c r="A1456" s="5">
        <v>43586</v>
      </c>
      <c r="B1456" s="4" t="s">
        <v>9</v>
      </c>
      <c r="C1456" s="4" t="s">
        <v>18</v>
      </c>
      <c r="D1456" s="4" t="s">
        <v>15</v>
      </c>
      <c r="E1456" s="4" t="s">
        <v>12</v>
      </c>
      <c r="F1456" s="4">
        <v>9261581</v>
      </c>
      <c r="G1456" s="4">
        <v>237092</v>
      </c>
      <c r="H1456" s="4">
        <v>781204</v>
      </c>
      <c r="I1456" s="6">
        <v>86243.412928337275</v>
      </c>
      <c r="J1456" s="4"/>
      <c r="K1456" s="4"/>
      <c r="L1456" s="4"/>
      <c r="M1456" s="4"/>
      <c r="N1456" s="4"/>
      <c r="O1456" s="4"/>
      <c r="P1456" s="4"/>
      <c r="Q1456" s="4"/>
      <c r="R1456" s="4"/>
      <c r="S1456" s="4"/>
      <c r="T1456" s="4"/>
      <c r="U1456" s="4"/>
      <c r="V1456" s="4"/>
      <c r="W1456" s="4"/>
      <c r="X1456" s="4"/>
      <c r="Y1456" s="4"/>
      <c r="Z1456" s="4"/>
    </row>
    <row r="1457" spans="1:26">
      <c r="A1457" s="5">
        <v>43586</v>
      </c>
      <c r="B1457" s="4" t="s">
        <v>9</v>
      </c>
      <c r="C1457" s="4" t="s">
        <v>18</v>
      </c>
      <c r="D1457" s="4" t="s">
        <v>15</v>
      </c>
      <c r="E1457" s="4" t="s">
        <v>13</v>
      </c>
      <c r="F1457" s="4">
        <v>34507</v>
      </c>
      <c r="G1457" s="4">
        <v>446</v>
      </c>
      <c r="H1457" s="4">
        <v>6347</v>
      </c>
      <c r="I1457" s="6">
        <v>8238.5078808786257</v>
      </c>
      <c r="J1457" s="4"/>
      <c r="K1457" s="4"/>
      <c r="L1457" s="4"/>
      <c r="M1457" s="4"/>
      <c r="N1457" s="4"/>
      <c r="O1457" s="4"/>
      <c r="P1457" s="4"/>
      <c r="Q1457" s="4"/>
      <c r="R1457" s="4"/>
      <c r="S1457" s="4"/>
      <c r="T1457" s="4"/>
      <c r="U1457" s="4"/>
      <c r="V1457" s="4"/>
      <c r="W1457" s="4"/>
      <c r="X1457" s="4"/>
      <c r="Y1457" s="4"/>
      <c r="Z1457" s="4"/>
    </row>
    <row r="1458" spans="1:26">
      <c r="A1458" s="5">
        <v>43586</v>
      </c>
      <c r="B1458" s="4" t="s">
        <v>9</v>
      </c>
      <c r="C1458" s="4" t="s">
        <v>18</v>
      </c>
      <c r="D1458" s="4" t="s">
        <v>16</v>
      </c>
      <c r="E1458" s="4" t="s">
        <v>12</v>
      </c>
      <c r="F1458" s="4">
        <v>119230277</v>
      </c>
      <c r="G1458" s="4">
        <v>805261</v>
      </c>
      <c r="H1458" s="4">
        <v>2306412</v>
      </c>
      <c r="I1458" s="6">
        <v>555904.17893168563</v>
      </c>
      <c r="J1458" s="4"/>
      <c r="K1458" s="4"/>
      <c r="L1458" s="4"/>
      <c r="M1458" s="4"/>
      <c r="N1458" s="4"/>
      <c r="O1458" s="4"/>
      <c r="P1458" s="4"/>
      <c r="Q1458" s="4"/>
      <c r="R1458" s="4"/>
      <c r="S1458" s="4"/>
      <c r="T1458" s="4"/>
      <c r="U1458" s="4"/>
      <c r="V1458" s="4"/>
      <c r="W1458" s="4"/>
      <c r="X1458" s="4"/>
      <c r="Y1458" s="4"/>
      <c r="Z1458" s="4"/>
    </row>
    <row r="1459" spans="1:26">
      <c r="A1459" s="5">
        <v>43586</v>
      </c>
      <c r="B1459" s="4" t="s">
        <v>9</v>
      </c>
      <c r="C1459" s="4" t="s">
        <v>18</v>
      </c>
      <c r="D1459" s="4" t="s">
        <v>16</v>
      </c>
      <c r="E1459" s="4" t="s">
        <v>13</v>
      </c>
      <c r="F1459" s="4">
        <v>1042175</v>
      </c>
      <c r="G1459" s="4">
        <v>2311</v>
      </c>
      <c r="H1459" s="4">
        <v>56900</v>
      </c>
      <c r="I1459" s="6">
        <v>36580.85130474496</v>
      </c>
      <c r="J1459" s="4"/>
      <c r="K1459" s="4"/>
      <c r="L1459" s="4"/>
      <c r="M1459" s="4"/>
      <c r="N1459" s="4"/>
      <c r="O1459" s="4"/>
      <c r="P1459" s="4"/>
      <c r="Q1459" s="4"/>
      <c r="R1459" s="4"/>
      <c r="S1459" s="4"/>
      <c r="T1459" s="4"/>
      <c r="U1459" s="4"/>
      <c r="V1459" s="4"/>
      <c r="W1459" s="4"/>
      <c r="X1459" s="4"/>
      <c r="Y1459" s="4"/>
      <c r="Z1459" s="4"/>
    </row>
    <row r="1460" spans="1:26">
      <c r="A1460" s="5">
        <v>43586</v>
      </c>
      <c r="B1460" s="4" t="s">
        <v>9</v>
      </c>
      <c r="C1460" s="4" t="s">
        <v>18</v>
      </c>
      <c r="D1460" s="4" t="s">
        <v>17</v>
      </c>
      <c r="E1460" s="4" t="s">
        <v>12</v>
      </c>
      <c r="F1460" s="4">
        <v>11286751</v>
      </c>
      <c r="G1460" s="4">
        <v>258861</v>
      </c>
      <c r="H1460" s="4">
        <v>737991</v>
      </c>
      <c r="I1460" s="6">
        <v>188792.43788312277</v>
      </c>
      <c r="J1460" s="4"/>
      <c r="K1460" s="4"/>
      <c r="L1460" s="4"/>
      <c r="M1460" s="4"/>
      <c r="N1460" s="4"/>
      <c r="O1460" s="4"/>
      <c r="P1460" s="4"/>
      <c r="Q1460" s="4"/>
      <c r="R1460" s="4"/>
      <c r="S1460" s="4"/>
      <c r="T1460" s="4"/>
      <c r="U1460" s="4"/>
      <c r="V1460" s="4"/>
      <c r="W1460" s="4"/>
      <c r="X1460" s="4"/>
      <c r="Y1460" s="4"/>
      <c r="Z1460" s="4"/>
    </row>
    <row r="1461" spans="1:26">
      <c r="A1461" s="5">
        <v>43586</v>
      </c>
      <c r="B1461" s="4" t="s">
        <v>9</v>
      </c>
      <c r="C1461" s="4" t="s">
        <v>18</v>
      </c>
      <c r="D1461" s="4" t="s">
        <v>17</v>
      </c>
      <c r="E1461" s="4" t="s">
        <v>13</v>
      </c>
      <c r="F1461" s="4">
        <v>86189</v>
      </c>
      <c r="G1461" s="4">
        <v>932</v>
      </c>
      <c r="H1461" s="4">
        <v>20603</v>
      </c>
      <c r="I1461" s="6">
        <v>14778.571127640196</v>
      </c>
      <c r="J1461" s="4"/>
      <c r="K1461" s="4"/>
      <c r="L1461" s="4"/>
      <c r="M1461" s="4"/>
      <c r="N1461" s="4"/>
      <c r="O1461" s="4"/>
      <c r="P1461" s="4"/>
      <c r="Q1461" s="4"/>
      <c r="R1461" s="4"/>
      <c r="S1461" s="4"/>
      <c r="T1461" s="4"/>
      <c r="U1461" s="4"/>
      <c r="V1461" s="4"/>
      <c r="W1461" s="4"/>
      <c r="X1461" s="4"/>
      <c r="Y1461" s="4"/>
      <c r="Z1461" s="4"/>
    </row>
    <row r="1462" spans="1:26">
      <c r="A1462" s="5">
        <v>43586</v>
      </c>
      <c r="B1462" s="4" t="s">
        <v>9</v>
      </c>
      <c r="C1462" s="4" t="s">
        <v>19</v>
      </c>
      <c r="D1462" s="4" t="s">
        <v>11</v>
      </c>
      <c r="E1462" s="4" t="s">
        <v>12</v>
      </c>
      <c r="F1462" s="4">
        <v>137464</v>
      </c>
      <c r="G1462" s="4">
        <v>21614</v>
      </c>
      <c r="H1462" s="4">
        <v>22766</v>
      </c>
      <c r="I1462" s="6">
        <v>115102.3221012409</v>
      </c>
      <c r="J1462" s="4"/>
      <c r="K1462" s="4"/>
      <c r="L1462" s="4"/>
      <c r="M1462" s="4"/>
      <c r="N1462" s="4"/>
      <c r="O1462" s="4"/>
      <c r="P1462" s="4"/>
      <c r="Q1462" s="4"/>
      <c r="R1462" s="4"/>
      <c r="S1462" s="4"/>
      <c r="T1462" s="4"/>
      <c r="U1462" s="4"/>
      <c r="V1462" s="4"/>
      <c r="W1462" s="4"/>
      <c r="X1462" s="4"/>
      <c r="Y1462" s="4"/>
      <c r="Z1462" s="4"/>
    </row>
    <row r="1463" spans="1:26">
      <c r="A1463" s="5">
        <v>43586</v>
      </c>
      <c r="B1463" s="4" t="s">
        <v>9</v>
      </c>
      <c r="C1463" s="4" t="s">
        <v>19</v>
      </c>
      <c r="D1463" s="4" t="s">
        <v>11</v>
      </c>
      <c r="E1463" s="4" t="s">
        <v>13</v>
      </c>
      <c r="F1463" s="4">
        <v>758</v>
      </c>
      <c r="G1463" s="4">
        <v>844</v>
      </c>
      <c r="H1463" s="4">
        <v>8817</v>
      </c>
      <c r="I1463" s="6">
        <v>19766.726295958673</v>
      </c>
      <c r="J1463" s="4"/>
      <c r="K1463" s="4"/>
      <c r="L1463" s="4"/>
      <c r="M1463" s="4"/>
      <c r="N1463" s="4"/>
      <c r="O1463" s="4"/>
      <c r="P1463" s="4"/>
      <c r="Q1463" s="4"/>
      <c r="R1463" s="4"/>
      <c r="S1463" s="4"/>
      <c r="T1463" s="4"/>
      <c r="U1463" s="4"/>
      <c r="V1463" s="4"/>
      <c r="W1463" s="4"/>
      <c r="X1463" s="4"/>
      <c r="Y1463" s="4"/>
      <c r="Z1463" s="4"/>
    </row>
    <row r="1464" spans="1:26">
      <c r="A1464" s="5">
        <v>43586</v>
      </c>
      <c r="B1464" s="4" t="s">
        <v>9</v>
      </c>
      <c r="C1464" s="4" t="s">
        <v>19</v>
      </c>
      <c r="D1464" s="4" t="s">
        <v>14</v>
      </c>
      <c r="E1464" s="4" t="s">
        <v>12</v>
      </c>
      <c r="F1464" s="4">
        <v>337263</v>
      </c>
      <c r="G1464" s="4">
        <v>50958</v>
      </c>
      <c r="H1464" s="4">
        <v>53560</v>
      </c>
      <c r="I1464" s="6">
        <v>205084.30385156409</v>
      </c>
      <c r="J1464" s="4"/>
      <c r="K1464" s="4"/>
      <c r="L1464" s="4"/>
      <c r="M1464" s="4"/>
      <c r="N1464" s="4"/>
      <c r="O1464" s="4"/>
      <c r="P1464" s="4"/>
      <c r="Q1464" s="4"/>
      <c r="R1464" s="4"/>
      <c r="S1464" s="4"/>
      <c r="T1464" s="4"/>
      <c r="U1464" s="4"/>
      <c r="V1464" s="4"/>
      <c r="W1464" s="4"/>
      <c r="X1464" s="4"/>
      <c r="Y1464" s="4"/>
      <c r="Z1464" s="4"/>
    </row>
    <row r="1465" spans="1:26">
      <c r="A1465" s="5">
        <v>43586</v>
      </c>
      <c r="B1465" s="4" t="s">
        <v>9</v>
      </c>
      <c r="C1465" s="4" t="s">
        <v>19</v>
      </c>
      <c r="D1465" s="4" t="s">
        <v>14</v>
      </c>
      <c r="E1465" s="4" t="s">
        <v>13</v>
      </c>
      <c r="F1465" s="4">
        <v>1818</v>
      </c>
      <c r="G1465" s="4">
        <v>1881</v>
      </c>
      <c r="H1465" s="4">
        <v>47780</v>
      </c>
      <c r="I1465" s="6">
        <v>32708.944929981444</v>
      </c>
      <c r="J1465" s="4"/>
      <c r="K1465" s="4"/>
      <c r="L1465" s="4"/>
      <c r="M1465" s="4"/>
      <c r="N1465" s="4"/>
      <c r="O1465" s="4"/>
      <c r="P1465" s="4"/>
      <c r="Q1465" s="4"/>
      <c r="R1465" s="4"/>
      <c r="S1465" s="4"/>
      <c r="T1465" s="4"/>
      <c r="U1465" s="4"/>
      <c r="V1465" s="4"/>
      <c r="W1465" s="4"/>
      <c r="X1465" s="4"/>
      <c r="Y1465" s="4"/>
      <c r="Z1465" s="4"/>
    </row>
    <row r="1466" spans="1:26">
      <c r="A1466" s="5">
        <v>43586</v>
      </c>
      <c r="B1466" s="4" t="s">
        <v>9</v>
      </c>
      <c r="C1466" s="4" t="s">
        <v>19</v>
      </c>
      <c r="D1466" s="4" t="s">
        <v>15</v>
      </c>
      <c r="E1466" s="4" t="s">
        <v>12</v>
      </c>
      <c r="F1466" s="4">
        <v>159148</v>
      </c>
      <c r="G1466" s="4">
        <v>26153</v>
      </c>
      <c r="H1466" s="4">
        <v>27101</v>
      </c>
      <c r="I1466" s="6">
        <v>75827.408738127546</v>
      </c>
      <c r="J1466" s="4"/>
      <c r="K1466" s="4"/>
      <c r="L1466" s="4"/>
      <c r="M1466" s="4"/>
      <c r="N1466" s="4"/>
      <c r="O1466" s="4"/>
      <c r="P1466" s="4"/>
      <c r="Q1466" s="4"/>
      <c r="R1466" s="4"/>
      <c r="S1466" s="4"/>
      <c r="T1466" s="4"/>
      <c r="U1466" s="4"/>
      <c r="V1466" s="4"/>
      <c r="W1466" s="4"/>
      <c r="X1466" s="4"/>
      <c r="Y1466" s="4"/>
      <c r="Z1466" s="4"/>
    </row>
    <row r="1467" spans="1:26">
      <c r="A1467" s="5">
        <v>43586</v>
      </c>
      <c r="B1467" s="4" t="s">
        <v>9</v>
      </c>
      <c r="C1467" s="4" t="s">
        <v>19</v>
      </c>
      <c r="D1467" s="4" t="s">
        <v>15</v>
      </c>
      <c r="E1467" s="4" t="s">
        <v>13</v>
      </c>
      <c r="F1467" s="4">
        <v>568</v>
      </c>
      <c r="G1467" s="4">
        <v>775</v>
      </c>
      <c r="H1467" s="4">
        <v>25830</v>
      </c>
      <c r="I1467" s="6">
        <v>14326.302588088558</v>
      </c>
      <c r="J1467" s="4"/>
      <c r="K1467" s="4"/>
      <c r="L1467" s="4"/>
      <c r="M1467" s="4"/>
      <c r="N1467" s="4"/>
      <c r="O1467" s="4"/>
      <c r="P1467" s="4"/>
      <c r="Q1467" s="4"/>
      <c r="R1467" s="4"/>
      <c r="S1467" s="4"/>
      <c r="T1467" s="4"/>
      <c r="U1467" s="4"/>
      <c r="V1467" s="4"/>
      <c r="W1467" s="4"/>
      <c r="X1467" s="4"/>
      <c r="Y1467" s="4"/>
      <c r="Z1467" s="4"/>
    </row>
    <row r="1468" spans="1:26">
      <c r="A1468" s="5">
        <v>43586</v>
      </c>
      <c r="B1468" s="4" t="s">
        <v>9</v>
      </c>
      <c r="C1468" s="4" t="s">
        <v>19</v>
      </c>
      <c r="D1468" s="4" t="s">
        <v>16</v>
      </c>
      <c r="E1468" s="4" t="s">
        <v>12</v>
      </c>
      <c r="F1468" s="4">
        <v>18939256</v>
      </c>
      <c r="G1468" s="4">
        <v>80187</v>
      </c>
      <c r="H1468" s="4">
        <v>82208</v>
      </c>
      <c r="I1468" s="6">
        <v>472966.60634123988</v>
      </c>
      <c r="J1468" s="4"/>
      <c r="K1468" s="4"/>
      <c r="L1468" s="4"/>
      <c r="M1468" s="4"/>
      <c r="N1468" s="4"/>
      <c r="O1468" s="4"/>
      <c r="P1468" s="4"/>
      <c r="Q1468" s="4"/>
      <c r="R1468" s="4"/>
      <c r="S1468" s="4"/>
      <c r="T1468" s="4"/>
      <c r="U1468" s="4"/>
      <c r="V1468" s="4"/>
      <c r="W1468" s="4"/>
      <c r="X1468" s="4"/>
      <c r="Y1468" s="4"/>
      <c r="Z1468" s="4"/>
    </row>
    <row r="1469" spans="1:26">
      <c r="A1469" s="5">
        <v>43586</v>
      </c>
      <c r="B1469" s="4" t="s">
        <v>9</v>
      </c>
      <c r="C1469" s="4" t="s">
        <v>19</v>
      </c>
      <c r="D1469" s="4" t="s">
        <v>16</v>
      </c>
      <c r="E1469" s="4" t="s">
        <v>13</v>
      </c>
      <c r="F1469" s="4">
        <v>177000</v>
      </c>
      <c r="G1469" s="4">
        <v>2413</v>
      </c>
      <c r="H1469" s="4">
        <v>41516</v>
      </c>
      <c r="I1469" s="6">
        <v>64304.156950835233</v>
      </c>
      <c r="J1469" s="4"/>
      <c r="K1469" s="4"/>
      <c r="L1469" s="4"/>
      <c r="M1469" s="4"/>
      <c r="N1469" s="4"/>
      <c r="O1469" s="4"/>
      <c r="P1469" s="4"/>
      <c r="Q1469" s="4"/>
      <c r="R1469" s="4"/>
      <c r="S1469" s="4"/>
      <c r="T1469" s="4"/>
      <c r="U1469" s="4"/>
      <c r="V1469" s="4"/>
      <c r="W1469" s="4"/>
      <c r="X1469" s="4"/>
      <c r="Y1469" s="4"/>
      <c r="Z1469" s="4"/>
    </row>
    <row r="1470" spans="1:26">
      <c r="A1470" s="5">
        <v>43586</v>
      </c>
      <c r="B1470" s="4" t="s">
        <v>9</v>
      </c>
      <c r="C1470" s="4" t="s">
        <v>19</v>
      </c>
      <c r="D1470" s="4" t="s">
        <v>17</v>
      </c>
      <c r="E1470" s="4" t="s">
        <v>12</v>
      </c>
      <c r="F1470" s="4">
        <v>264169</v>
      </c>
      <c r="G1470" s="4">
        <v>28938</v>
      </c>
      <c r="H1470" s="4">
        <v>29878</v>
      </c>
      <c r="I1470" s="6">
        <v>175416.57745932642</v>
      </c>
      <c r="J1470" s="4"/>
      <c r="K1470" s="4"/>
      <c r="L1470" s="4"/>
      <c r="M1470" s="4"/>
      <c r="N1470" s="4"/>
      <c r="O1470" s="4"/>
      <c r="P1470" s="4"/>
      <c r="Q1470" s="4"/>
      <c r="R1470" s="4"/>
      <c r="S1470" s="4"/>
      <c r="T1470" s="4"/>
      <c r="U1470" s="4"/>
      <c r="V1470" s="4"/>
      <c r="W1470" s="4"/>
      <c r="X1470" s="4"/>
      <c r="Y1470" s="4"/>
      <c r="Z1470" s="4"/>
    </row>
    <row r="1471" spans="1:26">
      <c r="A1471" s="5">
        <v>43586</v>
      </c>
      <c r="B1471" s="4" t="s">
        <v>9</v>
      </c>
      <c r="C1471" s="4" t="s">
        <v>19</v>
      </c>
      <c r="D1471" s="4" t="s">
        <v>17</v>
      </c>
      <c r="E1471" s="4" t="s">
        <v>13</v>
      </c>
      <c r="F1471" s="4">
        <v>1791</v>
      </c>
      <c r="G1471" s="4">
        <v>793</v>
      </c>
      <c r="H1471" s="4">
        <v>7989</v>
      </c>
      <c r="I1471" s="6">
        <v>21804.203544091317</v>
      </c>
      <c r="J1471" s="4"/>
      <c r="K1471" s="4"/>
      <c r="L1471" s="4"/>
      <c r="M1471" s="4"/>
      <c r="N1471" s="4"/>
      <c r="O1471" s="4"/>
      <c r="P1471" s="4"/>
      <c r="Q1471" s="4"/>
      <c r="R1471" s="4"/>
      <c r="S1471" s="4"/>
      <c r="T1471" s="4"/>
      <c r="U1471" s="4"/>
      <c r="V1471" s="4"/>
      <c r="W1471" s="4"/>
      <c r="X1471" s="4"/>
      <c r="Y1471" s="4"/>
      <c r="Z1471" s="4"/>
    </row>
    <row r="1472" spans="1:26">
      <c r="A1472" s="5">
        <v>43586</v>
      </c>
      <c r="B1472" s="4" t="s">
        <v>20</v>
      </c>
      <c r="C1472" s="4" t="s">
        <v>10</v>
      </c>
      <c r="D1472" s="4" t="s">
        <v>11</v>
      </c>
      <c r="E1472" s="4" t="s">
        <v>12</v>
      </c>
      <c r="F1472" s="4">
        <v>2675029</v>
      </c>
      <c r="G1472" s="4">
        <v>6080</v>
      </c>
      <c r="H1472" s="4">
        <v>6891</v>
      </c>
      <c r="I1472" s="6">
        <v>1621.6980485167837</v>
      </c>
      <c r="J1472" s="4"/>
      <c r="K1472" s="4"/>
      <c r="L1472" s="4"/>
      <c r="M1472" s="4"/>
      <c r="N1472" s="4"/>
      <c r="O1472" s="4"/>
      <c r="P1472" s="4"/>
      <c r="Q1472" s="4"/>
      <c r="R1472" s="4"/>
      <c r="S1472" s="4"/>
      <c r="T1472" s="4"/>
      <c r="U1472" s="4"/>
      <c r="V1472" s="4"/>
      <c r="W1472" s="4"/>
      <c r="X1472" s="4"/>
      <c r="Y1472" s="4"/>
      <c r="Z1472" s="4"/>
    </row>
    <row r="1473" spans="1:26">
      <c r="A1473" s="5">
        <v>43586</v>
      </c>
      <c r="B1473" s="4" t="s">
        <v>20</v>
      </c>
      <c r="C1473" s="4" t="s">
        <v>10</v>
      </c>
      <c r="D1473" s="4" t="s">
        <v>11</v>
      </c>
      <c r="E1473" s="4" t="s">
        <v>13</v>
      </c>
      <c r="F1473" s="4">
        <v>1085</v>
      </c>
      <c r="G1473" s="4">
        <v>33</v>
      </c>
      <c r="H1473" s="4">
        <v>83</v>
      </c>
      <c r="I1473" s="6">
        <v>18455.771010101009</v>
      </c>
      <c r="J1473" s="4"/>
      <c r="K1473" s="4"/>
      <c r="L1473" s="4"/>
      <c r="M1473" s="4"/>
      <c r="N1473" s="4"/>
      <c r="O1473" s="4"/>
      <c r="P1473" s="4"/>
      <c r="Q1473" s="4"/>
      <c r="R1473" s="4"/>
      <c r="S1473" s="4"/>
      <c r="T1473" s="4"/>
      <c r="U1473" s="4"/>
      <c r="V1473" s="4"/>
      <c r="W1473" s="4"/>
      <c r="X1473" s="4"/>
      <c r="Y1473" s="4"/>
      <c r="Z1473" s="4"/>
    </row>
    <row r="1474" spans="1:26">
      <c r="A1474" s="5">
        <v>43586</v>
      </c>
      <c r="B1474" s="4" t="s">
        <v>20</v>
      </c>
      <c r="C1474" s="4" t="s">
        <v>10</v>
      </c>
      <c r="D1474" s="4" t="s">
        <v>14</v>
      </c>
      <c r="E1474" s="4" t="s">
        <v>12</v>
      </c>
      <c r="F1474" s="4">
        <v>4844406</v>
      </c>
      <c r="G1474" s="4">
        <v>10812</v>
      </c>
      <c r="H1474" s="4">
        <v>11744</v>
      </c>
      <c r="I1474" s="6">
        <v>1475.5635233717644</v>
      </c>
      <c r="J1474" s="4"/>
      <c r="K1474" s="4"/>
      <c r="L1474" s="4"/>
      <c r="M1474" s="4"/>
      <c r="N1474" s="4"/>
      <c r="O1474" s="4"/>
      <c r="P1474" s="4"/>
      <c r="Q1474" s="4"/>
      <c r="R1474" s="4"/>
      <c r="S1474" s="4"/>
      <c r="T1474" s="4"/>
      <c r="U1474" s="4"/>
      <c r="V1474" s="4"/>
      <c r="W1474" s="4"/>
      <c r="X1474" s="4"/>
      <c r="Y1474" s="4"/>
      <c r="Z1474" s="4"/>
    </row>
    <row r="1475" spans="1:26">
      <c r="A1475" s="5">
        <v>43586</v>
      </c>
      <c r="B1475" s="4" t="s">
        <v>20</v>
      </c>
      <c r="C1475" s="4" t="s">
        <v>10</v>
      </c>
      <c r="D1475" s="4" t="s">
        <v>14</v>
      </c>
      <c r="E1475" s="4" t="s">
        <v>13</v>
      </c>
      <c r="F1475" s="4">
        <v>2335</v>
      </c>
      <c r="G1475" s="4">
        <v>60</v>
      </c>
      <c r="H1475" s="4">
        <v>252</v>
      </c>
      <c r="I1475" s="6">
        <v>28227.581006896551</v>
      </c>
      <c r="J1475" s="4"/>
      <c r="K1475" s="4"/>
      <c r="L1475" s="4"/>
      <c r="M1475" s="4"/>
      <c r="N1475" s="4"/>
      <c r="O1475" s="4"/>
      <c r="P1475" s="4"/>
      <c r="Q1475" s="4"/>
      <c r="R1475" s="4"/>
      <c r="S1475" s="4"/>
      <c r="T1475" s="4"/>
      <c r="U1475" s="4"/>
      <c r="V1475" s="4"/>
      <c r="W1475" s="4"/>
      <c r="X1475" s="4"/>
      <c r="Y1475" s="4"/>
      <c r="Z1475" s="4"/>
    </row>
    <row r="1476" spans="1:26">
      <c r="A1476" s="5">
        <v>43586</v>
      </c>
      <c r="B1476" s="4" t="s">
        <v>20</v>
      </c>
      <c r="C1476" s="4" t="s">
        <v>10</v>
      </c>
      <c r="D1476" s="4" t="s">
        <v>15</v>
      </c>
      <c r="E1476" s="4" t="s">
        <v>12</v>
      </c>
      <c r="F1476" s="4">
        <v>1210726</v>
      </c>
      <c r="G1476" s="4">
        <v>2733</v>
      </c>
      <c r="H1476" s="4">
        <v>2965</v>
      </c>
      <c r="I1476" s="6">
        <v>472.96633423995166</v>
      </c>
      <c r="J1476" s="4"/>
      <c r="K1476" s="4"/>
      <c r="L1476" s="4"/>
      <c r="M1476" s="4"/>
      <c r="N1476" s="4"/>
      <c r="O1476" s="4"/>
      <c r="P1476" s="4"/>
      <c r="Q1476" s="4"/>
      <c r="R1476" s="4"/>
      <c r="S1476" s="4"/>
      <c r="T1476" s="4"/>
      <c r="U1476" s="4"/>
      <c r="V1476" s="4"/>
      <c r="W1476" s="4"/>
      <c r="X1476" s="4"/>
      <c r="Y1476" s="4"/>
      <c r="Z1476" s="4"/>
    </row>
    <row r="1477" spans="1:26">
      <c r="A1477" s="5">
        <v>43586</v>
      </c>
      <c r="B1477" s="4" t="s">
        <v>20</v>
      </c>
      <c r="C1477" s="4" t="s">
        <v>10</v>
      </c>
      <c r="D1477" s="4" t="s">
        <v>15</v>
      </c>
      <c r="E1477" s="4" t="s">
        <v>13</v>
      </c>
      <c r="F1477" s="4">
        <v>324</v>
      </c>
      <c r="G1477" s="4">
        <v>18</v>
      </c>
      <c r="H1477" s="4">
        <v>55</v>
      </c>
      <c r="I1477" s="6">
        <v>6693.7866197183102</v>
      </c>
      <c r="J1477" s="4"/>
      <c r="K1477" s="4"/>
      <c r="L1477" s="4"/>
      <c r="M1477" s="4"/>
      <c r="N1477" s="4"/>
      <c r="O1477" s="4"/>
      <c r="P1477" s="4"/>
      <c r="Q1477" s="4"/>
      <c r="R1477" s="4"/>
      <c r="S1477" s="4"/>
      <c r="T1477" s="4"/>
      <c r="U1477" s="4"/>
      <c r="V1477" s="4"/>
      <c r="W1477" s="4"/>
      <c r="X1477" s="4"/>
      <c r="Y1477" s="4"/>
      <c r="Z1477" s="4"/>
    </row>
    <row r="1478" spans="1:26">
      <c r="A1478" s="5">
        <v>43586</v>
      </c>
      <c r="B1478" s="4" t="s">
        <v>20</v>
      </c>
      <c r="C1478" s="4" t="s">
        <v>10</v>
      </c>
      <c r="D1478" s="4" t="s">
        <v>16</v>
      </c>
      <c r="E1478" s="4" t="s">
        <v>12</v>
      </c>
      <c r="F1478" s="4">
        <v>13029249</v>
      </c>
      <c r="G1478" s="4">
        <v>39375</v>
      </c>
      <c r="H1478" s="4">
        <v>41354</v>
      </c>
      <c r="I1478" s="6">
        <v>6974.1506575518351</v>
      </c>
      <c r="J1478" s="4"/>
      <c r="K1478" s="4"/>
      <c r="L1478" s="4"/>
      <c r="M1478" s="4"/>
      <c r="N1478" s="4"/>
      <c r="O1478" s="4"/>
      <c r="P1478" s="4"/>
      <c r="Q1478" s="4"/>
      <c r="R1478" s="4"/>
      <c r="S1478" s="4"/>
      <c r="T1478" s="4"/>
      <c r="U1478" s="4"/>
      <c r="V1478" s="4"/>
      <c r="W1478" s="4"/>
      <c r="X1478" s="4"/>
      <c r="Y1478" s="4"/>
      <c r="Z1478" s="4"/>
    </row>
    <row r="1479" spans="1:26">
      <c r="A1479" s="5">
        <v>43586</v>
      </c>
      <c r="B1479" s="4" t="s">
        <v>20</v>
      </c>
      <c r="C1479" s="4" t="s">
        <v>10</v>
      </c>
      <c r="D1479" s="4" t="s">
        <v>16</v>
      </c>
      <c r="E1479" s="4" t="s">
        <v>13</v>
      </c>
      <c r="F1479" s="4">
        <v>6328</v>
      </c>
      <c r="G1479" s="4">
        <v>270</v>
      </c>
      <c r="H1479" s="4">
        <v>728</v>
      </c>
      <c r="I1479" s="6">
        <v>119150.64753056233</v>
      </c>
      <c r="J1479" s="4"/>
      <c r="K1479" s="4"/>
      <c r="L1479" s="4"/>
      <c r="M1479" s="4"/>
      <c r="N1479" s="4"/>
      <c r="O1479" s="4"/>
      <c r="P1479" s="4"/>
      <c r="Q1479" s="4"/>
      <c r="R1479" s="4"/>
      <c r="S1479" s="4"/>
      <c r="T1479" s="4"/>
      <c r="U1479" s="4"/>
      <c r="V1479" s="4"/>
      <c r="W1479" s="4"/>
      <c r="X1479" s="4"/>
      <c r="Y1479" s="4"/>
      <c r="Z1479" s="4"/>
    </row>
    <row r="1480" spans="1:26">
      <c r="A1480" s="5">
        <v>43586</v>
      </c>
      <c r="B1480" s="4" t="s">
        <v>20</v>
      </c>
      <c r="C1480" s="4" t="s">
        <v>10</v>
      </c>
      <c r="D1480" s="4" t="s">
        <v>17</v>
      </c>
      <c r="E1480" s="4" t="s">
        <v>12</v>
      </c>
      <c r="F1480" s="4">
        <v>4128001</v>
      </c>
      <c r="G1480" s="4">
        <v>13105</v>
      </c>
      <c r="H1480" s="4">
        <v>13904</v>
      </c>
      <c r="I1480" s="6">
        <v>2115.9546604063207</v>
      </c>
      <c r="J1480" s="4"/>
      <c r="K1480" s="4"/>
      <c r="L1480" s="4"/>
      <c r="M1480" s="4"/>
      <c r="N1480" s="4"/>
      <c r="O1480" s="4"/>
      <c r="P1480" s="4"/>
      <c r="Q1480" s="4"/>
      <c r="R1480" s="4"/>
      <c r="S1480" s="4"/>
      <c r="T1480" s="4"/>
      <c r="U1480" s="4"/>
      <c r="V1480" s="4"/>
      <c r="W1480" s="4"/>
      <c r="X1480" s="4"/>
      <c r="Y1480" s="4"/>
      <c r="Z1480" s="4"/>
    </row>
    <row r="1481" spans="1:26">
      <c r="A1481" s="5">
        <v>43586</v>
      </c>
      <c r="B1481" s="4" t="s">
        <v>20</v>
      </c>
      <c r="C1481" s="4" t="s">
        <v>10</v>
      </c>
      <c r="D1481" s="4" t="s">
        <v>17</v>
      </c>
      <c r="E1481" s="4" t="s">
        <v>13</v>
      </c>
      <c r="F1481" s="4">
        <v>2145</v>
      </c>
      <c r="G1481" s="4">
        <v>86</v>
      </c>
      <c r="H1481" s="4">
        <v>272</v>
      </c>
      <c r="I1481" s="6">
        <v>41363.864774193542</v>
      </c>
      <c r="J1481" s="4"/>
      <c r="K1481" s="4"/>
      <c r="L1481" s="4"/>
      <c r="M1481" s="4"/>
      <c r="N1481" s="4"/>
      <c r="O1481" s="4"/>
      <c r="P1481" s="4"/>
      <c r="Q1481" s="4"/>
      <c r="R1481" s="4"/>
      <c r="S1481" s="4"/>
      <c r="T1481" s="4"/>
      <c r="U1481" s="4"/>
      <c r="V1481" s="4"/>
      <c r="W1481" s="4"/>
      <c r="X1481" s="4"/>
      <c r="Y1481" s="4"/>
      <c r="Z1481" s="4"/>
    </row>
    <row r="1482" spans="1:26">
      <c r="A1482" s="5">
        <v>43586</v>
      </c>
      <c r="B1482" s="4" t="s">
        <v>20</v>
      </c>
      <c r="C1482" s="4" t="s">
        <v>18</v>
      </c>
      <c r="D1482" s="4" t="s">
        <v>11</v>
      </c>
      <c r="E1482" s="4" t="s">
        <v>12</v>
      </c>
      <c r="F1482" s="4">
        <v>2992731</v>
      </c>
      <c r="G1482" s="4">
        <v>17182</v>
      </c>
      <c r="H1482" s="4">
        <v>33111</v>
      </c>
      <c r="I1482" s="6">
        <v>10185.51791500772</v>
      </c>
      <c r="J1482" s="4"/>
      <c r="K1482" s="4"/>
      <c r="L1482" s="4"/>
      <c r="M1482" s="4"/>
      <c r="N1482" s="4"/>
      <c r="O1482" s="4"/>
      <c r="P1482" s="4"/>
      <c r="Q1482" s="4"/>
      <c r="R1482" s="4"/>
      <c r="S1482" s="4"/>
      <c r="T1482" s="4"/>
      <c r="U1482" s="4"/>
      <c r="V1482" s="4"/>
      <c r="W1482" s="4"/>
      <c r="X1482" s="4"/>
      <c r="Y1482" s="4"/>
      <c r="Z1482" s="4"/>
    </row>
    <row r="1483" spans="1:26">
      <c r="A1483" s="5">
        <v>43586</v>
      </c>
      <c r="B1483" s="4" t="s">
        <v>20</v>
      </c>
      <c r="C1483" s="4" t="s">
        <v>18</v>
      </c>
      <c r="D1483" s="4" t="s">
        <v>11</v>
      </c>
      <c r="E1483" s="4" t="s">
        <v>13</v>
      </c>
      <c r="F1483" s="4">
        <v>1546</v>
      </c>
      <c r="G1483" s="4">
        <v>24</v>
      </c>
      <c r="H1483" s="4">
        <v>41</v>
      </c>
      <c r="I1483" s="6">
        <v>213.96260000000001</v>
      </c>
      <c r="J1483" s="4"/>
      <c r="K1483" s="4"/>
      <c r="L1483" s="4"/>
      <c r="M1483" s="4"/>
      <c r="N1483" s="4"/>
      <c r="O1483" s="4"/>
      <c r="P1483" s="4"/>
      <c r="Q1483" s="4"/>
      <c r="R1483" s="4"/>
      <c r="S1483" s="4"/>
      <c r="T1483" s="4"/>
      <c r="U1483" s="4"/>
      <c r="V1483" s="4"/>
      <c r="W1483" s="4"/>
      <c r="X1483" s="4"/>
      <c r="Y1483" s="4"/>
      <c r="Z1483" s="4"/>
    </row>
    <row r="1484" spans="1:26">
      <c r="A1484" s="5">
        <v>43586</v>
      </c>
      <c r="B1484" s="4" t="s">
        <v>20</v>
      </c>
      <c r="C1484" s="4" t="s">
        <v>18</v>
      </c>
      <c r="D1484" s="4" t="s">
        <v>14</v>
      </c>
      <c r="E1484" s="4" t="s">
        <v>12</v>
      </c>
      <c r="F1484" s="4">
        <v>5669583</v>
      </c>
      <c r="G1484" s="4">
        <v>33903</v>
      </c>
      <c r="H1484" s="4">
        <v>63382</v>
      </c>
      <c r="I1484" s="6">
        <v>12935.892204046979</v>
      </c>
      <c r="J1484" s="4"/>
      <c r="K1484" s="4"/>
      <c r="L1484" s="4"/>
      <c r="M1484" s="4"/>
      <c r="N1484" s="4"/>
      <c r="O1484" s="4"/>
      <c r="P1484" s="4"/>
      <c r="Q1484" s="4"/>
      <c r="R1484" s="4"/>
      <c r="S1484" s="4"/>
      <c r="T1484" s="4"/>
      <c r="U1484" s="4"/>
      <c r="V1484" s="4"/>
      <c r="W1484" s="4"/>
      <c r="X1484" s="4"/>
      <c r="Y1484" s="4"/>
      <c r="Z1484" s="4"/>
    </row>
    <row r="1485" spans="1:26">
      <c r="A1485" s="5">
        <v>43586</v>
      </c>
      <c r="B1485" s="4" t="s">
        <v>20</v>
      </c>
      <c r="C1485" s="4" t="s">
        <v>18</v>
      </c>
      <c r="D1485" s="4" t="s">
        <v>14</v>
      </c>
      <c r="E1485" s="4" t="s">
        <v>13</v>
      </c>
      <c r="F1485" s="4">
        <v>2959</v>
      </c>
      <c r="G1485" s="4">
        <v>36</v>
      </c>
      <c r="H1485" s="4">
        <v>207</v>
      </c>
      <c r="I1485" s="6">
        <v>347.99096752066112</v>
      </c>
      <c r="J1485" s="4"/>
      <c r="K1485" s="4"/>
      <c r="L1485" s="4"/>
      <c r="M1485" s="4"/>
      <c r="N1485" s="4"/>
      <c r="O1485" s="4"/>
      <c r="P1485" s="4"/>
      <c r="Q1485" s="4"/>
      <c r="R1485" s="4"/>
      <c r="S1485" s="4"/>
      <c r="T1485" s="4"/>
      <c r="U1485" s="4"/>
      <c r="V1485" s="4"/>
      <c r="W1485" s="4"/>
      <c r="X1485" s="4"/>
      <c r="Y1485" s="4"/>
      <c r="Z1485" s="4"/>
    </row>
    <row r="1486" spans="1:26">
      <c r="A1486" s="5">
        <v>43586</v>
      </c>
      <c r="B1486" s="4" t="s">
        <v>20</v>
      </c>
      <c r="C1486" s="4" t="s">
        <v>18</v>
      </c>
      <c r="D1486" s="4" t="s">
        <v>15</v>
      </c>
      <c r="E1486" s="4" t="s">
        <v>12</v>
      </c>
      <c r="F1486" s="4">
        <v>1789610</v>
      </c>
      <c r="G1486" s="4">
        <v>11737</v>
      </c>
      <c r="H1486" s="4">
        <v>22032</v>
      </c>
      <c r="I1486" s="6">
        <v>3591.7746688916927</v>
      </c>
      <c r="J1486" s="4"/>
      <c r="K1486" s="4"/>
      <c r="L1486" s="4"/>
      <c r="M1486" s="4"/>
      <c r="N1486" s="4"/>
      <c r="O1486" s="4"/>
      <c r="P1486" s="4"/>
      <c r="Q1486" s="4"/>
      <c r="R1486" s="4"/>
      <c r="S1486" s="4"/>
      <c r="T1486" s="4"/>
      <c r="U1486" s="4"/>
      <c r="V1486" s="4"/>
      <c r="W1486" s="4"/>
      <c r="X1486" s="4"/>
      <c r="Y1486" s="4"/>
      <c r="Z1486" s="4"/>
    </row>
    <row r="1487" spans="1:26">
      <c r="A1487" s="5">
        <v>43586</v>
      </c>
      <c r="B1487" s="4" t="s">
        <v>20</v>
      </c>
      <c r="C1487" s="4" t="s">
        <v>18</v>
      </c>
      <c r="D1487" s="4" t="s">
        <v>15</v>
      </c>
      <c r="E1487" s="4" t="s">
        <v>13</v>
      </c>
      <c r="F1487" s="4">
        <v>622</v>
      </c>
      <c r="G1487" s="4">
        <v>8</v>
      </c>
      <c r="H1487" s="4">
        <v>25</v>
      </c>
      <c r="I1487" s="6">
        <v>181.45238095238093</v>
      </c>
      <c r="J1487" s="4"/>
      <c r="K1487" s="4"/>
      <c r="L1487" s="4"/>
      <c r="M1487" s="4"/>
      <c r="N1487" s="4"/>
      <c r="O1487" s="4"/>
      <c r="P1487" s="4"/>
      <c r="Q1487" s="4"/>
      <c r="R1487" s="4"/>
      <c r="S1487" s="4"/>
      <c r="T1487" s="4"/>
      <c r="U1487" s="4"/>
      <c r="V1487" s="4"/>
      <c r="W1487" s="4"/>
      <c r="X1487" s="4"/>
      <c r="Y1487" s="4"/>
      <c r="Z1487" s="4"/>
    </row>
    <row r="1488" spans="1:26">
      <c r="A1488" s="5">
        <v>43586</v>
      </c>
      <c r="B1488" s="4" t="s">
        <v>20</v>
      </c>
      <c r="C1488" s="4" t="s">
        <v>18</v>
      </c>
      <c r="D1488" s="4" t="s">
        <v>16</v>
      </c>
      <c r="E1488" s="4" t="s">
        <v>12</v>
      </c>
      <c r="F1488" s="4">
        <v>26319003</v>
      </c>
      <c r="G1488" s="4">
        <v>83920</v>
      </c>
      <c r="H1488" s="4">
        <v>156308</v>
      </c>
      <c r="I1488" s="6">
        <v>51576.599282037743</v>
      </c>
      <c r="J1488" s="4"/>
      <c r="K1488" s="4"/>
      <c r="L1488" s="4"/>
      <c r="M1488" s="4"/>
      <c r="N1488" s="4"/>
      <c r="O1488" s="4"/>
      <c r="P1488" s="4"/>
      <c r="Q1488" s="4"/>
      <c r="R1488" s="4"/>
      <c r="S1488" s="4"/>
      <c r="T1488" s="4"/>
      <c r="U1488" s="4"/>
      <c r="V1488" s="4"/>
      <c r="W1488" s="4"/>
      <c r="X1488" s="4"/>
      <c r="Y1488" s="4"/>
      <c r="Z1488" s="4"/>
    </row>
    <row r="1489" spans="1:26">
      <c r="A1489" s="5">
        <v>43586</v>
      </c>
      <c r="B1489" s="4" t="s">
        <v>20</v>
      </c>
      <c r="C1489" s="4" t="s">
        <v>18</v>
      </c>
      <c r="D1489" s="4" t="s">
        <v>16</v>
      </c>
      <c r="E1489" s="4" t="s">
        <v>13</v>
      </c>
      <c r="F1489" s="4">
        <v>32251</v>
      </c>
      <c r="G1489" s="4">
        <v>104</v>
      </c>
      <c r="H1489" s="4">
        <v>1134</v>
      </c>
      <c r="I1489" s="6">
        <v>1519.5337904468413</v>
      </c>
      <c r="J1489" s="4"/>
      <c r="K1489" s="4"/>
      <c r="L1489" s="4"/>
      <c r="M1489" s="4"/>
      <c r="N1489" s="4"/>
      <c r="O1489" s="4"/>
      <c r="P1489" s="4"/>
      <c r="Q1489" s="4"/>
      <c r="R1489" s="4"/>
      <c r="S1489" s="4"/>
      <c r="T1489" s="4"/>
      <c r="U1489" s="4"/>
      <c r="V1489" s="4"/>
      <c r="W1489" s="4"/>
      <c r="X1489" s="4"/>
      <c r="Y1489" s="4"/>
      <c r="Z1489" s="4"/>
    </row>
    <row r="1490" spans="1:26">
      <c r="A1490" s="5">
        <v>43586</v>
      </c>
      <c r="B1490" s="4" t="s">
        <v>20</v>
      </c>
      <c r="C1490" s="4" t="s">
        <v>18</v>
      </c>
      <c r="D1490" s="4" t="s">
        <v>17</v>
      </c>
      <c r="E1490" s="4" t="s">
        <v>12</v>
      </c>
      <c r="F1490" s="4">
        <v>4637160</v>
      </c>
      <c r="G1490" s="4">
        <v>28333</v>
      </c>
      <c r="H1490" s="4">
        <v>49772</v>
      </c>
      <c r="I1490" s="6">
        <v>16965.215256595071</v>
      </c>
      <c r="J1490" s="4"/>
      <c r="K1490" s="4"/>
      <c r="L1490" s="4"/>
      <c r="M1490" s="4"/>
      <c r="N1490" s="4"/>
      <c r="O1490" s="4"/>
      <c r="P1490" s="4"/>
      <c r="Q1490" s="4"/>
      <c r="R1490" s="4"/>
      <c r="S1490" s="4"/>
      <c r="T1490" s="4"/>
      <c r="U1490" s="4"/>
      <c r="V1490" s="4"/>
      <c r="W1490" s="4"/>
      <c r="X1490" s="4"/>
      <c r="Y1490" s="4"/>
      <c r="Z1490" s="4"/>
    </row>
    <row r="1491" spans="1:26">
      <c r="A1491" s="5">
        <v>43586</v>
      </c>
      <c r="B1491" s="4" t="s">
        <v>20</v>
      </c>
      <c r="C1491" s="4" t="s">
        <v>18</v>
      </c>
      <c r="D1491" s="4" t="s">
        <v>17</v>
      </c>
      <c r="E1491" s="4" t="s">
        <v>13</v>
      </c>
      <c r="F1491" s="4">
        <v>1873</v>
      </c>
      <c r="G1491" s="4">
        <v>28</v>
      </c>
      <c r="H1491" s="4">
        <v>156</v>
      </c>
      <c r="I1491" s="6">
        <v>97.457608695652169</v>
      </c>
      <c r="J1491" s="4"/>
      <c r="K1491" s="4"/>
      <c r="L1491" s="4"/>
      <c r="M1491" s="4"/>
      <c r="N1491" s="4"/>
      <c r="O1491" s="4"/>
      <c r="P1491" s="4"/>
      <c r="Q1491" s="4"/>
      <c r="R1491" s="4"/>
      <c r="S1491" s="4"/>
      <c r="T1491" s="4"/>
      <c r="U1491" s="4"/>
      <c r="V1491" s="4"/>
      <c r="W1491" s="4"/>
      <c r="X1491" s="4"/>
      <c r="Y1491" s="4"/>
      <c r="Z1491" s="4"/>
    </row>
    <row r="1492" spans="1:26">
      <c r="A1492" s="5">
        <v>43586</v>
      </c>
      <c r="B1492" s="4" t="s">
        <v>20</v>
      </c>
      <c r="C1492" s="4" t="s">
        <v>19</v>
      </c>
      <c r="D1492" s="4" t="s">
        <v>11</v>
      </c>
      <c r="E1492" s="4" t="s">
        <v>12</v>
      </c>
      <c r="F1492" s="4">
        <v>915550</v>
      </c>
      <c r="G1492" s="4">
        <v>2711</v>
      </c>
      <c r="H1492" s="4">
        <v>2916</v>
      </c>
      <c r="I1492" s="6">
        <v>10211.152735095267</v>
      </c>
      <c r="J1492" s="4"/>
      <c r="K1492" s="4"/>
      <c r="L1492" s="4"/>
      <c r="M1492" s="4"/>
      <c r="N1492" s="4"/>
      <c r="O1492" s="4"/>
      <c r="P1492" s="4"/>
      <c r="Q1492" s="4"/>
      <c r="R1492" s="4"/>
      <c r="S1492" s="4"/>
      <c r="T1492" s="4"/>
      <c r="U1492" s="4"/>
      <c r="V1492" s="4"/>
      <c r="W1492" s="4"/>
      <c r="X1492" s="4"/>
      <c r="Y1492" s="4"/>
      <c r="Z1492" s="4"/>
    </row>
    <row r="1493" spans="1:26">
      <c r="A1493" s="5">
        <v>43586</v>
      </c>
      <c r="B1493" s="4" t="s">
        <v>20</v>
      </c>
      <c r="C1493" s="4" t="s">
        <v>19</v>
      </c>
      <c r="D1493" s="4" t="s">
        <v>11</v>
      </c>
      <c r="E1493" s="4" t="s">
        <v>13</v>
      </c>
      <c r="F1493" s="4">
        <v>1248</v>
      </c>
      <c r="G1493" s="4">
        <v>48</v>
      </c>
      <c r="H1493" s="4">
        <v>282</v>
      </c>
      <c r="I1493" s="6">
        <v>1328.3291071428573</v>
      </c>
      <c r="J1493" s="4"/>
      <c r="K1493" s="4"/>
      <c r="L1493" s="4"/>
      <c r="M1493" s="4"/>
      <c r="N1493" s="4"/>
      <c r="O1493" s="4"/>
      <c r="P1493" s="4"/>
      <c r="Q1493" s="4"/>
      <c r="R1493" s="4"/>
      <c r="S1493" s="4"/>
      <c r="T1493" s="4"/>
      <c r="U1493" s="4"/>
      <c r="V1493" s="4"/>
      <c r="W1493" s="4"/>
      <c r="X1493" s="4"/>
      <c r="Y1493" s="4"/>
      <c r="Z1493" s="4"/>
    </row>
    <row r="1494" spans="1:26">
      <c r="A1494" s="5">
        <v>43586</v>
      </c>
      <c r="B1494" s="4" t="s">
        <v>20</v>
      </c>
      <c r="C1494" s="4" t="s">
        <v>19</v>
      </c>
      <c r="D1494" s="4" t="s">
        <v>14</v>
      </c>
      <c r="E1494" s="4" t="s">
        <v>12</v>
      </c>
      <c r="F1494" s="4">
        <v>2154212</v>
      </c>
      <c r="G1494" s="4">
        <v>6963</v>
      </c>
      <c r="H1494" s="4">
        <v>7034</v>
      </c>
      <c r="I1494" s="6">
        <v>21618.313707149231</v>
      </c>
      <c r="J1494" s="4"/>
      <c r="K1494" s="4"/>
      <c r="L1494" s="4"/>
      <c r="M1494" s="4"/>
      <c r="N1494" s="4"/>
      <c r="O1494" s="4"/>
      <c r="P1494" s="4"/>
      <c r="Q1494" s="4"/>
      <c r="R1494" s="4"/>
      <c r="S1494" s="4"/>
      <c r="T1494" s="4"/>
      <c r="U1494" s="4"/>
      <c r="V1494" s="4"/>
      <c r="W1494" s="4"/>
      <c r="X1494" s="4"/>
      <c r="Y1494" s="4"/>
      <c r="Z1494" s="4"/>
    </row>
    <row r="1495" spans="1:26">
      <c r="A1495" s="5">
        <v>43586</v>
      </c>
      <c r="B1495" s="4" t="s">
        <v>20</v>
      </c>
      <c r="C1495" s="4" t="s">
        <v>19</v>
      </c>
      <c r="D1495" s="4" t="s">
        <v>14</v>
      </c>
      <c r="E1495" s="4" t="s">
        <v>13</v>
      </c>
      <c r="F1495" s="4">
        <v>3257</v>
      </c>
      <c r="G1495" s="4">
        <v>132</v>
      </c>
      <c r="H1495" s="4">
        <v>547</v>
      </c>
      <c r="I1495" s="6">
        <v>2584.1704662379416</v>
      </c>
      <c r="J1495" s="4"/>
      <c r="K1495" s="4"/>
      <c r="L1495" s="4"/>
      <c r="M1495" s="4"/>
      <c r="N1495" s="4"/>
      <c r="O1495" s="4"/>
      <c r="P1495" s="4"/>
      <c r="Q1495" s="4"/>
      <c r="R1495" s="4"/>
      <c r="S1495" s="4"/>
      <c r="T1495" s="4"/>
      <c r="U1495" s="4"/>
      <c r="V1495" s="4"/>
      <c r="W1495" s="4"/>
      <c r="X1495" s="4"/>
      <c r="Y1495" s="4"/>
      <c r="Z1495" s="4"/>
    </row>
    <row r="1496" spans="1:26">
      <c r="A1496" s="5">
        <v>43586</v>
      </c>
      <c r="B1496" s="4" t="s">
        <v>20</v>
      </c>
      <c r="C1496" s="4" t="s">
        <v>19</v>
      </c>
      <c r="D1496" s="4" t="s">
        <v>15</v>
      </c>
      <c r="E1496" s="4" t="s">
        <v>12</v>
      </c>
      <c r="F1496" s="4">
        <v>560052</v>
      </c>
      <c r="G1496" s="4">
        <v>1895</v>
      </c>
      <c r="H1496" s="4">
        <v>1920</v>
      </c>
      <c r="I1496" s="6">
        <v>6961.3343283582089</v>
      </c>
      <c r="J1496" s="4"/>
      <c r="K1496" s="4"/>
      <c r="L1496" s="4"/>
      <c r="M1496" s="4"/>
      <c r="N1496" s="4"/>
      <c r="O1496" s="4"/>
      <c r="P1496" s="4"/>
      <c r="Q1496" s="4"/>
      <c r="R1496" s="4"/>
      <c r="S1496" s="4"/>
      <c r="T1496" s="4"/>
      <c r="U1496" s="4"/>
      <c r="V1496" s="4"/>
      <c r="W1496" s="4"/>
      <c r="X1496" s="4"/>
      <c r="Y1496" s="4"/>
      <c r="Z1496" s="4"/>
    </row>
    <row r="1497" spans="1:26">
      <c r="A1497" s="5">
        <v>43586</v>
      </c>
      <c r="B1497" s="4" t="s">
        <v>20</v>
      </c>
      <c r="C1497" s="4" t="s">
        <v>19</v>
      </c>
      <c r="D1497" s="4" t="s">
        <v>15</v>
      </c>
      <c r="E1497" s="4" t="s">
        <v>13</v>
      </c>
      <c r="F1497" s="4">
        <v>568</v>
      </c>
      <c r="G1497" s="4">
        <v>23</v>
      </c>
      <c r="H1497" s="4">
        <v>234</v>
      </c>
      <c r="I1497" s="6">
        <v>322.62442105263159</v>
      </c>
      <c r="J1497" s="4"/>
      <c r="K1497" s="4"/>
      <c r="L1497" s="4"/>
      <c r="M1497" s="4"/>
      <c r="N1497" s="4"/>
      <c r="O1497" s="4"/>
      <c r="P1497" s="4"/>
      <c r="Q1497" s="4"/>
      <c r="R1497" s="4"/>
      <c r="S1497" s="4"/>
      <c r="T1497" s="4"/>
      <c r="U1497" s="4"/>
      <c r="V1497" s="4"/>
      <c r="W1497" s="4"/>
      <c r="X1497" s="4"/>
      <c r="Y1497" s="4"/>
      <c r="Z1497" s="4"/>
    </row>
    <row r="1498" spans="1:26">
      <c r="A1498" s="5">
        <v>43586</v>
      </c>
      <c r="B1498" s="4" t="s">
        <v>20</v>
      </c>
      <c r="C1498" s="4" t="s">
        <v>19</v>
      </c>
      <c r="D1498" s="4" t="s">
        <v>16</v>
      </c>
      <c r="E1498" s="4" t="s">
        <v>12</v>
      </c>
      <c r="F1498" s="4">
        <v>5029750</v>
      </c>
      <c r="G1498" s="4">
        <v>13635</v>
      </c>
      <c r="H1498" s="4">
        <v>13980</v>
      </c>
      <c r="I1498" s="6">
        <v>64910.676194752705</v>
      </c>
      <c r="J1498" s="4"/>
      <c r="K1498" s="4"/>
      <c r="L1498" s="4"/>
      <c r="M1498" s="4"/>
      <c r="N1498" s="4"/>
      <c r="O1498" s="4"/>
      <c r="P1498" s="4"/>
      <c r="Q1498" s="4"/>
      <c r="R1498" s="4"/>
      <c r="S1498" s="4"/>
      <c r="T1498" s="4"/>
      <c r="U1498" s="4"/>
      <c r="V1498" s="4"/>
      <c r="W1498" s="4"/>
      <c r="X1498" s="4"/>
      <c r="Y1498" s="4"/>
      <c r="Z1498" s="4"/>
    </row>
    <row r="1499" spans="1:26">
      <c r="A1499" s="5">
        <v>43586</v>
      </c>
      <c r="B1499" s="4" t="s">
        <v>20</v>
      </c>
      <c r="C1499" s="4" t="s">
        <v>19</v>
      </c>
      <c r="D1499" s="4" t="s">
        <v>16</v>
      </c>
      <c r="E1499" s="4" t="s">
        <v>13</v>
      </c>
      <c r="F1499" s="4">
        <v>4998</v>
      </c>
      <c r="G1499" s="4">
        <v>201</v>
      </c>
      <c r="H1499" s="4">
        <v>1030</v>
      </c>
      <c r="I1499" s="6">
        <v>6222.2044482463634</v>
      </c>
      <c r="J1499" s="4"/>
      <c r="K1499" s="4"/>
      <c r="L1499" s="4"/>
      <c r="M1499" s="4"/>
      <c r="N1499" s="4"/>
      <c r="O1499" s="4"/>
      <c r="P1499" s="4"/>
      <c r="Q1499" s="4"/>
      <c r="R1499" s="4"/>
      <c r="S1499" s="4"/>
      <c r="T1499" s="4"/>
      <c r="U1499" s="4"/>
      <c r="V1499" s="4"/>
      <c r="W1499" s="4"/>
      <c r="X1499" s="4"/>
      <c r="Y1499" s="4"/>
      <c r="Z1499" s="4"/>
    </row>
    <row r="1500" spans="1:26">
      <c r="A1500" s="5">
        <v>43586</v>
      </c>
      <c r="B1500" s="4" t="s">
        <v>20</v>
      </c>
      <c r="C1500" s="4" t="s">
        <v>19</v>
      </c>
      <c r="D1500" s="4" t="s">
        <v>17</v>
      </c>
      <c r="E1500" s="4" t="s">
        <v>12</v>
      </c>
      <c r="F1500" s="4">
        <v>1537586</v>
      </c>
      <c r="G1500" s="4">
        <v>4839</v>
      </c>
      <c r="H1500" s="4">
        <v>4885</v>
      </c>
      <c r="I1500" s="6">
        <v>19334.353064782528</v>
      </c>
      <c r="J1500" s="4"/>
      <c r="K1500" s="4"/>
      <c r="L1500" s="4"/>
      <c r="M1500" s="4"/>
      <c r="N1500" s="4"/>
      <c r="O1500" s="4"/>
      <c r="P1500" s="4"/>
      <c r="Q1500" s="4"/>
      <c r="R1500" s="4"/>
      <c r="S1500" s="4"/>
      <c r="T1500" s="4"/>
      <c r="U1500" s="4"/>
      <c r="V1500" s="4"/>
      <c r="W1500" s="4"/>
      <c r="X1500" s="4"/>
      <c r="Y1500" s="4"/>
      <c r="Z1500" s="4"/>
    </row>
    <row r="1501" spans="1:26">
      <c r="A1501" s="5">
        <v>43586</v>
      </c>
      <c r="B1501" s="4" t="s">
        <v>20</v>
      </c>
      <c r="C1501" s="4" t="s">
        <v>19</v>
      </c>
      <c r="D1501" s="4" t="s">
        <v>17</v>
      </c>
      <c r="E1501" s="4" t="s">
        <v>13</v>
      </c>
      <c r="F1501" s="4">
        <v>1791</v>
      </c>
      <c r="G1501" s="4">
        <v>62</v>
      </c>
      <c r="H1501" s="4">
        <v>732</v>
      </c>
      <c r="I1501" s="6">
        <v>1592.8285101311085</v>
      </c>
      <c r="J1501" s="4"/>
      <c r="K1501" s="4"/>
      <c r="L1501" s="4"/>
      <c r="M1501" s="4"/>
      <c r="N1501" s="4"/>
      <c r="O1501" s="4"/>
      <c r="P1501" s="4"/>
      <c r="Q1501" s="4"/>
      <c r="R1501" s="4"/>
      <c r="S1501" s="4"/>
      <c r="T1501" s="4"/>
      <c r="U1501" s="4"/>
      <c r="V1501" s="4"/>
      <c r="W1501" s="4"/>
      <c r="X1501" s="4"/>
      <c r="Y1501" s="4"/>
      <c r="Z1501" s="4"/>
    </row>
    <row r="1502" spans="1:26">
      <c r="A1502" s="5">
        <v>43586</v>
      </c>
      <c r="B1502" s="4" t="s">
        <v>21</v>
      </c>
      <c r="C1502" s="4" t="s">
        <v>10</v>
      </c>
      <c r="D1502" s="4" t="s">
        <v>11</v>
      </c>
      <c r="E1502" s="4" t="s">
        <v>12</v>
      </c>
      <c r="F1502" s="4">
        <v>1603343</v>
      </c>
      <c r="G1502" s="4">
        <v>12800</v>
      </c>
      <c r="H1502" s="4">
        <v>16058</v>
      </c>
      <c r="I1502" s="6">
        <v>23894.905749022673</v>
      </c>
      <c r="J1502" s="4"/>
      <c r="K1502" s="4"/>
      <c r="L1502" s="4"/>
      <c r="M1502" s="4"/>
      <c r="N1502" s="4"/>
      <c r="O1502" s="4"/>
      <c r="P1502" s="4"/>
      <c r="Q1502" s="4"/>
      <c r="R1502" s="4"/>
      <c r="S1502" s="4"/>
      <c r="T1502" s="4"/>
      <c r="U1502" s="4"/>
      <c r="V1502" s="4"/>
      <c r="W1502" s="4"/>
      <c r="X1502" s="4"/>
      <c r="Y1502" s="4"/>
      <c r="Z1502" s="4"/>
    </row>
    <row r="1503" spans="1:26">
      <c r="A1503" s="5">
        <v>43586</v>
      </c>
      <c r="B1503" s="4" t="s">
        <v>21</v>
      </c>
      <c r="C1503" s="4" t="s">
        <v>10</v>
      </c>
      <c r="D1503" s="4" t="s">
        <v>11</v>
      </c>
      <c r="E1503" s="4" t="s">
        <v>13</v>
      </c>
      <c r="F1503" s="4">
        <v>19263</v>
      </c>
      <c r="G1503" s="4">
        <v>1114</v>
      </c>
      <c r="H1503" s="4">
        <v>18746</v>
      </c>
      <c r="I1503" s="6">
        <v>103645.80478456101</v>
      </c>
      <c r="J1503" s="4"/>
      <c r="K1503" s="4"/>
      <c r="L1503" s="4"/>
      <c r="M1503" s="4"/>
      <c r="N1503" s="4"/>
      <c r="O1503" s="4"/>
      <c r="P1503" s="4"/>
      <c r="Q1503" s="4"/>
      <c r="R1503" s="4"/>
      <c r="S1503" s="4"/>
      <c r="T1503" s="4"/>
      <c r="U1503" s="4"/>
      <c r="V1503" s="4"/>
      <c r="W1503" s="4"/>
      <c r="X1503" s="4"/>
      <c r="Y1503" s="4"/>
      <c r="Z1503" s="4"/>
    </row>
    <row r="1504" spans="1:26">
      <c r="A1504" s="5">
        <v>43586</v>
      </c>
      <c r="B1504" s="4" t="s">
        <v>21</v>
      </c>
      <c r="C1504" s="4" t="s">
        <v>10</v>
      </c>
      <c r="D1504" s="4" t="s">
        <v>14</v>
      </c>
      <c r="E1504" s="4" t="s">
        <v>12</v>
      </c>
      <c r="F1504" s="4">
        <v>2464061</v>
      </c>
      <c r="G1504" s="4">
        <v>14883</v>
      </c>
      <c r="H1504" s="4">
        <v>16960</v>
      </c>
      <c r="I1504" s="6">
        <v>36038.690693739423</v>
      </c>
      <c r="J1504" s="4"/>
      <c r="K1504" s="4"/>
      <c r="L1504" s="4"/>
      <c r="M1504" s="4"/>
      <c r="N1504" s="4"/>
      <c r="O1504" s="4"/>
      <c r="P1504" s="4"/>
      <c r="Q1504" s="4"/>
      <c r="R1504" s="4"/>
      <c r="S1504" s="4"/>
      <c r="T1504" s="4"/>
      <c r="U1504" s="4"/>
      <c r="V1504" s="4"/>
      <c r="W1504" s="4"/>
      <c r="X1504" s="4"/>
      <c r="Y1504" s="4"/>
      <c r="Z1504" s="4"/>
    </row>
    <row r="1505" spans="1:26">
      <c r="A1505" s="5">
        <v>43586</v>
      </c>
      <c r="B1505" s="4" t="s">
        <v>21</v>
      </c>
      <c r="C1505" s="4" t="s">
        <v>10</v>
      </c>
      <c r="D1505" s="4" t="s">
        <v>14</v>
      </c>
      <c r="E1505" s="4" t="s">
        <v>13</v>
      </c>
      <c r="F1505" s="4">
        <v>23311</v>
      </c>
      <c r="G1505" s="4">
        <v>1463</v>
      </c>
      <c r="H1505" s="4">
        <v>20107</v>
      </c>
      <c r="I1505" s="6">
        <v>122519.79933742987</v>
      </c>
      <c r="J1505" s="4"/>
      <c r="K1505" s="4"/>
      <c r="L1505" s="4"/>
      <c r="M1505" s="4"/>
      <c r="N1505" s="4"/>
      <c r="O1505" s="4"/>
      <c r="P1505" s="4"/>
      <c r="Q1505" s="4"/>
      <c r="R1505" s="4"/>
      <c r="S1505" s="4"/>
      <c r="T1505" s="4"/>
      <c r="U1505" s="4"/>
      <c r="V1505" s="4"/>
      <c r="W1505" s="4"/>
      <c r="X1505" s="4"/>
      <c r="Y1505" s="4"/>
      <c r="Z1505" s="4"/>
    </row>
    <row r="1506" spans="1:26">
      <c r="A1506" s="5">
        <v>43586</v>
      </c>
      <c r="B1506" s="4" t="s">
        <v>21</v>
      </c>
      <c r="C1506" s="4" t="s">
        <v>10</v>
      </c>
      <c r="D1506" s="4" t="s">
        <v>15</v>
      </c>
      <c r="E1506" s="4" t="s">
        <v>12</v>
      </c>
      <c r="F1506" s="4">
        <v>654449</v>
      </c>
      <c r="G1506" s="4">
        <v>4110</v>
      </c>
      <c r="H1506" s="4">
        <v>4824</v>
      </c>
      <c r="I1506" s="6">
        <v>8882.0936454849489</v>
      </c>
      <c r="J1506" s="4"/>
      <c r="K1506" s="4"/>
      <c r="L1506" s="4"/>
      <c r="M1506" s="4"/>
      <c r="N1506" s="4"/>
      <c r="O1506" s="4"/>
      <c r="P1506" s="4"/>
      <c r="Q1506" s="4"/>
      <c r="R1506" s="4"/>
      <c r="S1506" s="4"/>
      <c r="T1506" s="4"/>
      <c r="U1506" s="4"/>
      <c r="V1506" s="4"/>
      <c r="W1506" s="4"/>
      <c r="X1506" s="4"/>
      <c r="Y1506" s="4"/>
      <c r="Z1506" s="4"/>
    </row>
    <row r="1507" spans="1:26">
      <c r="A1507" s="5">
        <v>43586</v>
      </c>
      <c r="B1507" s="4" t="s">
        <v>21</v>
      </c>
      <c r="C1507" s="4" t="s">
        <v>10</v>
      </c>
      <c r="D1507" s="4" t="s">
        <v>15</v>
      </c>
      <c r="E1507" s="4" t="s">
        <v>13</v>
      </c>
      <c r="F1507" s="4">
        <v>5731</v>
      </c>
      <c r="G1507" s="4">
        <v>373</v>
      </c>
      <c r="H1507" s="4">
        <v>4060</v>
      </c>
      <c r="I1507" s="6">
        <v>29791.649769787331</v>
      </c>
      <c r="J1507" s="4"/>
      <c r="K1507" s="4"/>
      <c r="L1507" s="4"/>
      <c r="M1507" s="4"/>
      <c r="N1507" s="4"/>
      <c r="O1507" s="4"/>
      <c r="P1507" s="4"/>
      <c r="Q1507" s="4"/>
      <c r="R1507" s="4"/>
      <c r="S1507" s="4"/>
      <c r="T1507" s="4"/>
      <c r="U1507" s="4"/>
      <c r="V1507" s="4"/>
      <c r="W1507" s="4"/>
      <c r="X1507" s="4"/>
      <c r="Y1507" s="4"/>
      <c r="Z1507" s="4"/>
    </row>
    <row r="1508" spans="1:26">
      <c r="A1508" s="5">
        <v>43586</v>
      </c>
      <c r="B1508" s="4" t="s">
        <v>21</v>
      </c>
      <c r="C1508" s="4" t="s">
        <v>10</v>
      </c>
      <c r="D1508" s="4" t="s">
        <v>16</v>
      </c>
      <c r="E1508" s="4" t="s">
        <v>12</v>
      </c>
      <c r="F1508" s="4">
        <v>8345212</v>
      </c>
      <c r="G1508" s="4">
        <v>67804</v>
      </c>
      <c r="H1508" s="4">
        <v>75095</v>
      </c>
      <c r="I1508" s="6">
        <v>184418.35786365211</v>
      </c>
      <c r="J1508" s="4"/>
      <c r="K1508" s="4"/>
      <c r="L1508" s="4"/>
      <c r="M1508" s="4"/>
      <c r="N1508" s="4"/>
      <c r="O1508" s="4"/>
      <c r="P1508" s="4"/>
      <c r="Q1508" s="4"/>
      <c r="R1508" s="4"/>
      <c r="S1508" s="4"/>
      <c r="T1508" s="4"/>
      <c r="U1508" s="4"/>
      <c r="V1508" s="4"/>
      <c r="W1508" s="4"/>
      <c r="X1508" s="4"/>
      <c r="Y1508" s="4"/>
      <c r="Z1508" s="4"/>
    </row>
    <row r="1509" spans="1:26">
      <c r="A1509" s="5">
        <v>43586</v>
      </c>
      <c r="B1509" s="4" t="s">
        <v>21</v>
      </c>
      <c r="C1509" s="4" t="s">
        <v>10</v>
      </c>
      <c r="D1509" s="4" t="s">
        <v>16</v>
      </c>
      <c r="E1509" s="4" t="s">
        <v>13</v>
      </c>
      <c r="F1509" s="4">
        <v>102466</v>
      </c>
      <c r="G1509" s="4">
        <v>7162</v>
      </c>
      <c r="H1509" s="4">
        <v>103182</v>
      </c>
      <c r="I1509" s="6">
        <v>580277.15029587341</v>
      </c>
      <c r="J1509" s="4"/>
      <c r="K1509" s="4"/>
      <c r="L1509" s="4"/>
      <c r="M1509" s="4"/>
      <c r="N1509" s="4"/>
      <c r="O1509" s="4"/>
      <c r="P1509" s="4"/>
      <c r="Q1509" s="4"/>
      <c r="R1509" s="4"/>
      <c r="S1509" s="4"/>
      <c r="T1509" s="4"/>
      <c r="U1509" s="4"/>
      <c r="V1509" s="4"/>
      <c r="W1509" s="4"/>
      <c r="X1509" s="4"/>
      <c r="Y1509" s="4"/>
      <c r="Z1509" s="4"/>
    </row>
    <row r="1510" spans="1:26">
      <c r="A1510" s="5">
        <v>43586</v>
      </c>
      <c r="B1510" s="4" t="s">
        <v>21</v>
      </c>
      <c r="C1510" s="4" t="s">
        <v>10</v>
      </c>
      <c r="D1510" s="4" t="s">
        <v>17</v>
      </c>
      <c r="E1510" s="4" t="s">
        <v>12</v>
      </c>
      <c r="F1510" s="4">
        <v>2729700</v>
      </c>
      <c r="G1510" s="4">
        <v>28152</v>
      </c>
      <c r="H1510" s="4">
        <v>30735</v>
      </c>
      <c r="I1510" s="6">
        <v>76041.514711546886</v>
      </c>
      <c r="J1510" s="4"/>
      <c r="K1510" s="4"/>
      <c r="L1510" s="4"/>
      <c r="M1510" s="4"/>
      <c r="N1510" s="4"/>
      <c r="O1510" s="4"/>
      <c r="P1510" s="4"/>
      <c r="Q1510" s="4"/>
      <c r="R1510" s="4"/>
      <c r="S1510" s="4"/>
      <c r="T1510" s="4"/>
      <c r="U1510" s="4"/>
      <c r="V1510" s="4"/>
      <c r="W1510" s="4"/>
      <c r="X1510" s="4"/>
      <c r="Y1510" s="4"/>
      <c r="Z1510" s="4"/>
    </row>
    <row r="1511" spans="1:26">
      <c r="A1511" s="5">
        <v>43586</v>
      </c>
      <c r="B1511" s="4" t="s">
        <v>21</v>
      </c>
      <c r="C1511" s="4" t="s">
        <v>10</v>
      </c>
      <c r="D1511" s="4" t="s">
        <v>17</v>
      </c>
      <c r="E1511" s="4" t="s">
        <v>13</v>
      </c>
      <c r="F1511" s="4">
        <v>39153</v>
      </c>
      <c r="G1511" s="4">
        <v>3169</v>
      </c>
      <c r="H1511" s="4">
        <v>45809</v>
      </c>
      <c r="I1511" s="6">
        <v>250850.084</v>
      </c>
      <c r="J1511" s="4"/>
      <c r="K1511" s="4"/>
      <c r="L1511" s="4"/>
      <c r="M1511" s="4"/>
      <c r="N1511" s="4"/>
      <c r="O1511" s="4"/>
      <c r="P1511" s="4"/>
      <c r="Q1511" s="4"/>
      <c r="R1511" s="4"/>
      <c r="S1511" s="4"/>
      <c r="T1511" s="4"/>
      <c r="U1511" s="4"/>
      <c r="V1511" s="4"/>
      <c r="W1511" s="4"/>
      <c r="X1511" s="4"/>
      <c r="Y1511" s="4"/>
      <c r="Z1511" s="4"/>
    </row>
    <row r="1512" spans="1:26">
      <c r="A1512" s="5">
        <v>43586</v>
      </c>
      <c r="B1512" s="4" t="s">
        <v>21</v>
      </c>
      <c r="C1512" s="4" t="s">
        <v>18</v>
      </c>
      <c r="D1512" s="4" t="s">
        <v>11</v>
      </c>
      <c r="E1512" s="4" t="s">
        <v>12</v>
      </c>
      <c r="F1512" s="4">
        <v>1874552</v>
      </c>
      <c r="G1512" s="4">
        <v>33117</v>
      </c>
      <c r="H1512" s="4">
        <v>144074</v>
      </c>
      <c r="I1512" s="6">
        <v>76779.229541809866</v>
      </c>
      <c r="J1512" s="4"/>
      <c r="K1512" s="4"/>
      <c r="L1512" s="4"/>
      <c r="M1512" s="4"/>
      <c r="N1512" s="4"/>
      <c r="O1512" s="4"/>
      <c r="P1512" s="4"/>
      <c r="Q1512" s="4"/>
      <c r="R1512" s="4"/>
      <c r="S1512" s="4"/>
      <c r="T1512" s="4"/>
      <c r="U1512" s="4"/>
      <c r="V1512" s="4"/>
      <c r="W1512" s="4"/>
      <c r="X1512" s="4"/>
      <c r="Y1512" s="4"/>
      <c r="Z1512" s="4"/>
    </row>
    <row r="1513" spans="1:26">
      <c r="A1513" s="5">
        <v>43586</v>
      </c>
      <c r="B1513" s="4" t="s">
        <v>21</v>
      </c>
      <c r="C1513" s="4" t="s">
        <v>18</v>
      </c>
      <c r="D1513" s="4" t="s">
        <v>11</v>
      </c>
      <c r="E1513" s="4" t="s">
        <v>13</v>
      </c>
      <c r="F1513" s="4">
        <v>13231</v>
      </c>
      <c r="G1513" s="4">
        <v>387</v>
      </c>
      <c r="H1513" s="4">
        <v>17157</v>
      </c>
      <c r="I1513" s="6">
        <v>13563.080649654385</v>
      </c>
      <c r="J1513" s="4"/>
      <c r="K1513" s="4"/>
      <c r="L1513" s="4"/>
      <c r="M1513" s="4"/>
      <c r="N1513" s="4"/>
      <c r="O1513" s="4"/>
      <c r="P1513" s="4"/>
      <c r="Q1513" s="4"/>
      <c r="R1513" s="4"/>
      <c r="S1513" s="4"/>
      <c r="T1513" s="4"/>
      <c r="U1513" s="4"/>
      <c r="V1513" s="4"/>
      <c r="W1513" s="4"/>
      <c r="X1513" s="4"/>
      <c r="Y1513" s="4"/>
      <c r="Z1513" s="4"/>
    </row>
    <row r="1514" spans="1:26">
      <c r="A1514" s="5">
        <v>43586</v>
      </c>
      <c r="B1514" s="4" t="s">
        <v>21</v>
      </c>
      <c r="C1514" s="4" t="s">
        <v>18</v>
      </c>
      <c r="D1514" s="4" t="s">
        <v>14</v>
      </c>
      <c r="E1514" s="4" t="s">
        <v>12</v>
      </c>
      <c r="F1514" s="4">
        <v>2942325</v>
      </c>
      <c r="G1514" s="4">
        <v>47200</v>
      </c>
      <c r="H1514" s="4">
        <v>176766</v>
      </c>
      <c r="I1514" s="6">
        <v>84766.49157522466</v>
      </c>
      <c r="J1514" s="4"/>
      <c r="K1514" s="4"/>
      <c r="L1514" s="4"/>
      <c r="M1514" s="4"/>
      <c r="N1514" s="4"/>
      <c r="O1514" s="4"/>
      <c r="P1514" s="4"/>
      <c r="Q1514" s="4"/>
      <c r="R1514" s="4"/>
      <c r="S1514" s="4"/>
      <c r="T1514" s="4"/>
      <c r="U1514" s="4"/>
      <c r="V1514" s="4"/>
      <c r="W1514" s="4"/>
      <c r="X1514" s="4"/>
      <c r="Y1514" s="4"/>
      <c r="Z1514" s="4"/>
    </row>
    <row r="1515" spans="1:26">
      <c r="A1515" s="5">
        <v>43586</v>
      </c>
      <c r="B1515" s="4" t="s">
        <v>21</v>
      </c>
      <c r="C1515" s="4" t="s">
        <v>18</v>
      </c>
      <c r="D1515" s="4" t="s">
        <v>14</v>
      </c>
      <c r="E1515" s="4" t="s">
        <v>13</v>
      </c>
      <c r="F1515" s="4">
        <v>17199</v>
      </c>
      <c r="G1515" s="4">
        <v>440</v>
      </c>
      <c r="H1515" s="4">
        <v>10570</v>
      </c>
      <c r="I1515" s="6">
        <v>13325.175126903552</v>
      </c>
      <c r="J1515" s="4"/>
      <c r="K1515" s="4"/>
      <c r="L1515" s="4"/>
      <c r="M1515" s="4"/>
      <c r="N1515" s="4"/>
      <c r="O1515" s="4"/>
      <c r="P1515" s="4"/>
      <c r="Q1515" s="4"/>
      <c r="R1515" s="4"/>
      <c r="S1515" s="4"/>
      <c r="T1515" s="4"/>
      <c r="U1515" s="4"/>
      <c r="V1515" s="4"/>
      <c r="W1515" s="4"/>
      <c r="X1515" s="4"/>
      <c r="Y1515" s="4"/>
      <c r="Z1515" s="4"/>
    </row>
    <row r="1516" spans="1:26">
      <c r="A1516" s="5">
        <v>43586</v>
      </c>
      <c r="B1516" s="4" t="s">
        <v>21</v>
      </c>
      <c r="C1516" s="4" t="s">
        <v>18</v>
      </c>
      <c r="D1516" s="4" t="s">
        <v>15</v>
      </c>
      <c r="E1516" s="4" t="s">
        <v>12</v>
      </c>
      <c r="F1516" s="4">
        <v>1016334</v>
      </c>
      <c r="G1516" s="4">
        <v>14805</v>
      </c>
      <c r="H1516" s="4">
        <v>70726</v>
      </c>
      <c r="I1516" s="6">
        <v>22536.58920638543</v>
      </c>
      <c r="J1516" s="4"/>
      <c r="K1516" s="4"/>
      <c r="L1516" s="4"/>
      <c r="M1516" s="4"/>
      <c r="N1516" s="4"/>
      <c r="O1516" s="4"/>
      <c r="P1516" s="4"/>
      <c r="Q1516" s="4"/>
      <c r="R1516" s="4"/>
      <c r="S1516" s="4"/>
      <c r="T1516" s="4"/>
      <c r="U1516" s="4"/>
      <c r="V1516" s="4"/>
      <c r="W1516" s="4"/>
      <c r="X1516" s="4"/>
      <c r="Y1516" s="4"/>
      <c r="Z1516" s="4"/>
    </row>
    <row r="1517" spans="1:26">
      <c r="A1517" s="5">
        <v>43586</v>
      </c>
      <c r="B1517" s="4" t="s">
        <v>21</v>
      </c>
      <c r="C1517" s="4" t="s">
        <v>18</v>
      </c>
      <c r="D1517" s="4" t="s">
        <v>15</v>
      </c>
      <c r="E1517" s="4" t="s">
        <v>13</v>
      </c>
      <c r="F1517" s="4">
        <v>5268</v>
      </c>
      <c r="G1517" s="4">
        <v>166</v>
      </c>
      <c r="H1517" s="4">
        <v>4324</v>
      </c>
      <c r="I1517" s="6">
        <v>2360.8174846876277</v>
      </c>
      <c r="J1517" s="4"/>
      <c r="K1517" s="4"/>
      <c r="L1517" s="4"/>
      <c r="M1517" s="4"/>
      <c r="N1517" s="4"/>
      <c r="O1517" s="4"/>
      <c r="P1517" s="4"/>
      <c r="Q1517" s="4"/>
      <c r="R1517" s="4"/>
      <c r="S1517" s="4"/>
      <c r="T1517" s="4"/>
      <c r="U1517" s="4"/>
      <c r="V1517" s="4"/>
      <c r="W1517" s="4"/>
      <c r="X1517" s="4"/>
      <c r="Y1517" s="4"/>
      <c r="Z1517" s="4"/>
    </row>
    <row r="1518" spans="1:26">
      <c r="A1518" s="5">
        <v>43586</v>
      </c>
      <c r="B1518" s="4" t="s">
        <v>21</v>
      </c>
      <c r="C1518" s="4" t="s">
        <v>18</v>
      </c>
      <c r="D1518" s="4" t="s">
        <v>16</v>
      </c>
      <c r="E1518" s="4" t="s">
        <v>12</v>
      </c>
      <c r="F1518" s="4">
        <v>25771693</v>
      </c>
      <c r="G1518" s="4">
        <v>144095</v>
      </c>
      <c r="H1518" s="4">
        <v>515065</v>
      </c>
      <c r="I1518" s="6">
        <v>326228.55260706175</v>
      </c>
      <c r="J1518" s="4"/>
      <c r="K1518" s="4"/>
      <c r="L1518" s="4"/>
      <c r="M1518" s="4"/>
      <c r="N1518" s="4"/>
      <c r="O1518" s="4"/>
      <c r="P1518" s="4"/>
      <c r="Q1518" s="4"/>
      <c r="R1518" s="4"/>
      <c r="S1518" s="4"/>
      <c r="T1518" s="4"/>
      <c r="U1518" s="4"/>
      <c r="V1518" s="4"/>
      <c r="W1518" s="4"/>
      <c r="X1518" s="4"/>
      <c r="Y1518" s="4"/>
      <c r="Z1518" s="4"/>
    </row>
    <row r="1519" spans="1:26">
      <c r="A1519" s="5">
        <v>43586</v>
      </c>
      <c r="B1519" s="4" t="s">
        <v>21</v>
      </c>
      <c r="C1519" s="4" t="s">
        <v>18</v>
      </c>
      <c r="D1519" s="4" t="s">
        <v>16</v>
      </c>
      <c r="E1519" s="4" t="s">
        <v>13</v>
      </c>
      <c r="F1519" s="4">
        <v>678742</v>
      </c>
      <c r="G1519" s="4">
        <v>1522</v>
      </c>
      <c r="H1519" s="4">
        <v>53321</v>
      </c>
      <c r="I1519" s="6">
        <v>39517.845963262698</v>
      </c>
      <c r="J1519" s="4"/>
      <c r="K1519" s="4"/>
      <c r="L1519" s="4"/>
      <c r="M1519" s="4"/>
      <c r="N1519" s="4"/>
      <c r="O1519" s="4"/>
      <c r="P1519" s="4"/>
      <c r="Q1519" s="4"/>
      <c r="R1519" s="4"/>
      <c r="S1519" s="4"/>
      <c r="T1519" s="4"/>
      <c r="U1519" s="4"/>
      <c r="V1519" s="4"/>
      <c r="W1519" s="4"/>
      <c r="X1519" s="4"/>
      <c r="Y1519" s="4"/>
      <c r="Z1519" s="4"/>
    </row>
    <row r="1520" spans="1:26">
      <c r="A1520" s="5">
        <v>43586</v>
      </c>
      <c r="B1520" s="4" t="s">
        <v>21</v>
      </c>
      <c r="C1520" s="4" t="s">
        <v>18</v>
      </c>
      <c r="D1520" s="4" t="s">
        <v>17</v>
      </c>
      <c r="E1520" s="4" t="s">
        <v>12</v>
      </c>
      <c r="F1520" s="4">
        <v>3420835</v>
      </c>
      <c r="G1520" s="4">
        <v>52605</v>
      </c>
      <c r="H1520" s="4">
        <v>173415</v>
      </c>
      <c r="I1520" s="6">
        <v>123693.43491210105</v>
      </c>
      <c r="J1520" s="4"/>
      <c r="K1520" s="4"/>
      <c r="L1520" s="4"/>
      <c r="M1520" s="4"/>
      <c r="N1520" s="4"/>
      <c r="O1520" s="4"/>
      <c r="P1520" s="4"/>
      <c r="Q1520" s="4"/>
      <c r="R1520" s="4"/>
      <c r="S1520" s="4"/>
      <c r="T1520" s="4"/>
      <c r="U1520" s="4"/>
      <c r="V1520" s="4"/>
      <c r="W1520" s="4"/>
      <c r="X1520" s="4"/>
      <c r="Y1520" s="4"/>
      <c r="Z1520" s="4"/>
    </row>
    <row r="1521" spans="1:26">
      <c r="A1521" s="5">
        <v>43586</v>
      </c>
      <c r="B1521" s="4" t="s">
        <v>21</v>
      </c>
      <c r="C1521" s="4" t="s">
        <v>18</v>
      </c>
      <c r="D1521" s="4" t="s">
        <v>17</v>
      </c>
      <c r="E1521" s="4" t="s">
        <v>13</v>
      </c>
      <c r="F1521" s="4">
        <v>30975</v>
      </c>
      <c r="G1521" s="4">
        <v>735</v>
      </c>
      <c r="H1521" s="4">
        <v>27619</v>
      </c>
      <c r="I1521" s="6">
        <v>22186.60763281427</v>
      </c>
      <c r="J1521" s="4"/>
      <c r="K1521" s="4"/>
      <c r="L1521" s="4"/>
      <c r="M1521" s="4"/>
      <c r="N1521" s="4"/>
      <c r="O1521" s="4"/>
      <c r="P1521" s="4"/>
      <c r="Q1521" s="4"/>
      <c r="R1521" s="4"/>
      <c r="S1521" s="4"/>
      <c r="T1521" s="4"/>
      <c r="U1521" s="4"/>
      <c r="V1521" s="4"/>
      <c r="W1521" s="4"/>
      <c r="X1521" s="4"/>
      <c r="Y1521" s="4"/>
      <c r="Z1521" s="4"/>
    </row>
    <row r="1522" spans="1:26">
      <c r="A1522" s="5">
        <v>43586</v>
      </c>
      <c r="B1522" s="4" t="s">
        <v>21</v>
      </c>
      <c r="C1522" s="4" t="s">
        <v>19</v>
      </c>
      <c r="D1522" s="4" t="s">
        <v>11</v>
      </c>
      <c r="E1522" s="4" t="s">
        <v>12</v>
      </c>
      <c r="F1522" s="4">
        <v>648552</v>
      </c>
      <c r="G1522" s="4">
        <v>8941</v>
      </c>
      <c r="H1522" s="4">
        <v>9264</v>
      </c>
      <c r="I1522" s="6">
        <v>98187.425226480831</v>
      </c>
      <c r="J1522" s="4"/>
      <c r="K1522" s="4"/>
      <c r="L1522" s="4"/>
      <c r="M1522" s="4"/>
      <c r="N1522" s="4"/>
      <c r="O1522" s="4"/>
      <c r="P1522" s="4"/>
      <c r="Q1522" s="4"/>
      <c r="R1522" s="4"/>
      <c r="S1522" s="4"/>
      <c r="T1522" s="4"/>
      <c r="U1522" s="4"/>
      <c r="V1522" s="4"/>
      <c r="W1522" s="4"/>
      <c r="X1522" s="4"/>
      <c r="Y1522" s="4"/>
      <c r="Z1522" s="4"/>
    </row>
    <row r="1523" spans="1:26">
      <c r="A1523" s="5">
        <v>43586</v>
      </c>
      <c r="B1523" s="4" t="s">
        <v>21</v>
      </c>
      <c r="C1523" s="4" t="s">
        <v>19</v>
      </c>
      <c r="D1523" s="4" t="s">
        <v>11</v>
      </c>
      <c r="E1523" s="4" t="s">
        <v>13</v>
      </c>
      <c r="F1523" s="4">
        <v>16980</v>
      </c>
      <c r="G1523" s="4">
        <v>1443</v>
      </c>
      <c r="H1523" s="4">
        <v>42461</v>
      </c>
      <c r="I1523" s="6">
        <v>24224.065846650079</v>
      </c>
      <c r="J1523" s="4"/>
      <c r="K1523" s="4"/>
      <c r="L1523" s="4"/>
      <c r="M1523" s="4"/>
      <c r="N1523" s="4"/>
      <c r="O1523" s="4"/>
      <c r="P1523" s="4"/>
      <c r="Q1523" s="4"/>
      <c r="R1523" s="4"/>
      <c r="S1523" s="4"/>
      <c r="T1523" s="4"/>
      <c r="U1523" s="4"/>
      <c r="V1523" s="4"/>
      <c r="W1523" s="4"/>
      <c r="X1523" s="4"/>
      <c r="Y1523" s="4"/>
      <c r="Z1523" s="4"/>
    </row>
    <row r="1524" spans="1:26">
      <c r="A1524" s="5">
        <v>43586</v>
      </c>
      <c r="B1524" s="4" t="s">
        <v>21</v>
      </c>
      <c r="C1524" s="4" t="s">
        <v>19</v>
      </c>
      <c r="D1524" s="4" t="s">
        <v>14</v>
      </c>
      <c r="E1524" s="4" t="s">
        <v>12</v>
      </c>
      <c r="F1524" s="4">
        <v>1165429</v>
      </c>
      <c r="G1524" s="4">
        <v>17840</v>
      </c>
      <c r="H1524" s="4">
        <v>19223</v>
      </c>
      <c r="I1524" s="6">
        <v>178740.44023186376</v>
      </c>
      <c r="J1524" s="4"/>
      <c r="K1524" s="4"/>
      <c r="L1524" s="4"/>
      <c r="M1524" s="4"/>
      <c r="N1524" s="4"/>
      <c r="O1524" s="4"/>
      <c r="P1524" s="4"/>
      <c r="Q1524" s="4"/>
      <c r="R1524" s="4"/>
      <c r="S1524" s="4"/>
      <c r="T1524" s="4"/>
      <c r="U1524" s="4"/>
      <c r="V1524" s="4"/>
      <c r="W1524" s="4"/>
      <c r="X1524" s="4"/>
      <c r="Y1524" s="4"/>
      <c r="Z1524" s="4"/>
    </row>
    <row r="1525" spans="1:26">
      <c r="A1525" s="5">
        <v>43586</v>
      </c>
      <c r="B1525" s="4" t="s">
        <v>21</v>
      </c>
      <c r="C1525" s="4" t="s">
        <v>19</v>
      </c>
      <c r="D1525" s="4" t="s">
        <v>14</v>
      </c>
      <c r="E1525" s="4" t="s">
        <v>13</v>
      </c>
      <c r="F1525" s="4">
        <v>33176</v>
      </c>
      <c r="G1525" s="4">
        <v>2760</v>
      </c>
      <c r="H1525" s="4">
        <v>129857</v>
      </c>
      <c r="I1525" s="6">
        <v>40688.443030369956</v>
      </c>
      <c r="J1525" s="4"/>
      <c r="K1525" s="4"/>
      <c r="L1525" s="4"/>
      <c r="M1525" s="4"/>
      <c r="N1525" s="4"/>
      <c r="O1525" s="4"/>
      <c r="P1525" s="4"/>
      <c r="Q1525" s="4"/>
      <c r="R1525" s="4"/>
      <c r="S1525" s="4"/>
      <c r="T1525" s="4"/>
      <c r="U1525" s="4"/>
      <c r="V1525" s="4"/>
      <c r="W1525" s="4"/>
      <c r="X1525" s="4"/>
      <c r="Y1525" s="4"/>
      <c r="Z1525" s="4"/>
    </row>
    <row r="1526" spans="1:26">
      <c r="A1526" s="5">
        <v>43586</v>
      </c>
      <c r="B1526" s="4" t="s">
        <v>21</v>
      </c>
      <c r="C1526" s="4" t="s">
        <v>19</v>
      </c>
      <c r="D1526" s="4" t="s">
        <v>15</v>
      </c>
      <c r="E1526" s="4" t="s">
        <v>12</v>
      </c>
      <c r="F1526" s="4">
        <v>353159</v>
      </c>
      <c r="G1526" s="4">
        <v>4830</v>
      </c>
      <c r="H1526" s="4">
        <v>5200</v>
      </c>
      <c r="I1526" s="6">
        <v>49173.65655172414</v>
      </c>
      <c r="J1526" s="4"/>
      <c r="K1526" s="4"/>
      <c r="L1526" s="4"/>
      <c r="M1526" s="4"/>
      <c r="N1526" s="4"/>
      <c r="O1526" s="4"/>
      <c r="P1526" s="4"/>
      <c r="Q1526" s="4"/>
      <c r="R1526" s="4"/>
      <c r="S1526" s="4"/>
      <c r="T1526" s="4"/>
      <c r="U1526" s="4"/>
      <c r="V1526" s="4"/>
      <c r="W1526" s="4"/>
      <c r="X1526" s="4"/>
      <c r="Y1526" s="4"/>
      <c r="Z1526" s="4"/>
    </row>
    <row r="1527" spans="1:26">
      <c r="A1527" s="5">
        <v>43586</v>
      </c>
      <c r="B1527" s="4" t="s">
        <v>21</v>
      </c>
      <c r="C1527" s="4" t="s">
        <v>19</v>
      </c>
      <c r="D1527" s="4" t="s">
        <v>15</v>
      </c>
      <c r="E1527" s="4" t="s">
        <v>13</v>
      </c>
      <c r="F1527" s="4">
        <v>9453</v>
      </c>
      <c r="G1527" s="4">
        <v>765</v>
      </c>
      <c r="H1527" s="4">
        <v>34629</v>
      </c>
      <c r="I1527" s="6">
        <v>11308.116770618024</v>
      </c>
      <c r="J1527" s="4"/>
      <c r="K1527" s="4"/>
      <c r="L1527" s="4"/>
      <c r="M1527" s="4"/>
      <c r="N1527" s="4"/>
      <c r="O1527" s="4"/>
      <c r="P1527" s="4"/>
      <c r="Q1527" s="4"/>
      <c r="R1527" s="4"/>
      <c r="S1527" s="4"/>
      <c r="T1527" s="4"/>
      <c r="U1527" s="4"/>
      <c r="V1527" s="4"/>
      <c r="W1527" s="4"/>
      <c r="X1527" s="4"/>
      <c r="Y1527" s="4"/>
      <c r="Z1527" s="4"/>
    </row>
    <row r="1528" spans="1:26">
      <c r="A1528" s="5">
        <v>43586</v>
      </c>
      <c r="B1528" s="4" t="s">
        <v>21</v>
      </c>
      <c r="C1528" s="4" t="s">
        <v>19</v>
      </c>
      <c r="D1528" s="4" t="s">
        <v>16</v>
      </c>
      <c r="E1528" s="4" t="s">
        <v>12</v>
      </c>
      <c r="F1528" s="4">
        <v>3282636</v>
      </c>
      <c r="G1528" s="4">
        <v>47329</v>
      </c>
      <c r="H1528" s="4">
        <v>48261</v>
      </c>
      <c r="I1528" s="6">
        <v>538256.70257298963</v>
      </c>
      <c r="J1528" s="4"/>
      <c r="K1528" s="4"/>
      <c r="L1528" s="4"/>
      <c r="M1528" s="4"/>
      <c r="N1528" s="4"/>
      <c r="O1528" s="4"/>
      <c r="P1528" s="4"/>
      <c r="Q1528" s="4"/>
      <c r="R1528" s="4"/>
      <c r="S1528" s="4"/>
      <c r="T1528" s="4"/>
      <c r="U1528" s="4"/>
      <c r="V1528" s="4"/>
      <c r="W1528" s="4"/>
      <c r="X1528" s="4"/>
      <c r="Y1528" s="4"/>
      <c r="Z1528" s="4"/>
    </row>
    <row r="1529" spans="1:26">
      <c r="A1529" s="5">
        <v>43586</v>
      </c>
      <c r="B1529" s="4" t="s">
        <v>21</v>
      </c>
      <c r="C1529" s="4" t="s">
        <v>19</v>
      </c>
      <c r="D1529" s="4" t="s">
        <v>16</v>
      </c>
      <c r="E1529" s="4" t="s">
        <v>13</v>
      </c>
      <c r="F1529" s="4">
        <v>85129</v>
      </c>
      <c r="G1529" s="4">
        <v>7160</v>
      </c>
      <c r="H1529" s="4">
        <v>474438</v>
      </c>
      <c r="I1529" s="6">
        <v>109530.66900661602</v>
      </c>
      <c r="J1529" s="4"/>
      <c r="K1529" s="4"/>
      <c r="L1529" s="4"/>
      <c r="M1529" s="4"/>
      <c r="N1529" s="4"/>
      <c r="O1529" s="4"/>
      <c r="P1529" s="4"/>
      <c r="Q1529" s="4"/>
      <c r="R1529" s="4"/>
      <c r="S1529" s="4"/>
      <c r="T1529" s="4"/>
      <c r="U1529" s="4"/>
      <c r="V1529" s="4"/>
      <c r="W1529" s="4"/>
      <c r="X1529" s="4"/>
      <c r="Y1529" s="4"/>
      <c r="Z1529" s="4"/>
    </row>
    <row r="1530" spans="1:26">
      <c r="A1530" s="5">
        <v>43586</v>
      </c>
      <c r="B1530" s="4" t="s">
        <v>21</v>
      </c>
      <c r="C1530" s="4" t="s">
        <v>19</v>
      </c>
      <c r="D1530" s="4" t="s">
        <v>17</v>
      </c>
      <c r="E1530" s="4" t="s">
        <v>12</v>
      </c>
      <c r="F1530" s="4">
        <v>1120757</v>
      </c>
      <c r="G1530" s="4">
        <v>17786</v>
      </c>
      <c r="H1530" s="4">
        <v>19626</v>
      </c>
      <c r="I1530" s="6">
        <v>183776.3609303601</v>
      </c>
      <c r="J1530" s="4"/>
      <c r="K1530" s="4"/>
      <c r="L1530" s="4"/>
      <c r="M1530" s="4"/>
      <c r="N1530" s="4"/>
      <c r="O1530" s="4"/>
      <c r="P1530" s="4"/>
      <c r="Q1530" s="4"/>
      <c r="R1530" s="4"/>
      <c r="S1530" s="4"/>
      <c r="T1530" s="4"/>
      <c r="U1530" s="4"/>
      <c r="V1530" s="4"/>
      <c r="W1530" s="4"/>
      <c r="X1530" s="4"/>
      <c r="Y1530" s="4"/>
      <c r="Z1530" s="4"/>
    </row>
    <row r="1531" spans="1:26">
      <c r="A1531" s="5">
        <v>43586</v>
      </c>
      <c r="B1531" s="4" t="s">
        <v>21</v>
      </c>
      <c r="C1531" s="4" t="s">
        <v>19</v>
      </c>
      <c r="D1531" s="4" t="s">
        <v>17</v>
      </c>
      <c r="E1531" s="4" t="s">
        <v>13</v>
      </c>
      <c r="F1531" s="4">
        <v>29425</v>
      </c>
      <c r="G1531" s="4">
        <v>2537</v>
      </c>
      <c r="H1531" s="4">
        <v>108164</v>
      </c>
      <c r="I1531" s="6">
        <v>44519.650954266122</v>
      </c>
      <c r="J1531" s="4"/>
      <c r="K1531" s="4"/>
      <c r="L1531" s="4"/>
      <c r="M1531" s="4"/>
      <c r="N1531" s="4"/>
      <c r="O1531" s="4"/>
      <c r="P1531" s="4"/>
      <c r="Q1531" s="4"/>
      <c r="R1531" s="4"/>
      <c r="S1531" s="4"/>
      <c r="T1531" s="4"/>
      <c r="U1531" s="4"/>
      <c r="V1531" s="4"/>
      <c r="W1531" s="4"/>
      <c r="X1531" s="4"/>
      <c r="Y1531" s="4"/>
      <c r="Z1531" s="4"/>
    </row>
    <row r="1532" spans="1:26">
      <c r="A1532" s="5">
        <v>43617</v>
      </c>
      <c r="B1532" s="4" t="s">
        <v>9</v>
      </c>
      <c r="C1532" s="4" t="s">
        <v>10</v>
      </c>
      <c r="D1532" s="4" t="s">
        <v>11</v>
      </c>
      <c r="E1532" s="4" t="s">
        <v>12</v>
      </c>
      <c r="F1532" s="4">
        <v>1376598</v>
      </c>
      <c r="G1532" s="4">
        <v>61954</v>
      </c>
      <c r="H1532" s="4">
        <v>73585</v>
      </c>
      <c r="I1532" s="6">
        <v>55257.047867967667</v>
      </c>
      <c r="J1532" s="4"/>
      <c r="K1532" s="4"/>
      <c r="L1532" s="4"/>
      <c r="M1532" s="4"/>
      <c r="N1532" s="4"/>
      <c r="O1532" s="4"/>
      <c r="P1532" s="4"/>
      <c r="Q1532" s="4"/>
      <c r="R1532" s="4"/>
      <c r="S1532" s="4"/>
      <c r="T1532" s="4"/>
      <c r="U1532" s="4"/>
      <c r="V1532" s="4"/>
      <c r="W1532" s="4"/>
      <c r="X1532" s="4"/>
      <c r="Y1532" s="4"/>
      <c r="Z1532" s="4"/>
    </row>
    <row r="1533" spans="1:26">
      <c r="A1533" s="5">
        <v>43617</v>
      </c>
      <c r="B1533" s="4" t="s">
        <v>9</v>
      </c>
      <c r="C1533" s="4" t="s">
        <v>10</v>
      </c>
      <c r="D1533" s="4" t="s">
        <v>11</v>
      </c>
      <c r="E1533" s="4" t="s">
        <v>13</v>
      </c>
      <c r="F1533" s="4">
        <v>8201</v>
      </c>
      <c r="G1533" s="4">
        <v>1374</v>
      </c>
      <c r="H1533" s="4">
        <v>8102</v>
      </c>
      <c r="I1533" s="6">
        <v>281293.50514622533</v>
      </c>
      <c r="J1533" s="4"/>
      <c r="K1533" s="4"/>
      <c r="L1533" s="4"/>
      <c r="M1533" s="4"/>
      <c r="N1533" s="4"/>
      <c r="O1533" s="4"/>
      <c r="P1533" s="4"/>
      <c r="Q1533" s="4"/>
      <c r="R1533" s="4"/>
      <c r="S1533" s="4"/>
      <c r="T1533" s="4"/>
      <c r="U1533" s="4"/>
      <c r="V1533" s="4"/>
      <c r="W1533" s="4"/>
      <c r="X1533" s="4"/>
      <c r="Y1533" s="4"/>
      <c r="Z1533" s="4"/>
    </row>
    <row r="1534" spans="1:26">
      <c r="A1534" s="5">
        <v>43617</v>
      </c>
      <c r="B1534" s="4" t="s">
        <v>9</v>
      </c>
      <c r="C1534" s="4" t="s">
        <v>10</v>
      </c>
      <c r="D1534" s="4" t="s">
        <v>14</v>
      </c>
      <c r="E1534" s="4" t="s">
        <v>12</v>
      </c>
      <c r="F1534" s="4">
        <v>3446626</v>
      </c>
      <c r="G1534" s="4">
        <v>108387</v>
      </c>
      <c r="H1534" s="4">
        <v>128115</v>
      </c>
      <c r="I1534" s="6">
        <v>93108.057995938332</v>
      </c>
      <c r="J1534" s="4"/>
      <c r="K1534" s="4"/>
      <c r="L1534" s="4"/>
      <c r="M1534" s="4"/>
      <c r="N1534" s="4"/>
      <c r="O1534" s="4"/>
      <c r="P1534" s="4"/>
      <c r="Q1534" s="4"/>
      <c r="R1534" s="4"/>
      <c r="S1534" s="4"/>
      <c r="T1534" s="4"/>
      <c r="U1534" s="4"/>
      <c r="V1534" s="4"/>
      <c r="W1534" s="4"/>
      <c r="X1534" s="4"/>
      <c r="Y1534" s="4"/>
      <c r="Z1534" s="4"/>
    </row>
    <row r="1535" spans="1:26">
      <c r="A1535" s="5">
        <v>43617</v>
      </c>
      <c r="B1535" s="4" t="s">
        <v>9</v>
      </c>
      <c r="C1535" s="4" t="s">
        <v>10</v>
      </c>
      <c r="D1535" s="4" t="s">
        <v>14</v>
      </c>
      <c r="E1535" s="4" t="s">
        <v>13</v>
      </c>
      <c r="F1535" s="4">
        <v>13746</v>
      </c>
      <c r="G1535" s="4">
        <v>2753</v>
      </c>
      <c r="H1535" s="4">
        <v>20167</v>
      </c>
      <c r="I1535" s="6">
        <v>433436.70227537816</v>
      </c>
      <c r="J1535" s="4"/>
      <c r="K1535" s="4"/>
      <c r="L1535" s="4"/>
      <c r="M1535" s="4"/>
      <c r="N1535" s="4"/>
      <c r="O1535" s="4"/>
      <c r="P1535" s="4"/>
      <c r="Q1535" s="4"/>
      <c r="R1535" s="4"/>
      <c r="S1535" s="4"/>
      <c r="T1535" s="4"/>
      <c r="U1535" s="4"/>
      <c r="V1535" s="4"/>
      <c r="W1535" s="4"/>
      <c r="X1535" s="4"/>
      <c r="Y1535" s="4"/>
      <c r="Z1535" s="4"/>
    </row>
    <row r="1536" spans="1:26">
      <c r="A1536" s="5">
        <v>43617</v>
      </c>
      <c r="B1536" s="4" t="s">
        <v>9</v>
      </c>
      <c r="C1536" s="4" t="s">
        <v>10</v>
      </c>
      <c r="D1536" s="4" t="s">
        <v>15</v>
      </c>
      <c r="E1536" s="4" t="s">
        <v>12</v>
      </c>
      <c r="F1536" s="4">
        <v>1392063</v>
      </c>
      <c r="G1536" s="4">
        <v>44839</v>
      </c>
      <c r="H1536" s="4">
        <v>57630</v>
      </c>
      <c r="I1536" s="6">
        <v>43234.708693987588</v>
      </c>
      <c r="J1536" s="4"/>
      <c r="K1536" s="4"/>
      <c r="L1536" s="4"/>
      <c r="M1536" s="4"/>
      <c r="N1536" s="4"/>
      <c r="O1536" s="4"/>
      <c r="P1536" s="4"/>
      <c r="Q1536" s="4"/>
      <c r="R1536" s="4"/>
      <c r="S1536" s="4"/>
      <c r="T1536" s="4"/>
      <c r="U1536" s="4"/>
      <c r="V1536" s="4"/>
      <c r="W1536" s="4"/>
      <c r="X1536" s="4"/>
      <c r="Y1536" s="4"/>
      <c r="Z1536" s="4"/>
    </row>
    <row r="1537" spans="1:26">
      <c r="A1537" s="5">
        <v>43617</v>
      </c>
      <c r="B1537" s="4" t="s">
        <v>9</v>
      </c>
      <c r="C1537" s="4" t="s">
        <v>10</v>
      </c>
      <c r="D1537" s="4" t="s">
        <v>15</v>
      </c>
      <c r="E1537" s="4" t="s">
        <v>13</v>
      </c>
      <c r="F1537" s="4">
        <v>5264</v>
      </c>
      <c r="G1537" s="4">
        <v>803</v>
      </c>
      <c r="H1537" s="4">
        <v>6666</v>
      </c>
      <c r="I1537" s="6">
        <v>108756.59666666665</v>
      </c>
      <c r="J1537" s="4"/>
      <c r="K1537" s="4"/>
      <c r="L1537" s="4"/>
      <c r="M1537" s="4"/>
      <c r="N1537" s="4"/>
      <c r="O1537" s="4"/>
      <c r="P1537" s="4"/>
      <c r="Q1537" s="4"/>
      <c r="R1537" s="4"/>
      <c r="S1537" s="4"/>
      <c r="T1537" s="4"/>
      <c r="U1537" s="4"/>
      <c r="V1537" s="4"/>
      <c r="W1537" s="4"/>
      <c r="X1537" s="4"/>
      <c r="Y1537" s="4"/>
      <c r="Z1537" s="4"/>
    </row>
    <row r="1538" spans="1:26">
      <c r="A1538" s="5">
        <v>43617</v>
      </c>
      <c r="B1538" s="4" t="s">
        <v>9</v>
      </c>
      <c r="C1538" s="4" t="s">
        <v>10</v>
      </c>
      <c r="D1538" s="4" t="s">
        <v>16</v>
      </c>
      <c r="E1538" s="4" t="s">
        <v>12</v>
      </c>
      <c r="F1538" s="4">
        <v>42898674</v>
      </c>
      <c r="G1538" s="4">
        <v>279980</v>
      </c>
      <c r="H1538" s="4">
        <v>315416</v>
      </c>
      <c r="I1538" s="6">
        <v>239508.03216257578</v>
      </c>
      <c r="J1538" s="4"/>
      <c r="K1538" s="4"/>
      <c r="L1538" s="4"/>
      <c r="M1538" s="4"/>
      <c r="N1538" s="4"/>
      <c r="O1538" s="4"/>
      <c r="P1538" s="4"/>
      <c r="Q1538" s="4"/>
      <c r="R1538" s="4"/>
      <c r="S1538" s="4"/>
      <c r="T1538" s="4"/>
      <c r="U1538" s="4"/>
      <c r="V1538" s="4"/>
      <c r="W1538" s="4"/>
      <c r="X1538" s="4"/>
      <c r="Y1538" s="4"/>
      <c r="Z1538" s="4"/>
    </row>
    <row r="1539" spans="1:26">
      <c r="A1539" s="5">
        <v>43617</v>
      </c>
      <c r="B1539" s="4" t="s">
        <v>9</v>
      </c>
      <c r="C1539" s="4" t="s">
        <v>10</v>
      </c>
      <c r="D1539" s="4" t="s">
        <v>16</v>
      </c>
      <c r="E1539" s="4" t="s">
        <v>13</v>
      </c>
      <c r="F1539" s="4">
        <v>301271</v>
      </c>
      <c r="G1539" s="4">
        <v>5962</v>
      </c>
      <c r="H1539" s="4">
        <v>38924</v>
      </c>
      <c r="I1539" s="6">
        <v>1307407.7329901776</v>
      </c>
      <c r="J1539" s="4"/>
      <c r="K1539" s="4"/>
      <c r="L1539" s="4"/>
      <c r="M1539" s="4"/>
      <c r="N1539" s="4"/>
      <c r="O1539" s="4"/>
      <c r="P1539" s="4"/>
      <c r="Q1539" s="4"/>
      <c r="R1539" s="4"/>
      <c r="S1539" s="4"/>
      <c r="T1539" s="4"/>
      <c r="U1539" s="4"/>
      <c r="V1539" s="4"/>
      <c r="W1539" s="4"/>
      <c r="X1539" s="4"/>
      <c r="Y1539" s="4"/>
      <c r="Z1539" s="4"/>
    </row>
    <row r="1540" spans="1:26">
      <c r="A1540" s="5">
        <v>43617</v>
      </c>
      <c r="B1540" s="4" t="s">
        <v>9</v>
      </c>
      <c r="C1540" s="4" t="s">
        <v>10</v>
      </c>
      <c r="D1540" s="4" t="s">
        <v>17</v>
      </c>
      <c r="E1540" s="4" t="s">
        <v>12</v>
      </c>
      <c r="F1540" s="4">
        <v>2117613</v>
      </c>
      <c r="G1540" s="4">
        <v>92903</v>
      </c>
      <c r="H1540" s="4">
        <v>105730</v>
      </c>
      <c r="I1540" s="6">
        <v>103484.9141961514</v>
      </c>
      <c r="J1540" s="4"/>
      <c r="K1540" s="4"/>
      <c r="L1540" s="4"/>
      <c r="M1540" s="4"/>
      <c r="N1540" s="4"/>
      <c r="O1540" s="4"/>
      <c r="P1540" s="4"/>
      <c r="Q1540" s="4"/>
      <c r="R1540" s="4"/>
      <c r="S1540" s="4"/>
      <c r="T1540" s="4"/>
      <c r="U1540" s="4"/>
      <c r="V1540" s="4"/>
      <c r="W1540" s="4"/>
      <c r="X1540" s="4"/>
      <c r="Y1540" s="4"/>
      <c r="Z1540" s="4"/>
    </row>
    <row r="1541" spans="1:26">
      <c r="A1541" s="5">
        <v>43617</v>
      </c>
      <c r="B1541" s="4" t="s">
        <v>9</v>
      </c>
      <c r="C1541" s="4" t="s">
        <v>10</v>
      </c>
      <c r="D1541" s="4" t="s">
        <v>17</v>
      </c>
      <c r="E1541" s="4" t="s">
        <v>13</v>
      </c>
      <c r="F1541" s="4">
        <v>12636</v>
      </c>
      <c r="G1541" s="4">
        <v>2507</v>
      </c>
      <c r="H1541" s="4">
        <v>14716</v>
      </c>
      <c r="I1541" s="6">
        <v>495951.19132584264</v>
      </c>
      <c r="J1541" s="4"/>
      <c r="K1541" s="4"/>
      <c r="L1541" s="4"/>
      <c r="M1541" s="4"/>
      <c r="N1541" s="4"/>
      <c r="O1541" s="4"/>
      <c r="P1541" s="4"/>
      <c r="Q1541" s="4"/>
      <c r="R1541" s="4"/>
      <c r="S1541" s="4"/>
      <c r="T1541" s="4"/>
      <c r="U1541" s="4"/>
      <c r="V1541" s="4"/>
      <c r="W1541" s="4"/>
      <c r="X1541" s="4"/>
      <c r="Y1541" s="4"/>
      <c r="Z1541" s="4"/>
    </row>
    <row r="1542" spans="1:26">
      <c r="A1542" s="5">
        <v>43617</v>
      </c>
      <c r="B1542" s="4" t="s">
        <v>9</v>
      </c>
      <c r="C1542" s="4" t="s">
        <v>18</v>
      </c>
      <c r="D1542" s="4" t="s">
        <v>11</v>
      </c>
      <c r="E1542" s="4" t="s">
        <v>12</v>
      </c>
      <c r="F1542" s="4">
        <v>8100812</v>
      </c>
      <c r="G1542" s="4">
        <v>218536</v>
      </c>
      <c r="H1542" s="4">
        <v>674223</v>
      </c>
      <c r="I1542" s="6">
        <v>165273.74521362895</v>
      </c>
      <c r="J1542" s="4"/>
      <c r="K1542" s="4"/>
      <c r="L1542" s="4"/>
      <c r="M1542" s="4"/>
      <c r="N1542" s="4"/>
      <c r="O1542" s="4"/>
      <c r="P1542" s="4"/>
      <c r="Q1542" s="4"/>
      <c r="R1542" s="4"/>
      <c r="S1542" s="4"/>
      <c r="T1542" s="4"/>
      <c r="U1542" s="4"/>
      <c r="V1542" s="4"/>
      <c r="W1542" s="4"/>
      <c r="X1542" s="4"/>
      <c r="Y1542" s="4"/>
      <c r="Z1542" s="4"/>
    </row>
    <row r="1543" spans="1:26">
      <c r="A1543" s="5">
        <v>43617</v>
      </c>
      <c r="B1543" s="4" t="s">
        <v>9</v>
      </c>
      <c r="C1543" s="4" t="s">
        <v>18</v>
      </c>
      <c r="D1543" s="4" t="s">
        <v>11</v>
      </c>
      <c r="E1543" s="4" t="s">
        <v>13</v>
      </c>
      <c r="F1543" s="4">
        <v>46006</v>
      </c>
      <c r="G1543" s="4">
        <v>820</v>
      </c>
      <c r="H1543" s="4">
        <v>22761</v>
      </c>
      <c r="I1543" s="6">
        <v>16707.213503200095</v>
      </c>
      <c r="J1543" s="4"/>
      <c r="K1543" s="4"/>
      <c r="L1543" s="4"/>
      <c r="M1543" s="4"/>
      <c r="N1543" s="4"/>
      <c r="O1543" s="4"/>
      <c r="P1543" s="4"/>
      <c r="Q1543" s="4"/>
      <c r="R1543" s="4"/>
      <c r="S1543" s="4"/>
      <c r="T1543" s="4"/>
      <c r="U1543" s="4"/>
      <c r="V1543" s="4"/>
      <c r="W1543" s="4"/>
      <c r="X1543" s="4"/>
      <c r="Y1543" s="4"/>
      <c r="Z1543" s="4"/>
    </row>
    <row r="1544" spans="1:26">
      <c r="A1544" s="5">
        <v>43617</v>
      </c>
      <c r="B1544" s="4" t="s">
        <v>9</v>
      </c>
      <c r="C1544" s="4" t="s">
        <v>18</v>
      </c>
      <c r="D1544" s="4" t="s">
        <v>14</v>
      </c>
      <c r="E1544" s="4" t="s">
        <v>12</v>
      </c>
      <c r="F1544" s="4">
        <v>19038498</v>
      </c>
      <c r="G1544" s="4">
        <v>451505</v>
      </c>
      <c r="H1544" s="4">
        <v>1360951</v>
      </c>
      <c r="I1544" s="6">
        <v>219463.49064112222</v>
      </c>
      <c r="J1544" s="4"/>
      <c r="K1544" s="4"/>
      <c r="L1544" s="4"/>
      <c r="M1544" s="4"/>
      <c r="N1544" s="4"/>
      <c r="O1544" s="4"/>
      <c r="P1544" s="4"/>
      <c r="Q1544" s="4"/>
      <c r="R1544" s="4"/>
      <c r="S1544" s="4"/>
      <c r="T1544" s="4"/>
      <c r="U1544" s="4"/>
      <c r="V1544" s="4"/>
      <c r="W1544" s="4"/>
      <c r="X1544" s="4"/>
      <c r="Y1544" s="4"/>
      <c r="Z1544" s="4"/>
    </row>
    <row r="1545" spans="1:26">
      <c r="A1545" s="5">
        <v>43617</v>
      </c>
      <c r="B1545" s="4" t="s">
        <v>9</v>
      </c>
      <c r="C1545" s="4" t="s">
        <v>18</v>
      </c>
      <c r="D1545" s="4" t="s">
        <v>14</v>
      </c>
      <c r="E1545" s="4" t="s">
        <v>13</v>
      </c>
      <c r="F1545" s="4">
        <v>96422</v>
      </c>
      <c r="G1545" s="4">
        <v>1139</v>
      </c>
      <c r="H1545" s="4">
        <v>16894</v>
      </c>
      <c r="I1545" s="6">
        <v>19432.744083229209</v>
      </c>
      <c r="J1545" s="4"/>
      <c r="K1545" s="4"/>
      <c r="L1545" s="4"/>
      <c r="M1545" s="4"/>
      <c r="N1545" s="4"/>
      <c r="O1545" s="4"/>
      <c r="P1545" s="4"/>
      <c r="Q1545" s="4"/>
      <c r="R1545" s="4"/>
      <c r="S1545" s="4"/>
      <c r="T1545" s="4"/>
      <c r="U1545" s="4"/>
      <c r="V1545" s="4"/>
      <c r="W1545" s="4"/>
      <c r="X1545" s="4"/>
      <c r="Y1545" s="4"/>
      <c r="Z1545" s="4"/>
    </row>
    <row r="1546" spans="1:26">
      <c r="A1546" s="5">
        <v>43617</v>
      </c>
      <c r="B1546" s="4" t="s">
        <v>9</v>
      </c>
      <c r="C1546" s="4" t="s">
        <v>18</v>
      </c>
      <c r="D1546" s="4" t="s">
        <v>15</v>
      </c>
      <c r="E1546" s="4" t="s">
        <v>12</v>
      </c>
      <c r="F1546" s="4">
        <v>9446813</v>
      </c>
      <c r="G1546" s="4">
        <v>243020</v>
      </c>
      <c r="H1546" s="4">
        <v>800736</v>
      </c>
      <c r="I1546" s="6">
        <v>88399.708007876412</v>
      </c>
      <c r="J1546" s="4"/>
      <c r="K1546" s="4"/>
      <c r="L1546" s="4"/>
      <c r="M1546" s="4"/>
      <c r="N1546" s="4"/>
      <c r="O1546" s="4"/>
      <c r="P1546" s="4"/>
      <c r="Q1546" s="4"/>
      <c r="R1546" s="4"/>
      <c r="S1546" s="4"/>
      <c r="T1546" s="4"/>
      <c r="U1546" s="4"/>
      <c r="V1546" s="4"/>
      <c r="W1546" s="4"/>
      <c r="X1546" s="4"/>
      <c r="Y1546" s="4"/>
      <c r="Z1546" s="4"/>
    </row>
    <row r="1547" spans="1:26">
      <c r="A1547" s="5">
        <v>43617</v>
      </c>
      <c r="B1547" s="4" t="s">
        <v>9</v>
      </c>
      <c r="C1547" s="4" t="s">
        <v>18</v>
      </c>
      <c r="D1547" s="4" t="s">
        <v>15</v>
      </c>
      <c r="E1547" s="4" t="s">
        <v>13</v>
      </c>
      <c r="F1547" s="4">
        <v>35198</v>
      </c>
      <c r="G1547" s="4">
        <v>458</v>
      </c>
      <c r="H1547" s="4">
        <v>6518</v>
      </c>
      <c r="I1547" s="6">
        <v>8460.4686257392277</v>
      </c>
      <c r="J1547" s="4"/>
      <c r="K1547" s="4"/>
      <c r="L1547" s="4"/>
      <c r="M1547" s="4"/>
      <c r="N1547" s="4"/>
      <c r="O1547" s="4"/>
      <c r="P1547" s="4"/>
      <c r="Q1547" s="4"/>
      <c r="R1547" s="4"/>
      <c r="S1547" s="4"/>
      <c r="T1547" s="4"/>
      <c r="U1547" s="4"/>
      <c r="V1547" s="4"/>
      <c r="W1547" s="4"/>
      <c r="X1547" s="4"/>
      <c r="Y1547" s="4"/>
      <c r="Z1547" s="4"/>
    </row>
    <row r="1548" spans="1:26">
      <c r="A1548" s="5">
        <v>43617</v>
      </c>
      <c r="B1548" s="4" t="s">
        <v>9</v>
      </c>
      <c r="C1548" s="4" t="s">
        <v>18</v>
      </c>
      <c r="D1548" s="4" t="s">
        <v>16</v>
      </c>
      <c r="E1548" s="4" t="s">
        <v>12</v>
      </c>
      <c r="F1548" s="4">
        <v>121614883</v>
      </c>
      <c r="G1548" s="4">
        <v>825393</v>
      </c>
      <c r="H1548" s="4">
        <v>2364074</v>
      </c>
      <c r="I1548" s="6">
        <v>569802.19314838189</v>
      </c>
      <c r="J1548" s="4"/>
      <c r="K1548" s="4"/>
      <c r="L1548" s="4"/>
      <c r="M1548" s="4"/>
      <c r="N1548" s="4"/>
      <c r="O1548" s="4"/>
      <c r="P1548" s="4"/>
      <c r="Q1548" s="4"/>
      <c r="R1548" s="4"/>
      <c r="S1548" s="4"/>
      <c r="T1548" s="4"/>
      <c r="U1548" s="4"/>
      <c r="V1548" s="4"/>
      <c r="W1548" s="4"/>
      <c r="X1548" s="4"/>
      <c r="Y1548" s="4"/>
      <c r="Z1548" s="4"/>
    </row>
    <row r="1549" spans="1:26">
      <c r="A1549" s="5">
        <v>43617</v>
      </c>
      <c r="B1549" s="4" t="s">
        <v>9</v>
      </c>
      <c r="C1549" s="4" t="s">
        <v>18</v>
      </c>
      <c r="D1549" s="4" t="s">
        <v>16</v>
      </c>
      <c r="E1549" s="4" t="s">
        <v>13</v>
      </c>
      <c r="F1549" s="4">
        <v>1063019</v>
      </c>
      <c r="G1549" s="4">
        <v>2369</v>
      </c>
      <c r="H1549" s="4">
        <v>58328</v>
      </c>
      <c r="I1549" s="6">
        <v>37498.908522023972</v>
      </c>
      <c r="J1549" s="4"/>
      <c r="K1549" s="4"/>
      <c r="L1549" s="4"/>
      <c r="M1549" s="4"/>
      <c r="N1549" s="4"/>
      <c r="O1549" s="4"/>
      <c r="P1549" s="4"/>
      <c r="Q1549" s="4"/>
      <c r="R1549" s="4"/>
      <c r="S1549" s="4"/>
      <c r="T1549" s="4"/>
      <c r="U1549" s="4"/>
      <c r="V1549" s="4"/>
      <c r="W1549" s="4"/>
      <c r="X1549" s="4"/>
      <c r="Y1549" s="4"/>
      <c r="Z1549" s="4"/>
    </row>
    <row r="1550" spans="1:26">
      <c r="A1550" s="5">
        <v>43617</v>
      </c>
      <c r="B1550" s="4" t="s">
        <v>9</v>
      </c>
      <c r="C1550" s="4" t="s">
        <v>18</v>
      </c>
      <c r="D1550" s="4" t="s">
        <v>17</v>
      </c>
      <c r="E1550" s="4" t="s">
        <v>12</v>
      </c>
      <c r="F1550" s="4">
        <v>11512487</v>
      </c>
      <c r="G1550" s="4">
        <v>265333</v>
      </c>
      <c r="H1550" s="4">
        <v>756442</v>
      </c>
      <c r="I1550" s="6">
        <v>193512.56220900413</v>
      </c>
      <c r="J1550" s="4"/>
      <c r="K1550" s="4"/>
      <c r="L1550" s="4"/>
      <c r="M1550" s="4"/>
      <c r="N1550" s="4"/>
      <c r="O1550" s="4"/>
      <c r="P1550" s="4"/>
      <c r="Q1550" s="4"/>
      <c r="R1550" s="4"/>
      <c r="S1550" s="4"/>
      <c r="T1550" s="4"/>
      <c r="U1550" s="4"/>
      <c r="V1550" s="4"/>
      <c r="W1550" s="4"/>
      <c r="X1550" s="4"/>
      <c r="Y1550" s="4"/>
      <c r="Z1550" s="4"/>
    </row>
    <row r="1551" spans="1:26">
      <c r="A1551" s="5">
        <v>43617</v>
      </c>
      <c r="B1551" s="4" t="s">
        <v>9</v>
      </c>
      <c r="C1551" s="4" t="s">
        <v>18</v>
      </c>
      <c r="D1551" s="4" t="s">
        <v>17</v>
      </c>
      <c r="E1551" s="4" t="s">
        <v>13</v>
      </c>
      <c r="F1551" s="4">
        <v>87913</v>
      </c>
      <c r="G1551" s="4">
        <v>956</v>
      </c>
      <c r="H1551" s="4">
        <v>21133</v>
      </c>
      <c r="I1551" s="6">
        <v>15158.74113674806</v>
      </c>
      <c r="J1551" s="4"/>
      <c r="K1551" s="4"/>
      <c r="L1551" s="4"/>
      <c r="M1551" s="4"/>
      <c r="N1551" s="4"/>
      <c r="O1551" s="4"/>
      <c r="P1551" s="4"/>
      <c r="Q1551" s="4"/>
      <c r="R1551" s="4"/>
      <c r="S1551" s="4"/>
      <c r="T1551" s="4"/>
      <c r="U1551" s="4"/>
      <c r="V1551" s="4"/>
      <c r="W1551" s="4"/>
      <c r="X1551" s="4"/>
      <c r="Y1551" s="4"/>
      <c r="Z1551" s="4"/>
    </row>
    <row r="1552" spans="1:26">
      <c r="A1552" s="5">
        <v>43617</v>
      </c>
      <c r="B1552" s="4" t="s">
        <v>9</v>
      </c>
      <c r="C1552" s="4" t="s">
        <v>19</v>
      </c>
      <c r="D1552" s="4" t="s">
        <v>11</v>
      </c>
      <c r="E1552" s="4" t="s">
        <v>12</v>
      </c>
      <c r="F1552" s="4">
        <v>140214</v>
      </c>
      <c r="G1552" s="4">
        <v>22155</v>
      </c>
      <c r="H1552" s="4">
        <v>23336</v>
      </c>
      <c r="I1552" s="6">
        <v>117984.17765767187</v>
      </c>
      <c r="J1552" s="4"/>
      <c r="K1552" s="4"/>
      <c r="L1552" s="4"/>
      <c r="M1552" s="4"/>
      <c r="N1552" s="4"/>
      <c r="O1552" s="4"/>
      <c r="P1552" s="4"/>
      <c r="Q1552" s="4"/>
      <c r="R1552" s="4"/>
      <c r="S1552" s="4"/>
      <c r="T1552" s="4"/>
      <c r="U1552" s="4"/>
      <c r="V1552" s="4"/>
      <c r="W1552" s="4"/>
      <c r="X1552" s="4"/>
      <c r="Y1552" s="4"/>
      <c r="Z1552" s="4"/>
    </row>
    <row r="1553" spans="1:26">
      <c r="A1553" s="5">
        <v>43617</v>
      </c>
      <c r="B1553" s="4" t="s">
        <v>9</v>
      </c>
      <c r="C1553" s="4" t="s">
        <v>19</v>
      </c>
      <c r="D1553" s="4" t="s">
        <v>11</v>
      </c>
      <c r="E1553" s="4" t="s">
        <v>13</v>
      </c>
      <c r="F1553" s="4">
        <v>774</v>
      </c>
      <c r="G1553" s="4">
        <v>866</v>
      </c>
      <c r="H1553" s="4">
        <v>9047</v>
      </c>
      <c r="I1553" s="6">
        <v>20282.360530740403</v>
      </c>
      <c r="J1553" s="4"/>
      <c r="K1553" s="4"/>
      <c r="L1553" s="4"/>
      <c r="M1553" s="4"/>
      <c r="N1553" s="4"/>
      <c r="O1553" s="4"/>
      <c r="P1553" s="4"/>
      <c r="Q1553" s="4"/>
      <c r="R1553" s="4"/>
      <c r="S1553" s="4"/>
      <c r="T1553" s="4"/>
      <c r="U1553" s="4"/>
      <c r="V1553" s="4"/>
      <c r="W1553" s="4"/>
      <c r="X1553" s="4"/>
      <c r="Y1553" s="4"/>
      <c r="Z1553" s="4"/>
    </row>
    <row r="1554" spans="1:26">
      <c r="A1554" s="5">
        <v>43617</v>
      </c>
      <c r="B1554" s="4" t="s">
        <v>9</v>
      </c>
      <c r="C1554" s="4" t="s">
        <v>19</v>
      </c>
      <c r="D1554" s="4" t="s">
        <v>14</v>
      </c>
      <c r="E1554" s="4" t="s">
        <v>12</v>
      </c>
      <c r="F1554" s="4">
        <v>344009</v>
      </c>
      <c r="G1554" s="4">
        <v>52232</v>
      </c>
      <c r="H1554" s="4">
        <v>54899</v>
      </c>
      <c r="I1554" s="6">
        <v>210211.4114478532</v>
      </c>
      <c r="J1554" s="4"/>
      <c r="K1554" s="4"/>
      <c r="L1554" s="4"/>
      <c r="M1554" s="4"/>
      <c r="N1554" s="4"/>
      <c r="O1554" s="4"/>
      <c r="P1554" s="4"/>
      <c r="Q1554" s="4"/>
      <c r="R1554" s="4"/>
      <c r="S1554" s="4"/>
      <c r="T1554" s="4"/>
      <c r="U1554" s="4"/>
      <c r="V1554" s="4"/>
      <c r="W1554" s="4"/>
      <c r="X1554" s="4"/>
      <c r="Y1554" s="4"/>
      <c r="Z1554" s="4"/>
    </row>
    <row r="1555" spans="1:26">
      <c r="A1555" s="5">
        <v>43617</v>
      </c>
      <c r="B1555" s="4" t="s">
        <v>9</v>
      </c>
      <c r="C1555" s="4" t="s">
        <v>19</v>
      </c>
      <c r="D1555" s="4" t="s">
        <v>14</v>
      </c>
      <c r="E1555" s="4" t="s">
        <v>13</v>
      </c>
      <c r="F1555" s="4">
        <v>1855</v>
      </c>
      <c r="G1555" s="4">
        <v>1929</v>
      </c>
      <c r="H1555" s="4">
        <v>48999</v>
      </c>
      <c r="I1555" s="6">
        <v>33543.440615825886</v>
      </c>
      <c r="J1555" s="4"/>
      <c r="K1555" s="4"/>
      <c r="L1555" s="4"/>
      <c r="M1555" s="4"/>
      <c r="N1555" s="4"/>
      <c r="O1555" s="4"/>
      <c r="P1555" s="4"/>
      <c r="Q1555" s="4"/>
      <c r="R1555" s="4"/>
      <c r="S1555" s="4"/>
      <c r="T1555" s="4"/>
      <c r="U1555" s="4"/>
      <c r="V1555" s="4"/>
      <c r="W1555" s="4"/>
      <c r="X1555" s="4"/>
      <c r="Y1555" s="4"/>
      <c r="Z1555" s="4"/>
    </row>
    <row r="1556" spans="1:26">
      <c r="A1556" s="5">
        <v>43617</v>
      </c>
      <c r="B1556" s="4" t="s">
        <v>9</v>
      </c>
      <c r="C1556" s="4" t="s">
        <v>19</v>
      </c>
      <c r="D1556" s="4" t="s">
        <v>15</v>
      </c>
      <c r="E1556" s="4" t="s">
        <v>12</v>
      </c>
      <c r="F1556" s="4">
        <v>162331</v>
      </c>
      <c r="G1556" s="4">
        <v>26807</v>
      </c>
      <c r="H1556" s="4">
        <v>27778</v>
      </c>
      <c r="I1556" s="6">
        <v>77721.625029619085</v>
      </c>
      <c r="J1556" s="4"/>
      <c r="K1556" s="4"/>
      <c r="L1556" s="4"/>
      <c r="M1556" s="4"/>
      <c r="N1556" s="4"/>
      <c r="O1556" s="4"/>
      <c r="P1556" s="4"/>
      <c r="Q1556" s="4"/>
      <c r="R1556" s="4"/>
      <c r="S1556" s="4"/>
      <c r="T1556" s="4"/>
      <c r="U1556" s="4"/>
      <c r="V1556" s="4"/>
      <c r="W1556" s="4"/>
      <c r="X1556" s="4"/>
      <c r="Y1556" s="4"/>
      <c r="Z1556" s="4"/>
    </row>
    <row r="1557" spans="1:26">
      <c r="A1557" s="5">
        <v>43617</v>
      </c>
      <c r="B1557" s="4" t="s">
        <v>9</v>
      </c>
      <c r="C1557" s="4" t="s">
        <v>19</v>
      </c>
      <c r="D1557" s="4" t="s">
        <v>15</v>
      </c>
      <c r="E1557" s="4" t="s">
        <v>13</v>
      </c>
      <c r="F1557" s="4">
        <v>580</v>
      </c>
      <c r="G1557" s="4">
        <v>795</v>
      </c>
      <c r="H1557" s="4">
        <v>26496</v>
      </c>
      <c r="I1557" s="6">
        <v>14695.691574680388</v>
      </c>
      <c r="J1557" s="4"/>
      <c r="K1557" s="4"/>
      <c r="L1557" s="4"/>
      <c r="M1557" s="4"/>
      <c r="N1557" s="4"/>
      <c r="O1557" s="4"/>
      <c r="P1557" s="4"/>
      <c r="Q1557" s="4"/>
      <c r="R1557" s="4"/>
      <c r="S1557" s="4"/>
      <c r="T1557" s="4"/>
      <c r="U1557" s="4"/>
      <c r="V1557" s="4"/>
      <c r="W1557" s="4"/>
      <c r="X1557" s="4"/>
      <c r="Y1557" s="4"/>
      <c r="Z1557" s="4"/>
    </row>
    <row r="1558" spans="1:26">
      <c r="A1558" s="5">
        <v>43617</v>
      </c>
      <c r="B1558" s="4" t="s">
        <v>9</v>
      </c>
      <c r="C1558" s="4" t="s">
        <v>19</v>
      </c>
      <c r="D1558" s="4" t="s">
        <v>16</v>
      </c>
      <c r="E1558" s="4" t="s">
        <v>12</v>
      </c>
      <c r="F1558" s="4">
        <v>19318042</v>
      </c>
      <c r="G1558" s="4">
        <v>82192</v>
      </c>
      <c r="H1558" s="4">
        <v>84264</v>
      </c>
      <c r="I1558" s="6">
        <v>484795.37413315295</v>
      </c>
      <c r="J1558" s="4"/>
      <c r="K1558" s="4"/>
      <c r="L1558" s="4"/>
      <c r="M1558" s="4"/>
      <c r="N1558" s="4"/>
      <c r="O1558" s="4"/>
      <c r="P1558" s="4"/>
      <c r="Q1558" s="4"/>
      <c r="R1558" s="4"/>
      <c r="S1558" s="4"/>
      <c r="T1558" s="4"/>
      <c r="U1558" s="4"/>
      <c r="V1558" s="4"/>
      <c r="W1558" s="4"/>
      <c r="X1558" s="4"/>
      <c r="Y1558" s="4"/>
      <c r="Z1558" s="4"/>
    </row>
    <row r="1559" spans="1:26">
      <c r="A1559" s="5">
        <v>43617</v>
      </c>
      <c r="B1559" s="4" t="s">
        <v>9</v>
      </c>
      <c r="C1559" s="4" t="s">
        <v>19</v>
      </c>
      <c r="D1559" s="4" t="s">
        <v>16</v>
      </c>
      <c r="E1559" s="4" t="s">
        <v>13</v>
      </c>
      <c r="F1559" s="4">
        <v>180540</v>
      </c>
      <c r="G1559" s="4">
        <v>2474</v>
      </c>
      <c r="H1559" s="4">
        <v>42566</v>
      </c>
      <c r="I1559" s="6">
        <v>65930.50257176155</v>
      </c>
      <c r="J1559" s="4"/>
      <c r="K1559" s="4"/>
      <c r="L1559" s="4"/>
      <c r="M1559" s="4"/>
      <c r="N1559" s="4"/>
      <c r="O1559" s="4"/>
      <c r="P1559" s="4"/>
      <c r="Q1559" s="4"/>
      <c r="R1559" s="4"/>
      <c r="S1559" s="4"/>
      <c r="T1559" s="4"/>
      <c r="U1559" s="4"/>
      <c r="V1559" s="4"/>
      <c r="W1559" s="4"/>
      <c r="X1559" s="4"/>
      <c r="Y1559" s="4"/>
      <c r="Z1559" s="4"/>
    </row>
    <row r="1560" spans="1:26">
      <c r="A1560" s="5">
        <v>43617</v>
      </c>
      <c r="B1560" s="4" t="s">
        <v>9</v>
      </c>
      <c r="C1560" s="4" t="s">
        <v>19</v>
      </c>
      <c r="D1560" s="4" t="s">
        <v>17</v>
      </c>
      <c r="E1560" s="4" t="s">
        <v>12</v>
      </c>
      <c r="F1560" s="4">
        <v>269453</v>
      </c>
      <c r="G1560" s="4">
        <v>29662</v>
      </c>
      <c r="H1560" s="4">
        <v>30626</v>
      </c>
      <c r="I1560" s="6">
        <v>179808.15654559646</v>
      </c>
      <c r="J1560" s="4"/>
      <c r="K1560" s="4"/>
      <c r="L1560" s="4"/>
      <c r="M1560" s="4"/>
      <c r="N1560" s="4"/>
      <c r="O1560" s="4"/>
      <c r="P1560" s="4"/>
      <c r="Q1560" s="4"/>
      <c r="R1560" s="4"/>
      <c r="S1560" s="4"/>
      <c r="T1560" s="4"/>
      <c r="U1560" s="4"/>
      <c r="V1560" s="4"/>
      <c r="W1560" s="4"/>
      <c r="X1560" s="4"/>
      <c r="Y1560" s="4"/>
      <c r="Z1560" s="4"/>
    </row>
    <row r="1561" spans="1:26">
      <c r="A1561" s="5">
        <v>43617</v>
      </c>
      <c r="B1561" s="4" t="s">
        <v>9</v>
      </c>
      <c r="C1561" s="4" t="s">
        <v>19</v>
      </c>
      <c r="D1561" s="4" t="s">
        <v>17</v>
      </c>
      <c r="E1561" s="4" t="s">
        <v>13</v>
      </c>
      <c r="F1561" s="4">
        <v>1827</v>
      </c>
      <c r="G1561" s="4">
        <v>813</v>
      </c>
      <c r="H1561" s="4">
        <v>8190</v>
      </c>
      <c r="I1561" s="6">
        <v>22352.788462399287</v>
      </c>
      <c r="J1561" s="4"/>
      <c r="K1561" s="4"/>
      <c r="L1561" s="4"/>
      <c r="M1561" s="4"/>
      <c r="N1561" s="4"/>
      <c r="O1561" s="4"/>
      <c r="P1561" s="4"/>
      <c r="Q1561" s="4"/>
      <c r="R1561" s="4"/>
      <c r="S1561" s="4"/>
      <c r="T1561" s="4"/>
      <c r="U1561" s="4"/>
      <c r="V1561" s="4"/>
      <c r="W1561" s="4"/>
      <c r="X1561" s="4"/>
      <c r="Y1561" s="4"/>
      <c r="Z1561" s="4"/>
    </row>
    <row r="1562" spans="1:26">
      <c r="A1562" s="5">
        <v>43617</v>
      </c>
      <c r="B1562" s="4" t="s">
        <v>20</v>
      </c>
      <c r="C1562" s="4" t="s">
        <v>10</v>
      </c>
      <c r="D1562" s="4" t="s">
        <v>11</v>
      </c>
      <c r="E1562" s="4" t="s">
        <v>12</v>
      </c>
      <c r="F1562" s="4">
        <v>2728530</v>
      </c>
      <c r="G1562" s="4">
        <v>6233</v>
      </c>
      <c r="H1562" s="4">
        <v>7064</v>
      </c>
      <c r="I1562" s="6">
        <v>1662.4111180848295</v>
      </c>
      <c r="J1562" s="4"/>
      <c r="K1562" s="4"/>
      <c r="L1562" s="4"/>
      <c r="M1562" s="4"/>
      <c r="N1562" s="4"/>
      <c r="O1562" s="4"/>
      <c r="P1562" s="4"/>
      <c r="Q1562" s="4"/>
      <c r="R1562" s="4"/>
      <c r="S1562" s="4"/>
      <c r="T1562" s="4"/>
      <c r="U1562" s="4"/>
      <c r="V1562" s="4"/>
      <c r="W1562" s="4"/>
      <c r="X1562" s="4"/>
      <c r="Y1562" s="4"/>
      <c r="Z1562" s="4"/>
    </row>
    <row r="1563" spans="1:26">
      <c r="A1563" s="5">
        <v>43617</v>
      </c>
      <c r="B1563" s="4" t="s">
        <v>20</v>
      </c>
      <c r="C1563" s="4" t="s">
        <v>10</v>
      </c>
      <c r="D1563" s="4" t="s">
        <v>11</v>
      </c>
      <c r="E1563" s="4" t="s">
        <v>13</v>
      </c>
      <c r="F1563" s="4">
        <v>1107</v>
      </c>
      <c r="G1563" s="4">
        <v>34</v>
      </c>
      <c r="H1563" s="4">
        <v>86</v>
      </c>
      <c r="I1563" s="6">
        <v>19122.84707070707</v>
      </c>
      <c r="J1563" s="4"/>
      <c r="K1563" s="4"/>
      <c r="L1563" s="4"/>
      <c r="M1563" s="4"/>
      <c r="N1563" s="4"/>
      <c r="O1563" s="4"/>
      <c r="P1563" s="4"/>
      <c r="Q1563" s="4"/>
      <c r="R1563" s="4"/>
      <c r="S1563" s="4"/>
      <c r="T1563" s="4"/>
      <c r="U1563" s="4"/>
      <c r="V1563" s="4"/>
      <c r="W1563" s="4"/>
      <c r="X1563" s="4"/>
      <c r="Y1563" s="4"/>
      <c r="Z1563" s="4"/>
    </row>
    <row r="1564" spans="1:26">
      <c r="A1564" s="5">
        <v>43617</v>
      </c>
      <c r="B1564" s="4" t="s">
        <v>20</v>
      </c>
      <c r="C1564" s="4" t="s">
        <v>10</v>
      </c>
      <c r="D1564" s="4" t="s">
        <v>14</v>
      </c>
      <c r="E1564" s="4" t="s">
        <v>12</v>
      </c>
      <c r="F1564" s="4">
        <v>4941295</v>
      </c>
      <c r="G1564" s="4">
        <v>11083</v>
      </c>
      <c r="H1564" s="4">
        <v>12038</v>
      </c>
      <c r="I1564" s="6">
        <v>1512.5028690692523</v>
      </c>
      <c r="J1564" s="4"/>
      <c r="K1564" s="4"/>
      <c r="L1564" s="4"/>
      <c r="M1564" s="4"/>
      <c r="N1564" s="4"/>
      <c r="O1564" s="4"/>
      <c r="P1564" s="4"/>
      <c r="Q1564" s="4"/>
      <c r="R1564" s="4"/>
      <c r="S1564" s="4"/>
      <c r="T1564" s="4"/>
      <c r="U1564" s="4"/>
      <c r="V1564" s="4"/>
      <c r="W1564" s="4"/>
      <c r="X1564" s="4"/>
      <c r="Y1564" s="4"/>
      <c r="Z1564" s="4"/>
    </row>
    <row r="1565" spans="1:26">
      <c r="A1565" s="5">
        <v>43617</v>
      </c>
      <c r="B1565" s="4" t="s">
        <v>20</v>
      </c>
      <c r="C1565" s="4" t="s">
        <v>10</v>
      </c>
      <c r="D1565" s="4" t="s">
        <v>14</v>
      </c>
      <c r="E1565" s="4" t="s">
        <v>13</v>
      </c>
      <c r="F1565" s="4">
        <v>2382</v>
      </c>
      <c r="G1565" s="4">
        <v>62</v>
      </c>
      <c r="H1565" s="4">
        <v>260</v>
      </c>
      <c r="I1565" s="6">
        <v>29123.694689655174</v>
      </c>
      <c r="J1565" s="4"/>
      <c r="K1565" s="4"/>
      <c r="L1565" s="4"/>
      <c r="M1565" s="4"/>
      <c r="N1565" s="4"/>
      <c r="O1565" s="4"/>
      <c r="P1565" s="4"/>
      <c r="Q1565" s="4"/>
      <c r="R1565" s="4"/>
      <c r="S1565" s="4"/>
      <c r="T1565" s="4"/>
      <c r="U1565" s="4"/>
      <c r="V1565" s="4"/>
      <c r="W1565" s="4"/>
      <c r="X1565" s="4"/>
      <c r="Y1565" s="4"/>
      <c r="Z1565" s="4"/>
    </row>
    <row r="1566" spans="1:26">
      <c r="A1566" s="5">
        <v>43617</v>
      </c>
      <c r="B1566" s="4" t="s">
        <v>20</v>
      </c>
      <c r="C1566" s="4" t="s">
        <v>10</v>
      </c>
      <c r="D1566" s="4" t="s">
        <v>15</v>
      </c>
      <c r="E1566" s="4" t="s">
        <v>12</v>
      </c>
      <c r="F1566" s="4">
        <v>1234941</v>
      </c>
      <c r="G1566" s="4">
        <v>2802</v>
      </c>
      <c r="H1566" s="4">
        <v>3039</v>
      </c>
      <c r="I1566" s="6">
        <v>484.7705530371714</v>
      </c>
      <c r="J1566" s="4"/>
      <c r="K1566" s="4"/>
      <c r="L1566" s="4"/>
      <c r="M1566" s="4"/>
      <c r="N1566" s="4"/>
      <c r="O1566" s="4"/>
      <c r="P1566" s="4"/>
      <c r="Q1566" s="4"/>
      <c r="R1566" s="4"/>
      <c r="S1566" s="4"/>
      <c r="T1566" s="4"/>
      <c r="U1566" s="4"/>
      <c r="V1566" s="4"/>
      <c r="W1566" s="4"/>
      <c r="X1566" s="4"/>
      <c r="Y1566" s="4"/>
      <c r="Z1566" s="4"/>
    </row>
    <row r="1567" spans="1:26">
      <c r="A1567" s="5">
        <v>43617</v>
      </c>
      <c r="B1567" s="4" t="s">
        <v>20</v>
      </c>
      <c r="C1567" s="4" t="s">
        <v>10</v>
      </c>
      <c r="D1567" s="4" t="s">
        <v>15</v>
      </c>
      <c r="E1567" s="4" t="s">
        <v>13</v>
      </c>
      <c r="F1567" s="4">
        <v>331</v>
      </c>
      <c r="G1567" s="4">
        <v>19</v>
      </c>
      <c r="H1567" s="4">
        <v>58</v>
      </c>
      <c r="I1567" s="6">
        <v>7058.902253521127</v>
      </c>
      <c r="J1567" s="4"/>
      <c r="K1567" s="4"/>
      <c r="L1567" s="4"/>
      <c r="M1567" s="4"/>
      <c r="N1567" s="4"/>
      <c r="O1567" s="4"/>
      <c r="P1567" s="4"/>
      <c r="Q1567" s="4"/>
      <c r="R1567" s="4"/>
      <c r="S1567" s="4"/>
      <c r="T1567" s="4"/>
      <c r="U1567" s="4"/>
      <c r="V1567" s="4"/>
      <c r="W1567" s="4"/>
      <c r="X1567" s="4"/>
      <c r="Y1567" s="4"/>
      <c r="Z1567" s="4"/>
    </row>
    <row r="1568" spans="1:26">
      <c r="A1568" s="5">
        <v>43617</v>
      </c>
      <c r="B1568" s="4" t="s">
        <v>20</v>
      </c>
      <c r="C1568" s="4" t="s">
        <v>10</v>
      </c>
      <c r="D1568" s="4" t="s">
        <v>16</v>
      </c>
      <c r="E1568" s="4" t="s">
        <v>12</v>
      </c>
      <c r="F1568" s="4">
        <v>13289834</v>
      </c>
      <c r="G1568" s="4">
        <v>40360</v>
      </c>
      <c r="H1568" s="4">
        <v>42388</v>
      </c>
      <c r="I1568" s="6">
        <v>7148.5297207599551</v>
      </c>
      <c r="J1568" s="4"/>
      <c r="K1568" s="4"/>
      <c r="L1568" s="4"/>
      <c r="M1568" s="4"/>
      <c r="N1568" s="4"/>
      <c r="O1568" s="4"/>
      <c r="P1568" s="4"/>
      <c r="Q1568" s="4"/>
      <c r="R1568" s="4"/>
      <c r="S1568" s="4"/>
      <c r="T1568" s="4"/>
      <c r="U1568" s="4"/>
      <c r="V1568" s="4"/>
      <c r="W1568" s="4"/>
      <c r="X1568" s="4"/>
      <c r="Y1568" s="4"/>
      <c r="Z1568" s="4"/>
    </row>
    <row r="1569" spans="1:26">
      <c r="A1569" s="5">
        <v>43617</v>
      </c>
      <c r="B1569" s="4" t="s">
        <v>20</v>
      </c>
      <c r="C1569" s="4" t="s">
        <v>10</v>
      </c>
      <c r="D1569" s="4" t="s">
        <v>16</v>
      </c>
      <c r="E1569" s="4" t="s">
        <v>13</v>
      </c>
      <c r="F1569" s="4">
        <v>6455</v>
      </c>
      <c r="G1569" s="4">
        <v>277</v>
      </c>
      <c r="H1569" s="4">
        <v>747</v>
      </c>
      <c r="I1569" s="6">
        <v>122260.3484963325</v>
      </c>
      <c r="J1569" s="4"/>
      <c r="K1569" s="4"/>
      <c r="L1569" s="4"/>
      <c r="M1569" s="4"/>
      <c r="N1569" s="4"/>
      <c r="O1569" s="4"/>
      <c r="P1569" s="4"/>
      <c r="Q1569" s="4"/>
      <c r="R1569" s="4"/>
      <c r="S1569" s="4"/>
      <c r="T1569" s="4"/>
      <c r="U1569" s="4"/>
      <c r="V1569" s="4"/>
      <c r="W1569" s="4"/>
      <c r="X1569" s="4"/>
      <c r="Y1569" s="4"/>
      <c r="Z1569" s="4"/>
    </row>
    <row r="1570" spans="1:26">
      <c r="A1570" s="5">
        <v>43617</v>
      </c>
      <c r="B1570" s="4" t="s">
        <v>20</v>
      </c>
      <c r="C1570" s="4" t="s">
        <v>10</v>
      </c>
      <c r="D1570" s="4" t="s">
        <v>17</v>
      </c>
      <c r="E1570" s="4" t="s">
        <v>12</v>
      </c>
      <c r="F1570" s="4">
        <v>4210562</v>
      </c>
      <c r="G1570" s="4">
        <v>13433</v>
      </c>
      <c r="H1570" s="4">
        <v>14252</v>
      </c>
      <c r="I1570" s="6">
        <v>2168.9144001805871</v>
      </c>
      <c r="J1570" s="4"/>
      <c r="K1570" s="4"/>
      <c r="L1570" s="4"/>
      <c r="M1570" s="4"/>
      <c r="N1570" s="4"/>
      <c r="O1570" s="4"/>
      <c r="P1570" s="4"/>
      <c r="Q1570" s="4"/>
      <c r="R1570" s="4"/>
      <c r="S1570" s="4"/>
      <c r="T1570" s="4"/>
      <c r="U1570" s="4"/>
      <c r="V1570" s="4"/>
      <c r="W1570" s="4"/>
      <c r="X1570" s="4"/>
      <c r="Y1570" s="4"/>
      <c r="Z1570" s="4"/>
    </row>
    <row r="1571" spans="1:26">
      <c r="A1571" s="5">
        <v>43617</v>
      </c>
      <c r="B1571" s="4" t="s">
        <v>20</v>
      </c>
      <c r="C1571" s="4" t="s">
        <v>10</v>
      </c>
      <c r="D1571" s="4" t="s">
        <v>17</v>
      </c>
      <c r="E1571" s="4" t="s">
        <v>13</v>
      </c>
      <c r="F1571" s="4">
        <v>2188</v>
      </c>
      <c r="G1571" s="4">
        <v>89</v>
      </c>
      <c r="H1571" s="4">
        <v>281</v>
      </c>
      <c r="I1571" s="6">
        <v>42732.522064516124</v>
      </c>
      <c r="J1571" s="4"/>
      <c r="K1571" s="4"/>
      <c r="L1571" s="4"/>
      <c r="M1571" s="4"/>
      <c r="N1571" s="4"/>
      <c r="O1571" s="4"/>
      <c r="P1571" s="4"/>
      <c r="Q1571" s="4"/>
      <c r="R1571" s="4"/>
      <c r="S1571" s="4"/>
      <c r="T1571" s="4"/>
      <c r="U1571" s="4"/>
      <c r="V1571" s="4"/>
      <c r="W1571" s="4"/>
      <c r="X1571" s="4"/>
      <c r="Y1571" s="4"/>
      <c r="Z1571" s="4"/>
    </row>
    <row r="1572" spans="1:26">
      <c r="A1572" s="5">
        <v>43617</v>
      </c>
      <c r="B1572" s="4" t="s">
        <v>20</v>
      </c>
      <c r="C1572" s="4" t="s">
        <v>18</v>
      </c>
      <c r="D1572" s="4" t="s">
        <v>11</v>
      </c>
      <c r="E1572" s="4" t="s">
        <v>12</v>
      </c>
      <c r="F1572" s="4">
        <v>3052586</v>
      </c>
      <c r="G1572" s="4">
        <v>17612</v>
      </c>
      <c r="H1572" s="4">
        <v>33939</v>
      </c>
      <c r="I1572" s="6">
        <v>10440.225076785571</v>
      </c>
      <c r="J1572" s="4"/>
      <c r="K1572" s="4"/>
      <c r="L1572" s="4"/>
      <c r="M1572" s="4"/>
      <c r="N1572" s="4"/>
      <c r="O1572" s="4"/>
      <c r="P1572" s="4"/>
      <c r="Q1572" s="4"/>
      <c r="R1572" s="4"/>
      <c r="S1572" s="4"/>
      <c r="T1572" s="4"/>
      <c r="U1572" s="4"/>
      <c r="V1572" s="4"/>
      <c r="W1572" s="4"/>
      <c r="X1572" s="4"/>
      <c r="Y1572" s="4"/>
      <c r="Z1572" s="4"/>
    </row>
    <row r="1573" spans="1:26">
      <c r="A1573" s="5">
        <v>43617</v>
      </c>
      <c r="B1573" s="4" t="s">
        <v>20</v>
      </c>
      <c r="C1573" s="4" t="s">
        <v>18</v>
      </c>
      <c r="D1573" s="4" t="s">
        <v>11</v>
      </c>
      <c r="E1573" s="4" t="s">
        <v>13</v>
      </c>
      <c r="F1573" s="4">
        <v>1577</v>
      </c>
      <c r="G1573" s="4">
        <v>25</v>
      </c>
      <c r="H1573" s="4">
        <v>43</v>
      </c>
      <c r="I1573" s="6">
        <v>224.39980000000003</v>
      </c>
      <c r="J1573" s="4"/>
      <c r="K1573" s="4"/>
      <c r="L1573" s="4"/>
      <c r="M1573" s="4"/>
      <c r="N1573" s="4"/>
      <c r="O1573" s="4"/>
      <c r="P1573" s="4"/>
      <c r="Q1573" s="4"/>
      <c r="R1573" s="4"/>
      <c r="S1573" s="4"/>
      <c r="T1573" s="4"/>
      <c r="U1573" s="4"/>
      <c r="V1573" s="4"/>
      <c r="W1573" s="4"/>
      <c r="X1573" s="4"/>
      <c r="Y1573" s="4"/>
      <c r="Z1573" s="4"/>
    </row>
    <row r="1574" spans="1:26">
      <c r="A1574" s="5">
        <v>43617</v>
      </c>
      <c r="B1574" s="4" t="s">
        <v>20</v>
      </c>
      <c r="C1574" s="4" t="s">
        <v>18</v>
      </c>
      <c r="D1574" s="4" t="s">
        <v>14</v>
      </c>
      <c r="E1574" s="4" t="s">
        <v>12</v>
      </c>
      <c r="F1574" s="4">
        <v>5782975</v>
      </c>
      <c r="G1574" s="4">
        <v>34751</v>
      </c>
      <c r="H1574" s="4">
        <v>64967</v>
      </c>
      <c r="I1574" s="6">
        <v>13259.381351492853</v>
      </c>
      <c r="J1574" s="4"/>
      <c r="K1574" s="4"/>
      <c r="L1574" s="4"/>
      <c r="M1574" s="4"/>
      <c r="N1574" s="4"/>
      <c r="O1574" s="4"/>
      <c r="P1574" s="4"/>
      <c r="Q1574" s="4"/>
      <c r="R1574" s="4"/>
      <c r="S1574" s="4"/>
      <c r="T1574" s="4"/>
      <c r="U1574" s="4"/>
      <c r="V1574" s="4"/>
      <c r="W1574" s="4"/>
      <c r="X1574" s="4"/>
      <c r="Y1574" s="4"/>
      <c r="Z1574" s="4"/>
    </row>
    <row r="1575" spans="1:26">
      <c r="A1575" s="5">
        <v>43617</v>
      </c>
      <c r="B1575" s="4" t="s">
        <v>20</v>
      </c>
      <c r="C1575" s="4" t="s">
        <v>18</v>
      </c>
      <c r="D1575" s="4" t="s">
        <v>14</v>
      </c>
      <c r="E1575" s="4" t="s">
        <v>13</v>
      </c>
      <c r="F1575" s="4">
        <v>3019</v>
      </c>
      <c r="G1575" s="4">
        <v>37</v>
      </c>
      <c r="H1575" s="4">
        <v>213</v>
      </c>
      <c r="I1575" s="6">
        <v>358.07766223140493</v>
      </c>
      <c r="J1575" s="4"/>
      <c r="K1575" s="4"/>
      <c r="L1575" s="4"/>
      <c r="M1575" s="4"/>
      <c r="N1575" s="4"/>
      <c r="O1575" s="4"/>
      <c r="P1575" s="4"/>
      <c r="Q1575" s="4"/>
      <c r="R1575" s="4"/>
      <c r="S1575" s="4"/>
      <c r="T1575" s="4"/>
      <c r="U1575" s="4"/>
      <c r="V1575" s="4"/>
      <c r="W1575" s="4"/>
      <c r="X1575" s="4"/>
      <c r="Y1575" s="4"/>
      <c r="Z1575" s="4"/>
    </row>
    <row r="1576" spans="1:26">
      <c r="A1576" s="5">
        <v>43617</v>
      </c>
      <c r="B1576" s="4" t="s">
        <v>20</v>
      </c>
      <c r="C1576" s="4" t="s">
        <v>18</v>
      </c>
      <c r="D1576" s="4" t="s">
        <v>15</v>
      </c>
      <c r="E1576" s="4" t="s">
        <v>12</v>
      </c>
      <c r="F1576" s="4">
        <v>1825403</v>
      </c>
      <c r="G1576" s="4">
        <v>12031</v>
      </c>
      <c r="H1576" s="4">
        <v>22584</v>
      </c>
      <c r="I1576" s="6">
        <v>3681.7646660425739</v>
      </c>
      <c r="J1576" s="4"/>
      <c r="K1576" s="4"/>
      <c r="L1576" s="4"/>
      <c r="M1576" s="4"/>
      <c r="N1576" s="4"/>
      <c r="O1576" s="4"/>
      <c r="P1576" s="4"/>
      <c r="Q1576" s="4"/>
      <c r="R1576" s="4"/>
      <c r="S1576" s="4"/>
      <c r="T1576" s="4"/>
      <c r="U1576" s="4"/>
      <c r="V1576" s="4"/>
      <c r="W1576" s="4"/>
      <c r="X1576" s="4"/>
      <c r="Y1576" s="4"/>
      <c r="Z1576" s="4"/>
    </row>
    <row r="1577" spans="1:26">
      <c r="A1577" s="5">
        <v>43617</v>
      </c>
      <c r="B1577" s="4" t="s">
        <v>20</v>
      </c>
      <c r="C1577" s="4" t="s">
        <v>18</v>
      </c>
      <c r="D1577" s="4" t="s">
        <v>15</v>
      </c>
      <c r="E1577" s="4" t="s">
        <v>13</v>
      </c>
      <c r="F1577" s="4">
        <v>635</v>
      </c>
      <c r="G1577" s="4">
        <v>9</v>
      </c>
      <c r="H1577" s="4">
        <v>29</v>
      </c>
      <c r="I1577" s="6">
        <v>210.48476190476188</v>
      </c>
      <c r="J1577" s="4"/>
      <c r="K1577" s="4"/>
      <c r="L1577" s="4"/>
      <c r="M1577" s="4"/>
      <c r="N1577" s="4"/>
      <c r="O1577" s="4"/>
      <c r="P1577" s="4"/>
      <c r="Q1577" s="4"/>
      <c r="R1577" s="4"/>
      <c r="S1577" s="4"/>
      <c r="T1577" s="4"/>
      <c r="U1577" s="4"/>
      <c r="V1577" s="4"/>
      <c r="W1577" s="4"/>
      <c r="X1577" s="4"/>
      <c r="Y1577" s="4"/>
      <c r="Z1577" s="4"/>
    </row>
    <row r="1578" spans="1:26">
      <c r="A1578" s="5">
        <v>43617</v>
      </c>
      <c r="B1578" s="4" t="s">
        <v>20</v>
      </c>
      <c r="C1578" s="4" t="s">
        <v>18</v>
      </c>
      <c r="D1578" s="4" t="s">
        <v>16</v>
      </c>
      <c r="E1578" s="4" t="s">
        <v>12</v>
      </c>
      <c r="F1578" s="4">
        <v>26845384</v>
      </c>
      <c r="G1578" s="4">
        <v>86019</v>
      </c>
      <c r="H1578" s="4">
        <v>160217</v>
      </c>
      <c r="I1578" s="6">
        <v>52866.443222165472</v>
      </c>
      <c r="J1578" s="4"/>
      <c r="K1578" s="4"/>
      <c r="L1578" s="4"/>
      <c r="M1578" s="4"/>
      <c r="N1578" s="4"/>
      <c r="O1578" s="4"/>
      <c r="P1578" s="4"/>
      <c r="Q1578" s="4"/>
      <c r="R1578" s="4"/>
      <c r="S1578" s="4"/>
      <c r="T1578" s="4"/>
      <c r="U1578" s="4"/>
      <c r="V1578" s="4"/>
      <c r="W1578" s="4"/>
      <c r="X1578" s="4"/>
      <c r="Y1578" s="4"/>
      <c r="Z1578" s="4"/>
    </row>
    <row r="1579" spans="1:26">
      <c r="A1579" s="5">
        <v>43617</v>
      </c>
      <c r="B1579" s="4" t="s">
        <v>20</v>
      </c>
      <c r="C1579" s="4" t="s">
        <v>18</v>
      </c>
      <c r="D1579" s="4" t="s">
        <v>16</v>
      </c>
      <c r="E1579" s="4" t="s">
        <v>13</v>
      </c>
      <c r="F1579" s="4">
        <v>32897</v>
      </c>
      <c r="G1579" s="4">
        <v>107</v>
      </c>
      <c r="H1579" s="4">
        <v>1167</v>
      </c>
      <c r="I1579" s="6">
        <v>1563.7530277349767</v>
      </c>
      <c r="J1579" s="4"/>
      <c r="K1579" s="4"/>
      <c r="L1579" s="4"/>
      <c r="M1579" s="4"/>
      <c r="N1579" s="4"/>
      <c r="O1579" s="4"/>
      <c r="P1579" s="4"/>
      <c r="Q1579" s="4"/>
      <c r="R1579" s="4"/>
      <c r="S1579" s="4"/>
      <c r="T1579" s="4"/>
      <c r="U1579" s="4"/>
      <c r="V1579" s="4"/>
      <c r="W1579" s="4"/>
      <c r="X1579" s="4"/>
      <c r="Y1579" s="4"/>
      <c r="Z1579" s="4"/>
    </row>
    <row r="1580" spans="1:26">
      <c r="A1580" s="5">
        <v>43617</v>
      </c>
      <c r="B1580" s="4" t="s">
        <v>20</v>
      </c>
      <c r="C1580" s="4" t="s">
        <v>18</v>
      </c>
      <c r="D1580" s="4" t="s">
        <v>17</v>
      </c>
      <c r="E1580" s="4" t="s">
        <v>12</v>
      </c>
      <c r="F1580" s="4">
        <v>4729904</v>
      </c>
      <c r="G1580" s="4">
        <v>29042</v>
      </c>
      <c r="H1580" s="4">
        <v>51018</v>
      </c>
      <c r="I1580" s="6">
        <v>17389.925097664698</v>
      </c>
      <c r="J1580" s="4"/>
      <c r="K1580" s="4"/>
      <c r="L1580" s="4"/>
      <c r="M1580" s="4"/>
      <c r="N1580" s="4"/>
      <c r="O1580" s="4"/>
      <c r="P1580" s="4"/>
      <c r="Q1580" s="4"/>
      <c r="R1580" s="4"/>
      <c r="S1580" s="4"/>
      <c r="T1580" s="4"/>
      <c r="U1580" s="4"/>
      <c r="V1580" s="4"/>
      <c r="W1580" s="4"/>
      <c r="X1580" s="4"/>
      <c r="Y1580" s="4"/>
      <c r="Z1580" s="4"/>
    </row>
    <row r="1581" spans="1:26">
      <c r="A1581" s="5">
        <v>43617</v>
      </c>
      <c r="B1581" s="4" t="s">
        <v>20</v>
      </c>
      <c r="C1581" s="4" t="s">
        <v>18</v>
      </c>
      <c r="D1581" s="4" t="s">
        <v>17</v>
      </c>
      <c r="E1581" s="4" t="s">
        <v>13</v>
      </c>
      <c r="F1581" s="4">
        <v>1911</v>
      </c>
      <c r="G1581" s="4">
        <v>29</v>
      </c>
      <c r="H1581" s="4">
        <v>161</v>
      </c>
      <c r="I1581" s="6">
        <v>100.58125</v>
      </c>
      <c r="J1581" s="4"/>
      <c r="K1581" s="4"/>
      <c r="L1581" s="4"/>
      <c r="M1581" s="4"/>
      <c r="N1581" s="4"/>
      <c r="O1581" s="4"/>
      <c r="P1581" s="4"/>
      <c r="Q1581" s="4"/>
      <c r="R1581" s="4"/>
      <c r="S1581" s="4"/>
      <c r="T1581" s="4"/>
      <c r="U1581" s="4"/>
      <c r="V1581" s="4"/>
      <c r="W1581" s="4"/>
      <c r="X1581" s="4"/>
      <c r="Y1581" s="4"/>
      <c r="Z1581" s="4"/>
    </row>
    <row r="1582" spans="1:26">
      <c r="A1582" s="5">
        <v>43617</v>
      </c>
      <c r="B1582" s="4" t="s">
        <v>20</v>
      </c>
      <c r="C1582" s="4" t="s">
        <v>19</v>
      </c>
      <c r="D1582" s="4" t="s">
        <v>11</v>
      </c>
      <c r="E1582" s="4" t="s">
        <v>12</v>
      </c>
      <c r="F1582" s="4">
        <v>933861</v>
      </c>
      <c r="G1582" s="4">
        <v>2779</v>
      </c>
      <c r="H1582" s="4">
        <v>2989</v>
      </c>
      <c r="I1582" s="6">
        <v>10466.781730178242</v>
      </c>
      <c r="J1582" s="4"/>
      <c r="K1582" s="4"/>
      <c r="L1582" s="4"/>
      <c r="M1582" s="4"/>
      <c r="N1582" s="4"/>
      <c r="O1582" s="4"/>
      <c r="P1582" s="4"/>
      <c r="Q1582" s="4"/>
      <c r="R1582" s="4"/>
      <c r="S1582" s="4"/>
      <c r="T1582" s="4"/>
      <c r="U1582" s="4"/>
      <c r="V1582" s="4"/>
      <c r="W1582" s="4"/>
      <c r="X1582" s="4"/>
      <c r="Y1582" s="4"/>
      <c r="Z1582" s="4"/>
    </row>
    <row r="1583" spans="1:26">
      <c r="A1583" s="5">
        <v>43617</v>
      </c>
      <c r="B1583" s="4" t="s">
        <v>20</v>
      </c>
      <c r="C1583" s="4" t="s">
        <v>19</v>
      </c>
      <c r="D1583" s="4" t="s">
        <v>11</v>
      </c>
      <c r="E1583" s="4" t="s">
        <v>13</v>
      </c>
      <c r="F1583" s="4">
        <v>1273</v>
      </c>
      <c r="G1583" s="4">
        <v>50</v>
      </c>
      <c r="H1583" s="4">
        <v>294</v>
      </c>
      <c r="I1583" s="6">
        <v>1384.8537500000002</v>
      </c>
      <c r="J1583" s="4"/>
      <c r="K1583" s="4"/>
      <c r="L1583" s="4"/>
      <c r="M1583" s="4"/>
      <c r="N1583" s="4"/>
      <c r="O1583" s="4"/>
      <c r="P1583" s="4"/>
      <c r="Q1583" s="4"/>
      <c r="R1583" s="4"/>
      <c r="S1583" s="4"/>
      <c r="T1583" s="4"/>
      <c r="U1583" s="4"/>
      <c r="V1583" s="4"/>
      <c r="W1583" s="4"/>
      <c r="X1583" s="4"/>
      <c r="Y1583" s="4"/>
      <c r="Z1583" s="4"/>
    </row>
    <row r="1584" spans="1:26">
      <c r="A1584" s="5">
        <v>43617</v>
      </c>
      <c r="B1584" s="4" t="s">
        <v>20</v>
      </c>
      <c r="C1584" s="4" t="s">
        <v>19</v>
      </c>
      <c r="D1584" s="4" t="s">
        <v>14</v>
      </c>
      <c r="E1584" s="4" t="s">
        <v>12</v>
      </c>
      <c r="F1584" s="4">
        <v>2197297</v>
      </c>
      <c r="G1584" s="4">
        <v>7138</v>
      </c>
      <c r="H1584" s="4">
        <v>7211</v>
      </c>
      <c r="I1584" s="6">
        <v>22162.305962788327</v>
      </c>
      <c r="J1584" s="4"/>
      <c r="K1584" s="4"/>
      <c r="L1584" s="4"/>
      <c r="M1584" s="4"/>
      <c r="N1584" s="4"/>
      <c r="O1584" s="4"/>
      <c r="P1584" s="4"/>
      <c r="Q1584" s="4"/>
      <c r="R1584" s="4"/>
      <c r="S1584" s="4"/>
      <c r="T1584" s="4"/>
      <c r="U1584" s="4"/>
      <c r="V1584" s="4"/>
      <c r="W1584" s="4"/>
      <c r="X1584" s="4"/>
      <c r="Y1584" s="4"/>
      <c r="Z1584" s="4"/>
    </row>
    <row r="1585" spans="1:26">
      <c r="A1585" s="5">
        <v>43617</v>
      </c>
      <c r="B1585" s="4" t="s">
        <v>20</v>
      </c>
      <c r="C1585" s="4" t="s">
        <v>19</v>
      </c>
      <c r="D1585" s="4" t="s">
        <v>14</v>
      </c>
      <c r="E1585" s="4" t="s">
        <v>13</v>
      </c>
      <c r="F1585" s="4">
        <v>3323</v>
      </c>
      <c r="G1585" s="4">
        <v>136</v>
      </c>
      <c r="H1585" s="4">
        <v>563</v>
      </c>
      <c r="I1585" s="6">
        <v>2659.7586334405141</v>
      </c>
      <c r="J1585" s="4"/>
      <c r="K1585" s="4"/>
      <c r="L1585" s="4"/>
      <c r="M1585" s="4"/>
      <c r="N1585" s="4"/>
      <c r="O1585" s="4"/>
      <c r="P1585" s="4"/>
      <c r="Q1585" s="4"/>
      <c r="R1585" s="4"/>
      <c r="S1585" s="4"/>
      <c r="T1585" s="4"/>
      <c r="U1585" s="4"/>
      <c r="V1585" s="4"/>
      <c r="W1585" s="4"/>
      <c r="X1585" s="4"/>
      <c r="Y1585" s="4"/>
      <c r="Z1585" s="4"/>
    </row>
    <row r="1586" spans="1:26">
      <c r="A1586" s="5">
        <v>43617</v>
      </c>
      <c r="B1586" s="4" t="s">
        <v>20</v>
      </c>
      <c r="C1586" s="4" t="s">
        <v>19</v>
      </c>
      <c r="D1586" s="4" t="s">
        <v>15</v>
      </c>
      <c r="E1586" s="4" t="s">
        <v>12</v>
      </c>
      <c r="F1586" s="4">
        <v>571254</v>
      </c>
      <c r="G1586" s="4">
        <v>1943</v>
      </c>
      <c r="H1586" s="4">
        <v>1968</v>
      </c>
      <c r="I1586" s="6">
        <v>7135.3676865671641</v>
      </c>
      <c r="J1586" s="4"/>
      <c r="K1586" s="4"/>
      <c r="L1586" s="4"/>
      <c r="M1586" s="4"/>
      <c r="N1586" s="4"/>
      <c r="O1586" s="4"/>
      <c r="P1586" s="4"/>
      <c r="Q1586" s="4"/>
      <c r="R1586" s="4"/>
      <c r="S1586" s="4"/>
      <c r="T1586" s="4"/>
      <c r="U1586" s="4"/>
      <c r="V1586" s="4"/>
      <c r="W1586" s="4"/>
      <c r="X1586" s="4"/>
      <c r="Y1586" s="4"/>
      <c r="Z1586" s="4"/>
    </row>
    <row r="1587" spans="1:26">
      <c r="A1587" s="5">
        <v>43617</v>
      </c>
      <c r="B1587" s="4" t="s">
        <v>20</v>
      </c>
      <c r="C1587" s="4" t="s">
        <v>19</v>
      </c>
      <c r="D1587" s="4" t="s">
        <v>15</v>
      </c>
      <c r="E1587" s="4" t="s">
        <v>13</v>
      </c>
      <c r="F1587" s="4">
        <v>580</v>
      </c>
      <c r="G1587" s="4">
        <v>24</v>
      </c>
      <c r="H1587" s="4">
        <v>244</v>
      </c>
      <c r="I1587" s="6">
        <v>336.41178947368422</v>
      </c>
      <c r="J1587" s="4"/>
      <c r="K1587" s="4"/>
      <c r="L1587" s="4"/>
      <c r="M1587" s="4"/>
      <c r="N1587" s="4"/>
      <c r="O1587" s="4"/>
      <c r="P1587" s="4"/>
      <c r="Q1587" s="4"/>
      <c r="R1587" s="4"/>
      <c r="S1587" s="4"/>
      <c r="T1587" s="4"/>
      <c r="U1587" s="4"/>
      <c r="V1587" s="4"/>
      <c r="W1587" s="4"/>
      <c r="X1587" s="4"/>
      <c r="Y1587" s="4"/>
      <c r="Z1587" s="4"/>
    </row>
    <row r="1588" spans="1:26">
      <c r="A1588" s="5">
        <v>43617</v>
      </c>
      <c r="B1588" s="4" t="s">
        <v>20</v>
      </c>
      <c r="C1588" s="4" t="s">
        <v>19</v>
      </c>
      <c r="D1588" s="4" t="s">
        <v>16</v>
      </c>
      <c r="E1588" s="4" t="s">
        <v>12</v>
      </c>
      <c r="F1588" s="4">
        <v>5130346</v>
      </c>
      <c r="G1588" s="4">
        <v>13976</v>
      </c>
      <c r="H1588" s="4">
        <v>14329</v>
      </c>
      <c r="I1588" s="6">
        <v>66531.121544678943</v>
      </c>
      <c r="J1588" s="4"/>
      <c r="K1588" s="4"/>
      <c r="L1588" s="4"/>
      <c r="M1588" s="4"/>
      <c r="N1588" s="4"/>
      <c r="O1588" s="4"/>
      <c r="P1588" s="4"/>
      <c r="Q1588" s="4"/>
      <c r="R1588" s="4"/>
      <c r="S1588" s="4"/>
      <c r="T1588" s="4"/>
      <c r="U1588" s="4"/>
      <c r="V1588" s="4"/>
      <c r="W1588" s="4"/>
      <c r="X1588" s="4"/>
      <c r="Y1588" s="4"/>
      <c r="Z1588" s="4"/>
    </row>
    <row r="1589" spans="1:26">
      <c r="A1589" s="5">
        <v>43617</v>
      </c>
      <c r="B1589" s="4" t="s">
        <v>20</v>
      </c>
      <c r="C1589" s="4" t="s">
        <v>19</v>
      </c>
      <c r="D1589" s="4" t="s">
        <v>16</v>
      </c>
      <c r="E1589" s="4" t="s">
        <v>13</v>
      </c>
      <c r="F1589" s="4">
        <v>5098</v>
      </c>
      <c r="G1589" s="4">
        <v>207</v>
      </c>
      <c r="H1589" s="4">
        <v>1061</v>
      </c>
      <c r="I1589" s="6">
        <v>6409.4746792130018</v>
      </c>
      <c r="J1589" s="4"/>
      <c r="K1589" s="4"/>
      <c r="L1589" s="4"/>
      <c r="M1589" s="4"/>
      <c r="N1589" s="4"/>
      <c r="O1589" s="4"/>
      <c r="P1589" s="4"/>
      <c r="Q1589" s="4"/>
      <c r="R1589" s="4"/>
      <c r="S1589" s="4"/>
      <c r="T1589" s="4"/>
      <c r="U1589" s="4"/>
      <c r="V1589" s="4"/>
      <c r="W1589" s="4"/>
      <c r="X1589" s="4"/>
      <c r="Y1589" s="4"/>
      <c r="Z1589" s="4"/>
    </row>
    <row r="1590" spans="1:26">
      <c r="A1590" s="5">
        <v>43617</v>
      </c>
      <c r="B1590" s="4" t="s">
        <v>20</v>
      </c>
      <c r="C1590" s="4" t="s">
        <v>19</v>
      </c>
      <c r="D1590" s="4" t="s">
        <v>17</v>
      </c>
      <c r="E1590" s="4" t="s">
        <v>12</v>
      </c>
      <c r="F1590" s="4">
        <v>1568338</v>
      </c>
      <c r="G1590" s="4">
        <v>4960</v>
      </c>
      <c r="H1590" s="4">
        <v>5007</v>
      </c>
      <c r="I1590" s="6">
        <v>19817.217153606169</v>
      </c>
      <c r="J1590" s="4"/>
      <c r="K1590" s="4"/>
      <c r="L1590" s="4"/>
      <c r="M1590" s="4"/>
      <c r="N1590" s="4"/>
      <c r="O1590" s="4"/>
      <c r="P1590" s="4"/>
      <c r="Q1590" s="4"/>
      <c r="R1590" s="4"/>
      <c r="S1590" s="4"/>
      <c r="T1590" s="4"/>
      <c r="U1590" s="4"/>
      <c r="V1590" s="4"/>
      <c r="W1590" s="4"/>
      <c r="X1590" s="4"/>
      <c r="Y1590" s="4"/>
      <c r="Z1590" s="4"/>
    </row>
    <row r="1591" spans="1:26">
      <c r="A1591" s="5">
        <v>43617</v>
      </c>
      <c r="B1591" s="4" t="s">
        <v>20</v>
      </c>
      <c r="C1591" s="4" t="s">
        <v>19</v>
      </c>
      <c r="D1591" s="4" t="s">
        <v>17</v>
      </c>
      <c r="E1591" s="4" t="s">
        <v>13</v>
      </c>
      <c r="F1591" s="4">
        <v>1827</v>
      </c>
      <c r="G1591" s="4">
        <v>64</v>
      </c>
      <c r="H1591" s="4">
        <v>756</v>
      </c>
      <c r="I1591" s="6">
        <v>1645.0523957091775</v>
      </c>
      <c r="J1591" s="4"/>
      <c r="K1591" s="4"/>
      <c r="L1591" s="4"/>
      <c r="M1591" s="4"/>
      <c r="N1591" s="4"/>
      <c r="O1591" s="4"/>
      <c r="P1591" s="4"/>
      <c r="Q1591" s="4"/>
      <c r="R1591" s="4"/>
      <c r="S1591" s="4"/>
      <c r="T1591" s="4"/>
      <c r="U1591" s="4"/>
      <c r="V1591" s="4"/>
      <c r="W1591" s="4"/>
      <c r="X1591" s="4"/>
      <c r="Y1591" s="4"/>
      <c r="Z1591" s="4"/>
    </row>
    <row r="1592" spans="1:26">
      <c r="A1592" s="5">
        <v>43617</v>
      </c>
      <c r="B1592" s="4" t="s">
        <v>21</v>
      </c>
      <c r="C1592" s="4" t="s">
        <v>10</v>
      </c>
      <c r="D1592" s="4" t="s">
        <v>11</v>
      </c>
      <c r="E1592" s="4" t="s">
        <v>12</v>
      </c>
      <c r="F1592" s="4">
        <v>1635410</v>
      </c>
      <c r="G1592" s="4">
        <v>13121</v>
      </c>
      <c r="H1592" s="4">
        <v>16460</v>
      </c>
      <c r="I1592" s="6">
        <v>24493.09681335865</v>
      </c>
      <c r="J1592" s="4"/>
      <c r="K1592" s="4"/>
      <c r="L1592" s="4"/>
      <c r="M1592" s="4"/>
      <c r="N1592" s="4"/>
      <c r="O1592" s="4"/>
      <c r="P1592" s="4"/>
      <c r="Q1592" s="4"/>
      <c r="R1592" s="4"/>
      <c r="S1592" s="4"/>
      <c r="T1592" s="4"/>
      <c r="U1592" s="4"/>
      <c r="V1592" s="4"/>
      <c r="W1592" s="4"/>
      <c r="X1592" s="4"/>
      <c r="Y1592" s="4"/>
      <c r="Z1592" s="4"/>
    </row>
    <row r="1593" spans="1:26">
      <c r="A1593" s="5">
        <v>43617</v>
      </c>
      <c r="B1593" s="4" t="s">
        <v>21</v>
      </c>
      <c r="C1593" s="4" t="s">
        <v>10</v>
      </c>
      <c r="D1593" s="4" t="s">
        <v>11</v>
      </c>
      <c r="E1593" s="4" t="s">
        <v>13</v>
      </c>
      <c r="F1593" s="4">
        <v>19649</v>
      </c>
      <c r="G1593" s="4">
        <v>1142</v>
      </c>
      <c r="H1593" s="4">
        <v>19217</v>
      </c>
      <c r="I1593" s="6">
        <v>106249.94295022452</v>
      </c>
      <c r="J1593" s="4"/>
      <c r="K1593" s="4"/>
      <c r="L1593" s="4"/>
      <c r="M1593" s="4"/>
      <c r="N1593" s="4"/>
      <c r="O1593" s="4"/>
      <c r="P1593" s="4"/>
      <c r="Q1593" s="4"/>
      <c r="R1593" s="4"/>
      <c r="S1593" s="4"/>
      <c r="T1593" s="4"/>
      <c r="U1593" s="4"/>
      <c r="V1593" s="4"/>
      <c r="W1593" s="4"/>
      <c r="X1593" s="4"/>
      <c r="Y1593" s="4"/>
      <c r="Z1593" s="4"/>
    </row>
    <row r="1594" spans="1:26">
      <c r="A1594" s="5">
        <v>43617</v>
      </c>
      <c r="B1594" s="4" t="s">
        <v>21</v>
      </c>
      <c r="C1594" s="4" t="s">
        <v>10</v>
      </c>
      <c r="D1594" s="4" t="s">
        <v>14</v>
      </c>
      <c r="E1594" s="4" t="s">
        <v>12</v>
      </c>
      <c r="F1594" s="4">
        <v>2513343</v>
      </c>
      <c r="G1594" s="4">
        <v>15256</v>
      </c>
      <c r="H1594" s="4">
        <v>17386</v>
      </c>
      <c r="I1594" s="6">
        <v>36943.907806683586</v>
      </c>
      <c r="J1594" s="4"/>
      <c r="K1594" s="4"/>
      <c r="L1594" s="4"/>
      <c r="M1594" s="4"/>
      <c r="N1594" s="4"/>
      <c r="O1594" s="4"/>
      <c r="P1594" s="4"/>
      <c r="Q1594" s="4"/>
      <c r="R1594" s="4"/>
      <c r="S1594" s="4"/>
      <c r="T1594" s="4"/>
      <c r="U1594" s="4"/>
      <c r="V1594" s="4"/>
      <c r="W1594" s="4"/>
      <c r="X1594" s="4"/>
      <c r="Y1594" s="4"/>
      <c r="Z1594" s="4"/>
    </row>
    <row r="1595" spans="1:26">
      <c r="A1595" s="5">
        <v>43617</v>
      </c>
      <c r="B1595" s="4" t="s">
        <v>21</v>
      </c>
      <c r="C1595" s="4" t="s">
        <v>10</v>
      </c>
      <c r="D1595" s="4" t="s">
        <v>14</v>
      </c>
      <c r="E1595" s="4" t="s">
        <v>13</v>
      </c>
      <c r="F1595" s="4">
        <v>23778</v>
      </c>
      <c r="G1595" s="4">
        <v>1500</v>
      </c>
      <c r="H1595" s="4">
        <v>20616</v>
      </c>
      <c r="I1595" s="6">
        <v>125621.33501469409</v>
      </c>
      <c r="J1595" s="4"/>
      <c r="K1595" s="4"/>
      <c r="L1595" s="4"/>
      <c r="M1595" s="4"/>
      <c r="N1595" s="4"/>
      <c r="O1595" s="4"/>
      <c r="P1595" s="4"/>
      <c r="Q1595" s="4"/>
      <c r="R1595" s="4"/>
      <c r="S1595" s="4"/>
      <c r="T1595" s="4"/>
      <c r="U1595" s="4"/>
      <c r="V1595" s="4"/>
      <c r="W1595" s="4"/>
      <c r="X1595" s="4"/>
      <c r="Y1595" s="4"/>
      <c r="Z1595" s="4"/>
    </row>
    <row r="1596" spans="1:26">
      <c r="A1596" s="5">
        <v>43617</v>
      </c>
      <c r="B1596" s="4" t="s">
        <v>21</v>
      </c>
      <c r="C1596" s="4" t="s">
        <v>10</v>
      </c>
      <c r="D1596" s="4" t="s">
        <v>15</v>
      </c>
      <c r="E1596" s="4" t="s">
        <v>12</v>
      </c>
      <c r="F1596" s="4">
        <v>667538</v>
      </c>
      <c r="G1596" s="4">
        <v>4213</v>
      </c>
      <c r="H1596" s="4">
        <v>4945</v>
      </c>
      <c r="I1596" s="6">
        <v>9104.8824786324785</v>
      </c>
      <c r="J1596" s="4"/>
      <c r="K1596" s="4"/>
      <c r="L1596" s="4"/>
      <c r="M1596" s="4"/>
      <c r="N1596" s="4"/>
      <c r="O1596" s="4"/>
      <c r="P1596" s="4"/>
      <c r="Q1596" s="4"/>
      <c r="R1596" s="4"/>
      <c r="S1596" s="4"/>
      <c r="T1596" s="4"/>
      <c r="U1596" s="4"/>
      <c r="V1596" s="4"/>
      <c r="W1596" s="4"/>
      <c r="X1596" s="4"/>
      <c r="Y1596" s="4"/>
      <c r="Z1596" s="4"/>
    </row>
    <row r="1597" spans="1:26">
      <c r="A1597" s="5">
        <v>43617</v>
      </c>
      <c r="B1597" s="4" t="s">
        <v>21</v>
      </c>
      <c r="C1597" s="4" t="s">
        <v>10</v>
      </c>
      <c r="D1597" s="4" t="s">
        <v>15</v>
      </c>
      <c r="E1597" s="4" t="s">
        <v>13</v>
      </c>
      <c r="F1597" s="4">
        <v>5846</v>
      </c>
      <c r="G1597" s="4">
        <v>383</v>
      </c>
      <c r="H1597" s="4">
        <v>4169</v>
      </c>
      <c r="I1597" s="6">
        <v>30591.47484981364</v>
      </c>
      <c r="J1597" s="4"/>
      <c r="K1597" s="4"/>
      <c r="L1597" s="4"/>
      <c r="M1597" s="4"/>
      <c r="N1597" s="4"/>
      <c r="O1597" s="4"/>
      <c r="P1597" s="4"/>
      <c r="Q1597" s="4"/>
      <c r="R1597" s="4"/>
      <c r="S1597" s="4"/>
      <c r="T1597" s="4"/>
      <c r="U1597" s="4"/>
      <c r="V1597" s="4"/>
      <c r="W1597" s="4"/>
      <c r="X1597" s="4"/>
      <c r="Y1597" s="4"/>
      <c r="Z1597" s="4"/>
    </row>
    <row r="1598" spans="1:26">
      <c r="A1598" s="5">
        <v>43617</v>
      </c>
      <c r="B1598" s="4" t="s">
        <v>21</v>
      </c>
      <c r="C1598" s="4" t="s">
        <v>10</v>
      </c>
      <c r="D1598" s="4" t="s">
        <v>16</v>
      </c>
      <c r="E1598" s="4" t="s">
        <v>12</v>
      </c>
      <c r="F1598" s="4">
        <v>8512117</v>
      </c>
      <c r="G1598" s="4">
        <v>69500</v>
      </c>
      <c r="H1598" s="4">
        <v>76974</v>
      </c>
      <c r="I1598" s="6">
        <v>189032.8074864739</v>
      </c>
      <c r="J1598" s="4"/>
      <c r="K1598" s="4"/>
      <c r="L1598" s="4"/>
      <c r="M1598" s="4"/>
      <c r="N1598" s="4"/>
      <c r="O1598" s="4"/>
      <c r="P1598" s="4"/>
      <c r="Q1598" s="4"/>
      <c r="R1598" s="4"/>
      <c r="S1598" s="4"/>
      <c r="T1598" s="4"/>
      <c r="U1598" s="4"/>
      <c r="V1598" s="4"/>
      <c r="W1598" s="4"/>
      <c r="X1598" s="4"/>
      <c r="Y1598" s="4"/>
      <c r="Z1598" s="4"/>
    </row>
    <row r="1599" spans="1:26">
      <c r="A1599" s="5">
        <v>43617</v>
      </c>
      <c r="B1599" s="4" t="s">
        <v>21</v>
      </c>
      <c r="C1599" s="4" t="s">
        <v>10</v>
      </c>
      <c r="D1599" s="4" t="s">
        <v>16</v>
      </c>
      <c r="E1599" s="4" t="s">
        <v>13</v>
      </c>
      <c r="F1599" s="4">
        <v>104516</v>
      </c>
      <c r="G1599" s="4">
        <v>7342</v>
      </c>
      <c r="H1599" s="4">
        <v>105776</v>
      </c>
      <c r="I1599" s="6">
        <v>594865.34327398485</v>
      </c>
      <c r="J1599" s="4"/>
      <c r="K1599" s="4"/>
      <c r="L1599" s="4"/>
      <c r="M1599" s="4"/>
      <c r="N1599" s="4"/>
      <c r="O1599" s="4"/>
      <c r="P1599" s="4"/>
      <c r="Q1599" s="4"/>
      <c r="R1599" s="4"/>
      <c r="S1599" s="4"/>
      <c r="T1599" s="4"/>
      <c r="U1599" s="4"/>
      <c r="V1599" s="4"/>
      <c r="W1599" s="4"/>
      <c r="X1599" s="4"/>
      <c r="Y1599" s="4"/>
      <c r="Z1599" s="4"/>
    </row>
    <row r="1600" spans="1:26">
      <c r="A1600" s="5">
        <v>43617</v>
      </c>
      <c r="B1600" s="4" t="s">
        <v>21</v>
      </c>
      <c r="C1600" s="4" t="s">
        <v>10</v>
      </c>
      <c r="D1600" s="4" t="s">
        <v>17</v>
      </c>
      <c r="E1600" s="4" t="s">
        <v>12</v>
      </c>
      <c r="F1600" s="4">
        <v>2784294</v>
      </c>
      <c r="G1600" s="4">
        <v>28856</v>
      </c>
      <c r="H1600" s="4">
        <v>31504</v>
      </c>
      <c r="I1600" s="6">
        <v>77944.098892876951</v>
      </c>
      <c r="J1600" s="4"/>
      <c r="K1600" s="4"/>
      <c r="L1600" s="4"/>
      <c r="M1600" s="4"/>
      <c r="N1600" s="4"/>
      <c r="O1600" s="4"/>
      <c r="P1600" s="4"/>
      <c r="Q1600" s="4"/>
      <c r="R1600" s="4"/>
      <c r="S1600" s="4"/>
      <c r="T1600" s="4"/>
      <c r="U1600" s="4"/>
      <c r="V1600" s="4"/>
      <c r="W1600" s="4"/>
      <c r="X1600" s="4"/>
      <c r="Y1600" s="4"/>
      <c r="Z1600" s="4"/>
    </row>
    <row r="1601" spans="1:26">
      <c r="A1601" s="5">
        <v>43617</v>
      </c>
      <c r="B1601" s="4" t="s">
        <v>21</v>
      </c>
      <c r="C1601" s="4" t="s">
        <v>10</v>
      </c>
      <c r="D1601" s="4" t="s">
        <v>17</v>
      </c>
      <c r="E1601" s="4" t="s">
        <v>13</v>
      </c>
      <c r="F1601" s="4">
        <v>39937</v>
      </c>
      <c r="G1601" s="4">
        <v>3249</v>
      </c>
      <c r="H1601" s="4">
        <v>46965</v>
      </c>
      <c r="I1601" s="6">
        <v>257180.34</v>
      </c>
      <c r="J1601" s="4"/>
      <c r="K1601" s="4"/>
      <c r="L1601" s="4"/>
      <c r="M1601" s="4"/>
      <c r="N1601" s="4"/>
      <c r="O1601" s="4"/>
      <c r="P1601" s="4"/>
      <c r="Q1601" s="4"/>
      <c r="R1601" s="4"/>
      <c r="S1601" s="4"/>
      <c r="T1601" s="4"/>
      <c r="U1601" s="4"/>
      <c r="V1601" s="4"/>
      <c r="W1601" s="4"/>
      <c r="X1601" s="4"/>
      <c r="Y1601" s="4"/>
      <c r="Z1601" s="4"/>
    </row>
    <row r="1602" spans="1:26">
      <c r="A1602" s="5">
        <v>43617</v>
      </c>
      <c r="B1602" s="4" t="s">
        <v>21</v>
      </c>
      <c r="C1602" s="4" t="s">
        <v>18</v>
      </c>
      <c r="D1602" s="4" t="s">
        <v>11</v>
      </c>
      <c r="E1602" s="4" t="s">
        <v>12</v>
      </c>
      <c r="F1602" s="4">
        <v>1912044</v>
      </c>
      <c r="G1602" s="4">
        <v>33945</v>
      </c>
      <c r="H1602" s="4">
        <v>147676</v>
      </c>
      <c r="I1602" s="6">
        <v>78698.79021764033</v>
      </c>
      <c r="J1602" s="4"/>
      <c r="K1602" s="4"/>
      <c r="L1602" s="4"/>
      <c r="M1602" s="4"/>
      <c r="N1602" s="4"/>
      <c r="O1602" s="4"/>
      <c r="P1602" s="4"/>
      <c r="Q1602" s="4"/>
      <c r="R1602" s="4"/>
      <c r="S1602" s="4"/>
      <c r="T1602" s="4"/>
      <c r="U1602" s="4"/>
      <c r="V1602" s="4"/>
      <c r="W1602" s="4"/>
      <c r="X1602" s="4"/>
      <c r="Y1602" s="4"/>
      <c r="Z1602" s="4"/>
    </row>
    <row r="1603" spans="1:26">
      <c r="A1603" s="5">
        <v>43617</v>
      </c>
      <c r="B1603" s="4" t="s">
        <v>21</v>
      </c>
      <c r="C1603" s="4" t="s">
        <v>18</v>
      </c>
      <c r="D1603" s="4" t="s">
        <v>11</v>
      </c>
      <c r="E1603" s="4" t="s">
        <v>13</v>
      </c>
      <c r="F1603" s="4">
        <v>13496</v>
      </c>
      <c r="G1603" s="4">
        <v>397</v>
      </c>
      <c r="H1603" s="4">
        <v>17600</v>
      </c>
      <c r="I1603" s="6">
        <v>13913.284340730732</v>
      </c>
      <c r="J1603" s="4"/>
      <c r="K1603" s="4"/>
      <c r="L1603" s="4"/>
      <c r="M1603" s="4"/>
      <c r="N1603" s="4"/>
      <c r="O1603" s="4"/>
      <c r="P1603" s="4"/>
      <c r="Q1603" s="4"/>
      <c r="R1603" s="4"/>
      <c r="S1603" s="4"/>
      <c r="T1603" s="4"/>
      <c r="U1603" s="4"/>
      <c r="V1603" s="4"/>
      <c r="W1603" s="4"/>
      <c r="X1603" s="4"/>
      <c r="Y1603" s="4"/>
      <c r="Z1603" s="4"/>
    </row>
    <row r="1604" spans="1:26">
      <c r="A1604" s="5">
        <v>43617</v>
      </c>
      <c r="B1604" s="4" t="s">
        <v>21</v>
      </c>
      <c r="C1604" s="4" t="s">
        <v>18</v>
      </c>
      <c r="D1604" s="4" t="s">
        <v>14</v>
      </c>
      <c r="E1604" s="4" t="s">
        <v>12</v>
      </c>
      <c r="F1604" s="4">
        <v>3001172</v>
      </c>
      <c r="G1604" s="4">
        <v>48381</v>
      </c>
      <c r="H1604" s="4">
        <v>181189</v>
      </c>
      <c r="I1604" s="6">
        <v>86887.500096304619</v>
      </c>
      <c r="J1604" s="4"/>
      <c r="K1604" s="4"/>
      <c r="L1604" s="4"/>
      <c r="M1604" s="4"/>
      <c r="N1604" s="4"/>
      <c r="O1604" s="4"/>
      <c r="P1604" s="4"/>
      <c r="Q1604" s="4"/>
      <c r="R1604" s="4"/>
      <c r="S1604" s="4"/>
      <c r="T1604" s="4"/>
      <c r="U1604" s="4"/>
      <c r="V1604" s="4"/>
      <c r="W1604" s="4"/>
      <c r="X1604" s="4"/>
      <c r="Y1604" s="4"/>
      <c r="Z1604" s="4"/>
    </row>
    <row r="1605" spans="1:26">
      <c r="A1605" s="5">
        <v>43617</v>
      </c>
      <c r="B1605" s="4" t="s">
        <v>21</v>
      </c>
      <c r="C1605" s="4" t="s">
        <v>18</v>
      </c>
      <c r="D1605" s="4" t="s">
        <v>14</v>
      </c>
      <c r="E1605" s="4" t="s">
        <v>13</v>
      </c>
      <c r="F1605" s="4">
        <v>17543</v>
      </c>
      <c r="G1605" s="4">
        <v>451</v>
      </c>
      <c r="H1605" s="4">
        <v>10835</v>
      </c>
      <c r="I1605" s="6">
        <v>13659.25</v>
      </c>
      <c r="J1605" s="4"/>
      <c r="K1605" s="4"/>
      <c r="L1605" s="4"/>
      <c r="M1605" s="4"/>
      <c r="N1605" s="4"/>
      <c r="O1605" s="4"/>
      <c r="P1605" s="4"/>
      <c r="Q1605" s="4"/>
      <c r="R1605" s="4"/>
      <c r="S1605" s="4"/>
      <c r="T1605" s="4"/>
      <c r="U1605" s="4"/>
      <c r="V1605" s="4"/>
      <c r="W1605" s="4"/>
      <c r="X1605" s="4"/>
      <c r="Y1605" s="4"/>
      <c r="Z1605" s="4"/>
    </row>
    <row r="1606" spans="1:26">
      <c r="A1606" s="5">
        <v>43617</v>
      </c>
      <c r="B1606" s="4" t="s">
        <v>21</v>
      </c>
      <c r="C1606" s="4" t="s">
        <v>18</v>
      </c>
      <c r="D1606" s="4" t="s">
        <v>15</v>
      </c>
      <c r="E1606" s="4" t="s">
        <v>12</v>
      </c>
      <c r="F1606" s="4">
        <v>1036661</v>
      </c>
      <c r="G1606" s="4">
        <v>15176</v>
      </c>
      <c r="H1606" s="4">
        <v>72498</v>
      </c>
      <c r="I1606" s="6">
        <v>23101.230725398455</v>
      </c>
      <c r="J1606" s="4"/>
      <c r="K1606" s="4"/>
      <c r="L1606" s="4"/>
      <c r="M1606" s="4"/>
      <c r="N1606" s="4"/>
      <c r="O1606" s="4"/>
      <c r="P1606" s="4"/>
      <c r="Q1606" s="4"/>
      <c r="R1606" s="4"/>
      <c r="S1606" s="4"/>
      <c r="T1606" s="4"/>
      <c r="U1606" s="4"/>
      <c r="V1606" s="4"/>
      <c r="W1606" s="4"/>
      <c r="X1606" s="4"/>
      <c r="Y1606" s="4"/>
      <c r="Z1606" s="4"/>
    </row>
    <row r="1607" spans="1:26">
      <c r="A1607" s="5">
        <v>43617</v>
      </c>
      <c r="B1607" s="4" t="s">
        <v>21</v>
      </c>
      <c r="C1607" s="4" t="s">
        <v>18</v>
      </c>
      <c r="D1607" s="4" t="s">
        <v>15</v>
      </c>
      <c r="E1607" s="4" t="s">
        <v>13</v>
      </c>
      <c r="F1607" s="4">
        <v>5374</v>
      </c>
      <c r="G1607" s="4">
        <v>171</v>
      </c>
      <c r="H1607" s="4">
        <v>4455</v>
      </c>
      <c r="I1607" s="6">
        <v>2432.3408636178033</v>
      </c>
      <c r="J1607" s="4"/>
      <c r="K1607" s="4"/>
      <c r="L1607" s="4"/>
      <c r="M1607" s="4"/>
      <c r="N1607" s="4"/>
      <c r="O1607" s="4"/>
      <c r="P1607" s="4"/>
      <c r="Q1607" s="4"/>
      <c r="R1607" s="4"/>
      <c r="S1607" s="4"/>
      <c r="T1607" s="4"/>
      <c r="U1607" s="4"/>
      <c r="V1607" s="4"/>
      <c r="W1607" s="4"/>
      <c r="X1607" s="4"/>
      <c r="Y1607" s="4"/>
      <c r="Z1607" s="4"/>
    </row>
    <row r="1608" spans="1:26">
      <c r="A1608" s="5">
        <v>43617</v>
      </c>
      <c r="B1608" s="4" t="s">
        <v>21</v>
      </c>
      <c r="C1608" s="4" t="s">
        <v>18</v>
      </c>
      <c r="D1608" s="4" t="s">
        <v>16</v>
      </c>
      <c r="E1608" s="4" t="s">
        <v>12</v>
      </c>
      <c r="F1608" s="4">
        <v>26287127</v>
      </c>
      <c r="G1608" s="4">
        <v>147698</v>
      </c>
      <c r="H1608" s="4">
        <v>527944</v>
      </c>
      <c r="I1608" s="6">
        <v>334385.77068444295</v>
      </c>
      <c r="J1608" s="4"/>
      <c r="K1608" s="4"/>
      <c r="L1608" s="4"/>
      <c r="M1608" s="4"/>
      <c r="N1608" s="4"/>
      <c r="O1608" s="4"/>
      <c r="P1608" s="4"/>
      <c r="Q1608" s="4"/>
      <c r="R1608" s="4"/>
      <c r="S1608" s="4"/>
      <c r="T1608" s="4"/>
      <c r="U1608" s="4"/>
      <c r="V1608" s="4"/>
      <c r="W1608" s="4"/>
      <c r="X1608" s="4"/>
      <c r="Y1608" s="4"/>
      <c r="Z1608" s="4"/>
    </row>
    <row r="1609" spans="1:26">
      <c r="A1609" s="5">
        <v>43617</v>
      </c>
      <c r="B1609" s="4" t="s">
        <v>21</v>
      </c>
      <c r="C1609" s="4" t="s">
        <v>18</v>
      </c>
      <c r="D1609" s="4" t="s">
        <v>16</v>
      </c>
      <c r="E1609" s="4" t="s">
        <v>13</v>
      </c>
      <c r="F1609" s="4">
        <v>692317</v>
      </c>
      <c r="G1609" s="4">
        <v>1561</v>
      </c>
      <c r="H1609" s="4">
        <v>54688</v>
      </c>
      <c r="I1609" s="6">
        <v>40530.972038013366</v>
      </c>
      <c r="J1609" s="4"/>
      <c r="K1609" s="4"/>
      <c r="L1609" s="4"/>
      <c r="M1609" s="4"/>
      <c r="N1609" s="4"/>
      <c r="O1609" s="4"/>
      <c r="P1609" s="4"/>
      <c r="Q1609" s="4"/>
      <c r="R1609" s="4"/>
      <c r="S1609" s="4"/>
      <c r="T1609" s="4"/>
      <c r="U1609" s="4"/>
      <c r="V1609" s="4"/>
      <c r="W1609" s="4"/>
      <c r="X1609" s="4"/>
      <c r="Y1609" s="4"/>
      <c r="Z1609" s="4"/>
    </row>
    <row r="1610" spans="1:26">
      <c r="A1610" s="5">
        <v>43617</v>
      </c>
      <c r="B1610" s="4" t="s">
        <v>21</v>
      </c>
      <c r="C1610" s="4" t="s">
        <v>18</v>
      </c>
      <c r="D1610" s="4" t="s">
        <v>17</v>
      </c>
      <c r="E1610" s="4" t="s">
        <v>12</v>
      </c>
      <c r="F1610" s="4">
        <v>3489252</v>
      </c>
      <c r="G1610" s="4">
        <v>53921</v>
      </c>
      <c r="H1610" s="4">
        <v>177754</v>
      </c>
      <c r="I1610" s="6">
        <v>126788.35642456308</v>
      </c>
      <c r="J1610" s="4"/>
      <c r="K1610" s="4"/>
      <c r="L1610" s="4"/>
      <c r="M1610" s="4"/>
      <c r="N1610" s="4"/>
      <c r="O1610" s="4"/>
      <c r="P1610" s="4"/>
      <c r="Q1610" s="4"/>
      <c r="R1610" s="4"/>
      <c r="S1610" s="4"/>
      <c r="T1610" s="4"/>
      <c r="U1610" s="4"/>
      <c r="V1610" s="4"/>
      <c r="W1610" s="4"/>
      <c r="X1610" s="4"/>
      <c r="Y1610" s="4"/>
      <c r="Z1610" s="4"/>
    </row>
    <row r="1611" spans="1:26">
      <c r="A1611" s="5">
        <v>43617</v>
      </c>
      <c r="B1611" s="4" t="s">
        <v>21</v>
      </c>
      <c r="C1611" s="4" t="s">
        <v>18</v>
      </c>
      <c r="D1611" s="4" t="s">
        <v>17</v>
      </c>
      <c r="E1611" s="4" t="s">
        <v>13</v>
      </c>
      <c r="F1611" s="4">
        <v>31595</v>
      </c>
      <c r="G1611" s="4">
        <v>754</v>
      </c>
      <c r="H1611" s="4">
        <v>28333</v>
      </c>
      <c r="I1611" s="6">
        <v>22760.170681796109</v>
      </c>
      <c r="J1611" s="4"/>
      <c r="K1611" s="4"/>
      <c r="L1611" s="4"/>
      <c r="M1611" s="4"/>
      <c r="N1611" s="4"/>
      <c r="O1611" s="4"/>
      <c r="P1611" s="4"/>
      <c r="Q1611" s="4"/>
      <c r="R1611" s="4"/>
      <c r="S1611" s="4"/>
      <c r="T1611" s="4"/>
      <c r="U1611" s="4"/>
      <c r="V1611" s="4"/>
      <c r="W1611" s="4"/>
      <c r="X1611" s="4"/>
      <c r="Y1611" s="4"/>
      <c r="Z1611" s="4"/>
    </row>
    <row r="1612" spans="1:26">
      <c r="A1612" s="5">
        <v>43617</v>
      </c>
      <c r="B1612" s="4" t="s">
        <v>21</v>
      </c>
      <c r="C1612" s="4" t="s">
        <v>19</v>
      </c>
      <c r="D1612" s="4" t="s">
        <v>11</v>
      </c>
      <c r="E1612" s="4" t="s">
        <v>12</v>
      </c>
      <c r="F1612" s="4">
        <v>661524</v>
      </c>
      <c r="G1612" s="4">
        <v>9165</v>
      </c>
      <c r="H1612" s="4">
        <v>9496</v>
      </c>
      <c r="I1612" s="6">
        <v>100646.35038327526</v>
      </c>
      <c r="J1612" s="4"/>
      <c r="K1612" s="4"/>
      <c r="L1612" s="4"/>
      <c r="M1612" s="4"/>
      <c r="N1612" s="4"/>
      <c r="O1612" s="4"/>
      <c r="P1612" s="4"/>
      <c r="Q1612" s="4"/>
      <c r="R1612" s="4"/>
      <c r="S1612" s="4"/>
      <c r="T1612" s="4"/>
      <c r="U1612" s="4"/>
      <c r="V1612" s="4"/>
      <c r="W1612" s="4"/>
      <c r="X1612" s="4"/>
      <c r="Y1612" s="4"/>
      <c r="Z1612" s="4"/>
    </row>
    <row r="1613" spans="1:26">
      <c r="A1613" s="5">
        <v>43617</v>
      </c>
      <c r="B1613" s="4" t="s">
        <v>21</v>
      </c>
      <c r="C1613" s="4" t="s">
        <v>19</v>
      </c>
      <c r="D1613" s="4" t="s">
        <v>11</v>
      </c>
      <c r="E1613" s="4" t="s">
        <v>13</v>
      </c>
      <c r="F1613" s="4">
        <v>17320</v>
      </c>
      <c r="G1613" s="4">
        <v>1480</v>
      </c>
      <c r="H1613" s="4">
        <v>43549</v>
      </c>
      <c r="I1613" s="6">
        <v>24844.77152106084</v>
      </c>
      <c r="J1613" s="4"/>
      <c r="K1613" s="4"/>
      <c r="L1613" s="4"/>
      <c r="M1613" s="4"/>
      <c r="N1613" s="4"/>
      <c r="O1613" s="4"/>
      <c r="P1613" s="4"/>
      <c r="Q1613" s="4"/>
      <c r="R1613" s="4"/>
      <c r="S1613" s="4"/>
      <c r="T1613" s="4"/>
      <c r="U1613" s="4"/>
      <c r="V1613" s="4"/>
      <c r="W1613" s="4"/>
      <c r="X1613" s="4"/>
      <c r="Y1613" s="4"/>
      <c r="Z1613" s="4"/>
    </row>
    <row r="1614" spans="1:26">
      <c r="A1614" s="5">
        <v>43617</v>
      </c>
      <c r="B1614" s="4" t="s">
        <v>21</v>
      </c>
      <c r="C1614" s="4" t="s">
        <v>19</v>
      </c>
      <c r="D1614" s="4" t="s">
        <v>14</v>
      </c>
      <c r="E1614" s="4" t="s">
        <v>12</v>
      </c>
      <c r="F1614" s="4">
        <v>1188738</v>
      </c>
      <c r="G1614" s="4">
        <v>18286</v>
      </c>
      <c r="H1614" s="4">
        <v>19704</v>
      </c>
      <c r="I1614" s="6">
        <v>183212.90299790062</v>
      </c>
      <c r="J1614" s="4"/>
      <c r="K1614" s="4"/>
      <c r="L1614" s="4"/>
      <c r="M1614" s="4"/>
      <c r="N1614" s="4"/>
      <c r="O1614" s="4"/>
      <c r="P1614" s="4"/>
      <c r="Q1614" s="4"/>
      <c r="R1614" s="4"/>
      <c r="S1614" s="4"/>
      <c r="T1614" s="4"/>
      <c r="U1614" s="4"/>
      <c r="V1614" s="4"/>
      <c r="W1614" s="4"/>
      <c r="X1614" s="4"/>
      <c r="Y1614" s="4"/>
      <c r="Z1614" s="4"/>
    </row>
    <row r="1615" spans="1:26">
      <c r="A1615" s="5">
        <v>43617</v>
      </c>
      <c r="B1615" s="4" t="s">
        <v>21</v>
      </c>
      <c r="C1615" s="4" t="s">
        <v>19</v>
      </c>
      <c r="D1615" s="4" t="s">
        <v>14</v>
      </c>
      <c r="E1615" s="4" t="s">
        <v>13</v>
      </c>
      <c r="F1615" s="4">
        <v>33840</v>
      </c>
      <c r="G1615" s="4">
        <v>2829</v>
      </c>
      <c r="H1615" s="4">
        <v>133103</v>
      </c>
      <c r="I1615" s="6">
        <v>41705.520939736263</v>
      </c>
      <c r="J1615" s="4"/>
      <c r="K1615" s="4"/>
      <c r="L1615" s="4"/>
      <c r="M1615" s="4"/>
      <c r="N1615" s="4"/>
      <c r="O1615" s="4"/>
      <c r="P1615" s="4"/>
      <c r="Q1615" s="4"/>
      <c r="R1615" s="4"/>
      <c r="S1615" s="4"/>
      <c r="T1615" s="4"/>
      <c r="U1615" s="4"/>
      <c r="V1615" s="4"/>
      <c r="W1615" s="4"/>
      <c r="X1615" s="4"/>
      <c r="Y1615" s="4"/>
      <c r="Z1615" s="4"/>
    </row>
    <row r="1616" spans="1:26">
      <c r="A1616" s="5">
        <v>43617</v>
      </c>
      <c r="B1616" s="4" t="s">
        <v>21</v>
      </c>
      <c r="C1616" s="4" t="s">
        <v>19</v>
      </c>
      <c r="D1616" s="4" t="s">
        <v>15</v>
      </c>
      <c r="E1616" s="4" t="s">
        <v>12</v>
      </c>
      <c r="F1616" s="4">
        <v>360223</v>
      </c>
      <c r="G1616" s="4">
        <v>4951</v>
      </c>
      <c r="H1616" s="4">
        <v>5330</v>
      </c>
      <c r="I1616" s="6">
        <v>50402.99796551725</v>
      </c>
      <c r="J1616" s="4"/>
      <c r="K1616" s="4"/>
      <c r="L1616" s="4"/>
      <c r="M1616" s="4"/>
      <c r="N1616" s="4"/>
      <c r="O1616" s="4"/>
      <c r="P1616" s="4"/>
      <c r="Q1616" s="4"/>
      <c r="R1616" s="4"/>
      <c r="S1616" s="4"/>
      <c r="T1616" s="4"/>
      <c r="U1616" s="4"/>
      <c r="V1616" s="4"/>
      <c r="W1616" s="4"/>
      <c r="X1616" s="4"/>
      <c r="Y1616" s="4"/>
      <c r="Z1616" s="4"/>
    </row>
    <row r="1617" spans="1:26">
      <c r="A1617" s="5">
        <v>43617</v>
      </c>
      <c r="B1617" s="4" t="s">
        <v>21</v>
      </c>
      <c r="C1617" s="4" t="s">
        <v>19</v>
      </c>
      <c r="D1617" s="4" t="s">
        <v>15</v>
      </c>
      <c r="E1617" s="4" t="s">
        <v>13</v>
      </c>
      <c r="F1617" s="4">
        <v>9643</v>
      </c>
      <c r="G1617" s="4">
        <v>785</v>
      </c>
      <c r="H1617" s="4">
        <v>35535</v>
      </c>
      <c r="I1617" s="6">
        <v>11603.971510696569</v>
      </c>
      <c r="J1617" s="4"/>
      <c r="K1617" s="4"/>
      <c r="L1617" s="4"/>
      <c r="M1617" s="4"/>
      <c r="N1617" s="4"/>
      <c r="O1617" s="4"/>
      <c r="P1617" s="4"/>
      <c r="Q1617" s="4"/>
      <c r="R1617" s="4"/>
      <c r="S1617" s="4"/>
      <c r="T1617" s="4"/>
      <c r="U1617" s="4"/>
      <c r="V1617" s="4"/>
      <c r="W1617" s="4"/>
      <c r="X1617" s="4"/>
      <c r="Y1617" s="4"/>
      <c r="Z1617" s="4"/>
    </row>
    <row r="1618" spans="1:26">
      <c r="A1618" s="5">
        <v>43617</v>
      </c>
      <c r="B1618" s="4" t="s">
        <v>21</v>
      </c>
      <c r="C1618" s="4" t="s">
        <v>19</v>
      </c>
      <c r="D1618" s="4" t="s">
        <v>16</v>
      </c>
      <c r="E1618" s="4" t="s">
        <v>12</v>
      </c>
      <c r="F1618" s="4">
        <v>3348289</v>
      </c>
      <c r="G1618" s="4">
        <v>48513</v>
      </c>
      <c r="H1618" s="4">
        <v>49469</v>
      </c>
      <c r="I1618" s="6">
        <v>551729.57086639781</v>
      </c>
      <c r="J1618" s="4"/>
      <c r="K1618" s="4"/>
      <c r="L1618" s="4"/>
      <c r="M1618" s="4"/>
      <c r="N1618" s="4"/>
      <c r="O1618" s="4"/>
      <c r="P1618" s="4"/>
      <c r="Q1618" s="4"/>
      <c r="R1618" s="4"/>
      <c r="S1618" s="4"/>
      <c r="T1618" s="4"/>
      <c r="U1618" s="4"/>
      <c r="V1618" s="4"/>
      <c r="W1618" s="4"/>
      <c r="X1618" s="4"/>
      <c r="Y1618" s="4"/>
      <c r="Z1618" s="4"/>
    </row>
    <row r="1619" spans="1:26">
      <c r="A1619" s="5">
        <v>43617</v>
      </c>
      <c r="B1619" s="4" t="s">
        <v>21</v>
      </c>
      <c r="C1619" s="4" t="s">
        <v>19</v>
      </c>
      <c r="D1619" s="4" t="s">
        <v>16</v>
      </c>
      <c r="E1619" s="4" t="s">
        <v>13</v>
      </c>
      <c r="F1619" s="4">
        <v>86832</v>
      </c>
      <c r="G1619" s="4">
        <v>7340</v>
      </c>
      <c r="H1619" s="4">
        <v>486365</v>
      </c>
      <c r="I1619" s="6">
        <v>112284.18430101045</v>
      </c>
      <c r="J1619" s="4"/>
      <c r="K1619" s="4"/>
      <c r="L1619" s="4"/>
      <c r="M1619" s="4"/>
      <c r="N1619" s="4"/>
      <c r="O1619" s="4"/>
      <c r="P1619" s="4"/>
      <c r="Q1619" s="4"/>
      <c r="R1619" s="4"/>
      <c r="S1619" s="4"/>
      <c r="T1619" s="4"/>
      <c r="U1619" s="4"/>
      <c r="V1619" s="4"/>
      <c r="W1619" s="4"/>
      <c r="X1619" s="4"/>
      <c r="Y1619" s="4"/>
      <c r="Z1619" s="4"/>
    </row>
    <row r="1620" spans="1:26">
      <c r="A1620" s="5">
        <v>43617</v>
      </c>
      <c r="B1620" s="4" t="s">
        <v>21</v>
      </c>
      <c r="C1620" s="4" t="s">
        <v>19</v>
      </c>
      <c r="D1620" s="4" t="s">
        <v>17</v>
      </c>
      <c r="E1620" s="4" t="s">
        <v>12</v>
      </c>
      <c r="F1620" s="4">
        <v>1143173</v>
      </c>
      <c r="G1620" s="4">
        <v>18231</v>
      </c>
      <c r="H1620" s="4">
        <v>20117</v>
      </c>
      <c r="I1620" s="6">
        <v>188374.04732681412</v>
      </c>
      <c r="J1620" s="4"/>
      <c r="K1620" s="4"/>
      <c r="L1620" s="4"/>
      <c r="M1620" s="4"/>
      <c r="N1620" s="4"/>
      <c r="O1620" s="4"/>
      <c r="P1620" s="4"/>
      <c r="Q1620" s="4"/>
      <c r="R1620" s="4"/>
      <c r="S1620" s="4"/>
      <c r="T1620" s="4"/>
      <c r="U1620" s="4"/>
      <c r="V1620" s="4"/>
      <c r="W1620" s="4"/>
      <c r="X1620" s="4"/>
      <c r="Y1620" s="4"/>
      <c r="Z1620" s="4"/>
    </row>
    <row r="1621" spans="1:26">
      <c r="A1621" s="5">
        <v>43617</v>
      </c>
      <c r="B1621" s="4" t="s">
        <v>21</v>
      </c>
      <c r="C1621" s="4" t="s">
        <v>19</v>
      </c>
      <c r="D1621" s="4" t="s">
        <v>17</v>
      </c>
      <c r="E1621" s="4" t="s">
        <v>13</v>
      </c>
      <c r="F1621" s="4">
        <v>30014</v>
      </c>
      <c r="G1621" s="4">
        <v>2601</v>
      </c>
      <c r="H1621" s="4">
        <v>110893</v>
      </c>
      <c r="I1621" s="6">
        <v>45642.890918156067</v>
      </c>
      <c r="J1621" s="4"/>
      <c r="K1621" s="4"/>
      <c r="L1621" s="4"/>
      <c r="M1621" s="4"/>
      <c r="N1621" s="4"/>
      <c r="O1621" s="4"/>
      <c r="P1621" s="4"/>
      <c r="Q1621" s="4"/>
      <c r="R1621" s="4"/>
      <c r="S1621" s="4"/>
      <c r="T1621" s="4"/>
      <c r="U1621" s="4"/>
      <c r="V1621" s="4"/>
      <c r="W1621" s="4"/>
      <c r="X1621" s="4"/>
      <c r="Y1621" s="4"/>
      <c r="Z1621" s="4"/>
    </row>
    <row r="1622" spans="1:26">
      <c r="A1622" s="5">
        <v>43647</v>
      </c>
      <c r="B1622" s="4" t="s">
        <v>9</v>
      </c>
      <c r="C1622" s="4" t="s">
        <v>10</v>
      </c>
      <c r="D1622" s="4" t="s">
        <v>11</v>
      </c>
      <c r="E1622" s="4" t="s">
        <v>12</v>
      </c>
      <c r="F1622" s="4">
        <v>1411013</v>
      </c>
      <c r="G1622" s="4">
        <v>62884</v>
      </c>
      <c r="H1622" s="4">
        <v>74690</v>
      </c>
      <c r="I1622" s="6">
        <v>56086.823472970107</v>
      </c>
      <c r="J1622" s="4"/>
      <c r="K1622" s="4"/>
      <c r="L1622" s="4"/>
      <c r="M1622" s="4"/>
      <c r="N1622" s="4"/>
      <c r="O1622" s="4"/>
      <c r="P1622" s="4"/>
      <c r="Q1622" s="4"/>
      <c r="R1622" s="4"/>
      <c r="S1622" s="4"/>
      <c r="T1622" s="4"/>
      <c r="U1622" s="4"/>
      <c r="V1622" s="4"/>
      <c r="W1622" s="4"/>
      <c r="X1622" s="4"/>
      <c r="Y1622" s="4"/>
      <c r="Z1622" s="4"/>
    </row>
    <row r="1623" spans="1:26">
      <c r="A1623" s="5">
        <v>43647</v>
      </c>
      <c r="B1623" s="4" t="s">
        <v>9</v>
      </c>
      <c r="C1623" s="4" t="s">
        <v>10</v>
      </c>
      <c r="D1623" s="4" t="s">
        <v>11</v>
      </c>
      <c r="E1623" s="4" t="s">
        <v>13</v>
      </c>
      <c r="F1623" s="4">
        <v>8407</v>
      </c>
      <c r="G1623" s="4">
        <v>1395</v>
      </c>
      <c r="H1623" s="4">
        <v>8226</v>
      </c>
      <c r="I1623" s="6">
        <v>285598.66370437545</v>
      </c>
      <c r="J1623" s="4"/>
      <c r="K1623" s="4"/>
      <c r="L1623" s="4"/>
      <c r="M1623" s="4"/>
      <c r="N1623" s="4"/>
      <c r="O1623" s="4"/>
      <c r="P1623" s="4"/>
      <c r="Q1623" s="4"/>
      <c r="R1623" s="4"/>
      <c r="S1623" s="4"/>
      <c r="T1623" s="4"/>
      <c r="U1623" s="4"/>
      <c r="V1623" s="4"/>
      <c r="W1623" s="4"/>
      <c r="X1623" s="4"/>
      <c r="Y1623" s="4"/>
      <c r="Z1623" s="4"/>
    </row>
    <row r="1624" spans="1:26">
      <c r="A1624" s="5">
        <v>43647</v>
      </c>
      <c r="B1624" s="4" t="s">
        <v>9</v>
      </c>
      <c r="C1624" s="4" t="s">
        <v>10</v>
      </c>
      <c r="D1624" s="4" t="s">
        <v>14</v>
      </c>
      <c r="E1624" s="4" t="s">
        <v>12</v>
      </c>
      <c r="F1624" s="4">
        <v>3532792</v>
      </c>
      <c r="G1624" s="4">
        <v>110013</v>
      </c>
      <c r="H1624" s="4">
        <v>130037</v>
      </c>
      <c r="I1624" s="6">
        <v>94504.878723161484</v>
      </c>
      <c r="J1624" s="4"/>
      <c r="K1624" s="4"/>
      <c r="L1624" s="4"/>
      <c r="M1624" s="4"/>
      <c r="N1624" s="4"/>
      <c r="O1624" s="4"/>
      <c r="P1624" s="4"/>
      <c r="Q1624" s="4"/>
      <c r="R1624" s="4"/>
      <c r="S1624" s="4"/>
      <c r="T1624" s="4"/>
      <c r="U1624" s="4"/>
      <c r="V1624" s="4"/>
      <c r="W1624" s="4"/>
      <c r="X1624" s="4"/>
      <c r="Y1624" s="4"/>
      <c r="Z1624" s="4"/>
    </row>
    <row r="1625" spans="1:26">
      <c r="A1625" s="5">
        <v>43647</v>
      </c>
      <c r="B1625" s="4" t="s">
        <v>9</v>
      </c>
      <c r="C1625" s="4" t="s">
        <v>10</v>
      </c>
      <c r="D1625" s="4" t="s">
        <v>14</v>
      </c>
      <c r="E1625" s="4" t="s">
        <v>13</v>
      </c>
      <c r="F1625" s="4">
        <v>14090</v>
      </c>
      <c r="G1625" s="4">
        <v>2795</v>
      </c>
      <c r="H1625" s="4">
        <v>20475</v>
      </c>
      <c r="I1625" s="6">
        <v>440056.35340349918</v>
      </c>
      <c r="J1625" s="4"/>
      <c r="K1625" s="4"/>
      <c r="L1625" s="4"/>
      <c r="M1625" s="4"/>
      <c r="N1625" s="4"/>
      <c r="O1625" s="4"/>
      <c r="P1625" s="4"/>
      <c r="Q1625" s="4"/>
      <c r="R1625" s="4"/>
      <c r="S1625" s="4"/>
      <c r="T1625" s="4"/>
      <c r="U1625" s="4"/>
      <c r="V1625" s="4"/>
      <c r="W1625" s="4"/>
      <c r="X1625" s="4"/>
      <c r="Y1625" s="4"/>
      <c r="Z1625" s="4"/>
    </row>
    <row r="1626" spans="1:26">
      <c r="A1626" s="5">
        <v>43647</v>
      </c>
      <c r="B1626" s="4" t="s">
        <v>9</v>
      </c>
      <c r="C1626" s="4" t="s">
        <v>10</v>
      </c>
      <c r="D1626" s="4" t="s">
        <v>15</v>
      </c>
      <c r="E1626" s="4" t="s">
        <v>12</v>
      </c>
      <c r="F1626" s="4">
        <v>1426865</v>
      </c>
      <c r="G1626" s="4">
        <v>45512</v>
      </c>
      <c r="H1626" s="4">
        <v>58495</v>
      </c>
      <c r="I1626" s="6">
        <v>43883.641940912785</v>
      </c>
      <c r="J1626" s="4"/>
      <c r="K1626" s="4"/>
      <c r="L1626" s="4"/>
      <c r="M1626" s="4"/>
      <c r="N1626" s="4"/>
      <c r="O1626" s="4"/>
      <c r="P1626" s="4"/>
      <c r="Q1626" s="4"/>
      <c r="R1626" s="4"/>
      <c r="S1626" s="4"/>
      <c r="T1626" s="4"/>
      <c r="U1626" s="4"/>
      <c r="V1626" s="4"/>
      <c r="W1626" s="4"/>
      <c r="X1626" s="4"/>
      <c r="Y1626" s="4"/>
      <c r="Z1626" s="4"/>
    </row>
    <row r="1627" spans="1:26">
      <c r="A1627" s="5">
        <v>43647</v>
      </c>
      <c r="B1627" s="4" t="s">
        <v>9</v>
      </c>
      <c r="C1627" s="4" t="s">
        <v>10</v>
      </c>
      <c r="D1627" s="4" t="s">
        <v>15</v>
      </c>
      <c r="E1627" s="4" t="s">
        <v>13</v>
      </c>
      <c r="F1627" s="4">
        <v>5396</v>
      </c>
      <c r="G1627" s="4">
        <v>816</v>
      </c>
      <c r="H1627" s="4">
        <v>6773</v>
      </c>
      <c r="I1627" s="6">
        <v>110502.31461496149</v>
      </c>
      <c r="J1627" s="4"/>
      <c r="K1627" s="4"/>
      <c r="L1627" s="4"/>
      <c r="M1627" s="4"/>
      <c r="N1627" s="4"/>
      <c r="O1627" s="4"/>
      <c r="P1627" s="4"/>
      <c r="Q1627" s="4"/>
      <c r="R1627" s="4"/>
      <c r="S1627" s="4"/>
      <c r="T1627" s="4"/>
      <c r="U1627" s="4"/>
      <c r="V1627" s="4"/>
      <c r="W1627" s="4"/>
      <c r="X1627" s="4"/>
      <c r="Y1627" s="4"/>
      <c r="Z1627" s="4"/>
    </row>
    <row r="1628" spans="1:26">
      <c r="A1628" s="5">
        <v>43647</v>
      </c>
      <c r="B1628" s="4" t="s">
        <v>9</v>
      </c>
      <c r="C1628" s="4" t="s">
        <v>10</v>
      </c>
      <c r="D1628" s="4" t="s">
        <v>16</v>
      </c>
      <c r="E1628" s="4" t="s">
        <v>12</v>
      </c>
      <c r="F1628" s="4">
        <v>43971141</v>
      </c>
      <c r="G1628" s="4">
        <v>284180</v>
      </c>
      <c r="H1628" s="4">
        <v>320147</v>
      </c>
      <c r="I1628" s="6">
        <v>243100.47040337886</v>
      </c>
      <c r="J1628" s="4"/>
      <c r="K1628" s="4"/>
      <c r="L1628" s="4"/>
      <c r="M1628" s="4"/>
      <c r="N1628" s="4"/>
      <c r="O1628" s="4"/>
      <c r="P1628" s="4"/>
      <c r="Q1628" s="4"/>
      <c r="R1628" s="4"/>
      <c r="S1628" s="4"/>
      <c r="T1628" s="4"/>
      <c r="U1628" s="4"/>
      <c r="V1628" s="4"/>
      <c r="W1628" s="4"/>
      <c r="X1628" s="4"/>
      <c r="Y1628" s="4"/>
      <c r="Z1628" s="4"/>
    </row>
    <row r="1629" spans="1:26">
      <c r="A1629" s="5">
        <v>43647</v>
      </c>
      <c r="B1629" s="4" t="s">
        <v>9</v>
      </c>
      <c r="C1629" s="4" t="s">
        <v>10</v>
      </c>
      <c r="D1629" s="4" t="s">
        <v>16</v>
      </c>
      <c r="E1629" s="4" t="s">
        <v>13</v>
      </c>
      <c r="F1629" s="4">
        <v>308803</v>
      </c>
      <c r="G1629" s="4">
        <v>6052</v>
      </c>
      <c r="H1629" s="4">
        <v>39511</v>
      </c>
      <c r="I1629" s="6">
        <v>1327124.3175977522</v>
      </c>
      <c r="J1629" s="4"/>
      <c r="K1629" s="4"/>
      <c r="L1629" s="4"/>
      <c r="M1629" s="4"/>
      <c r="N1629" s="4"/>
      <c r="O1629" s="4"/>
      <c r="P1629" s="4"/>
      <c r="Q1629" s="4"/>
      <c r="R1629" s="4"/>
      <c r="S1629" s="4"/>
      <c r="T1629" s="4"/>
      <c r="U1629" s="4"/>
      <c r="V1629" s="4"/>
      <c r="W1629" s="4"/>
      <c r="X1629" s="4"/>
      <c r="Y1629" s="4"/>
      <c r="Z1629" s="4"/>
    </row>
    <row r="1630" spans="1:26">
      <c r="A1630" s="5">
        <v>43647</v>
      </c>
      <c r="B1630" s="4" t="s">
        <v>9</v>
      </c>
      <c r="C1630" s="4" t="s">
        <v>10</v>
      </c>
      <c r="D1630" s="4" t="s">
        <v>17</v>
      </c>
      <c r="E1630" s="4" t="s">
        <v>12</v>
      </c>
      <c r="F1630" s="4">
        <v>2170554</v>
      </c>
      <c r="G1630" s="4">
        <v>94297</v>
      </c>
      <c r="H1630" s="4">
        <v>107316</v>
      </c>
      <c r="I1630" s="6">
        <v>105037.23684738659</v>
      </c>
      <c r="J1630" s="4"/>
      <c r="K1630" s="4"/>
      <c r="L1630" s="4"/>
      <c r="M1630" s="4"/>
      <c r="N1630" s="4"/>
      <c r="O1630" s="4"/>
      <c r="P1630" s="4"/>
      <c r="Q1630" s="4"/>
      <c r="R1630" s="4"/>
      <c r="S1630" s="4"/>
      <c r="T1630" s="4"/>
      <c r="U1630" s="4"/>
      <c r="V1630" s="4"/>
      <c r="W1630" s="4"/>
      <c r="X1630" s="4"/>
      <c r="Y1630" s="4"/>
      <c r="Z1630" s="4"/>
    </row>
    <row r="1631" spans="1:26">
      <c r="A1631" s="5">
        <v>43647</v>
      </c>
      <c r="B1631" s="4" t="s">
        <v>9</v>
      </c>
      <c r="C1631" s="4" t="s">
        <v>10</v>
      </c>
      <c r="D1631" s="4" t="s">
        <v>17</v>
      </c>
      <c r="E1631" s="4" t="s">
        <v>13</v>
      </c>
      <c r="F1631" s="4">
        <v>12952</v>
      </c>
      <c r="G1631" s="4">
        <v>2545</v>
      </c>
      <c r="H1631" s="4">
        <v>14939</v>
      </c>
      <c r="I1631" s="6">
        <v>503466.62457303365</v>
      </c>
      <c r="J1631" s="4"/>
      <c r="K1631" s="4"/>
      <c r="L1631" s="4"/>
      <c r="M1631" s="4"/>
      <c r="N1631" s="4"/>
      <c r="O1631" s="4"/>
      <c r="P1631" s="4"/>
      <c r="Q1631" s="4"/>
      <c r="R1631" s="4"/>
      <c r="S1631" s="4"/>
      <c r="T1631" s="4"/>
      <c r="U1631" s="4"/>
      <c r="V1631" s="4"/>
      <c r="W1631" s="4"/>
      <c r="X1631" s="4"/>
      <c r="Y1631" s="4"/>
      <c r="Z1631" s="4"/>
    </row>
    <row r="1632" spans="1:26">
      <c r="A1632" s="5">
        <v>43647</v>
      </c>
      <c r="B1632" s="4" t="s">
        <v>9</v>
      </c>
      <c r="C1632" s="4" t="s">
        <v>18</v>
      </c>
      <c r="D1632" s="4" t="s">
        <v>11</v>
      </c>
      <c r="E1632" s="4" t="s">
        <v>12</v>
      </c>
      <c r="F1632" s="4">
        <v>8303333</v>
      </c>
      <c r="G1632" s="4">
        <v>221815</v>
      </c>
      <c r="H1632" s="4">
        <v>684339</v>
      </c>
      <c r="I1632" s="6">
        <v>167753.50221773749</v>
      </c>
      <c r="J1632" s="4"/>
      <c r="K1632" s="4"/>
      <c r="L1632" s="4"/>
      <c r="M1632" s="4"/>
      <c r="N1632" s="4"/>
      <c r="O1632" s="4"/>
      <c r="P1632" s="4"/>
      <c r="Q1632" s="4"/>
      <c r="R1632" s="4"/>
      <c r="S1632" s="4"/>
      <c r="T1632" s="4"/>
      <c r="U1632" s="4"/>
      <c r="V1632" s="4"/>
      <c r="W1632" s="4"/>
      <c r="X1632" s="4"/>
      <c r="Y1632" s="4"/>
      <c r="Z1632" s="4"/>
    </row>
    <row r="1633" spans="1:26">
      <c r="A1633" s="5">
        <v>43647</v>
      </c>
      <c r="B1633" s="4" t="s">
        <v>9</v>
      </c>
      <c r="C1633" s="4" t="s">
        <v>18</v>
      </c>
      <c r="D1633" s="4" t="s">
        <v>11</v>
      </c>
      <c r="E1633" s="4" t="s">
        <v>13</v>
      </c>
      <c r="F1633" s="4">
        <v>47157</v>
      </c>
      <c r="G1633" s="4">
        <v>833</v>
      </c>
      <c r="H1633" s="4">
        <v>23122</v>
      </c>
      <c r="I1633" s="6">
        <v>16972.197646016986</v>
      </c>
      <c r="J1633" s="4"/>
      <c r="K1633" s="4"/>
      <c r="L1633" s="4"/>
      <c r="M1633" s="4"/>
      <c r="N1633" s="4"/>
      <c r="O1633" s="4"/>
      <c r="P1633" s="4"/>
      <c r="Q1633" s="4"/>
      <c r="R1633" s="4"/>
      <c r="S1633" s="4"/>
      <c r="T1633" s="4"/>
      <c r="U1633" s="4"/>
      <c r="V1633" s="4"/>
      <c r="W1633" s="4"/>
      <c r="X1633" s="4"/>
      <c r="Y1633" s="4"/>
      <c r="Z1633" s="4"/>
    </row>
    <row r="1634" spans="1:26">
      <c r="A1634" s="5">
        <v>43647</v>
      </c>
      <c r="B1634" s="4" t="s">
        <v>9</v>
      </c>
      <c r="C1634" s="4" t="s">
        <v>18</v>
      </c>
      <c r="D1634" s="4" t="s">
        <v>14</v>
      </c>
      <c r="E1634" s="4" t="s">
        <v>12</v>
      </c>
      <c r="F1634" s="4">
        <v>19514461</v>
      </c>
      <c r="G1634" s="4">
        <v>458278</v>
      </c>
      <c r="H1634" s="4">
        <v>1381367</v>
      </c>
      <c r="I1634" s="6">
        <v>222755.72278241839</v>
      </c>
      <c r="J1634" s="4"/>
      <c r="K1634" s="4"/>
      <c r="L1634" s="4"/>
      <c r="M1634" s="4"/>
      <c r="N1634" s="4"/>
      <c r="O1634" s="4"/>
      <c r="P1634" s="4"/>
      <c r="Q1634" s="4"/>
      <c r="R1634" s="4"/>
      <c r="S1634" s="4"/>
      <c r="T1634" s="4"/>
      <c r="U1634" s="4"/>
      <c r="V1634" s="4"/>
      <c r="W1634" s="4"/>
      <c r="X1634" s="4"/>
      <c r="Y1634" s="4"/>
      <c r="Z1634" s="4"/>
    </row>
    <row r="1635" spans="1:26">
      <c r="A1635" s="5">
        <v>43647</v>
      </c>
      <c r="B1635" s="4" t="s">
        <v>9</v>
      </c>
      <c r="C1635" s="4" t="s">
        <v>18</v>
      </c>
      <c r="D1635" s="4" t="s">
        <v>14</v>
      </c>
      <c r="E1635" s="4" t="s">
        <v>13</v>
      </c>
      <c r="F1635" s="4">
        <v>98833</v>
      </c>
      <c r="G1635" s="4">
        <v>1157</v>
      </c>
      <c r="H1635" s="4">
        <v>17161</v>
      </c>
      <c r="I1635" s="6">
        <v>19739.867480306406</v>
      </c>
      <c r="J1635" s="4"/>
      <c r="K1635" s="4"/>
      <c r="L1635" s="4"/>
      <c r="M1635" s="4"/>
      <c r="N1635" s="4"/>
      <c r="O1635" s="4"/>
      <c r="P1635" s="4"/>
      <c r="Q1635" s="4"/>
      <c r="R1635" s="4"/>
      <c r="S1635" s="4"/>
      <c r="T1635" s="4"/>
      <c r="U1635" s="4"/>
      <c r="V1635" s="4"/>
      <c r="W1635" s="4"/>
      <c r="X1635" s="4"/>
      <c r="Y1635" s="4"/>
      <c r="Z1635" s="4"/>
    </row>
    <row r="1636" spans="1:26">
      <c r="A1636" s="5">
        <v>43647</v>
      </c>
      <c r="B1636" s="4" t="s">
        <v>9</v>
      </c>
      <c r="C1636" s="4" t="s">
        <v>18</v>
      </c>
      <c r="D1636" s="4" t="s">
        <v>15</v>
      </c>
      <c r="E1636" s="4" t="s">
        <v>12</v>
      </c>
      <c r="F1636" s="4">
        <v>9682984</v>
      </c>
      <c r="G1636" s="4">
        <v>246666</v>
      </c>
      <c r="H1636" s="4">
        <v>812749</v>
      </c>
      <c r="I1636" s="6">
        <v>89725.920008209374</v>
      </c>
      <c r="J1636" s="4"/>
      <c r="K1636" s="4"/>
      <c r="L1636" s="4"/>
      <c r="M1636" s="4"/>
      <c r="N1636" s="4"/>
      <c r="O1636" s="4"/>
      <c r="P1636" s="4"/>
      <c r="Q1636" s="4"/>
      <c r="R1636" s="4"/>
      <c r="S1636" s="4"/>
      <c r="T1636" s="4"/>
      <c r="U1636" s="4"/>
      <c r="V1636" s="4"/>
      <c r="W1636" s="4"/>
      <c r="X1636" s="4"/>
      <c r="Y1636" s="4"/>
      <c r="Z1636" s="4"/>
    </row>
    <row r="1637" spans="1:26">
      <c r="A1637" s="5">
        <v>43647</v>
      </c>
      <c r="B1637" s="4" t="s">
        <v>9</v>
      </c>
      <c r="C1637" s="4" t="s">
        <v>18</v>
      </c>
      <c r="D1637" s="4" t="s">
        <v>15</v>
      </c>
      <c r="E1637" s="4" t="s">
        <v>13</v>
      </c>
      <c r="F1637" s="4">
        <v>36078</v>
      </c>
      <c r="G1637" s="4">
        <v>465</v>
      </c>
      <c r="H1637" s="4">
        <v>6618</v>
      </c>
      <c r="I1637" s="6">
        <v>8590.2702309208671</v>
      </c>
      <c r="J1637" s="4"/>
      <c r="K1637" s="4"/>
      <c r="L1637" s="4"/>
      <c r="M1637" s="4"/>
      <c r="N1637" s="4"/>
      <c r="O1637" s="4"/>
      <c r="P1637" s="4"/>
      <c r="Q1637" s="4"/>
      <c r="R1637" s="4"/>
      <c r="S1637" s="4"/>
      <c r="T1637" s="4"/>
      <c r="U1637" s="4"/>
      <c r="V1637" s="4"/>
      <c r="W1637" s="4"/>
      <c r="X1637" s="4"/>
      <c r="Y1637" s="4"/>
      <c r="Z1637" s="4"/>
    </row>
    <row r="1638" spans="1:26">
      <c r="A1638" s="5">
        <v>43647</v>
      </c>
      <c r="B1638" s="4" t="s">
        <v>9</v>
      </c>
      <c r="C1638" s="4" t="s">
        <v>18</v>
      </c>
      <c r="D1638" s="4" t="s">
        <v>16</v>
      </c>
      <c r="E1638" s="4" t="s">
        <v>12</v>
      </c>
      <c r="F1638" s="4">
        <v>124655256</v>
      </c>
      <c r="G1638" s="4">
        <v>837774</v>
      </c>
      <c r="H1638" s="4">
        <v>2399535</v>
      </c>
      <c r="I1638" s="6">
        <v>578349.19953279919</v>
      </c>
      <c r="J1638" s="4"/>
      <c r="K1638" s="4"/>
      <c r="L1638" s="4"/>
      <c r="M1638" s="4"/>
      <c r="N1638" s="4"/>
      <c r="O1638" s="4"/>
      <c r="P1638" s="4"/>
      <c r="Q1638" s="4"/>
      <c r="R1638" s="4"/>
      <c r="S1638" s="4"/>
      <c r="T1638" s="4"/>
      <c r="U1638" s="4"/>
      <c r="V1638" s="4"/>
      <c r="W1638" s="4"/>
      <c r="X1638" s="4"/>
      <c r="Y1638" s="4"/>
      <c r="Z1638" s="4"/>
    </row>
    <row r="1639" spans="1:26">
      <c r="A1639" s="5">
        <v>43647</v>
      </c>
      <c r="B1639" s="4" t="s">
        <v>9</v>
      </c>
      <c r="C1639" s="4" t="s">
        <v>18</v>
      </c>
      <c r="D1639" s="4" t="s">
        <v>16</v>
      </c>
      <c r="E1639" s="4" t="s">
        <v>13</v>
      </c>
      <c r="F1639" s="4">
        <v>1089595</v>
      </c>
      <c r="G1639" s="4">
        <v>2405</v>
      </c>
      <c r="H1639" s="4">
        <v>59214</v>
      </c>
      <c r="I1639" s="6">
        <v>38068.515450951985</v>
      </c>
      <c r="J1639" s="4"/>
      <c r="K1639" s="4"/>
      <c r="L1639" s="4"/>
      <c r="M1639" s="4"/>
      <c r="N1639" s="4"/>
      <c r="O1639" s="4"/>
      <c r="P1639" s="4"/>
      <c r="Q1639" s="4"/>
      <c r="R1639" s="4"/>
      <c r="S1639" s="4"/>
      <c r="T1639" s="4"/>
      <c r="U1639" s="4"/>
      <c r="V1639" s="4"/>
      <c r="W1639" s="4"/>
      <c r="X1639" s="4"/>
      <c r="Y1639" s="4"/>
      <c r="Z1639" s="4"/>
    </row>
    <row r="1640" spans="1:26">
      <c r="A1640" s="5">
        <v>43647</v>
      </c>
      <c r="B1640" s="4" t="s">
        <v>9</v>
      </c>
      <c r="C1640" s="4" t="s">
        <v>18</v>
      </c>
      <c r="D1640" s="4" t="s">
        <v>17</v>
      </c>
      <c r="E1640" s="4" t="s">
        <v>12</v>
      </c>
      <c r="F1640" s="4">
        <v>11800300</v>
      </c>
      <c r="G1640" s="4">
        <v>269314</v>
      </c>
      <c r="H1640" s="4">
        <v>767792</v>
      </c>
      <c r="I1640" s="6">
        <v>196416.11275362247</v>
      </c>
      <c r="J1640" s="4"/>
      <c r="K1640" s="4"/>
      <c r="L1640" s="4"/>
      <c r="M1640" s="4"/>
      <c r="N1640" s="4"/>
      <c r="O1640" s="4"/>
      <c r="P1640" s="4"/>
      <c r="Q1640" s="4"/>
      <c r="R1640" s="4"/>
      <c r="S1640" s="4"/>
      <c r="T1640" s="4"/>
      <c r="U1640" s="4"/>
      <c r="V1640" s="4"/>
      <c r="W1640" s="4"/>
      <c r="X1640" s="4"/>
      <c r="Y1640" s="4"/>
      <c r="Z1640" s="4"/>
    </row>
    <row r="1641" spans="1:26">
      <c r="A1641" s="5">
        <v>43647</v>
      </c>
      <c r="B1641" s="4" t="s">
        <v>9</v>
      </c>
      <c r="C1641" s="4" t="s">
        <v>18</v>
      </c>
      <c r="D1641" s="4" t="s">
        <v>17</v>
      </c>
      <c r="E1641" s="4" t="s">
        <v>13</v>
      </c>
      <c r="F1641" s="4">
        <v>90111</v>
      </c>
      <c r="G1641" s="4">
        <v>971</v>
      </c>
      <c r="H1641" s="4">
        <v>21465</v>
      </c>
      <c r="I1641" s="6">
        <v>15396.885368868458</v>
      </c>
      <c r="J1641" s="4"/>
      <c r="K1641" s="4"/>
      <c r="L1641" s="4"/>
      <c r="M1641" s="4"/>
      <c r="N1641" s="4"/>
      <c r="O1641" s="4"/>
      <c r="P1641" s="4"/>
      <c r="Q1641" s="4"/>
      <c r="R1641" s="4"/>
      <c r="S1641" s="4"/>
      <c r="T1641" s="4"/>
      <c r="U1641" s="4"/>
      <c r="V1641" s="4"/>
      <c r="W1641" s="4"/>
      <c r="X1641" s="4"/>
      <c r="Y1641" s="4"/>
      <c r="Z1641" s="4"/>
    </row>
    <row r="1642" spans="1:26">
      <c r="A1642" s="5">
        <v>43647</v>
      </c>
      <c r="B1642" s="4" t="s">
        <v>9</v>
      </c>
      <c r="C1642" s="4" t="s">
        <v>19</v>
      </c>
      <c r="D1642" s="4" t="s">
        <v>11</v>
      </c>
      <c r="E1642" s="4" t="s">
        <v>12</v>
      </c>
      <c r="F1642" s="4">
        <v>143720</v>
      </c>
      <c r="G1642" s="4">
        <v>22488</v>
      </c>
      <c r="H1642" s="4">
        <v>23687</v>
      </c>
      <c r="I1642" s="6">
        <v>119758.79397400041</v>
      </c>
      <c r="J1642" s="4"/>
      <c r="K1642" s="4"/>
      <c r="L1642" s="4"/>
      <c r="M1642" s="4"/>
      <c r="N1642" s="4"/>
      <c r="O1642" s="4"/>
      <c r="P1642" s="4"/>
      <c r="Q1642" s="4"/>
      <c r="R1642" s="4"/>
      <c r="S1642" s="4"/>
      <c r="T1642" s="4"/>
      <c r="U1642" s="4"/>
      <c r="V1642" s="4"/>
      <c r="W1642" s="4"/>
      <c r="X1642" s="4"/>
      <c r="Y1642" s="4"/>
      <c r="Z1642" s="4"/>
    </row>
    <row r="1643" spans="1:26">
      <c r="A1643" s="5">
        <v>43647</v>
      </c>
      <c r="B1643" s="4" t="s">
        <v>9</v>
      </c>
      <c r="C1643" s="4" t="s">
        <v>19</v>
      </c>
      <c r="D1643" s="4" t="s">
        <v>11</v>
      </c>
      <c r="E1643" s="4" t="s">
        <v>13</v>
      </c>
      <c r="F1643" s="4">
        <v>794</v>
      </c>
      <c r="G1643" s="4">
        <v>880</v>
      </c>
      <c r="H1643" s="4">
        <v>9193</v>
      </c>
      <c r="I1643" s="6">
        <v>20609.676175427932</v>
      </c>
      <c r="J1643" s="4"/>
      <c r="K1643" s="4"/>
      <c r="L1643" s="4"/>
      <c r="M1643" s="4"/>
      <c r="N1643" s="4"/>
      <c r="O1643" s="4"/>
      <c r="P1643" s="4"/>
      <c r="Q1643" s="4"/>
      <c r="R1643" s="4"/>
      <c r="S1643" s="4"/>
      <c r="T1643" s="4"/>
      <c r="U1643" s="4"/>
      <c r="V1643" s="4"/>
      <c r="W1643" s="4"/>
      <c r="X1643" s="4"/>
      <c r="Y1643" s="4"/>
      <c r="Z1643" s="4"/>
    </row>
    <row r="1644" spans="1:26">
      <c r="A1644" s="5">
        <v>43647</v>
      </c>
      <c r="B1644" s="4" t="s">
        <v>9</v>
      </c>
      <c r="C1644" s="4" t="s">
        <v>19</v>
      </c>
      <c r="D1644" s="4" t="s">
        <v>14</v>
      </c>
      <c r="E1644" s="4" t="s">
        <v>12</v>
      </c>
      <c r="F1644" s="4">
        <v>352610</v>
      </c>
      <c r="G1644" s="4">
        <v>53016</v>
      </c>
      <c r="H1644" s="4">
        <v>55724</v>
      </c>
      <c r="I1644" s="6">
        <v>213370.38364123521</v>
      </c>
      <c r="J1644" s="4"/>
      <c r="K1644" s="4"/>
      <c r="L1644" s="4"/>
      <c r="M1644" s="4"/>
      <c r="N1644" s="4"/>
      <c r="O1644" s="4"/>
      <c r="P1644" s="4"/>
      <c r="Q1644" s="4"/>
      <c r="R1644" s="4"/>
      <c r="S1644" s="4"/>
      <c r="T1644" s="4"/>
      <c r="U1644" s="4"/>
      <c r="V1644" s="4"/>
      <c r="W1644" s="4"/>
      <c r="X1644" s="4"/>
      <c r="Y1644" s="4"/>
      <c r="Z1644" s="4"/>
    </row>
    <row r="1645" spans="1:26">
      <c r="A1645" s="5">
        <v>43647</v>
      </c>
      <c r="B1645" s="4" t="s">
        <v>9</v>
      </c>
      <c r="C1645" s="4" t="s">
        <v>19</v>
      </c>
      <c r="D1645" s="4" t="s">
        <v>14</v>
      </c>
      <c r="E1645" s="4" t="s">
        <v>13</v>
      </c>
      <c r="F1645" s="4">
        <v>1902</v>
      </c>
      <c r="G1645" s="4">
        <v>1958</v>
      </c>
      <c r="H1645" s="4">
        <v>49735</v>
      </c>
      <c r="I1645" s="6">
        <v>34047.287067656493</v>
      </c>
      <c r="J1645" s="4"/>
      <c r="K1645" s="4"/>
      <c r="L1645" s="4"/>
      <c r="M1645" s="4"/>
      <c r="N1645" s="4"/>
      <c r="O1645" s="4"/>
      <c r="P1645" s="4"/>
      <c r="Q1645" s="4"/>
      <c r="R1645" s="4"/>
      <c r="S1645" s="4"/>
      <c r="T1645" s="4"/>
      <c r="U1645" s="4"/>
      <c r="V1645" s="4"/>
      <c r="W1645" s="4"/>
      <c r="X1645" s="4"/>
      <c r="Y1645" s="4"/>
      <c r="Z1645" s="4"/>
    </row>
    <row r="1646" spans="1:26">
      <c r="A1646" s="5">
        <v>43647</v>
      </c>
      <c r="B1646" s="4" t="s">
        <v>9</v>
      </c>
      <c r="C1646" s="4" t="s">
        <v>19</v>
      </c>
      <c r="D1646" s="4" t="s">
        <v>15</v>
      </c>
      <c r="E1646" s="4" t="s">
        <v>12</v>
      </c>
      <c r="F1646" s="4">
        <v>166390</v>
      </c>
      <c r="G1646" s="4">
        <v>27210</v>
      </c>
      <c r="H1646" s="4">
        <v>28196</v>
      </c>
      <c r="I1646" s="6">
        <v>78891.170686699537</v>
      </c>
      <c r="J1646" s="4"/>
      <c r="K1646" s="4"/>
      <c r="L1646" s="4"/>
      <c r="M1646" s="4"/>
      <c r="N1646" s="4"/>
      <c r="O1646" s="4"/>
      <c r="P1646" s="4"/>
      <c r="Q1646" s="4"/>
      <c r="R1646" s="4"/>
      <c r="S1646" s="4"/>
      <c r="T1646" s="4"/>
      <c r="U1646" s="4"/>
      <c r="V1646" s="4"/>
      <c r="W1646" s="4"/>
      <c r="X1646" s="4"/>
      <c r="Y1646" s="4"/>
      <c r="Z1646" s="4"/>
    </row>
    <row r="1647" spans="1:26">
      <c r="A1647" s="5">
        <v>43647</v>
      </c>
      <c r="B1647" s="4" t="s">
        <v>9</v>
      </c>
      <c r="C1647" s="4" t="s">
        <v>19</v>
      </c>
      <c r="D1647" s="4" t="s">
        <v>15</v>
      </c>
      <c r="E1647" s="4" t="s">
        <v>13</v>
      </c>
      <c r="F1647" s="4">
        <v>595</v>
      </c>
      <c r="G1647" s="4">
        <v>807</v>
      </c>
      <c r="H1647" s="4">
        <v>26896</v>
      </c>
      <c r="I1647" s="6">
        <v>14917.546821882688</v>
      </c>
      <c r="J1647" s="4"/>
      <c r="K1647" s="4"/>
      <c r="L1647" s="4"/>
      <c r="M1647" s="4"/>
      <c r="N1647" s="4"/>
      <c r="O1647" s="4"/>
      <c r="P1647" s="4"/>
      <c r="Q1647" s="4"/>
      <c r="R1647" s="4"/>
      <c r="S1647" s="4"/>
      <c r="T1647" s="4"/>
      <c r="U1647" s="4"/>
      <c r="V1647" s="4"/>
      <c r="W1647" s="4"/>
      <c r="X1647" s="4"/>
      <c r="Y1647" s="4"/>
      <c r="Z1647" s="4"/>
    </row>
    <row r="1648" spans="1:26">
      <c r="A1648" s="5">
        <v>43647</v>
      </c>
      <c r="B1648" s="4" t="s">
        <v>9</v>
      </c>
      <c r="C1648" s="4" t="s">
        <v>19</v>
      </c>
      <c r="D1648" s="4" t="s">
        <v>16</v>
      </c>
      <c r="E1648" s="4" t="s">
        <v>12</v>
      </c>
      <c r="F1648" s="4">
        <v>19800994</v>
      </c>
      <c r="G1648" s="4">
        <v>83425</v>
      </c>
      <c r="H1648" s="4">
        <v>85528</v>
      </c>
      <c r="I1648" s="6">
        <v>492067.53487681935</v>
      </c>
      <c r="J1648" s="4"/>
      <c r="K1648" s="4"/>
      <c r="L1648" s="4"/>
      <c r="M1648" s="4"/>
      <c r="N1648" s="4"/>
      <c r="O1648" s="4"/>
      <c r="P1648" s="4"/>
      <c r="Q1648" s="4"/>
      <c r="R1648" s="4"/>
      <c r="S1648" s="4"/>
      <c r="T1648" s="4"/>
      <c r="U1648" s="4"/>
      <c r="V1648" s="4"/>
      <c r="W1648" s="4"/>
      <c r="X1648" s="4"/>
      <c r="Y1648" s="4"/>
      <c r="Z1648" s="4"/>
    </row>
    <row r="1649" spans="1:26">
      <c r="A1649" s="5">
        <v>43647</v>
      </c>
      <c r="B1649" s="4" t="s">
        <v>9</v>
      </c>
      <c r="C1649" s="4" t="s">
        <v>19</v>
      </c>
      <c r="D1649" s="4" t="s">
        <v>16</v>
      </c>
      <c r="E1649" s="4" t="s">
        <v>13</v>
      </c>
      <c r="F1649" s="4">
        <v>185054</v>
      </c>
      <c r="G1649" s="4">
        <v>2512</v>
      </c>
      <c r="H1649" s="4">
        <v>43219</v>
      </c>
      <c r="I1649" s="6">
        <v>66941.93465791858</v>
      </c>
      <c r="J1649" s="4"/>
      <c r="K1649" s="4"/>
      <c r="L1649" s="4"/>
      <c r="M1649" s="4"/>
      <c r="N1649" s="4"/>
      <c r="O1649" s="4"/>
      <c r="P1649" s="4"/>
      <c r="Q1649" s="4"/>
      <c r="R1649" s="4"/>
      <c r="S1649" s="4"/>
      <c r="T1649" s="4"/>
      <c r="U1649" s="4"/>
      <c r="V1649" s="4"/>
      <c r="W1649" s="4"/>
      <c r="X1649" s="4"/>
      <c r="Y1649" s="4"/>
      <c r="Z1649" s="4"/>
    </row>
    <row r="1650" spans="1:26">
      <c r="A1650" s="5">
        <v>43647</v>
      </c>
      <c r="B1650" s="4" t="s">
        <v>9</v>
      </c>
      <c r="C1650" s="4" t="s">
        <v>19</v>
      </c>
      <c r="D1650" s="4" t="s">
        <v>17</v>
      </c>
      <c r="E1650" s="4" t="s">
        <v>12</v>
      </c>
      <c r="F1650" s="4">
        <v>276190</v>
      </c>
      <c r="G1650" s="4">
        <v>30107</v>
      </c>
      <c r="H1650" s="4">
        <v>31085</v>
      </c>
      <c r="I1650" s="6">
        <v>182502.9891667167</v>
      </c>
      <c r="J1650" s="4"/>
      <c r="K1650" s="4"/>
      <c r="L1650" s="4"/>
      <c r="M1650" s="4"/>
      <c r="N1650" s="4"/>
      <c r="O1650" s="4"/>
      <c r="P1650" s="4"/>
      <c r="Q1650" s="4"/>
      <c r="R1650" s="4"/>
      <c r="S1650" s="4"/>
      <c r="T1650" s="4"/>
      <c r="U1650" s="4"/>
      <c r="V1650" s="4"/>
      <c r="W1650" s="4"/>
      <c r="X1650" s="4"/>
      <c r="Y1650" s="4"/>
      <c r="Z1650" s="4"/>
    </row>
    <row r="1651" spans="1:26">
      <c r="A1651" s="5">
        <v>43647</v>
      </c>
      <c r="B1651" s="4" t="s">
        <v>9</v>
      </c>
      <c r="C1651" s="4" t="s">
        <v>19</v>
      </c>
      <c r="D1651" s="4" t="s">
        <v>17</v>
      </c>
      <c r="E1651" s="4" t="s">
        <v>13</v>
      </c>
      <c r="F1651" s="4">
        <v>1873</v>
      </c>
      <c r="G1651" s="4">
        <v>826</v>
      </c>
      <c r="H1651" s="4">
        <v>8321</v>
      </c>
      <c r="I1651" s="6">
        <v>22710.323906669655</v>
      </c>
      <c r="J1651" s="4"/>
      <c r="K1651" s="4"/>
      <c r="L1651" s="4"/>
      <c r="M1651" s="4"/>
      <c r="N1651" s="4"/>
      <c r="O1651" s="4"/>
      <c r="P1651" s="4"/>
      <c r="Q1651" s="4"/>
      <c r="R1651" s="4"/>
      <c r="S1651" s="4"/>
      <c r="T1651" s="4"/>
      <c r="U1651" s="4"/>
      <c r="V1651" s="4"/>
      <c r="W1651" s="4"/>
      <c r="X1651" s="4"/>
      <c r="Y1651" s="4"/>
      <c r="Z1651" s="4"/>
    </row>
    <row r="1652" spans="1:26">
      <c r="A1652" s="5">
        <v>43647</v>
      </c>
      <c r="B1652" s="4" t="s">
        <v>20</v>
      </c>
      <c r="C1652" s="4" t="s">
        <v>10</v>
      </c>
      <c r="D1652" s="4" t="s">
        <v>11</v>
      </c>
      <c r="E1652" s="4" t="s">
        <v>12</v>
      </c>
      <c r="F1652" s="4">
        <v>2796744</v>
      </c>
      <c r="G1652" s="4">
        <v>6327</v>
      </c>
      <c r="H1652" s="4">
        <v>7171</v>
      </c>
      <c r="I1652" s="6">
        <v>1687.5920339448346</v>
      </c>
      <c r="J1652" s="4"/>
      <c r="K1652" s="4"/>
      <c r="L1652" s="4"/>
      <c r="M1652" s="4"/>
      <c r="N1652" s="4"/>
      <c r="O1652" s="4"/>
      <c r="P1652" s="4"/>
      <c r="Q1652" s="4"/>
      <c r="R1652" s="4"/>
      <c r="S1652" s="4"/>
      <c r="T1652" s="4"/>
      <c r="U1652" s="4"/>
      <c r="V1652" s="4"/>
      <c r="W1652" s="4"/>
      <c r="X1652" s="4"/>
      <c r="Y1652" s="4"/>
      <c r="Z1652" s="4"/>
    </row>
    <row r="1653" spans="1:26">
      <c r="A1653" s="5">
        <v>43647</v>
      </c>
      <c r="B1653" s="4" t="s">
        <v>20</v>
      </c>
      <c r="C1653" s="4" t="s">
        <v>10</v>
      </c>
      <c r="D1653" s="4" t="s">
        <v>11</v>
      </c>
      <c r="E1653" s="4" t="s">
        <v>13</v>
      </c>
      <c r="F1653" s="4">
        <v>1135</v>
      </c>
      <c r="G1653" s="4">
        <v>35</v>
      </c>
      <c r="H1653" s="4">
        <v>88</v>
      </c>
      <c r="I1653" s="6">
        <v>19567.564444444441</v>
      </c>
      <c r="J1653" s="4"/>
      <c r="K1653" s="4"/>
      <c r="L1653" s="4"/>
      <c r="M1653" s="4"/>
      <c r="N1653" s="4"/>
      <c r="O1653" s="4"/>
      <c r="P1653" s="4"/>
      <c r="Q1653" s="4"/>
      <c r="R1653" s="4"/>
      <c r="S1653" s="4"/>
      <c r="T1653" s="4"/>
      <c r="U1653" s="4"/>
      <c r="V1653" s="4"/>
      <c r="W1653" s="4"/>
      <c r="X1653" s="4"/>
      <c r="Y1653" s="4"/>
      <c r="Z1653" s="4"/>
    </row>
    <row r="1654" spans="1:26">
      <c r="A1654" s="5">
        <v>43647</v>
      </c>
      <c r="B1654" s="4" t="s">
        <v>20</v>
      </c>
      <c r="C1654" s="4" t="s">
        <v>10</v>
      </c>
      <c r="D1654" s="4" t="s">
        <v>14</v>
      </c>
      <c r="E1654" s="4" t="s">
        <v>12</v>
      </c>
      <c r="F1654" s="4">
        <v>5064828</v>
      </c>
      <c r="G1654" s="4">
        <v>11250</v>
      </c>
      <c r="H1654" s="4">
        <v>12220</v>
      </c>
      <c r="I1654" s="6">
        <v>1535.3700830724592</v>
      </c>
      <c r="J1654" s="4"/>
      <c r="K1654" s="4"/>
      <c r="L1654" s="4"/>
      <c r="M1654" s="4"/>
      <c r="N1654" s="4"/>
      <c r="O1654" s="4"/>
      <c r="P1654" s="4"/>
      <c r="Q1654" s="4"/>
      <c r="R1654" s="4"/>
      <c r="S1654" s="4"/>
      <c r="T1654" s="4"/>
      <c r="U1654" s="4"/>
      <c r="V1654" s="4"/>
      <c r="W1654" s="4"/>
      <c r="X1654" s="4"/>
      <c r="Y1654" s="4"/>
      <c r="Z1654" s="4"/>
    </row>
    <row r="1655" spans="1:26">
      <c r="A1655" s="5">
        <v>43647</v>
      </c>
      <c r="B1655" s="4" t="s">
        <v>20</v>
      </c>
      <c r="C1655" s="4" t="s">
        <v>10</v>
      </c>
      <c r="D1655" s="4" t="s">
        <v>14</v>
      </c>
      <c r="E1655" s="4" t="s">
        <v>13</v>
      </c>
      <c r="F1655" s="4">
        <v>2442</v>
      </c>
      <c r="G1655" s="4">
        <v>63</v>
      </c>
      <c r="H1655" s="4">
        <v>264</v>
      </c>
      <c r="I1655" s="6">
        <v>29571.751531034482</v>
      </c>
      <c r="J1655" s="4"/>
      <c r="K1655" s="4"/>
      <c r="L1655" s="4"/>
      <c r="M1655" s="4"/>
      <c r="N1655" s="4"/>
      <c r="O1655" s="4"/>
      <c r="P1655" s="4"/>
      <c r="Q1655" s="4"/>
      <c r="R1655" s="4"/>
      <c r="S1655" s="4"/>
      <c r="T1655" s="4"/>
      <c r="U1655" s="4"/>
      <c r="V1655" s="4"/>
      <c r="W1655" s="4"/>
      <c r="X1655" s="4"/>
      <c r="Y1655" s="4"/>
      <c r="Z1655" s="4"/>
    </row>
    <row r="1656" spans="1:26">
      <c r="A1656" s="5">
        <v>43647</v>
      </c>
      <c r="B1656" s="4" t="s">
        <v>20</v>
      </c>
      <c r="C1656" s="4" t="s">
        <v>10</v>
      </c>
      <c r="D1656" s="4" t="s">
        <v>15</v>
      </c>
      <c r="E1656" s="4" t="s">
        <v>12</v>
      </c>
      <c r="F1656" s="4">
        <v>1265815</v>
      </c>
      <c r="G1656" s="4">
        <v>2845</v>
      </c>
      <c r="H1656" s="4">
        <v>3086</v>
      </c>
      <c r="I1656" s="6">
        <v>492.26782713810826</v>
      </c>
      <c r="J1656" s="4"/>
      <c r="K1656" s="4"/>
      <c r="L1656" s="4"/>
      <c r="M1656" s="4"/>
      <c r="N1656" s="4"/>
      <c r="O1656" s="4"/>
      <c r="P1656" s="4"/>
      <c r="Q1656" s="4"/>
      <c r="R1656" s="4"/>
      <c r="S1656" s="4"/>
      <c r="T1656" s="4"/>
      <c r="U1656" s="4"/>
      <c r="V1656" s="4"/>
      <c r="W1656" s="4"/>
      <c r="X1656" s="4"/>
      <c r="Y1656" s="4"/>
      <c r="Z1656" s="4"/>
    </row>
    <row r="1657" spans="1:26">
      <c r="A1657" s="5">
        <v>43647</v>
      </c>
      <c r="B1657" s="4" t="s">
        <v>20</v>
      </c>
      <c r="C1657" s="4" t="s">
        <v>10</v>
      </c>
      <c r="D1657" s="4" t="s">
        <v>15</v>
      </c>
      <c r="E1657" s="4" t="s">
        <v>13</v>
      </c>
      <c r="F1657" s="4">
        <v>340</v>
      </c>
      <c r="G1657" s="4">
        <v>20</v>
      </c>
      <c r="H1657" s="4">
        <v>61</v>
      </c>
      <c r="I1657" s="6">
        <v>7424.0178873239438</v>
      </c>
      <c r="J1657" s="4"/>
      <c r="K1657" s="4"/>
      <c r="L1657" s="4"/>
      <c r="M1657" s="4"/>
      <c r="N1657" s="4"/>
      <c r="O1657" s="4"/>
      <c r="P1657" s="4"/>
      <c r="Q1657" s="4"/>
      <c r="R1657" s="4"/>
      <c r="S1657" s="4"/>
      <c r="T1657" s="4"/>
      <c r="U1657" s="4"/>
      <c r="V1657" s="4"/>
      <c r="W1657" s="4"/>
      <c r="X1657" s="4"/>
      <c r="Y1657" s="4"/>
      <c r="Z1657" s="4"/>
    </row>
    <row r="1658" spans="1:26">
      <c r="A1658" s="5">
        <v>43647</v>
      </c>
      <c r="B1658" s="4" t="s">
        <v>20</v>
      </c>
      <c r="C1658" s="4" t="s">
        <v>10</v>
      </c>
      <c r="D1658" s="4" t="s">
        <v>16</v>
      </c>
      <c r="E1658" s="4" t="s">
        <v>12</v>
      </c>
      <c r="F1658" s="4">
        <v>13622080</v>
      </c>
      <c r="G1658" s="4">
        <v>40966</v>
      </c>
      <c r="H1658" s="4">
        <v>43025</v>
      </c>
      <c r="I1658" s="6">
        <v>7255.9566678233714</v>
      </c>
      <c r="J1658" s="4"/>
      <c r="K1658" s="4"/>
      <c r="L1658" s="4"/>
      <c r="M1658" s="4"/>
      <c r="N1658" s="4"/>
      <c r="O1658" s="4"/>
      <c r="P1658" s="4"/>
      <c r="Q1658" s="4"/>
      <c r="R1658" s="4"/>
      <c r="S1658" s="4"/>
      <c r="T1658" s="4"/>
      <c r="U1658" s="4"/>
      <c r="V1658" s="4"/>
      <c r="W1658" s="4"/>
      <c r="X1658" s="4"/>
      <c r="Y1658" s="4"/>
      <c r="Z1658" s="4"/>
    </row>
    <row r="1659" spans="1:26">
      <c r="A1659" s="5">
        <v>43647</v>
      </c>
      <c r="B1659" s="4" t="s">
        <v>20</v>
      </c>
      <c r="C1659" s="4" t="s">
        <v>10</v>
      </c>
      <c r="D1659" s="4" t="s">
        <v>16</v>
      </c>
      <c r="E1659" s="4" t="s">
        <v>13</v>
      </c>
      <c r="F1659" s="4">
        <v>6617</v>
      </c>
      <c r="G1659" s="4">
        <v>282</v>
      </c>
      <c r="H1659" s="4">
        <v>761</v>
      </c>
      <c r="I1659" s="6">
        <v>124551.70710268947</v>
      </c>
      <c r="J1659" s="4"/>
      <c r="K1659" s="4"/>
      <c r="L1659" s="4"/>
      <c r="M1659" s="4"/>
      <c r="N1659" s="4"/>
      <c r="O1659" s="4"/>
      <c r="P1659" s="4"/>
      <c r="Q1659" s="4"/>
      <c r="R1659" s="4"/>
      <c r="S1659" s="4"/>
      <c r="T1659" s="4"/>
      <c r="U1659" s="4"/>
      <c r="V1659" s="4"/>
      <c r="W1659" s="4"/>
      <c r="X1659" s="4"/>
      <c r="Y1659" s="4"/>
      <c r="Z1659" s="4"/>
    </row>
    <row r="1660" spans="1:26">
      <c r="A1660" s="5">
        <v>43647</v>
      </c>
      <c r="B1660" s="4" t="s">
        <v>20</v>
      </c>
      <c r="C1660" s="4" t="s">
        <v>10</v>
      </c>
      <c r="D1660" s="4" t="s">
        <v>17</v>
      </c>
      <c r="E1660" s="4" t="s">
        <v>12</v>
      </c>
      <c r="F1660" s="4">
        <v>4315827</v>
      </c>
      <c r="G1660" s="4">
        <v>13635</v>
      </c>
      <c r="H1660" s="4">
        <v>14467</v>
      </c>
      <c r="I1660" s="6">
        <v>2201.6337796388266</v>
      </c>
      <c r="J1660" s="4"/>
      <c r="K1660" s="4"/>
      <c r="L1660" s="4"/>
      <c r="M1660" s="4"/>
      <c r="N1660" s="4"/>
      <c r="O1660" s="4"/>
      <c r="P1660" s="4"/>
      <c r="Q1660" s="4"/>
      <c r="R1660" s="4"/>
      <c r="S1660" s="4"/>
      <c r="T1660" s="4"/>
      <c r="U1660" s="4"/>
      <c r="V1660" s="4"/>
      <c r="W1660" s="4"/>
      <c r="X1660" s="4"/>
      <c r="Y1660" s="4"/>
      <c r="Z1660" s="4"/>
    </row>
    <row r="1661" spans="1:26">
      <c r="A1661" s="5">
        <v>43647</v>
      </c>
      <c r="B1661" s="4" t="s">
        <v>20</v>
      </c>
      <c r="C1661" s="4" t="s">
        <v>10</v>
      </c>
      <c r="D1661" s="4" t="s">
        <v>17</v>
      </c>
      <c r="E1661" s="4" t="s">
        <v>13</v>
      </c>
      <c r="F1661" s="4">
        <v>2243</v>
      </c>
      <c r="G1661" s="4">
        <v>91</v>
      </c>
      <c r="H1661" s="4">
        <v>287</v>
      </c>
      <c r="I1661" s="6">
        <v>43644.960258064515</v>
      </c>
      <c r="J1661" s="4"/>
      <c r="K1661" s="4"/>
      <c r="L1661" s="4"/>
      <c r="M1661" s="4"/>
      <c r="N1661" s="4"/>
      <c r="O1661" s="4"/>
      <c r="P1661" s="4"/>
      <c r="Q1661" s="4"/>
      <c r="R1661" s="4"/>
      <c r="S1661" s="4"/>
      <c r="T1661" s="4"/>
      <c r="U1661" s="4"/>
      <c r="V1661" s="4"/>
      <c r="W1661" s="4"/>
      <c r="X1661" s="4"/>
      <c r="Y1661" s="4"/>
      <c r="Z1661" s="4"/>
    </row>
    <row r="1662" spans="1:26">
      <c r="A1662" s="5">
        <v>43647</v>
      </c>
      <c r="B1662" s="4" t="s">
        <v>20</v>
      </c>
      <c r="C1662" s="4" t="s">
        <v>18</v>
      </c>
      <c r="D1662" s="4" t="s">
        <v>11</v>
      </c>
      <c r="E1662" s="4" t="s">
        <v>12</v>
      </c>
      <c r="F1662" s="4">
        <v>3128901</v>
      </c>
      <c r="G1662" s="4">
        <v>17877</v>
      </c>
      <c r="H1662" s="4">
        <v>34450</v>
      </c>
      <c r="I1662" s="6">
        <v>10597.417540153301</v>
      </c>
      <c r="J1662" s="4"/>
      <c r="K1662" s="4"/>
      <c r="L1662" s="4"/>
      <c r="M1662" s="4"/>
      <c r="N1662" s="4"/>
      <c r="O1662" s="4"/>
      <c r="P1662" s="4"/>
      <c r="Q1662" s="4"/>
      <c r="R1662" s="4"/>
      <c r="S1662" s="4"/>
      <c r="T1662" s="4"/>
      <c r="U1662" s="4"/>
      <c r="V1662" s="4"/>
      <c r="W1662" s="4"/>
      <c r="X1662" s="4"/>
      <c r="Y1662" s="4"/>
      <c r="Z1662" s="4"/>
    </row>
    <row r="1663" spans="1:26">
      <c r="A1663" s="5">
        <v>43647</v>
      </c>
      <c r="B1663" s="4" t="s">
        <v>20</v>
      </c>
      <c r="C1663" s="4" t="s">
        <v>18</v>
      </c>
      <c r="D1663" s="4" t="s">
        <v>11</v>
      </c>
      <c r="E1663" s="4" t="s">
        <v>13</v>
      </c>
      <c r="F1663" s="4">
        <v>1617</v>
      </c>
      <c r="G1663" s="4">
        <v>26</v>
      </c>
      <c r="H1663" s="4">
        <v>44</v>
      </c>
      <c r="I1663" s="6">
        <v>229.61840000000001</v>
      </c>
      <c r="J1663" s="4"/>
      <c r="K1663" s="4"/>
      <c r="L1663" s="4"/>
      <c r="M1663" s="4"/>
      <c r="N1663" s="4"/>
      <c r="O1663" s="4"/>
      <c r="P1663" s="4"/>
      <c r="Q1663" s="4"/>
      <c r="R1663" s="4"/>
      <c r="S1663" s="4"/>
      <c r="T1663" s="4"/>
      <c r="U1663" s="4"/>
      <c r="V1663" s="4"/>
      <c r="W1663" s="4"/>
      <c r="X1663" s="4"/>
      <c r="Y1663" s="4"/>
      <c r="Z1663" s="4"/>
    </row>
    <row r="1664" spans="1:26">
      <c r="A1664" s="5">
        <v>43647</v>
      </c>
      <c r="B1664" s="4" t="s">
        <v>20</v>
      </c>
      <c r="C1664" s="4" t="s">
        <v>18</v>
      </c>
      <c r="D1664" s="4" t="s">
        <v>14</v>
      </c>
      <c r="E1664" s="4" t="s">
        <v>12</v>
      </c>
      <c r="F1664" s="4">
        <v>5927550</v>
      </c>
      <c r="G1664" s="4">
        <v>35273</v>
      </c>
      <c r="H1664" s="4">
        <v>65943</v>
      </c>
      <c r="I1664" s="6">
        <v>13458.577192443752</v>
      </c>
      <c r="J1664" s="4"/>
      <c r="K1664" s="4"/>
      <c r="L1664" s="4"/>
      <c r="M1664" s="4"/>
      <c r="N1664" s="4"/>
      <c r="O1664" s="4"/>
      <c r="P1664" s="4"/>
      <c r="Q1664" s="4"/>
      <c r="R1664" s="4"/>
      <c r="S1664" s="4"/>
      <c r="T1664" s="4"/>
      <c r="U1664" s="4"/>
      <c r="V1664" s="4"/>
      <c r="W1664" s="4"/>
      <c r="X1664" s="4"/>
      <c r="Y1664" s="4"/>
      <c r="Z1664" s="4"/>
    </row>
    <row r="1665" spans="1:26">
      <c r="A1665" s="5">
        <v>43647</v>
      </c>
      <c r="B1665" s="4" t="s">
        <v>20</v>
      </c>
      <c r="C1665" s="4" t="s">
        <v>18</v>
      </c>
      <c r="D1665" s="4" t="s">
        <v>14</v>
      </c>
      <c r="E1665" s="4" t="s">
        <v>13</v>
      </c>
      <c r="F1665" s="4">
        <v>3095</v>
      </c>
      <c r="G1665" s="4">
        <v>38</v>
      </c>
      <c r="H1665" s="4">
        <v>218</v>
      </c>
      <c r="I1665" s="6">
        <v>366.48324115702479</v>
      </c>
      <c r="J1665" s="4"/>
      <c r="K1665" s="4"/>
      <c r="L1665" s="4"/>
      <c r="M1665" s="4"/>
      <c r="N1665" s="4"/>
      <c r="O1665" s="4"/>
      <c r="P1665" s="4"/>
      <c r="Q1665" s="4"/>
      <c r="R1665" s="4"/>
      <c r="S1665" s="4"/>
      <c r="T1665" s="4"/>
      <c r="U1665" s="4"/>
      <c r="V1665" s="4"/>
      <c r="W1665" s="4"/>
      <c r="X1665" s="4"/>
      <c r="Y1665" s="4"/>
      <c r="Z1665" s="4"/>
    </row>
    <row r="1666" spans="1:26">
      <c r="A1666" s="5">
        <v>43647</v>
      </c>
      <c r="B1666" s="4" t="s">
        <v>20</v>
      </c>
      <c r="C1666" s="4" t="s">
        <v>18</v>
      </c>
      <c r="D1666" s="4" t="s">
        <v>15</v>
      </c>
      <c r="E1666" s="4" t="s">
        <v>12</v>
      </c>
      <c r="F1666" s="4">
        <v>1871039</v>
      </c>
      <c r="G1666" s="4">
        <v>12212</v>
      </c>
      <c r="H1666" s="4">
        <v>22924</v>
      </c>
      <c r="I1666" s="6">
        <v>3737.1932874760878</v>
      </c>
      <c r="J1666" s="4"/>
      <c r="K1666" s="4"/>
      <c r="L1666" s="4"/>
      <c r="M1666" s="4"/>
      <c r="N1666" s="4"/>
      <c r="O1666" s="4"/>
      <c r="P1666" s="4"/>
      <c r="Q1666" s="4"/>
      <c r="R1666" s="4"/>
      <c r="S1666" s="4"/>
      <c r="T1666" s="4"/>
      <c r="U1666" s="4"/>
      <c r="V1666" s="4"/>
      <c r="W1666" s="4"/>
      <c r="X1666" s="4"/>
      <c r="Y1666" s="4"/>
      <c r="Z1666" s="4"/>
    </row>
    <row r="1667" spans="1:26">
      <c r="A1667" s="5">
        <v>43647</v>
      </c>
      <c r="B1667" s="4" t="s">
        <v>20</v>
      </c>
      <c r="C1667" s="4" t="s">
        <v>18</v>
      </c>
      <c r="D1667" s="4" t="s">
        <v>15</v>
      </c>
      <c r="E1667" s="4" t="s">
        <v>13</v>
      </c>
      <c r="F1667" s="4">
        <v>651</v>
      </c>
      <c r="G1667" s="4">
        <v>10</v>
      </c>
      <c r="H1667" s="4">
        <v>32</v>
      </c>
      <c r="I1667" s="6">
        <v>232.25904761904761</v>
      </c>
      <c r="J1667" s="4"/>
      <c r="K1667" s="4"/>
      <c r="L1667" s="4"/>
      <c r="M1667" s="4"/>
      <c r="N1667" s="4"/>
      <c r="O1667" s="4"/>
      <c r="P1667" s="4"/>
      <c r="Q1667" s="4"/>
      <c r="R1667" s="4"/>
      <c r="S1667" s="4"/>
      <c r="T1667" s="4"/>
      <c r="U1667" s="4"/>
      <c r="V1667" s="4"/>
      <c r="W1667" s="4"/>
      <c r="X1667" s="4"/>
      <c r="Y1667" s="4"/>
      <c r="Z1667" s="4"/>
    </row>
    <row r="1668" spans="1:26">
      <c r="A1668" s="5">
        <v>43647</v>
      </c>
      <c r="B1668" s="4" t="s">
        <v>20</v>
      </c>
      <c r="C1668" s="4" t="s">
        <v>18</v>
      </c>
      <c r="D1668" s="4" t="s">
        <v>16</v>
      </c>
      <c r="E1668" s="4" t="s">
        <v>12</v>
      </c>
      <c r="F1668" s="4">
        <v>27516519</v>
      </c>
      <c r="G1668" s="4">
        <v>87310</v>
      </c>
      <c r="H1668" s="4">
        <v>162622</v>
      </c>
      <c r="I1668" s="6">
        <v>53660.015664224105</v>
      </c>
      <c r="J1668" s="4"/>
      <c r="K1668" s="4"/>
      <c r="L1668" s="4"/>
      <c r="M1668" s="4"/>
      <c r="N1668" s="4"/>
      <c r="O1668" s="4"/>
      <c r="P1668" s="4"/>
      <c r="Q1668" s="4"/>
      <c r="R1668" s="4"/>
      <c r="S1668" s="4"/>
      <c r="T1668" s="4"/>
      <c r="U1668" s="4"/>
      <c r="V1668" s="4"/>
      <c r="W1668" s="4"/>
      <c r="X1668" s="4"/>
      <c r="Y1668" s="4"/>
      <c r="Z1668" s="4"/>
    </row>
    <row r="1669" spans="1:26">
      <c r="A1669" s="5">
        <v>43647</v>
      </c>
      <c r="B1669" s="4" t="s">
        <v>20</v>
      </c>
      <c r="C1669" s="4" t="s">
        <v>18</v>
      </c>
      <c r="D1669" s="4" t="s">
        <v>16</v>
      </c>
      <c r="E1669" s="4" t="s">
        <v>13</v>
      </c>
      <c r="F1669" s="4">
        <v>33720</v>
      </c>
      <c r="G1669" s="4">
        <v>109</v>
      </c>
      <c r="H1669" s="4">
        <v>1188</v>
      </c>
      <c r="I1669" s="6">
        <v>1591.8925423728813</v>
      </c>
      <c r="J1669" s="4"/>
      <c r="K1669" s="4"/>
      <c r="L1669" s="4"/>
      <c r="M1669" s="4"/>
      <c r="N1669" s="4"/>
      <c r="O1669" s="4"/>
      <c r="P1669" s="4"/>
      <c r="Q1669" s="4"/>
      <c r="R1669" s="4"/>
      <c r="S1669" s="4"/>
      <c r="T1669" s="4"/>
      <c r="U1669" s="4"/>
      <c r="V1669" s="4"/>
      <c r="W1669" s="4"/>
      <c r="X1669" s="4"/>
      <c r="Y1669" s="4"/>
      <c r="Z1669" s="4"/>
    </row>
    <row r="1670" spans="1:26">
      <c r="A1670" s="5">
        <v>43647</v>
      </c>
      <c r="B1670" s="4" t="s">
        <v>20</v>
      </c>
      <c r="C1670" s="4" t="s">
        <v>18</v>
      </c>
      <c r="D1670" s="4" t="s">
        <v>17</v>
      </c>
      <c r="E1670" s="4" t="s">
        <v>12</v>
      </c>
      <c r="F1670" s="4">
        <v>4848152</v>
      </c>
      <c r="G1670" s="4">
        <v>29478</v>
      </c>
      <c r="H1670" s="4">
        <v>51784</v>
      </c>
      <c r="I1670" s="6">
        <v>17651.02280092259</v>
      </c>
      <c r="J1670" s="4"/>
      <c r="K1670" s="4"/>
      <c r="L1670" s="4"/>
      <c r="M1670" s="4"/>
      <c r="N1670" s="4"/>
      <c r="O1670" s="4"/>
      <c r="P1670" s="4"/>
      <c r="Q1670" s="4"/>
      <c r="R1670" s="4"/>
      <c r="S1670" s="4"/>
      <c r="T1670" s="4"/>
      <c r="U1670" s="4"/>
      <c r="V1670" s="4"/>
      <c r="W1670" s="4"/>
      <c r="X1670" s="4"/>
      <c r="Y1670" s="4"/>
      <c r="Z1670" s="4"/>
    </row>
    <row r="1671" spans="1:26">
      <c r="A1671" s="5">
        <v>43647</v>
      </c>
      <c r="B1671" s="4" t="s">
        <v>20</v>
      </c>
      <c r="C1671" s="4" t="s">
        <v>18</v>
      </c>
      <c r="D1671" s="4" t="s">
        <v>17</v>
      </c>
      <c r="E1671" s="4" t="s">
        <v>13</v>
      </c>
      <c r="F1671" s="4">
        <v>1959</v>
      </c>
      <c r="G1671" s="4">
        <v>30</v>
      </c>
      <c r="H1671" s="4">
        <v>167</v>
      </c>
      <c r="I1671" s="6">
        <v>104.3296195652174</v>
      </c>
      <c r="J1671" s="4"/>
      <c r="K1671" s="4"/>
      <c r="L1671" s="4"/>
      <c r="M1671" s="4"/>
      <c r="N1671" s="4"/>
      <c r="O1671" s="4"/>
      <c r="P1671" s="4"/>
      <c r="Q1671" s="4"/>
      <c r="R1671" s="4"/>
      <c r="S1671" s="4"/>
      <c r="T1671" s="4"/>
      <c r="U1671" s="4"/>
      <c r="V1671" s="4"/>
      <c r="W1671" s="4"/>
      <c r="X1671" s="4"/>
      <c r="Y1671" s="4"/>
      <c r="Z1671" s="4"/>
    </row>
    <row r="1672" spans="1:26">
      <c r="A1672" s="5">
        <v>43647</v>
      </c>
      <c r="B1672" s="4" t="s">
        <v>20</v>
      </c>
      <c r="C1672" s="4" t="s">
        <v>19</v>
      </c>
      <c r="D1672" s="4" t="s">
        <v>11</v>
      </c>
      <c r="E1672" s="4" t="s">
        <v>12</v>
      </c>
      <c r="F1672" s="4">
        <v>957208</v>
      </c>
      <c r="G1672" s="4">
        <v>2821</v>
      </c>
      <c r="H1672" s="4">
        <v>3034</v>
      </c>
      <c r="I1672" s="6">
        <v>10624.361247695144</v>
      </c>
      <c r="J1672" s="4"/>
      <c r="K1672" s="4"/>
      <c r="L1672" s="4"/>
      <c r="M1672" s="4"/>
      <c r="N1672" s="4"/>
      <c r="O1672" s="4"/>
      <c r="P1672" s="4"/>
      <c r="Q1672" s="4"/>
      <c r="R1672" s="4"/>
      <c r="S1672" s="4"/>
      <c r="T1672" s="4"/>
      <c r="U1672" s="4"/>
      <c r="V1672" s="4"/>
      <c r="W1672" s="4"/>
      <c r="X1672" s="4"/>
      <c r="Y1672" s="4"/>
      <c r="Z1672" s="4"/>
    </row>
    <row r="1673" spans="1:26">
      <c r="A1673" s="5">
        <v>43647</v>
      </c>
      <c r="B1673" s="4" t="s">
        <v>20</v>
      </c>
      <c r="C1673" s="4" t="s">
        <v>19</v>
      </c>
      <c r="D1673" s="4" t="s">
        <v>11</v>
      </c>
      <c r="E1673" s="4" t="s">
        <v>13</v>
      </c>
      <c r="F1673" s="4">
        <v>1305</v>
      </c>
      <c r="G1673" s="4">
        <v>51</v>
      </c>
      <c r="H1673" s="4">
        <v>300</v>
      </c>
      <c r="I1673" s="6">
        <v>1413.1160714285716</v>
      </c>
      <c r="J1673" s="4"/>
      <c r="K1673" s="4"/>
      <c r="L1673" s="4"/>
      <c r="M1673" s="4"/>
      <c r="N1673" s="4"/>
      <c r="O1673" s="4"/>
      <c r="P1673" s="4"/>
      <c r="Q1673" s="4"/>
      <c r="R1673" s="4"/>
      <c r="S1673" s="4"/>
      <c r="T1673" s="4"/>
      <c r="U1673" s="4"/>
      <c r="V1673" s="4"/>
      <c r="W1673" s="4"/>
      <c r="X1673" s="4"/>
      <c r="Y1673" s="4"/>
      <c r="Z1673" s="4"/>
    </row>
    <row r="1674" spans="1:26">
      <c r="A1674" s="5">
        <v>43647</v>
      </c>
      <c r="B1674" s="4" t="s">
        <v>20</v>
      </c>
      <c r="C1674" s="4" t="s">
        <v>19</v>
      </c>
      <c r="D1674" s="4" t="s">
        <v>14</v>
      </c>
      <c r="E1674" s="4" t="s">
        <v>12</v>
      </c>
      <c r="F1674" s="4">
        <v>2252230</v>
      </c>
      <c r="G1674" s="4">
        <v>7246</v>
      </c>
      <c r="H1674" s="4">
        <v>7320</v>
      </c>
      <c r="I1674" s="6">
        <v>22497.306843379636</v>
      </c>
      <c r="J1674" s="4"/>
      <c r="K1674" s="4"/>
      <c r="L1674" s="4"/>
      <c r="M1674" s="4"/>
      <c r="N1674" s="4"/>
      <c r="O1674" s="4"/>
      <c r="P1674" s="4"/>
      <c r="Q1674" s="4"/>
      <c r="R1674" s="4"/>
      <c r="S1674" s="4"/>
      <c r="T1674" s="4"/>
      <c r="U1674" s="4"/>
      <c r="V1674" s="4"/>
      <c r="W1674" s="4"/>
      <c r="X1674" s="4"/>
      <c r="Y1674" s="4"/>
      <c r="Z1674" s="4"/>
    </row>
    <row r="1675" spans="1:26">
      <c r="A1675" s="5">
        <v>43647</v>
      </c>
      <c r="B1675" s="4" t="s">
        <v>20</v>
      </c>
      <c r="C1675" s="4" t="s">
        <v>19</v>
      </c>
      <c r="D1675" s="4" t="s">
        <v>14</v>
      </c>
      <c r="E1675" s="4" t="s">
        <v>13</v>
      </c>
      <c r="F1675" s="4">
        <v>3407</v>
      </c>
      <c r="G1675" s="4">
        <v>139</v>
      </c>
      <c r="H1675" s="4">
        <v>576</v>
      </c>
      <c r="I1675" s="6">
        <v>2721.174019292604</v>
      </c>
      <c r="J1675" s="4"/>
      <c r="K1675" s="4"/>
      <c r="L1675" s="4"/>
      <c r="M1675" s="4"/>
      <c r="N1675" s="4"/>
      <c r="O1675" s="4"/>
      <c r="P1675" s="4"/>
      <c r="Q1675" s="4"/>
      <c r="R1675" s="4"/>
      <c r="S1675" s="4"/>
      <c r="T1675" s="4"/>
      <c r="U1675" s="4"/>
      <c r="V1675" s="4"/>
      <c r="W1675" s="4"/>
      <c r="X1675" s="4"/>
      <c r="Y1675" s="4"/>
      <c r="Z1675" s="4"/>
    </row>
    <row r="1676" spans="1:26">
      <c r="A1676" s="5">
        <v>43647</v>
      </c>
      <c r="B1676" s="4" t="s">
        <v>20</v>
      </c>
      <c r="C1676" s="4" t="s">
        <v>19</v>
      </c>
      <c r="D1676" s="4" t="s">
        <v>15</v>
      </c>
      <c r="E1676" s="4" t="s">
        <v>12</v>
      </c>
      <c r="F1676" s="4">
        <v>585536</v>
      </c>
      <c r="G1676" s="4">
        <v>1973</v>
      </c>
      <c r="H1676" s="4">
        <v>1999</v>
      </c>
      <c r="I1676" s="6">
        <v>7247.7642304104475</v>
      </c>
      <c r="J1676" s="4"/>
      <c r="K1676" s="4"/>
      <c r="L1676" s="4"/>
      <c r="M1676" s="4"/>
      <c r="N1676" s="4"/>
      <c r="O1676" s="4"/>
      <c r="P1676" s="4"/>
      <c r="Q1676" s="4"/>
      <c r="R1676" s="4"/>
      <c r="S1676" s="4"/>
      <c r="T1676" s="4"/>
      <c r="U1676" s="4"/>
      <c r="V1676" s="4"/>
      <c r="W1676" s="4"/>
      <c r="X1676" s="4"/>
      <c r="Y1676" s="4"/>
      <c r="Z1676" s="4"/>
    </row>
    <row r="1677" spans="1:26">
      <c r="A1677" s="5">
        <v>43647</v>
      </c>
      <c r="B1677" s="4" t="s">
        <v>20</v>
      </c>
      <c r="C1677" s="4" t="s">
        <v>19</v>
      </c>
      <c r="D1677" s="4" t="s">
        <v>15</v>
      </c>
      <c r="E1677" s="4" t="s">
        <v>13</v>
      </c>
      <c r="F1677" s="4">
        <v>595</v>
      </c>
      <c r="G1677" s="4">
        <v>25</v>
      </c>
      <c r="H1677" s="4">
        <v>254</v>
      </c>
      <c r="I1677" s="6">
        <v>350.19915789473686</v>
      </c>
      <c r="J1677" s="4"/>
      <c r="K1677" s="4"/>
      <c r="L1677" s="4"/>
      <c r="M1677" s="4"/>
      <c r="N1677" s="4"/>
      <c r="O1677" s="4"/>
      <c r="P1677" s="4"/>
      <c r="Q1677" s="4"/>
      <c r="R1677" s="4"/>
      <c r="S1677" s="4"/>
      <c r="T1677" s="4"/>
      <c r="U1677" s="4"/>
      <c r="V1677" s="4"/>
      <c r="W1677" s="4"/>
      <c r="X1677" s="4"/>
      <c r="Y1677" s="4"/>
      <c r="Z1677" s="4"/>
    </row>
    <row r="1678" spans="1:26">
      <c r="A1678" s="5">
        <v>43647</v>
      </c>
      <c r="B1678" s="4" t="s">
        <v>20</v>
      </c>
      <c r="C1678" s="4" t="s">
        <v>19</v>
      </c>
      <c r="D1678" s="4" t="s">
        <v>16</v>
      </c>
      <c r="E1678" s="4" t="s">
        <v>12</v>
      </c>
      <c r="F1678" s="4">
        <v>5258605</v>
      </c>
      <c r="G1678" s="4">
        <v>14186</v>
      </c>
      <c r="H1678" s="4">
        <v>14545</v>
      </c>
      <c r="I1678" s="6">
        <v>67534.033279876836</v>
      </c>
      <c r="J1678" s="4"/>
      <c r="K1678" s="4"/>
      <c r="L1678" s="4"/>
      <c r="M1678" s="4"/>
      <c r="N1678" s="4"/>
      <c r="O1678" s="4"/>
      <c r="P1678" s="4"/>
      <c r="Q1678" s="4"/>
      <c r="R1678" s="4"/>
      <c r="S1678" s="4"/>
      <c r="T1678" s="4"/>
      <c r="U1678" s="4"/>
      <c r="V1678" s="4"/>
      <c r="W1678" s="4"/>
      <c r="X1678" s="4"/>
      <c r="Y1678" s="4"/>
      <c r="Z1678" s="4"/>
    </row>
    <row r="1679" spans="1:26">
      <c r="A1679" s="5">
        <v>43647</v>
      </c>
      <c r="B1679" s="4" t="s">
        <v>20</v>
      </c>
      <c r="C1679" s="4" t="s">
        <v>19</v>
      </c>
      <c r="D1679" s="4" t="s">
        <v>16</v>
      </c>
      <c r="E1679" s="4" t="s">
        <v>13</v>
      </c>
      <c r="F1679" s="4">
        <v>5226</v>
      </c>
      <c r="G1679" s="4">
        <v>211</v>
      </c>
      <c r="H1679" s="4">
        <v>1081</v>
      </c>
      <c r="I1679" s="6">
        <v>6530.2941830624459</v>
      </c>
      <c r="J1679" s="4"/>
      <c r="K1679" s="4"/>
      <c r="L1679" s="4"/>
      <c r="M1679" s="4"/>
      <c r="N1679" s="4"/>
      <c r="O1679" s="4"/>
      <c r="P1679" s="4"/>
      <c r="Q1679" s="4"/>
      <c r="R1679" s="4"/>
      <c r="S1679" s="4"/>
      <c r="T1679" s="4"/>
      <c r="U1679" s="4"/>
      <c r="V1679" s="4"/>
      <c r="W1679" s="4"/>
      <c r="X1679" s="4"/>
      <c r="Y1679" s="4"/>
      <c r="Z1679" s="4"/>
    </row>
    <row r="1680" spans="1:26">
      <c r="A1680" s="5">
        <v>43647</v>
      </c>
      <c r="B1680" s="4" t="s">
        <v>20</v>
      </c>
      <c r="C1680" s="4" t="s">
        <v>19</v>
      </c>
      <c r="D1680" s="4" t="s">
        <v>17</v>
      </c>
      <c r="E1680" s="4" t="s">
        <v>12</v>
      </c>
      <c r="F1680" s="4">
        <v>1607547</v>
      </c>
      <c r="G1680" s="4">
        <v>5035</v>
      </c>
      <c r="H1680" s="4">
        <v>5083</v>
      </c>
      <c r="I1680" s="6">
        <v>20118.01773352909</v>
      </c>
      <c r="J1680" s="4"/>
      <c r="K1680" s="4"/>
      <c r="L1680" s="4"/>
      <c r="M1680" s="4"/>
      <c r="N1680" s="4"/>
      <c r="O1680" s="4"/>
      <c r="P1680" s="4"/>
      <c r="Q1680" s="4"/>
      <c r="R1680" s="4"/>
      <c r="S1680" s="4"/>
      <c r="T1680" s="4"/>
      <c r="U1680" s="4"/>
      <c r="V1680" s="4"/>
      <c r="W1680" s="4"/>
      <c r="X1680" s="4"/>
      <c r="Y1680" s="4"/>
      <c r="Z1680" s="4"/>
    </row>
    <row r="1681" spans="1:26">
      <c r="A1681" s="5">
        <v>43647</v>
      </c>
      <c r="B1681" s="4" t="s">
        <v>20</v>
      </c>
      <c r="C1681" s="4" t="s">
        <v>19</v>
      </c>
      <c r="D1681" s="4" t="s">
        <v>17</v>
      </c>
      <c r="E1681" s="4" t="s">
        <v>13</v>
      </c>
      <c r="F1681" s="4">
        <v>1873</v>
      </c>
      <c r="G1681" s="4">
        <v>65</v>
      </c>
      <c r="H1681" s="4">
        <v>768</v>
      </c>
      <c r="I1681" s="6">
        <v>1671.1643384982121</v>
      </c>
      <c r="J1681" s="4"/>
      <c r="K1681" s="4"/>
      <c r="L1681" s="4"/>
      <c r="M1681" s="4"/>
      <c r="N1681" s="4"/>
      <c r="O1681" s="4"/>
      <c r="P1681" s="4"/>
      <c r="Q1681" s="4"/>
      <c r="R1681" s="4"/>
      <c r="S1681" s="4"/>
      <c r="T1681" s="4"/>
      <c r="U1681" s="4"/>
      <c r="V1681" s="4"/>
      <c r="W1681" s="4"/>
      <c r="X1681" s="4"/>
      <c r="Y1681" s="4"/>
      <c r="Z1681" s="4"/>
    </row>
    <row r="1682" spans="1:26">
      <c r="A1682" s="5">
        <v>43647</v>
      </c>
      <c r="B1682" s="4" t="s">
        <v>21</v>
      </c>
      <c r="C1682" s="4" t="s">
        <v>10</v>
      </c>
      <c r="D1682" s="4" t="s">
        <v>11</v>
      </c>
      <c r="E1682" s="4" t="s">
        <v>12</v>
      </c>
      <c r="F1682" s="4">
        <v>1676296</v>
      </c>
      <c r="G1682" s="4">
        <v>13318</v>
      </c>
      <c r="H1682" s="4">
        <v>16707</v>
      </c>
      <c r="I1682" s="6">
        <v>24860.642069306377</v>
      </c>
      <c r="J1682" s="4"/>
      <c r="K1682" s="4"/>
      <c r="L1682" s="4"/>
      <c r="M1682" s="4"/>
      <c r="N1682" s="4"/>
      <c r="O1682" s="4"/>
      <c r="P1682" s="4"/>
      <c r="Q1682" s="4"/>
      <c r="R1682" s="4"/>
      <c r="S1682" s="4"/>
      <c r="T1682" s="4"/>
      <c r="U1682" s="4"/>
      <c r="V1682" s="4"/>
      <c r="W1682" s="4"/>
      <c r="X1682" s="4"/>
      <c r="Y1682" s="4"/>
      <c r="Z1682" s="4"/>
    </row>
    <row r="1683" spans="1:26">
      <c r="A1683" s="5">
        <v>43647</v>
      </c>
      <c r="B1683" s="4" t="s">
        <v>21</v>
      </c>
      <c r="C1683" s="4" t="s">
        <v>10</v>
      </c>
      <c r="D1683" s="4" t="s">
        <v>11</v>
      </c>
      <c r="E1683" s="4" t="s">
        <v>13</v>
      </c>
      <c r="F1683" s="4">
        <v>20141</v>
      </c>
      <c r="G1683" s="4">
        <v>1160</v>
      </c>
      <c r="H1683" s="4">
        <v>19520</v>
      </c>
      <c r="I1683" s="6">
        <v>107925.21654724373</v>
      </c>
      <c r="J1683" s="4"/>
      <c r="K1683" s="4"/>
      <c r="L1683" s="4"/>
      <c r="M1683" s="4"/>
      <c r="N1683" s="4"/>
      <c r="O1683" s="4"/>
      <c r="P1683" s="4"/>
      <c r="Q1683" s="4"/>
      <c r="R1683" s="4"/>
      <c r="S1683" s="4"/>
      <c r="T1683" s="4"/>
      <c r="U1683" s="4"/>
      <c r="V1683" s="4"/>
      <c r="W1683" s="4"/>
      <c r="X1683" s="4"/>
      <c r="Y1683" s="4"/>
      <c r="Z1683" s="4"/>
    </row>
    <row r="1684" spans="1:26">
      <c r="A1684" s="5">
        <v>43647</v>
      </c>
      <c r="B1684" s="4" t="s">
        <v>21</v>
      </c>
      <c r="C1684" s="4" t="s">
        <v>10</v>
      </c>
      <c r="D1684" s="4" t="s">
        <v>14</v>
      </c>
      <c r="E1684" s="4" t="s">
        <v>12</v>
      </c>
      <c r="F1684" s="4">
        <v>2576177</v>
      </c>
      <c r="G1684" s="4">
        <v>15485</v>
      </c>
      <c r="H1684" s="4">
        <v>17647</v>
      </c>
      <c r="I1684" s="6">
        <v>37498.512657571911</v>
      </c>
      <c r="J1684" s="4"/>
      <c r="K1684" s="4"/>
      <c r="L1684" s="4"/>
      <c r="M1684" s="4"/>
      <c r="N1684" s="4"/>
      <c r="O1684" s="4"/>
      <c r="P1684" s="4"/>
      <c r="Q1684" s="4"/>
      <c r="R1684" s="4"/>
      <c r="S1684" s="4"/>
      <c r="T1684" s="4"/>
      <c r="U1684" s="4"/>
      <c r="V1684" s="4"/>
      <c r="W1684" s="4"/>
      <c r="X1684" s="4"/>
      <c r="Y1684" s="4"/>
      <c r="Z1684" s="4"/>
    </row>
    <row r="1685" spans="1:26">
      <c r="A1685" s="5">
        <v>43647</v>
      </c>
      <c r="B1685" s="4" t="s">
        <v>21</v>
      </c>
      <c r="C1685" s="4" t="s">
        <v>10</v>
      </c>
      <c r="D1685" s="4" t="s">
        <v>14</v>
      </c>
      <c r="E1685" s="4" t="s">
        <v>13</v>
      </c>
      <c r="F1685" s="4">
        <v>24373</v>
      </c>
      <c r="G1685" s="4">
        <v>1523</v>
      </c>
      <c r="H1685" s="4">
        <v>20932</v>
      </c>
      <c r="I1685" s="6">
        <v>127546.84635853593</v>
      </c>
      <c r="J1685" s="4"/>
      <c r="K1685" s="4"/>
      <c r="L1685" s="4"/>
      <c r="M1685" s="4"/>
      <c r="N1685" s="4"/>
      <c r="O1685" s="4"/>
      <c r="P1685" s="4"/>
      <c r="Q1685" s="4"/>
      <c r="R1685" s="4"/>
      <c r="S1685" s="4"/>
      <c r="T1685" s="4"/>
      <c r="U1685" s="4"/>
      <c r="V1685" s="4"/>
      <c r="W1685" s="4"/>
      <c r="X1685" s="4"/>
      <c r="Y1685" s="4"/>
      <c r="Z1685" s="4"/>
    </row>
    <row r="1686" spans="1:26">
      <c r="A1686" s="5">
        <v>43647</v>
      </c>
      <c r="B1686" s="4" t="s">
        <v>21</v>
      </c>
      <c r="C1686" s="4" t="s">
        <v>10</v>
      </c>
      <c r="D1686" s="4" t="s">
        <v>15</v>
      </c>
      <c r="E1686" s="4" t="s">
        <v>12</v>
      </c>
      <c r="F1686" s="4">
        <v>684227</v>
      </c>
      <c r="G1686" s="4">
        <v>4277</v>
      </c>
      <c r="H1686" s="4">
        <v>5020</v>
      </c>
      <c r="I1686" s="6">
        <v>9242.9747305834262</v>
      </c>
      <c r="J1686" s="4"/>
      <c r="K1686" s="4"/>
      <c r="L1686" s="4"/>
      <c r="M1686" s="4"/>
      <c r="N1686" s="4"/>
      <c r="O1686" s="4"/>
      <c r="P1686" s="4"/>
      <c r="Q1686" s="4"/>
      <c r="R1686" s="4"/>
      <c r="S1686" s="4"/>
      <c r="T1686" s="4"/>
      <c r="U1686" s="4"/>
      <c r="V1686" s="4"/>
      <c r="W1686" s="4"/>
      <c r="X1686" s="4"/>
      <c r="Y1686" s="4"/>
      <c r="Z1686" s="4"/>
    </row>
    <row r="1687" spans="1:26">
      <c r="A1687" s="5">
        <v>43647</v>
      </c>
      <c r="B1687" s="4" t="s">
        <v>21</v>
      </c>
      <c r="C1687" s="4" t="s">
        <v>10</v>
      </c>
      <c r="D1687" s="4" t="s">
        <v>15</v>
      </c>
      <c r="E1687" s="4" t="s">
        <v>13</v>
      </c>
      <c r="F1687" s="4">
        <v>5993</v>
      </c>
      <c r="G1687" s="4">
        <v>389</v>
      </c>
      <c r="H1687" s="4">
        <v>4234</v>
      </c>
      <c r="I1687" s="6">
        <v>31068.434759921074</v>
      </c>
      <c r="J1687" s="4"/>
      <c r="K1687" s="4"/>
      <c r="L1687" s="4"/>
      <c r="M1687" s="4"/>
      <c r="N1687" s="4"/>
      <c r="O1687" s="4"/>
      <c r="P1687" s="4"/>
      <c r="Q1687" s="4"/>
      <c r="R1687" s="4"/>
      <c r="S1687" s="4"/>
      <c r="T1687" s="4"/>
      <c r="U1687" s="4"/>
      <c r="V1687" s="4"/>
      <c r="W1687" s="4"/>
      <c r="X1687" s="4"/>
      <c r="Y1687" s="4"/>
      <c r="Z1687" s="4"/>
    </row>
    <row r="1688" spans="1:26">
      <c r="A1688" s="5">
        <v>43647</v>
      </c>
      <c r="B1688" s="4" t="s">
        <v>21</v>
      </c>
      <c r="C1688" s="4" t="s">
        <v>10</v>
      </c>
      <c r="D1688" s="4" t="s">
        <v>16</v>
      </c>
      <c r="E1688" s="4" t="s">
        <v>12</v>
      </c>
      <c r="F1688" s="4">
        <v>8724920</v>
      </c>
      <c r="G1688" s="4">
        <v>70543</v>
      </c>
      <c r="H1688" s="4">
        <v>78129</v>
      </c>
      <c r="I1688" s="6">
        <v>191869.25736106632</v>
      </c>
      <c r="J1688" s="4"/>
      <c r="K1688" s="4"/>
      <c r="L1688" s="4"/>
      <c r="M1688" s="4"/>
      <c r="N1688" s="4"/>
      <c r="O1688" s="4"/>
      <c r="P1688" s="4"/>
      <c r="Q1688" s="4"/>
      <c r="R1688" s="4"/>
      <c r="S1688" s="4"/>
      <c r="T1688" s="4"/>
      <c r="U1688" s="4"/>
      <c r="V1688" s="4"/>
      <c r="W1688" s="4"/>
      <c r="X1688" s="4"/>
      <c r="Y1688" s="4"/>
      <c r="Z1688" s="4"/>
    </row>
    <row r="1689" spans="1:26">
      <c r="A1689" s="5">
        <v>43647</v>
      </c>
      <c r="B1689" s="4" t="s">
        <v>21</v>
      </c>
      <c r="C1689" s="4" t="s">
        <v>10</v>
      </c>
      <c r="D1689" s="4" t="s">
        <v>16</v>
      </c>
      <c r="E1689" s="4" t="s">
        <v>13</v>
      </c>
      <c r="F1689" s="4">
        <v>107129</v>
      </c>
      <c r="G1689" s="4">
        <v>7453</v>
      </c>
      <c r="H1689" s="4">
        <v>107375</v>
      </c>
      <c r="I1689" s="6">
        <v>603857.83385686856</v>
      </c>
      <c r="J1689" s="4"/>
      <c r="K1689" s="4"/>
      <c r="L1689" s="4"/>
      <c r="M1689" s="4"/>
      <c r="N1689" s="4"/>
      <c r="O1689" s="4"/>
      <c r="P1689" s="4"/>
      <c r="Q1689" s="4"/>
      <c r="R1689" s="4"/>
      <c r="S1689" s="4"/>
      <c r="T1689" s="4"/>
      <c r="U1689" s="4"/>
      <c r="V1689" s="4"/>
      <c r="W1689" s="4"/>
      <c r="X1689" s="4"/>
      <c r="Y1689" s="4"/>
      <c r="Z1689" s="4"/>
    </row>
    <row r="1690" spans="1:26">
      <c r="A1690" s="5">
        <v>43647</v>
      </c>
      <c r="B1690" s="4" t="s">
        <v>21</v>
      </c>
      <c r="C1690" s="4" t="s">
        <v>10</v>
      </c>
      <c r="D1690" s="4" t="s">
        <v>17</v>
      </c>
      <c r="E1690" s="4" t="s">
        <v>12</v>
      </c>
      <c r="F1690" s="4">
        <v>2853902</v>
      </c>
      <c r="G1690" s="4">
        <v>29289</v>
      </c>
      <c r="H1690" s="4">
        <v>31977</v>
      </c>
      <c r="I1690" s="6">
        <v>79114.348981003248</v>
      </c>
      <c r="J1690" s="4"/>
      <c r="K1690" s="4"/>
      <c r="L1690" s="4"/>
      <c r="M1690" s="4"/>
      <c r="N1690" s="4"/>
      <c r="O1690" s="4"/>
      <c r="P1690" s="4"/>
      <c r="Q1690" s="4"/>
      <c r="R1690" s="4"/>
      <c r="S1690" s="4"/>
      <c r="T1690" s="4"/>
      <c r="U1690" s="4"/>
      <c r="V1690" s="4"/>
      <c r="W1690" s="4"/>
      <c r="X1690" s="4"/>
      <c r="Y1690" s="4"/>
      <c r="Z1690" s="4"/>
    </row>
    <row r="1691" spans="1:26">
      <c r="A1691" s="5">
        <v>43647</v>
      </c>
      <c r="B1691" s="4" t="s">
        <v>21</v>
      </c>
      <c r="C1691" s="4" t="s">
        <v>10</v>
      </c>
      <c r="D1691" s="4" t="s">
        <v>17</v>
      </c>
      <c r="E1691" s="4" t="s">
        <v>13</v>
      </c>
      <c r="F1691" s="4">
        <v>40936</v>
      </c>
      <c r="G1691" s="4">
        <v>3298</v>
      </c>
      <c r="H1691" s="4">
        <v>47674</v>
      </c>
      <c r="I1691" s="6">
        <v>261062.82399999999</v>
      </c>
      <c r="J1691" s="4"/>
      <c r="K1691" s="4"/>
      <c r="L1691" s="4"/>
      <c r="M1691" s="4"/>
      <c r="N1691" s="4"/>
      <c r="O1691" s="4"/>
      <c r="P1691" s="4"/>
      <c r="Q1691" s="4"/>
      <c r="R1691" s="4"/>
      <c r="S1691" s="4"/>
      <c r="T1691" s="4"/>
      <c r="U1691" s="4"/>
      <c r="V1691" s="4"/>
      <c r="W1691" s="4"/>
      <c r="X1691" s="4"/>
      <c r="Y1691" s="4"/>
      <c r="Z1691" s="4"/>
    </row>
    <row r="1692" spans="1:26">
      <c r="A1692" s="5">
        <v>43647</v>
      </c>
      <c r="B1692" s="4" t="s">
        <v>21</v>
      </c>
      <c r="C1692" s="4" t="s">
        <v>18</v>
      </c>
      <c r="D1692" s="4" t="s">
        <v>11</v>
      </c>
      <c r="E1692" s="4" t="s">
        <v>12</v>
      </c>
      <c r="F1692" s="4">
        <v>1959846</v>
      </c>
      <c r="G1692" s="4">
        <v>34455</v>
      </c>
      <c r="H1692" s="4">
        <v>149895</v>
      </c>
      <c r="I1692" s="6">
        <v>79881.329123711359</v>
      </c>
      <c r="J1692" s="4"/>
      <c r="K1692" s="4"/>
      <c r="L1692" s="4"/>
      <c r="M1692" s="4"/>
      <c r="N1692" s="4"/>
      <c r="O1692" s="4"/>
      <c r="P1692" s="4"/>
      <c r="Q1692" s="4"/>
      <c r="R1692" s="4"/>
      <c r="S1692" s="4"/>
      <c r="T1692" s="4"/>
      <c r="U1692" s="4"/>
      <c r="V1692" s="4"/>
      <c r="W1692" s="4"/>
      <c r="X1692" s="4"/>
      <c r="Y1692" s="4"/>
      <c r="Z1692" s="4"/>
    </row>
    <row r="1693" spans="1:26">
      <c r="A1693" s="5">
        <v>43647</v>
      </c>
      <c r="B1693" s="4" t="s">
        <v>21</v>
      </c>
      <c r="C1693" s="4" t="s">
        <v>18</v>
      </c>
      <c r="D1693" s="4" t="s">
        <v>11</v>
      </c>
      <c r="E1693" s="4" t="s">
        <v>13</v>
      </c>
      <c r="F1693" s="4">
        <v>13834</v>
      </c>
      <c r="G1693" s="4">
        <v>403</v>
      </c>
      <c r="H1693" s="4">
        <v>17866</v>
      </c>
      <c r="I1693" s="6">
        <v>14123.564660880413</v>
      </c>
      <c r="J1693" s="4"/>
      <c r="K1693" s="4"/>
      <c r="L1693" s="4"/>
      <c r="M1693" s="4"/>
      <c r="N1693" s="4"/>
      <c r="O1693" s="4"/>
      <c r="P1693" s="4"/>
      <c r="Q1693" s="4"/>
      <c r="R1693" s="4"/>
      <c r="S1693" s="4"/>
      <c r="T1693" s="4"/>
      <c r="U1693" s="4"/>
      <c r="V1693" s="4"/>
      <c r="W1693" s="4"/>
      <c r="X1693" s="4"/>
      <c r="Y1693" s="4"/>
      <c r="Z1693" s="4"/>
    </row>
    <row r="1694" spans="1:26">
      <c r="A1694" s="5">
        <v>43647</v>
      </c>
      <c r="B1694" s="4" t="s">
        <v>21</v>
      </c>
      <c r="C1694" s="4" t="s">
        <v>18</v>
      </c>
      <c r="D1694" s="4" t="s">
        <v>14</v>
      </c>
      <c r="E1694" s="4" t="s">
        <v>12</v>
      </c>
      <c r="F1694" s="4">
        <v>3076202</v>
      </c>
      <c r="G1694" s="4">
        <v>49107</v>
      </c>
      <c r="H1694" s="4">
        <v>183907</v>
      </c>
      <c r="I1694" s="6">
        <v>88190.891721964872</v>
      </c>
      <c r="J1694" s="4"/>
      <c r="K1694" s="4"/>
      <c r="L1694" s="4"/>
      <c r="M1694" s="4"/>
      <c r="N1694" s="4"/>
      <c r="O1694" s="4"/>
      <c r="P1694" s="4"/>
      <c r="Q1694" s="4"/>
      <c r="R1694" s="4"/>
      <c r="S1694" s="4"/>
      <c r="T1694" s="4"/>
      <c r="U1694" s="4"/>
      <c r="V1694" s="4"/>
      <c r="W1694" s="4"/>
      <c r="X1694" s="4"/>
      <c r="Y1694" s="4"/>
      <c r="Z1694" s="4"/>
    </row>
    <row r="1695" spans="1:26">
      <c r="A1695" s="5">
        <v>43647</v>
      </c>
      <c r="B1695" s="4" t="s">
        <v>21</v>
      </c>
      <c r="C1695" s="4" t="s">
        <v>18</v>
      </c>
      <c r="D1695" s="4" t="s">
        <v>14</v>
      </c>
      <c r="E1695" s="4" t="s">
        <v>13</v>
      </c>
      <c r="F1695" s="4">
        <v>17982</v>
      </c>
      <c r="G1695" s="4">
        <v>458</v>
      </c>
      <c r="H1695" s="4">
        <v>11003</v>
      </c>
      <c r="I1695" s="6">
        <v>13871.040862944163</v>
      </c>
      <c r="J1695" s="4"/>
      <c r="K1695" s="4"/>
      <c r="L1695" s="4"/>
      <c r="M1695" s="4"/>
      <c r="N1695" s="4"/>
      <c r="O1695" s="4"/>
      <c r="P1695" s="4"/>
      <c r="Q1695" s="4"/>
      <c r="R1695" s="4"/>
      <c r="S1695" s="4"/>
      <c r="T1695" s="4"/>
      <c r="U1695" s="4"/>
      <c r="V1695" s="4"/>
      <c r="W1695" s="4"/>
      <c r="X1695" s="4"/>
      <c r="Y1695" s="4"/>
      <c r="Z1695" s="4"/>
    </row>
    <row r="1696" spans="1:26">
      <c r="A1696" s="5">
        <v>43647</v>
      </c>
      <c r="B1696" s="4" t="s">
        <v>21</v>
      </c>
      <c r="C1696" s="4" t="s">
        <v>18</v>
      </c>
      <c r="D1696" s="4" t="s">
        <v>15</v>
      </c>
      <c r="E1696" s="4" t="s">
        <v>12</v>
      </c>
      <c r="F1696" s="4">
        <v>1062578</v>
      </c>
      <c r="G1696" s="4">
        <v>15404</v>
      </c>
      <c r="H1696" s="4">
        <v>73588</v>
      </c>
      <c r="I1696" s="6">
        <v>23448.555361811654</v>
      </c>
      <c r="J1696" s="4"/>
      <c r="K1696" s="4"/>
      <c r="L1696" s="4"/>
      <c r="M1696" s="4"/>
      <c r="N1696" s="4"/>
      <c r="O1696" s="4"/>
      <c r="P1696" s="4"/>
      <c r="Q1696" s="4"/>
      <c r="R1696" s="4"/>
      <c r="S1696" s="4"/>
      <c r="T1696" s="4"/>
      <c r="U1696" s="4"/>
      <c r="V1696" s="4"/>
      <c r="W1696" s="4"/>
      <c r="X1696" s="4"/>
      <c r="Y1696" s="4"/>
      <c r="Z1696" s="4"/>
    </row>
    <row r="1697" spans="1:26">
      <c r="A1697" s="5">
        <v>43647</v>
      </c>
      <c r="B1697" s="4" t="s">
        <v>21</v>
      </c>
      <c r="C1697" s="4" t="s">
        <v>18</v>
      </c>
      <c r="D1697" s="4" t="s">
        <v>15</v>
      </c>
      <c r="E1697" s="4" t="s">
        <v>13</v>
      </c>
      <c r="F1697" s="4">
        <v>5509</v>
      </c>
      <c r="G1697" s="4">
        <v>174</v>
      </c>
      <c r="H1697" s="4">
        <v>4533</v>
      </c>
      <c r="I1697" s="6">
        <v>2474.9273029808087</v>
      </c>
      <c r="J1697" s="4"/>
      <c r="K1697" s="4"/>
      <c r="L1697" s="4"/>
      <c r="M1697" s="4"/>
      <c r="N1697" s="4"/>
      <c r="O1697" s="4"/>
      <c r="P1697" s="4"/>
      <c r="Q1697" s="4"/>
      <c r="R1697" s="4"/>
      <c r="S1697" s="4"/>
      <c r="T1697" s="4"/>
      <c r="U1697" s="4"/>
      <c r="V1697" s="4"/>
      <c r="W1697" s="4"/>
      <c r="X1697" s="4"/>
      <c r="Y1697" s="4"/>
      <c r="Z1697" s="4"/>
    </row>
    <row r="1698" spans="1:26">
      <c r="A1698" s="5">
        <v>43647</v>
      </c>
      <c r="B1698" s="4" t="s">
        <v>21</v>
      </c>
      <c r="C1698" s="4" t="s">
        <v>18</v>
      </c>
      <c r="D1698" s="4" t="s">
        <v>16</v>
      </c>
      <c r="E1698" s="4" t="s">
        <v>12</v>
      </c>
      <c r="F1698" s="4">
        <v>26944306</v>
      </c>
      <c r="G1698" s="4">
        <v>149914</v>
      </c>
      <c r="H1698" s="4">
        <v>535865</v>
      </c>
      <c r="I1698" s="6">
        <v>339402.72265205975</v>
      </c>
      <c r="J1698" s="4"/>
      <c r="K1698" s="4"/>
      <c r="L1698" s="4"/>
      <c r="M1698" s="4"/>
      <c r="N1698" s="4"/>
      <c r="O1698" s="4"/>
      <c r="P1698" s="4"/>
      <c r="Q1698" s="4"/>
      <c r="R1698" s="4"/>
      <c r="S1698" s="4"/>
      <c r="T1698" s="4"/>
      <c r="U1698" s="4"/>
      <c r="V1698" s="4"/>
      <c r="W1698" s="4"/>
      <c r="X1698" s="4"/>
      <c r="Y1698" s="4"/>
      <c r="Z1698" s="4"/>
    </row>
    <row r="1699" spans="1:26">
      <c r="A1699" s="5">
        <v>43647</v>
      </c>
      <c r="B1699" s="4" t="s">
        <v>21</v>
      </c>
      <c r="C1699" s="4" t="s">
        <v>18</v>
      </c>
      <c r="D1699" s="4" t="s">
        <v>16</v>
      </c>
      <c r="E1699" s="4" t="s">
        <v>13</v>
      </c>
      <c r="F1699" s="4">
        <v>709625</v>
      </c>
      <c r="G1699" s="4">
        <v>1585</v>
      </c>
      <c r="H1699" s="4">
        <v>55529</v>
      </c>
      <c r="I1699" s="6">
        <v>41154.263207629534</v>
      </c>
      <c r="J1699" s="4"/>
      <c r="K1699" s="4"/>
      <c r="L1699" s="4"/>
      <c r="M1699" s="4"/>
      <c r="N1699" s="4"/>
      <c r="O1699" s="4"/>
      <c r="P1699" s="4"/>
      <c r="Q1699" s="4"/>
      <c r="R1699" s="4"/>
      <c r="S1699" s="4"/>
      <c r="T1699" s="4"/>
      <c r="U1699" s="4"/>
      <c r="V1699" s="4"/>
      <c r="W1699" s="4"/>
      <c r="X1699" s="4"/>
      <c r="Y1699" s="4"/>
      <c r="Z1699" s="4"/>
    </row>
    <row r="1700" spans="1:26">
      <c r="A1700" s="5">
        <v>43647</v>
      </c>
      <c r="B1700" s="4" t="s">
        <v>21</v>
      </c>
      <c r="C1700" s="4" t="s">
        <v>18</v>
      </c>
      <c r="D1700" s="4" t="s">
        <v>17</v>
      </c>
      <c r="E1700" s="4" t="s">
        <v>12</v>
      </c>
      <c r="F1700" s="4">
        <v>3576484</v>
      </c>
      <c r="G1700" s="4">
        <v>54730</v>
      </c>
      <c r="H1700" s="4">
        <v>180421</v>
      </c>
      <c r="I1700" s="6">
        <v>128690.67393406673</v>
      </c>
      <c r="J1700" s="4"/>
      <c r="K1700" s="4"/>
      <c r="L1700" s="4"/>
      <c r="M1700" s="4"/>
      <c r="N1700" s="4"/>
      <c r="O1700" s="4"/>
      <c r="P1700" s="4"/>
      <c r="Q1700" s="4"/>
      <c r="R1700" s="4"/>
      <c r="S1700" s="4"/>
      <c r="T1700" s="4"/>
      <c r="U1700" s="4"/>
      <c r="V1700" s="4"/>
      <c r="W1700" s="4"/>
      <c r="X1700" s="4"/>
      <c r="Y1700" s="4"/>
      <c r="Z1700" s="4"/>
    </row>
    <row r="1701" spans="1:26">
      <c r="A1701" s="5">
        <v>43647</v>
      </c>
      <c r="B1701" s="4" t="s">
        <v>21</v>
      </c>
      <c r="C1701" s="4" t="s">
        <v>18</v>
      </c>
      <c r="D1701" s="4" t="s">
        <v>17</v>
      </c>
      <c r="E1701" s="4" t="s">
        <v>13</v>
      </c>
      <c r="F1701" s="4">
        <v>32385</v>
      </c>
      <c r="G1701" s="4">
        <v>766</v>
      </c>
      <c r="H1701" s="4">
        <v>28784</v>
      </c>
      <c r="I1701" s="6">
        <v>23122.463307973714</v>
      </c>
      <c r="J1701" s="4"/>
      <c r="K1701" s="4"/>
      <c r="L1701" s="4"/>
      <c r="M1701" s="4"/>
      <c r="N1701" s="4"/>
      <c r="O1701" s="4"/>
      <c r="P1701" s="4"/>
      <c r="Q1701" s="4"/>
      <c r="R1701" s="4"/>
      <c r="S1701" s="4"/>
      <c r="T1701" s="4"/>
      <c r="U1701" s="4"/>
      <c r="V1701" s="4"/>
      <c r="W1701" s="4"/>
      <c r="X1701" s="4"/>
      <c r="Y1701" s="4"/>
      <c r="Z1701" s="4"/>
    </row>
    <row r="1702" spans="1:26">
      <c r="A1702" s="5">
        <v>43647</v>
      </c>
      <c r="B1702" s="4" t="s">
        <v>21</v>
      </c>
      <c r="C1702" s="4" t="s">
        <v>19</v>
      </c>
      <c r="D1702" s="4" t="s">
        <v>11</v>
      </c>
      <c r="E1702" s="4" t="s">
        <v>12</v>
      </c>
      <c r="F1702" s="4">
        <v>678063</v>
      </c>
      <c r="G1702" s="4">
        <v>9303</v>
      </c>
      <c r="H1702" s="4">
        <v>9639</v>
      </c>
      <c r="I1702" s="6">
        <v>102161.98097560975</v>
      </c>
      <c r="J1702" s="4"/>
      <c r="K1702" s="4"/>
      <c r="L1702" s="4"/>
      <c r="M1702" s="4"/>
      <c r="N1702" s="4"/>
      <c r="O1702" s="4"/>
      <c r="P1702" s="4"/>
      <c r="Q1702" s="4"/>
      <c r="R1702" s="4"/>
      <c r="S1702" s="4"/>
      <c r="T1702" s="4"/>
      <c r="U1702" s="4"/>
      <c r="V1702" s="4"/>
      <c r="W1702" s="4"/>
      <c r="X1702" s="4"/>
      <c r="Y1702" s="4"/>
      <c r="Z1702" s="4"/>
    </row>
    <row r="1703" spans="1:26">
      <c r="A1703" s="5">
        <v>43647</v>
      </c>
      <c r="B1703" s="4" t="s">
        <v>21</v>
      </c>
      <c r="C1703" s="4" t="s">
        <v>19</v>
      </c>
      <c r="D1703" s="4" t="s">
        <v>11</v>
      </c>
      <c r="E1703" s="4" t="s">
        <v>13</v>
      </c>
      <c r="F1703" s="4">
        <v>17753</v>
      </c>
      <c r="G1703" s="4">
        <v>1503</v>
      </c>
      <c r="H1703" s="4">
        <v>44226</v>
      </c>
      <c r="I1703" s="6">
        <v>25231.001062950621</v>
      </c>
      <c r="J1703" s="4"/>
      <c r="K1703" s="4"/>
      <c r="L1703" s="4"/>
      <c r="M1703" s="4"/>
      <c r="N1703" s="4"/>
      <c r="O1703" s="4"/>
      <c r="P1703" s="4"/>
      <c r="Q1703" s="4"/>
      <c r="R1703" s="4"/>
      <c r="S1703" s="4"/>
      <c r="T1703" s="4"/>
      <c r="U1703" s="4"/>
      <c r="V1703" s="4"/>
      <c r="W1703" s="4"/>
      <c r="X1703" s="4"/>
      <c r="Y1703" s="4"/>
      <c r="Z1703" s="4"/>
    </row>
    <row r="1704" spans="1:26">
      <c r="A1704" s="5">
        <v>43647</v>
      </c>
      <c r="B1704" s="4" t="s">
        <v>21</v>
      </c>
      <c r="C1704" s="4" t="s">
        <v>19</v>
      </c>
      <c r="D1704" s="4" t="s">
        <v>14</v>
      </c>
      <c r="E1704" s="4" t="s">
        <v>12</v>
      </c>
      <c r="F1704" s="4">
        <v>1218457</v>
      </c>
      <c r="G1704" s="4">
        <v>18561</v>
      </c>
      <c r="H1704" s="4">
        <v>20000</v>
      </c>
      <c r="I1704" s="6">
        <v>185965.18777700022</v>
      </c>
      <c r="J1704" s="4"/>
      <c r="K1704" s="4"/>
      <c r="L1704" s="4"/>
      <c r="M1704" s="4"/>
      <c r="N1704" s="4"/>
      <c r="O1704" s="4"/>
      <c r="P1704" s="4"/>
      <c r="Q1704" s="4"/>
      <c r="R1704" s="4"/>
      <c r="S1704" s="4"/>
      <c r="T1704" s="4"/>
      <c r="U1704" s="4"/>
      <c r="V1704" s="4"/>
      <c r="W1704" s="4"/>
      <c r="X1704" s="4"/>
      <c r="Y1704" s="4"/>
      <c r="Z1704" s="4"/>
    </row>
    <row r="1705" spans="1:26">
      <c r="A1705" s="5">
        <v>43647</v>
      </c>
      <c r="B1705" s="4" t="s">
        <v>21</v>
      </c>
      <c r="C1705" s="4" t="s">
        <v>19</v>
      </c>
      <c r="D1705" s="4" t="s">
        <v>14</v>
      </c>
      <c r="E1705" s="4" t="s">
        <v>13</v>
      </c>
      <c r="F1705" s="4">
        <v>34686</v>
      </c>
      <c r="G1705" s="4">
        <v>2872</v>
      </c>
      <c r="H1705" s="4">
        <v>135126</v>
      </c>
      <c r="I1705" s="6">
        <v>42339.392970126908</v>
      </c>
      <c r="J1705" s="4"/>
      <c r="K1705" s="4"/>
      <c r="L1705" s="4"/>
      <c r="M1705" s="4"/>
      <c r="N1705" s="4"/>
      <c r="O1705" s="4"/>
      <c r="P1705" s="4"/>
      <c r="Q1705" s="4"/>
      <c r="R1705" s="4"/>
      <c r="S1705" s="4"/>
      <c r="T1705" s="4"/>
      <c r="U1705" s="4"/>
      <c r="V1705" s="4"/>
      <c r="W1705" s="4"/>
      <c r="X1705" s="4"/>
      <c r="Y1705" s="4"/>
      <c r="Z1705" s="4"/>
    </row>
    <row r="1706" spans="1:26">
      <c r="A1706" s="5">
        <v>43647</v>
      </c>
      <c r="B1706" s="4" t="s">
        <v>21</v>
      </c>
      <c r="C1706" s="4" t="s">
        <v>19</v>
      </c>
      <c r="D1706" s="4" t="s">
        <v>15</v>
      </c>
      <c r="E1706" s="4" t="s">
        <v>12</v>
      </c>
      <c r="F1706" s="4">
        <v>369229</v>
      </c>
      <c r="G1706" s="4">
        <v>5026</v>
      </c>
      <c r="H1706" s="4">
        <v>5411</v>
      </c>
      <c r="I1706" s="6">
        <v>51168.972231034488</v>
      </c>
      <c r="J1706" s="4"/>
      <c r="K1706" s="4"/>
      <c r="L1706" s="4"/>
      <c r="M1706" s="4"/>
      <c r="N1706" s="4"/>
      <c r="O1706" s="4"/>
      <c r="P1706" s="4"/>
      <c r="Q1706" s="4"/>
      <c r="R1706" s="4"/>
      <c r="S1706" s="4"/>
      <c r="T1706" s="4"/>
      <c r="U1706" s="4"/>
      <c r="V1706" s="4"/>
      <c r="W1706" s="4"/>
      <c r="X1706" s="4"/>
      <c r="Y1706" s="4"/>
      <c r="Z1706" s="4"/>
    </row>
    <row r="1707" spans="1:26">
      <c r="A1707" s="5">
        <v>43647</v>
      </c>
      <c r="B1707" s="4" t="s">
        <v>21</v>
      </c>
      <c r="C1707" s="4" t="s">
        <v>19</v>
      </c>
      <c r="D1707" s="4" t="s">
        <v>15</v>
      </c>
      <c r="E1707" s="4" t="s">
        <v>13</v>
      </c>
      <c r="F1707" s="4">
        <v>9885</v>
      </c>
      <c r="G1707" s="4">
        <v>797</v>
      </c>
      <c r="H1707" s="4">
        <v>36078</v>
      </c>
      <c r="I1707" s="6">
        <v>11781.288424452254</v>
      </c>
      <c r="J1707" s="4"/>
      <c r="K1707" s="4"/>
      <c r="L1707" s="4"/>
      <c r="M1707" s="4"/>
      <c r="N1707" s="4"/>
      <c r="O1707" s="4"/>
      <c r="P1707" s="4"/>
      <c r="Q1707" s="4"/>
      <c r="R1707" s="4"/>
      <c r="S1707" s="4"/>
      <c r="T1707" s="4"/>
      <c r="U1707" s="4"/>
      <c r="V1707" s="4"/>
      <c r="W1707" s="4"/>
      <c r="X1707" s="4"/>
      <c r="Y1707" s="4"/>
      <c r="Z1707" s="4"/>
    </row>
    <row r="1708" spans="1:26">
      <c r="A1708" s="5">
        <v>43647</v>
      </c>
      <c r="B1708" s="4" t="s">
        <v>21</v>
      </c>
      <c r="C1708" s="4" t="s">
        <v>19</v>
      </c>
      <c r="D1708" s="4" t="s">
        <v>16</v>
      </c>
      <c r="E1708" s="4" t="s">
        <v>12</v>
      </c>
      <c r="F1708" s="4">
        <v>3431997</v>
      </c>
      <c r="G1708" s="4">
        <v>49241</v>
      </c>
      <c r="H1708" s="4">
        <v>50211</v>
      </c>
      <c r="I1708" s="6">
        <v>560005.1240731104</v>
      </c>
      <c r="J1708" s="4"/>
      <c r="K1708" s="4"/>
      <c r="L1708" s="4"/>
      <c r="M1708" s="4"/>
      <c r="N1708" s="4"/>
      <c r="O1708" s="4"/>
      <c r="P1708" s="4"/>
      <c r="Q1708" s="4"/>
      <c r="R1708" s="4"/>
      <c r="S1708" s="4"/>
      <c r="T1708" s="4"/>
      <c r="U1708" s="4"/>
      <c r="V1708" s="4"/>
      <c r="W1708" s="4"/>
      <c r="X1708" s="4"/>
      <c r="Y1708" s="4"/>
      <c r="Z1708" s="4"/>
    </row>
    <row r="1709" spans="1:26">
      <c r="A1709" s="5">
        <v>43647</v>
      </c>
      <c r="B1709" s="4" t="s">
        <v>21</v>
      </c>
      <c r="C1709" s="4" t="s">
        <v>19</v>
      </c>
      <c r="D1709" s="4" t="s">
        <v>16</v>
      </c>
      <c r="E1709" s="4" t="s">
        <v>13</v>
      </c>
      <c r="F1709" s="4">
        <v>89003</v>
      </c>
      <c r="G1709" s="4">
        <v>7451</v>
      </c>
      <c r="H1709" s="4">
        <v>493720</v>
      </c>
      <c r="I1709" s="6">
        <v>113982.18924695421</v>
      </c>
      <c r="J1709" s="4"/>
      <c r="K1709" s="4"/>
      <c r="L1709" s="4"/>
      <c r="M1709" s="4"/>
      <c r="N1709" s="4"/>
      <c r="O1709" s="4"/>
      <c r="P1709" s="4"/>
      <c r="Q1709" s="4"/>
      <c r="R1709" s="4"/>
      <c r="S1709" s="4"/>
      <c r="T1709" s="4"/>
      <c r="U1709" s="4"/>
      <c r="V1709" s="4"/>
      <c r="W1709" s="4"/>
      <c r="X1709" s="4"/>
      <c r="Y1709" s="4"/>
      <c r="Z1709" s="4"/>
    </row>
    <row r="1710" spans="1:26">
      <c r="A1710" s="5">
        <v>43647</v>
      </c>
      <c r="B1710" s="4" t="s">
        <v>21</v>
      </c>
      <c r="C1710" s="4" t="s">
        <v>19</v>
      </c>
      <c r="D1710" s="4" t="s">
        <v>17</v>
      </c>
      <c r="E1710" s="4" t="s">
        <v>12</v>
      </c>
      <c r="F1710" s="4">
        <v>1171753</v>
      </c>
      <c r="G1710" s="4">
        <v>18505</v>
      </c>
      <c r="H1710" s="4">
        <v>20419</v>
      </c>
      <c r="I1710" s="6">
        <v>191201.95219795287</v>
      </c>
      <c r="J1710" s="4"/>
      <c r="K1710" s="4"/>
      <c r="L1710" s="4"/>
      <c r="M1710" s="4"/>
      <c r="N1710" s="4"/>
      <c r="O1710" s="4"/>
      <c r="P1710" s="4"/>
      <c r="Q1710" s="4"/>
      <c r="R1710" s="4"/>
      <c r="S1710" s="4"/>
      <c r="T1710" s="4"/>
      <c r="U1710" s="4"/>
      <c r="V1710" s="4"/>
      <c r="W1710" s="4"/>
      <c r="X1710" s="4"/>
      <c r="Y1710" s="4"/>
      <c r="Z1710" s="4"/>
    </row>
    <row r="1711" spans="1:26">
      <c r="A1711" s="5">
        <v>43647</v>
      </c>
      <c r="B1711" s="4" t="s">
        <v>21</v>
      </c>
      <c r="C1711" s="4" t="s">
        <v>19</v>
      </c>
      <c r="D1711" s="4" t="s">
        <v>17</v>
      </c>
      <c r="E1711" s="4" t="s">
        <v>13</v>
      </c>
      <c r="F1711" s="4">
        <v>30765</v>
      </c>
      <c r="G1711" s="4">
        <v>2641</v>
      </c>
      <c r="H1711" s="4">
        <v>112598</v>
      </c>
      <c r="I1711" s="6">
        <v>46344.658649351506</v>
      </c>
      <c r="J1711" s="4"/>
      <c r="K1711" s="4"/>
      <c r="L1711" s="4"/>
      <c r="M1711" s="4"/>
      <c r="N1711" s="4"/>
      <c r="O1711" s="4"/>
      <c r="P1711" s="4"/>
      <c r="Q1711" s="4"/>
      <c r="R1711" s="4"/>
      <c r="S1711" s="4"/>
      <c r="T1711" s="4"/>
      <c r="U1711" s="4"/>
      <c r="V1711" s="4"/>
      <c r="W1711" s="4"/>
      <c r="X1711" s="4"/>
      <c r="Y1711" s="4"/>
      <c r="Z1711" s="4"/>
    </row>
    <row r="1712" spans="1:26">
      <c r="A1712" s="5">
        <v>43678</v>
      </c>
      <c r="B1712" s="4" t="s">
        <v>9</v>
      </c>
      <c r="C1712" s="4" t="s">
        <v>10</v>
      </c>
      <c r="D1712" s="4" t="s">
        <v>11</v>
      </c>
      <c r="E1712" s="4" t="s">
        <v>12</v>
      </c>
      <c r="F1712" s="4">
        <v>1439234</v>
      </c>
      <c r="G1712" s="4">
        <v>64771</v>
      </c>
      <c r="H1712" s="4">
        <v>76931</v>
      </c>
      <c r="I1712" s="6">
        <v>57769.653455604006</v>
      </c>
      <c r="J1712" s="4"/>
      <c r="K1712" s="4"/>
      <c r="L1712" s="4"/>
      <c r="M1712" s="4"/>
      <c r="N1712" s="4"/>
      <c r="O1712" s="4"/>
      <c r="P1712" s="4"/>
      <c r="Q1712" s="4"/>
      <c r="R1712" s="4"/>
      <c r="S1712" s="4"/>
      <c r="T1712" s="4"/>
      <c r="U1712" s="4"/>
      <c r="V1712" s="4"/>
      <c r="W1712" s="4"/>
      <c r="X1712" s="4"/>
      <c r="Y1712" s="4"/>
      <c r="Z1712" s="4"/>
    </row>
    <row r="1713" spans="1:26">
      <c r="A1713" s="5">
        <v>43678</v>
      </c>
      <c r="B1713" s="4" t="s">
        <v>9</v>
      </c>
      <c r="C1713" s="4" t="s">
        <v>10</v>
      </c>
      <c r="D1713" s="4" t="s">
        <v>11</v>
      </c>
      <c r="E1713" s="4" t="s">
        <v>13</v>
      </c>
      <c r="F1713" s="4">
        <v>8576</v>
      </c>
      <c r="G1713" s="4">
        <v>1437</v>
      </c>
      <c r="H1713" s="4">
        <v>8474</v>
      </c>
      <c r="I1713" s="6">
        <v>294208.98082067556</v>
      </c>
      <c r="J1713" s="4"/>
      <c r="K1713" s="4"/>
      <c r="L1713" s="4"/>
      <c r="M1713" s="4"/>
      <c r="N1713" s="4"/>
      <c r="O1713" s="4"/>
      <c r="P1713" s="4"/>
      <c r="Q1713" s="4"/>
      <c r="R1713" s="4"/>
      <c r="S1713" s="4"/>
      <c r="T1713" s="4"/>
      <c r="U1713" s="4"/>
      <c r="V1713" s="4"/>
      <c r="W1713" s="4"/>
      <c r="X1713" s="4"/>
      <c r="Y1713" s="4"/>
      <c r="Z1713" s="4"/>
    </row>
    <row r="1714" spans="1:26">
      <c r="A1714" s="5">
        <v>43678</v>
      </c>
      <c r="B1714" s="4" t="s">
        <v>9</v>
      </c>
      <c r="C1714" s="4" t="s">
        <v>10</v>
      </c>
      <c r="D1714" s="4" t="s">
        <v>14</v>
      </c>
      <c r="E1714" s="4" t="s">
        <v>12</v>
      </c>
      <c r="F1714" s="4">
        <v>3603448</v>
      </c>
      <c r="G1714" s="4">
        <v>113314</v>
      </c>
      <c r="H1714" s="4">
        <v>133939</v>
      </c>
      <c r="I1714" s="6">
        <v>97340.671895702966</v>
      </c>
      <c r="J1714" s="4"/>
      <c r="K1714" s="4"/>
      <c r="L1714" s="4"/>
      <c r="M1714" s="4"/>
      <c r="N1714" s="4"/>
      <c r="O1714" s="4"/>
      <c r="P1714" s="4"/>
      <c r="Q1714" s="4"/>
      <c r="R1714" s="4"/>
      <c r="S1714" s="4"/>
      <c r="T1714" s="4"/>
      <c r="U1714" s="4"/>
      <c r="V1714" s="4"/>
      <c r="W1714" s="4"/>
      <c r="X1714" s="4"/>
      <c r="Y1714" s="4"/>
      <c r="Z1714" s="4"/>
    </row>
    <row r="1715" spans="1:26">
      <c r="A1715" s="5">
        <v>43678</v>
      </c>
      <c r="B1715" s="4" t="s">
        <v>9</v>
      </c>
      <c r="C1715" s="4" t="s">
        <v>10</v>
      </c>
      <c r="D1715" s="4" t="s">
        <v>14</v>
      </c>
      <c r="E1715" s="4" t="s">
        <v>13</v>
      </c>
      <c r="F1715" s="4">
        <v>14372</v>
      </c>
      <c r="G1715" s="4">
        <v>2879</v>
      </c>
      <c r="H1715" s="4">
        <v>21090</v>
      </c>
      <c r="I1715" s="6">
        <v>453274.16328594857</v>
      </c>
      <c r="J1715" s="4"/>
      <c r="K1715" s="4"/>
      <c r="L1715" s="4"/>
      <c r="M1715" s="4"/>
      <c r="N1715" s="4"/>
      <c r="O1715" s="4"/>
      <c r="P1715" s="4"/>
      <c r="Q1715" s="4"/>
      <c r="R1715" s="4"/>
      <c r="S1715" s="4"/>
      <c r="T1715" s="4"/>
      <c r="U1715" s="4"/>
      <c r="V1715" s="4"/>
      <c r="W1715" s="4"/>
      <c r="X1715" s="4"/>
      <c r="Y1715" s="4"/>
      <c r="Z1715" s="4"/>
    </row>
    <row r="1716" spans="1:26">
      <c r="A1716" s="5">
        <v>43678</v>
      </c>
      <c r="B1716" s="4" t="s">
        <v>9</v>
      </c>
      <c r="C1716" s="4" t="s">
        <v>10</v>
      </c>
      <c r="D1716" s="4" t="s">
        <v>15</v>
      </c>
      <c r="E1716" s="4" t="s">
        <v>12</v>
      </c>
      <c r="F1716" s="4">
        <v>1455403</v>
      </c>
      <c r="G1716" s="4">
        <v>46878</v>
      </c>
      <c r="H1716" s="4">
        <v>60251</v>
      </c>
      <c r="I1716" s="6">
        <v>45201.013942763253</v>
      </c>
      <c r="J1716" s="4"/>
      <c r="K1716" s="4"/>
      <c r="L1716" s="4"/>
      <c r="M1716" s="4"/>
      <c r="N1716" s="4"/>
      <c r="O1716" s="4"/>
      <c r="P1716" s="4"/>
      <c r="Q1716" s="4"/>
      <c r="R1716" s="4"/>
      <c r="S1716" s="4"/>
      <c r="T1716" s="4"/>
      <c r="U1716" s="4"/>
      <c r="V1716" s="4"/>
      <c r="W1716" s="4"/>
      <c r="X1716" s="4"/>
      <c r="Y1716" s="4"/>
      <c r="Z1716" s="4"/>
    </row>
    <row r="1717" spans="1:26">
      <c r="A1717" s="5">
        <v>43678</v>
      </c>
      <c r="B1717" s="4" t="s">
        <v>9</v>
      </c>
      <c r="C1717" s="4" t="s">
        <v>10</v>
      </c>
      <c r="D1717" s="4" t="s">
        <v>15</v>
      </c>
      <c r="E1717" s="4" t="s">
        <v>13</v>
      </c>
      <c r="F1717" s="4">
        <v>5504</v>
      </c>
      <c r="G1717" s="4">
        <v>841</v>
      </c>
      <c r="H1717" s="4">
        <v>6981</v>
      </c>
      <c r="I1717" s="6">
        <v>113895.85978547853</v>
      </c>
      <c r="J1717" s="4"/>
      <c r="K1717" s="4"/>
      <c r="L1717" s="4"/>
      <c r="M1717" s="4"/>
      <c r="N1717" s="4"/>
      <c r="O1717" s="4"/>
      <c r="P1717" s="4"/>
      <c r="Q1717" s="4"/>
      <c r="R1717" s="4"/>
      <c r="S1717" s="4"/>
      <c r="T1717" s="4"/>
      <c r="U1717" s="4"/>
      <c r="V1717" s="4"/>
      <c r="W1717" s="4"/>
      <c r="X1717" s="4"/>
      <c r="Y1717" s="4"/>
      <c r="Z1717" s="4"/>
    </row>
    <row r="1718" spans="1:26">
      <c r="A1718" s="5">
        <v>43678</v>
      </c>
      <c r="B1718" s="4" t="s">
        <v>9</v>
      </c>
      <c r="C1718" s="4" t="s">
        <v>10</v>
      </c>
      <c r="D1718" s="4" t="s">
        <v>16</v>
      </c>
      <c r="E1718" s="4" t="s">
        <v>12</v>
      </c>
      <c r="F1718" s="4">
        <v>44850564</v>
      </c>
      <c r="G1718" s="4">
        <v>292706</v>
      </c>
      <c r="H1718" s="4">
        <v>329753</v>
      </c>
      <c r="I1718" s="6">
        <v>250394.69186631576</v>
      </c>
      <c r="J1718" s="4"/>
      <c r="K1718" s="4"/>
      <c r="L1718" s="4"/>
      <c r="M1718" s="4"/>
      <c r="N1718" s="4"/>
      <c r="O1718" s="4"/>
      <c r="P1718" s="4"/>
      <c r="Q1718" s="4"/>
      <c r="R1718" s="4"/>
      <c r="S1718" s="4"/>
      <c r="T1718" s="4"/>
      <c r="U1718" s="4"/>
      <c r="V1718" s="4"/>
      <c r="W1718" s="4"/>
      <c r="X1718" s="4"/>
      <c r="Y1718" s="4"/>
      <c r="Z1718" s="4"/>
    </row>
    <row r="1719" spans="1:26">
      <c r="A1719" s="5">
        <v>43678</v>
      </c>
      <c r="B1719" s="4" t="s">
        <v>9</v>
      </c>
      <c r="C1719" s="4" t="s">
        <v>10</v>
      </c>
      <c r="D1719" s="4" t="s">
        <v>16</v>
      </c>
      <c r="E1719" s="4" t="s">
        <v>13</v>
      </c>
      <c r="F1719" s="4">
        <v>314980</v>
      </c>
      <c r="G1719" s="4">
        <v>6234</v>
      </c>
      <c r="H1719" s="4">
        <v>40700</v>
      </c>
      <c r="I1719" s="6">
        <v>1367061.3177653947</v>
      </c>
      <c r="J1719" s="4"/>
      <c r="K1719" s="4"/>
      <c r="L1719" s="4"/>
      <c r="M1719" s="4"/>
      <c r="N1719" s="4"/>
      <c r="O1719" s="4"/>
      <c r="P1719" s="4"/>
      <c r="Q1719" s="4"/>
      <c r="R1719" s="4"/>
      <c r="S1719" s="4"/>
      <c r="T1719" s="4"/>
      <c r="U1719" s="4"/>
      <c r="V1719" s="4"/>
      <c r="W1719" s="4"/>
      <c r="X1719" s="4"/>
      <c r="Y1719" s="4"/>
      <c r="Z1719" s="4"/>
    </row>
    <row r="1720" spans="1:26">
      <c r="A1720" s="5">
        <v>43678</v>
      </c>
      <c r="B1720" s="4" t="s">
        <v>9</v>
      </c>
      <c r="C1720" s="4" t="s">
        <v>10</v>
      </c>
      <c r="D1720" s="4" t="s">
        <v>17</v>
      </c>
      <c r="E1720" s="4" t="s">
        <v>12</v>
      </c>
      <c r="F1720" s="4">
        <v>2213966</v>
      </c>
      <c r="G1720" s="4">
        <v>97126</v>
      </c>
      <c r="H1720" s="4">
        <v>110536</v>
      </c>
      <c r="I1720" s="6">
        <v>108188.86291105449</v>
      </c>
      <c r="J1720" s="4"/>
      <c r="K1720" s="4"/>
      <c r="L1720" s="4"/>
      <c r="M1720" s="4"/>
      <c r="N1720" s="4"/>
      <c r="O1720" s="4"/>
      <c r="P1720" s="4"/>
      <c r="Q1720" s="4"/>
      <c r="R1720" s="4"/>
      <c r="S1720" s="4"/>
      <c r="T1720" s="4"/>
      <c r="U1720" s="4"/>
      <c r="V1720" s="4"/>
      <c r="W1720" s="4"/>
      <c r="X1720" s="4"/>
      <c r="Y1720" s="4"/>
      <c r="Z1720" s="4"/>
    </row>
    <row r="1721" spans="1:26">
      <c r="A1721" s="5">
        <v>43678</v>
      </c>
      <c r="B1721" s="4" t="s">
        <v>9</v>
      </c>
      <c r="C1721" s="4" t="s">
        <v>10</v>
      </c>
      <c r="D1721" s="4" t="s">
        <v>17</v>
      </c>
      <c r="E1721" s="4" t="s">
        <v>13</v>
      </c>
      <c r="F1721" s="4">
        <v>13212</v>
      </c>
      <c r="G1721" s="4">
        <v>2622</v>
      </c>
      <c r="H1721" s="4">
        <v>15391</v>
      </c>
      <c r="I1721" s="6">
        <v>518699.70003370778</v>
      </c>
      <c r="J1721" s="4"/>
      <c r="K1721" s="4"/>
      <c r="L1721" s="4"/>
      <c r="M1721" s="4"/>
      <c r="N1721" s="4"/>
      <c r="O1721" s="4"/>
      <c r="P1721" s="4"/>
      <c r="Q1721" s="4"/>
      <c r="R1721" s="4"/>
      <c r="S1721" s="4"/>
      <c r="T1721" s="4"/>
      <c r="U1721" s="4"/>
      <c r="V1721" s="4"/>
      <c r="W1721" s="4"/>
      <c r="X1721" s="4"/>
      <c r="Y1721" s="4"/>
      <c r="Z1721" s="4"/>
    </row>
    <row r="1722" spans="1:26">
      <c r="A1722" s="5">
        <v>43678</v>
      </c>
      <c r="B1722" s="4" t="s">
        <v>9</v>
      </c>
      <c r="C1722" s="4" t="s">
        <v>18</v>
      </c>
      <c r="D1722" s="4" t="s">
        <v>11</v>
      </c>
      <c r="E1722" s="4" t="s">
        <v>12</v>
      </c>
      <c r="F1722" s="4">
        <v>8469400</v>
      </c>
      <c r="G1722" s="4">
        <v>228470</v>
      </c>
      <c r="H1722" s="4">
        <v>704871</v>
      </c>
      <c r="I1722" s="6">
        <v>172786.55587613571</v>
      </c>
      <c r="J1722" s="4"/>
      <c r="K1722" s="4"/>
      <c r="L1722" s="4"/>
      <c r="M1722" s="4"/>
      <c r="N1722" s="4"/>
      <c r="O1722" s="4"/>
      <c r="P1722" s="4"/>
      <c r="Q1722" s="4"/>
      <c r="R1722" s="4"/>
      <c r="S1722" s="4"/>
      <c r="T1722" s="4"/>
      <c r="U1722" s="4"/>
      <c r="V1722" s="4"/>
      <c r="W1722" s="4"/>
      <c r="X1722" s="4"/>
      <c r="Y1722" s="4"/>
      <c r="Z1722" s="4"/>
    </row>
    <row r="1723" spans="1:26">
      <c r="A1723" s="5">
        <v>43678</v>
      </c>
      <c r="B1723" s="4" t="s">
        <v>9</v>
      </c>
      <c r="C1723" s="4" t="s">
        <v>18</v>
      </c>
      <c r="D1723" s="4" t="s">
        <v>11</v>
      </c>
      <c r="E1723" s="4" t="s">
        <v>13</v>
      </c>
      <c r="F1723" s="4">
        <v>48101</v>
      </c>
      <c r="G1723" s="4">
        <v>859</v>
      </c>
      <c r="H1723" s="4">
        <v>23843</v>
      </c>
      <c r="I1723" s="6">
        <v>17501.431903554319</v>
      </c>
      <c r="J1723" s="4"/>
      <c r="K1723" s="4"/>
      <c r="L1723" s="4"/>
      <c r="M1723" s="4"/>
      <c r="N1723" s="4"/>
      <c r="O1723" s="4"/>
      <c r="P1723" s="4"/>
      <c r="Q1723" s="4"/>
      <c r="R1723" s="4"/>
      <c r="S1723" s="4"/>
      <c r="T1723" s="4"/>
      <c r="U1723" s="4"/>
      <c r="V1723" s="4"/>
      <c r="W1723" s="4"/>
      <c r="X1723" s="4"/>
      <c r="Y1723" s="4"/>
      <c r="Z1723" s="4"/>
    </row>
    <row r="1724" spans="1:26">
      <c r="A1724" s="5">
        <v>43678</v>
      </c>
      <c r="B1724" s="4" t="s">
        <v>9</v>
      </c>
      <c r="C1724" s="4" t="s">
        <v>18</v>
      </c>
      <c r="D1724" s="4" t="s">
        <v>14</v>
      </c>
      <c r="E1724" s="4" t="s">
        <v>12</v>
      </c>
      <c r="F1724" s="4">
        <v>19904751</v>
      </c>
      <c r="G1724" s="4">
        <v>472027</v>
      </c>
      <c r="H1724" s="4">
        <v>1422810</v>
      </c>
      <c r="I1724" s="6">
        <v>229438.71536822055</v>
      </c>
      <c r="J1724" s="4"/>
      <c r="K1724" s="4"/>
      <c r="L1724" s="4"/>
      <c r="M1724" s="4"/>
      <c r="N1724" s="4"/>
      <c r="O1724" s="4"/>
      <c r="P1724" s="4"/>
      <c r="Q1724" s="4"/>
      <c r="R1724" s="4"/>
      <c r="S1724" s="4"/>
      <c r="T1724" s="4"/>
      <c r="U1724" s="4"/>
      <c r="V1724" s="4"/>
      <c r="W1724" s="4"/>
      <c r="X1724" s="4"/>
      <c r="Y1724" s="4"/>
      <c r="Z1724" s="4"/>
    </row>
    <row r="1725" spans="1:26">
      <c r="A1725" s="5">
        <v>43678</v>
      </c>
      <c r="B1725" s="4" t="s">
        <v>9</v>
      </c>
      <c r="C1725" s="4" t="s">
        <v>18</v>
      </c>
      <c r="D1725" s="4" t="s">
        <v>14</v>
      </c>
      <c r="E1725" s="4" t="s">
        <v>13</v>
      </c>
      <c r="F1725" s="4">
        <v>100810</v>
      </c>
      <c r="G1725" s="4">
        <v>1192</v>
      </c>
      <c r="H1725" s="4">
        <v>17680</v>
      </c>
      <c r="I1725" s="6">
        <v>20336.860151029501</v>
      </c>
      <c r="J1725" s="4"/>
      <c r="K1725" s="4"/>
      <c r="L1725" s="4"/>
      <c r="M1725" s="4"/>
      <c r="N1725" s="4"/>
      <c r="O1725" s="4"/>
      <c r="P1725" s="4"/>
      <c r="Q1725" s="4"/>
      <c r="R1725" s="4"/>
      <c r="S1725" s="4"/>
      <c r="T1725" s="4"/>
      <c r="U1725" s="4"/>
      <c r="V1725" s="4"/>
      <c r="W1725" s="4"/>
      <c r="X1725" s="4"/>
      <c r="Y1725" s="4"/>
      <c r="Z1725" s="4"/>
    </row>
    <row r="1726" spans="1:26">
      <c r="A1726" s="5">
        <v>43678</v>
      </c>
      <c r="B1726" s="4" t="s">
        <v>9</v>
      </c>
      <c r="C1726" s="4" t="s">
        <v>18</v>
      </c>
      <c r="D1726" s="4" t="s">
        <v>15</v>
      </c>
      <c r="E1726" s="4" t="s">
        <v>12</v>
      </c>
      <c r="F1726" s="4">
        <v>9876644</v>
      </c>
      <c r="G1726" s="4">
        <v>254066</v>
      </c>
      <c r="H1726" s="4">
        <v>837132</v>
      </c>
      <c r="I1726" s="6">
        <v>92417.756119432117</v>
      </c>
      <c r="J1726" s="4"/>
      <c r="K1726" s="4"/>
      <c r="L1726" s="4"/>
      <c r="M1726" s="4"/>
      <c r="N1726" s="4"/>
      <c r="O1726" s="4"/>
      <c r="P1726" s="4"/>
      <c r="Q1726" s="4"/>
      <c r="R1726" s="4"/>
      <c r="S1726" s="4"/>
      <c r="T1726" s="4"/>
      <c r="U1726" s="4"/>
      <c r="V1726" s="4"/>
      <c r="W1726" s="4"/>
      <c r="X1726" s="4"/>
      <c r="Y1726" s="4"/>
      <c r="Z1726" s="4"/>
    </row>
    <row r="1727" spans="1:26">
      <c r="A1727" s="5">
        <v>43678</v>
      </c>
      <c r="B1727" s="4" t="s">
        <v>9</v>
      </c>
      <c r="C1727" s="4" t="s">
        <v>18</v>
      </c>
      <c r="D1727" s="4" t="s">
        <v>15</v>
      </c>
      <c r="E1727" s="4" t="s">
        <v>13</v>
      </c>
      <c r="F1727" s="4">
        <v>36800</v>
      </c>
      <c r="G1727" s="4">
        <v>479</v>
      </c>
      <c r="H1727" s="4">
        <v>6817</v>
      </c>
      <c r="I1727" s="6">
        <v>8848.5754252323277</v>
      </c>
      <c r="J1727" s="4"/>
      <c r="K1727" s="4"/>
      <c r="L1727" s="4"/>
      <c r="M1727" s="4"/>
      <c r="N1727" s="4"/>
      <c r="O1727" s="4"/>
      <c r="P1727" s="4"/>
      <c r="Q1727" s="4"/>
      <c r="R1727" s="4"/>
      <c r="S1727" s="4"/>
      <c r="T1727" s="4"/>
      <c r="U1727" s="4"/>
      <c r="V1727" s="4"/>
      <c r="W1727" s="4"/>
      <c r="X1727" s="4"/>
      <c r="Y1727" s="4"/>
      <c r="Z1727" s="4"/>
    </row>
    <row r="1728" spans="1:26">
      <c r="A1728" s="5">
        <v>43678</v>
      </c>
      <c r="B1728" s="4" t="s">
        <v>9</v>
      </c>
      <c r="C1728" s="4" t="s">
        <v>18</v>
      </c>
      <c r="D1728" s="4" t="s">
        <v>16</v>
      </c>
      <c r="E1728" s="4" t="s">
        <v>12</v>
      </c>
      <c r="F1728" s="4">
        <v>127148362</v>
      </c>
      <c r="G1728" s="4">
        <v>862908</v>
      </c>
      <c r="H1728" s="4">
        <v>2471524</v>
      </c>
      <c r="I1728" s="6">
        <v>595700.3865441021</v>
      </c>
      <c r="J1728" s="4"/>
      <c r="K1728" s="4"/>
      <c r="L1728" s="4"/>
      <c r="M1728" s="4"/>
      <c r="N1728" s="4"/>
      <c r="O1728" s="4"/>
      <c r="P1728" s="4"/>
      <c r="Q1728" s="4"/>
      <c r="R1728" s="4"/>
      <c r="S1728" s="4"/>
      <c r="T1728" s="4"/>
      <c r="U1728" s="4"/>
      <c r="V1728" s="4"/>
      <c r="W1728" s="4"/>
      <c r="X1728" s="4"/>
      <c r="Y1728" s="4"/>
      <c r="Z1728" s="4"/>
    </row>
    <row r="1729" spans="1:26">
      <c r="A1729" s="5">
        <v>43678</v>
      </c>
      <c r="B1729" s="4" t="s">
        <v>9</v>
      </c>
      <c r="C1729" s="4" t="s">
        <v>18</v>
      </c>
      <c r="D1729" s="4" t="s">
        <v>16</v>
      </c>
      <c r="E1729" s="4" t="s">
        <v>13</v>
      </c>
      <c r="F1729" s="4">
        <v>1111387</v>
      </c>
      <c r="G1729" s="4">
        <v>2478</v>
      </c>
      <c r="H1729" s="4">
        <v>61012</v>
      </c>
      <c r="I1729" s="6">
        <v>39224.44463629349</v>
      </c>
      <c r="J1729" s="4"/>
      <c r="K1729" s="4"/>
      <c r="L1729" s="4"/>
      <c r="M1729" s="4"/>
      <c r="N1729" s="4"/>
      <c r="O1729" s="4"/>
      <c r="P1729" s="4"/>
      <c r="Q1729" s="4"/>
      <c r="R1729" s="4"/>
      <c r="S1729" s="4"/>
      <c r="T1729" s="4"/>
      <c r="U1729" s="4"/>
      <c r="V1729" s="4"/>
      <c r="W1729" s="4"/>
      <c r="X1729" s="4"/>
      <c r="Y1729" s="4"/>
      <c r="Z1729" s="4"/>
    </row>
    <row r="1730" spans="1:26">
      <c r="A1730" s="5">
        <v>43678</v>
      </c>
      <c r="B1730" s="4" t="s">
        <v>9</v>
      </c>
      <c r="C1730" s="4" t="s">
        <v>18</v>
      </c>
      <c r="D1730" s="4" t="s">
        <v>17</v>
      </c>
      <c r="E1730" s="4" t="s">
        <v>12</v>
      </c>
      <c r="F1730" s="4">
        <v>12036307</v>
      </c>
      <c r="G1730" s="4">
        <v>277394</v>
      </c>
      <c r="H1730" s="4">
        <v>790827</v>
      </c>
      <c r="I1730" s="6">
        <v>202308.91335232588</v>
      </c>
      <c r="J1730" s="4"/>
      <c r="K1730" s="4"/>
      <c r="L1730" s="4"/>
      <c r="M1730" s="4"/>
      <c r="N1730" s="4"/>
      <c r="O1730" s="4"/>
      <c r="P1730" s="4"/>
      <c r="Q1730" s="4"/>
      <c r="R1730" s="4"/>
      <c r="S1730" s="4"/>
      <c r="T1730" s="4"/>
      <c r="U1730" s="4"/>
      <c r="V1730" s="4"/>
      <c r="W1730" s="4"/>
      <c r="X1730" s="4"/>
      <c r="Y1730" s="4"/>
      <c r="Z1730" s="4"/>
    </row>
    <row r="1731" spans="1:26">
      <c r="A1731" s="5">
        <v>43678</v>
      </c>
      <c r="B1731" s="4" t="s">
        <v>9</v>
      </c>
      <c r="C1731" s="4" t="s">
        <v>18</v>
      </c>
      <c r="D1731" s="4" t="s">
        <v>17</v>
      </c>
      <c r="E1731" s="4" t="s">
        <v>13</v>
      </c>
      <c r="F1731" s="4">
        <v>91914</v>
      </c>
      <c r="G1731" s="4">
        <v>1001</v>
      </c>
      <c r="H1731" s="4">
        <v>22128</v>
      </c>
      <c r="I1731" s="6">
        <v>15872.456531205275</v>
      </c>
      <c r="J1731" s="4"/>
      <c r="K1731" s="4"/>
      <c r="L1731" s="4"/>
      <c r="M1731" s="4"/>
      <c r="N1731" s="4"/>
      <c r="O1731" s="4"/>
      <c r="P1731" s="4"/>
      <c r="Q1731" s="4"/>
      <c r="R1731" s="4"/>
      <c r="S1731" s="4"/>
      <c r="T1731" s="4"/>
      <c r="U1731" s="4"/>
      <c r="V1731" s="4"/>
      <c r="W1731" s="4"/>
      <c r="X1731" s="4"/>
      <c r="Y1731" s="4"/>
      <c r="Z1731" s="4"/>
    </row>
    <row r="1732" spans="1:26">
      <c r="A1732" s="5">
        <v>43678</v>
      </c>
      <c r="B1732" s="4" t="s">
        <v>9</v>
      </c>
      <c r="C1732" s="4" t="s">
        <v>19</v>
      </c>
      <c r="D1732" s="4" t="s">
        <v>11</v>
      </c>
      <c r="E1732" s="4" t="s">
        <v>12</v>
      </c>
      <c r="F1732" s="4">
        <v>146595</v>
      </c>
      <c r="G1732" s="4">
        <v>23163</v>
      </c>
      <c r="H1732" s="4">
        <v>24398</v>
      </c>
      <c r="I1732" s="6">
        <v>123353.52958912744</v>
      </c>
      <c r="J1732" s="4"/>
      <c r="K1732" s="4"/>
      <c r="L1732" s="4"/>
      <c r="M1732" s="4"/>
      <c r="N1732" s="4"/>
      <c r="O1732" s="4"/>
      <c r="P1732" s="4"/>
      <c r="Q1732" s="4"/>
      <c r="R1732" s="4"/>
      <c r="S1732" s="4"/>
      <c r="T1732" s="4"/>
      <c r="U1732" s="4"/>
      <c r="V1732" s="4"/>
      <c r="W1732" s="4"/>
      <c r="X1732" s="4"/>
      <c r="Y1732" s="4"/>
      <c r="Z1732" s="4"/>
    </row>
    <row r="1733" spans="1:26">
      <c r="A1733" s="5">
        <v>43678</v>
      </c>
      <c r="B1733" s="4" t="s">
        <v>9</v>
      </c>
      <c r="C1733" s="4" t="s">
        <v>19</v>
      </c>
      <c r="D1733" s="4" t="s">
        <v>11</v>
      </c>
      <c r="E1733" s="4" t="s">
        <v>13</v>
      </c>
      <c r="F1733" s="4">
        <v>810</v>
      </c>
      <c r="G1733" s="4">
        <v>907</v>
      </c>
      <c r="H1733" s="4">
        <v>9475</v>
      </c>
      <c r="I1733" s="6">
        <v>21241.888585029879</v>
      </c>
      <c r="J1733" s="4"/>
      <c r="K1733" s="4"/>
      <c r="L1733" s="4"/>
      <c r="M1733" s="4"/>
      <c r="N1733" s="4"/>
      <c r="O1733" s="4"/>
      <c r="P1733" s="4"/>
      <c r="Q1733" s="4"/>
      <c r="R1733" s="4"/>
      <c r="S1733" s="4"/>
      <c r="T1733" s="4"/>
      <c r="U1733" s="4"/>
      <c r="V1733" s="4"/>
      <c r="W1733" s="4"/>
      <c r="X1733" s="4"/>
      <c r="Y1733" s="4"/>
      <c r="Z1733" s="4"/>
    </row>
    <row r="1734" spans="1:26">
      <c r="A1734" s="5">
        <v>43678</v>
      </c>
      <c r="B1734" s="4" t="s">
        <v>9</v>
      </c>
      <c r="C1734" s="4" t="s">
        <v>19</v>
      </c>
      <c r="D1734" s="4" t="s">
        <v>14</v>
      </c>
      <c r="E1734" s="4" t="s">
        <v>12</v>
      </c>
      <c r="F1734" s="4">
        <v>359663</v>
      </c>
      <c r="G1734" s="4">
        <v>54607</v>
      </c>
      <c r="H1734" s="4">
        <v>57396</v>
      </c>
      <c r="I1734" s="6">
        <v>219772.56728648941</v>
      </c>
      <c r="J1734" s="4"/>
      <c r="K1734" s="4"/>
      <c r="L1734" s="4"/>
      <c r="M1734" s="4"/>
      <c r="N1734" s="4"/>
      <c r="O1734" s="4"/>
      <c r="P1734" s="4"/>
      <c r="Q1734" s="4"/>
      <c r="R1734" s="4"/>
      <c r="S1734" s="4"/>
      <c r="T1734" s="4"/>
      <c r="U1734" s="4"/>
      <c r="V1734" s="4"/>
      <c r="W1734" s="4"/>
      <c r="X1734" s="4"/>
      <c r="Y1734" s="4"/>
      <c r="Z1734" s="4"/>
    </row>
    <row r="1735" spans="1:26">
      <c r="A1735" s="5">
        <v>43678</v>
      </c>
      <c r="B1735" s="4" t="s">
        <v>9</v>
      </c>
      <c r="C1735" s="4" t="s">
        <v>19</v>
      </c>
      <c r="D1735" s="4" t="s">
        <v>14</v>
      </c>
      <c r="E1735" s="4" t="s">
        <v>13</v>
      </c>
      <c r="F1735" s="4">
        <v>1941</v>
      </c>
      <c r="G1735" s="4">
        <v>2017</v>
      </c>
      <c r="H1735" s="4">
        <v>51234</v>
      </c>
      <c r="I1735" s="6">
        <v>35073.463468871269</v>
      </c>
      <c r="J1735" s="4"/>
      <c r="K1735" s="4"/>
      <c r="L1735" s="4"/>
      <c r="M1735" s="4"/>
      <c r="N1735" s="4"/>
      <c r="O1735" s="4"/>
      <c r="P1735" s="4"/>
      <c r="Q1735" s="4"/>
      <c r="R1735" s="4"/>
      <c r="S1735" s="4"/>
      <c r="T1735" s="4"/>
      <c r="U1735" s="4"/>
      <c r="V1735" s="4"/>
      <c r="W1735" s="4"/>
      <c r="X1735" s="4"/>
      <c r="Y1735" s="4"/>
      <c r="Z1735" s="4"/>
    </row>
    <row r="1736" spans="1:26">
      <c r="A1736" s="5">
        <v>43678</v>
      </c>
      <c r="B1736" s="4" t="s">
        <v>9</v>
      </c>
      <c r="C1736" s="4" t="s">
        <v>19</v>
      </c>
      <c r="D1736" s="4" t="s">
        <v>15</v>
      </c>
      <c r="E1736" s="4" t="s">
        <v>12</v>
      </c>
      <c r="F1736" s="4">
        <v>169718</v>
      </c>
      <c r="G1736" s="4">
        <v>28027</v>
      </c>
      <c r="H1736" s="4">
        <v>29042</v>
      </c>
      <c r="I1736" s="6">
        <v>81258.241562034615</v>
      </c>
      <c r="J1736" s="4"/>
      <c r="K1736" s="4"/>
      <c r="L1736" s="4"/>
      <c r="M1736" s="4"/>
      <c r="N1736" s="4"/>
      <c r="O1736" s="4"/>
      <c r="P1736" s="4"/>
      <c r="Q1736" s="4"/>
      <c r="R1736" s="4"/>
      <c r="S1736" s="4"/>
      <c r="T1736" s="4"/>
      <c r="U1736" s="4"/>
      <c r="V1736" s="4"/>
      <c r="W1736" s="4"/>
      <c r="X1736" s="4"/>
      <c r="Y1736" s="4"/>
      <c r="Z1736" s="4"/>
    </row>
    <row r="1737" spans="1:26">
      <c r="A1737" s="5">
        <v>43678</v>
      </c>
      <c r="B1737" s="4" t="s">
        <v>9</v>
      </c>
      <c r="C1737" s="4" t="s">
        <v>19</v>
      </c>
      <c r="D1737" s="4" t="s">
        <v>15</v>
      </c>
      <c r="E1737" s="4" t="s">
        <v>13</v>
      </c>
      <c r="F1737" s="4">
        <v>607</v>
      </c>
      <c r="G1737" s="4">
        <v>832</v>
      </c>
      <c r="H1737" s="4">
        <v>27729</v>
      </c>
      <c r="I1737" s="6">
        <v>15379.560374181479</v>
      </c>
      <c r="J1737" s="4"/>
      <c r="K1737" s="4"/>
      <c r="L1737" s="4"/>
      <c r="M1737" s="4"/>
      <c r="N1737" s="4"/>
      <c r="O1737" s="4"/>
      <c r="P1737" s="4"/>
      <c r="Q1737" s="4"/>
      <c r="R1737" s="4"/>
      <c r="S1737" s="4"/>
      <c r="T1737" s="4"/>
      <c r="U1737" s="4"/>
      <c r="V1737" s="4"/>
      <c r="W1737" s="4"/>
      <c r="X1737" s="4"/>
      <c r="Y1737" s="4"/>
      <c r="Z1737" s="4"/>
    </row>
    <row r="1738" spans="1:26">
      <c r="A1738" s="5">
        <v>43678</v>
      </c>
      <c r="B1738" s="4" t="s">
        <v>9</v>
      </c>
      <c r="C1738" s="4" t="s">
        <v>19</v>
      </c>
      <c r="D1738" s="4" t="s">
        <v>16</v>
      </c>
      <c r="E1738" s="4" t="s">
        <v>12</v>
      </c>
      <c r="F1738" s="4">
        <v>20197014</v>
      </c>
      <c r="G1738" s="4">
        <v>85928</v>
      </c>
      <c r="H1738" s="4">
        <v>88094</v>
      </c>
      <c r="I1738" s="6">
        <v>506830.48144980031</v>
      </c>
      <c r="J1738" s="4"/>
      <c r="K1738" s="4"/>
      <c r="L1738" s="4"/>
      <c r="M1738" s="4"/>
      <c r="N1738" s="4"/>
      <c r="O1738" s="4"/>
      <c r="P1738" s="4"/>
      <c r="Q1738" s="4"/>
      <c r="R1738" s="4"/>
      <c r="S1738" s="4"/>
      <c r="T1738" s="4"/>
      <c r="U1738" s="4"/>
      <c r="V1738" s="4"/>
      <c r="W1738" s="4"/>
      <c r="X1738" s="4"/>
      <c r="Y1738" s="4"/>
      <c r="Z1738" s="4"/>
    </row>
    <row r="1739" spans="1:26">
      <c r="A1739" s="5">
        <v>43678</v>
      </c>
      <c r="B1739" s="4" t="s">
        <v>9</v>
      </c>
      <c r="C1739" s="4" t="s">
        <v>19</v>
      </c>
      <c r="D1739" s="4" t="s">
        <v>16</v>
      </c>
      <c r="E1739" s="4" t="s">
        <v>13</v>
      </c>
      <c r="F1739" s="4">
        <v>188756</v>
      </c>
      <c r="G1739" s="4">
        <v>2588</v>
      </c>
      <c r="H1739" s="4">
        <v>44527</v>
      </c>
      <c r="I1739" s="6">
        <v>68967.896631415366</v>
      </c>
      <c r="J1739" s="4"/>
      <c r="K1739" s="4"/>
      <c r="L1739" s="4"/>
      <c r="M1739" s="4"/>
      <c r="N1739" s="4"/>
      <c r="O1739" s="4"/>
      <c r="P1739" s="4"/>
      <c r="Q1739" s="4"/>
      <c r="R1739" s="4"/>
      <c r="S1739" s="4"/>
      <c r="T1739" s="4"/>
      <c r="U1739" s="4"/>
      <c r="V1739" s="4"/>
      <c r="W1739" s="4"/>
      <c r="X1739" s="4"/>
      <c r="Y1739" s="4"/>
      <c r="Z1739" s="4"/>
    </row>
    <row r="1740" spans="1:26">
      <c r="A1740" s="5">
        <v>43678</v>
      </c>
      <c r="B1740" s="4" t="s">
        <v>9</v>
      </c>
      <c r="C1740" s="4" t="s">
        <v>19</v>
      </c>
      <c r="D1740" s="4" t="s">
        <v>17</v>
      </c>
      <c r="E1740" s="4" t="s">
        <v>12</v>
      </c>
      <c r="F1740" s="4">
        <v>281714</v>
      </c>
      <c r="G1740" s="4">
        <v>31011</v>
      </c>
      <c r="H1740" s="4">
        <v>32019</v>
      </c>
      <c r="I1740" s="6">
        <v>187986.59192951914</v>
      </c>
      <c r="J1740" s="4"/>
      <c r="K1740" s="4"/>
      <c r="L1740" s="4"/>
      <c r="M1740" s="4"/>
      <c r="N1740" s="4"/>
      <c r="O1740" s="4"/>
      <c r="P1740" s="4"/>
      <c r="Q1740" s="4"/>
      <c r="R1740" s="4"/>
      <c r="S1740" s="4"/>
      <c r="T1740" s="4"/>
      <c r="U1740" s="4"/>
      <c r="V1740" s="4"/>
      <c r="W1740" s="4"/>
      <c r="X1740" s="4"/>
      <c r="Y1740" s="4"/>
      <c r="Z1740" s="4"/>
    </row>
    <row r="1741" spans="1:26">
      <c r="A1741" s="5">
        <v>43678</v>
      </c>
      <c r="B1741" s="4" t="s">
        <v>9</v>
      </c>
      <c r="C1741" s="4" t="s">
        <v>19</v>
      </c>
      <c r="D1741" s="4" t="s">
        <v>17</v>
      </c>
      <c r="E1741" s="4" t="s">
        <v>13</v>
      </c>
      <c r="F1741" s="4">
        <v>1911</v>
      </c>
      <c r="G1741" s="4">
        <v>851</v>
      </c>
      <c r="H1741" s="4">
        <v>8573</v>
      </c>
      <c r="I1741" s="6">
        <v>23398.102013205018</v>
      </c>
      <c r="J1741" s="4"/>
      <c r="K1741" s="4"/>
      <c r="L1741" s="4"/>
      <c r="M1741" s="4"/>
      <c r="N1741" s="4"/>
      <c r="O1741" s="4"/>
      <c r="P1741" s="4"/>
      <c r="Q1741" s="4"/>
      <c r="R1741" s="4"/>
      <c r="S1741" s="4"/>
      <c r="T1741" s="4"/>
      <c r="U1741" s="4"/>
      <c r="V1741" s="4"/>
      <c r="W1741" s="4"/>
      <c r="X1741" s="4"/>
      <c r="Y1741" s="4"/>
      <c r="Z1741" s="4"/>
    </row>
    <row r="1742" spans="1:26">
      <c r="A1742" s="5">
        <v>43678</v>
      </c>
      <c r="B1742" s="4" t="s">
        <v>20</v>
      </c>
      <c r="C1742" s="4" t="s">
        <v>10</v>
      </c>
      <c r="D1742" s="4" t="s">
        <v>11</v>
      </c>
      <c r="E1742" s="4" t="s">
        <v>12</v>
      </c>
      <c r="F1742" s="4">
        <v>2852679</v>
      </c>
      <c r="G1742" s="4">
        <v>6517</v>
      </c>
      <c r="H1742" s="4">
        <v>7386</v>
      </c>
      <c r="I1742" s="6">
        <v>1738.1892013270881</v>
      </c>
      <c r="J1742" s="4"/>
      <c r="K1742" s="4"/>
      <c r="L1742" s="4"/>
      <c r="M1742" s="4"/>
      <c r="N1742" s="4"/>
      <c r="O1742" s="4"/>
      <c r="P1742" s="4"/>
      <c r="Q1742" s="4"/>
      <c r="R1742" s="4"/>
      <c r="S1742" s="4"/>
      <c r="T1742" s="4"/>
      <c r="U1742" s="4"/>
      <c r="V1742" s="4"/>
      <c r="W1742" s="4"/>
      <c r="X1742" s="4"/>
      <c r="Y1742" s="4"/>
      <c r="Z1742" s="4"/>
    </row>
    <row r="1743" spans="1:26">
      <c r="A1743" s="5">
        <v>43678</v>
      </c>
      <c r="B1743" s="4" t="s">
        <v>20</v>
      </c>
      <c r="C1743" s="4" t="s">
        <v>10</v>
      </c>
      <c r="D1743" s="4" t="s">
        <v>11</v>
      </c>
      <c r="E1743" s="4" t="s">
        <v>13</v>
      </c>
      <c r="F1743" s="4">
        <v>1158</v>
      </c>
      <c r="G1743" s="4">
        <v>37</v>
      </c>
      <c r="H1743" s="4">
        <v>93</v>
      </c>
      <c r="I1743" s="6">
        <v>20679.357878787876</v>
      </c>
      <c r="J1743" s="4"/>
      <c r="K1743" s="4"/>
      <c r="L1743" s="4"/>
      <c r="M1743" s="4"/>
      <c r="N1743" s="4"/>
      <c r="O1743" s="4"/>
      <c r="P1743" s="4"/>
      <c r="Q1743" s="4"/>
      <c r="R1743" s="4"/>
      <c r="S1743" s="4"/>
      <c r="T1743" s="4"/>
      <c r="U1743" s="4"/>
      <c r="V1743" s="4"/>
      <c r="W1743" s="4"/>
      <c r="X1743" s="4"/>
      <c r="Y1743" s="4"/>
      <c r="Z1743" s="4"/>
    </row>
    <row r="1744" spans="1:26">
      <c r="A1744" s="5">
        <v>43678</v>
      </c>
      <c r="B1744" s="4" t="s">
        <v>20</v>
      </c>
      <c r="C1744" s="4" t="s">
        <v>10</v>
      </c>
      <c r="D1744" s="4" t="s">
        <v>14</v>
      </c>
      <c r="E1744" s="4" t="s">
        <v>12</v>
      </c>
      <c r="F1744" s="4">
        <v>5166125</v>
      </c>
      <c r="G1744" s="4">
        <v>11588</v>
      </c>
      <c r="H1744" s="4">
        <v>12587</v>
      </c>
      <c r="I1744" s="6">
        <v>1581.4814431778268</v>
      </c>
      <c r="J1744" s="4"/>
      <c r="K1744" s="4"/>
      <c r="L1744" s="4"/>
      <c r="M1744" s="4"/>
      <c r="N1744" s="4"/>
      <c r="O1744" s="4"/>
      <c r="P1744" s="4"/>
      <c r="Q1744" s="4"/>
      <c r="R1744" s="4"/>
      <c r="S1744" s="4"/>
      <c r="T1744" s="4"/>
      <c r="U1744" s="4"/>
      <c r="V1744" s="4"/>
      <c r="W1744" s="4"/>
      <c r="X1744" s="4"/>
      <c r="Y1744" s="4"/>
      <c r="Z1744" s="4"/>
    </row>
    <row r="1745" spans="1:26">
      <c r="A1745" s="5">
        <v>43678</v>
      </c>
      <c r="B1745" s="4" t="s">
        <v>20</v>
      </c>
      <c r="C1745" s="4" t="s">
        <v>10</v>
      </c>
      <c r="D1745" s="4" t="s">
        <v>14</v>
      </c>
      <c r="E1745" s="4" t="s">
        <v>13</v>
      </c>
      <c r="F1745" s="4">
        <v>2491</v>
      </c>
      <c r="G1745" s="4">
        <v>65</v>
      </c>
      <c r="H1745" s="4">
        <v>273</v>
      </c>
      <c r="I1745" s="6">
        <v>30579.879424137933</v>
      </c>
      <c r="J1745" s="4"/>
      <c r="K1745" s="4"/>
      <c r="L1745" s="4"/>
      <c r="M1745" s="4"/>
      <c r="N1745" s="4"/>
      <c r="O1745" s="4"/>
      <c r="P1745" s="4"/>
      <c r="Q1745" s="4"/>
      <c r="R1745" s="4"/>
      <c r="S1745" s="4"/>
      <c r="T1745" s="4"/>
      <c r="U1745" s="4"/>
      <c r="V1745" s="4"/>
      <c r="W1745" s="4"/>
      <c r="X1745" s="4"/>
      <c r="Y1745" s="4"/>
      <c r="Z1745" s="4"/>
    </row>
    <row r="1746" spans="1:26">
      <c r="A1746" s="5">
        <v>43678</v>
      </c>
      <c r="B1746" s="4" t="s">
        <v>20</v>
      </c>
      <c r="C1746" s="4" t="s">
        <v>10</v>
      </c>
      <c r="D1746" s="4" t="s">
        <v>15</v>
      </c>
      <c r="E1746" s="4" t="s">
        <v>12</v>
      </c>
      <c r="F1746" s="4">
        <v>1291132</v>
      </c>
      <c r="G1746" s="4">
        <v>2931</v>
      </c>
      <c r="H1746" s="4">
        <v>3179</v>
      </c>
      <c r="I1746" s="6">
        <v>507.10285886974924</v>
      </c>
      <c r="J1746" s="4"/>
      <c r="K1746" s="4"/>
      <c r="L1746" s="4"/>
      <c r="M1746" s="4"/>
      <c r="N1746" s="4"/>
      <c r="O1746" s="4"/>
      <c r="P1746" s="4"/>
      <c r="Q1746" s="4"/>
      <c r="R1746" s="4"/>
      <c r="S1746" s="4"/>
      <c r="T1746" s="4"/>
      <c r="U1746" s="4"/>
      <c r="V1746" s="4"/>
      <c r="W1746" s="4"/>
      <c r="X1746" s="4"/>
      <c r="Y1746" s="4"/>
      <c r="Z1746" s="4"/>
    </row>
    <row r="1747" spans="1:26">
      <c r="A1747" s="5">
        <v>43678</v>
      </c>
      <c r="B1747" s="4" t="s">
        <v>20</v>
      </c>
      <c r="C1747" s="4" t="s">
        <v>10</v>
      </c>
      <c r="D1747" s="4" t="s">
        <v>15</v>
      </c>
      <c r="E1747" s="4" t="s">
        <v>13</v>
      </c>
      <c r="F1747" s="4">
        <v>347</v>
      </c>
      <c r="G1747" s="4">
        <v>21</v>
      </c>
      <c r="H1747" s="4">
        <v>64</v>
      </c>
      <c r="I1747" s="6">
        <v>7789.1335211267606</v>
      </c>
      <c r="J1747" s="4"/>
      <c r="K1747" s="4"/>
      <c r="L1747" s="4"/>
      <c r="M1747" s="4"/>
      <c r="N1747" s="4"/>
      <c r="O1747" s="4"/>
      <c r="P1747" s="4"/>
      <c r="Q1747" s="4"/>
      <c r="R1747" s="4"/>
      <c r="S1747" s="4"/>
      <c r="T1747" s="4"/>
      <c r="U1747" s="4"/>
      <c r="V1747" s="4"/>
      <c r="W1747" s="4"/>
      <c r="X1747" s="4"/>
      <c r="Y1747" s="4"/>
      <c r="Z1747" s="4"/>
    </row>
    <row r="1748" spans="1:26">
      <c r="A1748" s="5">
        <v>43678</v>
      </c>
      <c r="B1748" s="4" t="s">
        <v>20</v>
      </c>
      <c r="C1748" s="4" t="s">
        <v>10</v>
      </c>
      <c r="D1748" s="4" t="s">
        <v>16</v>
      </c>
      <c r="E1748" s="4" t="s">
        <v>12</v>
      </c>
      <c r="F1748" s="4">
        <v>13894522</v>
      </c>
      <c r="G1748" s="4">
        <v>42196</v>
      </c>
      <c r="H1748" s="4">
        <v>44317</v>
      </c>
      <c r="I1748" s="6">
        <v>7473.846174269107</v>
      </c>
      <c r="J1748" s="4"/>
      <c r="K1748" s="4"/>
      <c r="L1748" s="4"/>
      <c r="M1748" s="4"/>
      <c r="N1748" s="4"/>
      <c r="O1748" s="4"/>
      <c r="P1748" s="4"/>
      <c r="Q1748" s="4"/>
      <c r="R1748" s="4"/>
      <c r="S1748" s="4"/>
      <c r="T1748" s="4"/>
      <c r="U1748" s="4"/>
      <c r="V1748" s="4"/>
      <c r="W1748" s="4"/>
      <c r="X1748" s="4"/>
      <c r="Y1748" s="4"/>
      <c r="Z1748" s="4"/>
    </row>
    <row r="1749" spans="1:26">
      <c r="A1749" s="5">
        <v>43678</v>
      </c>
      <c r="B1749" s="4" t="s">
        <v>20</v>
      </c>
      <c r="C1749" s="4" t="s">
        <v>10</v>
      </c>
      <c r="D1749" s="4" t="s">
        <v>16</v>
      </c>
      <c r="E1749" s="4" t="s">
        <v>13</v>
      </c>
      <c r="F1749" s="4">
        <v>6750</v>
      </c>
      <c r="G1749" s="4">
        <v>291</v>
      </c>
      <c r="H1749" s="4">
        <v>785</v>
      </c>
      <c r="I1749" s="6">
        <v>128479.75042787284</v>
      </c>
      <c r="J1749" s="4"/>
      <c r="K1749" s="4"/>
      <c r="L1749" s="4"/>
      <c r="M1749" s="4"/>
      <c r="N1749" s="4"/>
      <c r="O1749" s="4"/>
      <c r="P1749" s="4"/>
      <c r="Q1749" s="4"/>
      <c r="R1749" s="4"/>
      <c r="S1749" s="4"/>
      <c r="T1749" s="4"/>
      <c r="U1749" s="4"/>
      <c r="V1749" s="4"/>
      <c r="W1749" s="4"/>
      <c r="X1749" s="4"/>
      <c r="Y1749" s="4"/>
      <c r="Z1749" s="4"/>
    </row>
    <row r="1750" spans="1:26">
      <c r="A1750" s="5">
        <v>43678</v>
      </c>
      <c r="B1750" s="4" t="s">
        <v>20</v>
      </c>
      <c r="C1750" s="4" t="s">
        <v>10</v>
      </c>
      <c r="D1750" s="4" t="s">
        <v>17</v>
      </c>
      <c r="E1750" s="4" t="s">
        <v>12</v>
      </c>
      <c r="F1750" s="4">
        <v>4402144</v>
      </c>
      <c r="G1750" s="4">
        <v>14045</v>
      </c>
      <c r="H1750" s="4">
        <v>14902</v>
      </c>
      <c r="I1750" s="6">
        <v>2267.8334543566593</v>
      </c>
      <c r="J1750" s="4"/>
      <c r="K1750" s="4"/>
      <c r="L1750" s="4"/>
      <c r="M1750" s="4"/>
      <c r="N1750" s="4"/>
      <c r="O1750" s="4"/>
      <c r="P1750" s="4"/>
      <c r="Q1750" s="4"/>
      <c r="R1750" s="4"/>
      <c r="S1750" s="4"/>
      <c r="T1750" s="4"/>
      <c r="U1750" s="4"/>
      <c r="V1750" s="4"/>
      <c r="W1750" s="4"/>
      <c r="X1750" s="4"/>
      <c r="Y1750" s="4"/>
      <c r="Z1750" s="4"/>
    </row>
    <row r="1751" spans="1:26">
      <c r="A1751" s="5">
        <v>43678</v>
      </c>
      <c r="B1751" s="4" t="s">
        <v>20</v>
      </c>
      <c r="C1751" s="4" t="s">
        <v>10</v>
      </c>
      <c r="D1751" s="4" t="s">
        <v>17</v>
      </c>
      <c r="E1751" s="4" t="s">
        <v>13</v>
      </c>
      <c r="F1751" s="4">
        <v>2288</v>
      </c>
      <c r="G1751" s="4">
        <v>94</v>
      </c>
      <c r="H1751" s="4">
        <v>297</v>
      </c>
      <c r="I1751" s="6">
        <v>45165.690580645154</v>
      </c>
      <c r="J1751" s="4"/>
      <c r="K1751" s="4"/>
      <c r="L1751" s="4"/>
      <c r="M1751" s="4"/>
      <c r="N1751" s="4"/>
      <c r="O1751" s="4"/>
      <c r="P1751" s="4"/>
      <c r="Q1751" s="4"/>
      <c r="R1751" s="4"/>
      <c r="S1751" s="4"/>
      <c r="T1751" s="4"/>
      <c r="U1751" s="4"/>
      <c r="V1751" s="4"/>
      <c r="W1751" s="4"/>
      <c r="X1751" s="4"/>
      <c r="Y1751" s="4"/>
      <c r="Z1751" s="4"/>
    </row>
    <row r="1752" spans="1:26">
      <c r="A1752" s="5">
        <v>43678</v>
      </c>
      <c r="B1752" s="4" t="s">
        <v>20</v>
      </c>
      <c r="C1752" s="4" t="s">
        <v>18</v>
      </c>
      <c r="D1752" s="4" t="s">
        <v>11</v>
      </c>
      <c r="E1752" s="4" t="s">
        <v>12</v>
      </c>
      <c r="F1752" s="4">
        <v>3191480</v>
      </c>
      <c r="G1752" s="4">
        <v>18414</v>
      </c>
      <c r="H1752" s="4">
        <v>35485</v>
      </c>
      <c r="I1752" s="6">
        <v>10915.801492375615</v>
      </c>
      <c r="J1752" s="4"/>
      <c r="K1752" s="4"/>
      <c r="L1752" s="4"/>
      <c r="M1752" s="4"/>
      <c r="N1752" s="4"/>
      <c r="O1752" s="4"/>
      <c r="P1752" s="4"/>
      <c r="Q1752" s="4"/>
      <c r="R1752" s="4"/>
      <c r="S1752" s="4"/>
      <c r="T1752" s="4"/>
      <c r="U1752" s="4"/>
      <c r="V1752" s="4"/>
      <c r="W1752" s="4"/>
      <c r="X1752" s="4"/>
      <c r="Y1752" s="4"/>
      <c r="Z1752" s="4"/>
    </row>
    <row r="1753" spans="1:26">
      <c r="A1753" s="5">
        <v>43678</v>
      </c>
      <c r="B1753" s="4" t="s">
        <v>20</v>
      </c>
      <c r="C1753" s="4" t="s">
        <v>18</v>
      </c>
      <c r="D1753" s="4" t="s">
        <v>11</v>
      </c>
      <c r="E1753" s="4" t="s">
        <v>13</v>
      </c>
      <c r="F1753" s="4">
        <v>1650</v>
      </c>
      <c r="G1753" s="4">
        <v>27</v>
      </c>
      <c r="H1753" s="4">
        <v>46</v>
      </c>
      <c r="I1753" s="6">
        <v>240.05560000000003</v>
      </c>
      <c r="J1753" s="4"/>
      <c r="K1753" s="4"/>
      <c r="L1753" s="4"/>
      <c r="M1753" s="4"/>
      <c r="N1753" s="4"/>
      <c r="O1753" s="4"/>
      <c r="P1753" s="4"/>
      <c r="Q1753" s="4"/>
      <c r="R1753" s="4"/>
      <c r="S1753" s="4"/>
      <c r="T1753" s="4"/>
      <c r="U1753" s="4"/>
      <c r="V1753" s="4"/>
      <c r="W1753" s="4"/>
      <c r="X1753" s="4"/>
      <c r="Y1753" s="4"/>
      <c r="Z1753" s="4"/>
    </row>
    <row r="1754" spans="1:26">
      <c r="A1754" s="5">
        <v>43678</v>
      </c>
      <c r="B1754" s="4" t="s">
        <v>20</v>
      </c>
      <c r="C1754" s="4" t="s">
        <v>18</v>
      </c>
      <c r="D1754" s="4" t="s">
        <v>14</v>
      </c>
      <c r="E1754" s="4" t="s">
        <v>12</v>
      </c>
      <c r="F1754" s="4">
        <v>6046101</v>
      </c>
      <c r="G1754" s="4">
        <v>36332</v>
      </c>
      <c r="H1754" s="4">
        <v>67923</v>
      </c>
      <c r="I1754" s="6">
        <v>13862.683509126928</v>
      </c>
      <c r="J1754" s="4"/>
      <c r="K1754" s="4"/>
      <c r="L1754" s="4"/>
      <c r="M1754" s="4"/>
      <c r="N1754" s="4"/>
      <c r="O1754" s="4"/>
      <c r="P1754" s="4"/>
      <c r="Q1754" s="4"/>
      <c r="R1754" s="4"/>
      <c r="S1754" s="4"/>
      <c r="T1754" s="4"/>
      <c r="U1754" s="4"/>
      <c r="V1754" s="4"/>
      <c r="W1754" s="4"/>
      <c r="X1754" s="4"/>
      <c r="Y1754" s="4"/>
      <c r="Z1754" s="4"/>
    </row>
    <row r="1755" spans="1:26">
      <c r="A1755" s="5">
        <v>43678</v>
      </c>
      <c r="B1755" s="4" t="s">
        <v>20</v>
      </c>
      <c r="C1755" s="4" t="s">
        <v>18</v>
      </c>
      <c r="D1755" s="4" t="s">
        <v>14</v>
      </c>
      <c r="E1755" s="4" t="s">
        <v>13</v>
      </c>
      <c r="F1755" s="4">
        <v>3157</v>
      </c>
      <c r="G1755" s="4">
        <v>40</v>
      </c>
      <c r="H1755" s="4">
        <v>230</v>
      </c>
      <c r="I1755" s="6">
        <v>386.65663057851236</v>
      </c>
      <c r="J1755" s="4"/>
      <c r="K1755" s="4"/>
      <c r="L1755" s="4"/>
      <c r="M1755" s="4"/>
      <c r="N1755" s="4"/>
      <c r="O1755" s="4"/>
      <c r="P1755" s="4"/>
      <c r="Q1755" s="4"/>
      <c r="R1755" s="4"/>
      <c r="S1755" s="4"/>
      <c r="T1755" s="4"/>
      <c r="U1755" s="4"/>
      <c r="V1755" s="4"/>
      <c r="W1755" s="4"/>
      <c r="X1755" s="4"/>
      <c r="Y1755" s="4"/>
      <c r="Z1755" s="4"/>
    </row>
    <row r="1756" spans="1:26">
      <c r="A1756" s="5">
        <v>43678</v>
      </c>
      <c r="B1756" s="4" t="s">
        <v>20</v>
      </c>
      <c r="C1756" s="4" t="s">
        <v>18</v>
      </c>
      <c r="D1756" s="4" t="s">
        <v>15</v>
      </c>
      <c r="E1756" s="4" t="s">
        <v>12</v>
      </c>
      <c r="F1756" s="4">
        <v>1908460</v>
      </c>
      <c r="G1756" s="4">
        <v>12579</v>
      </c>
      <c r="H1756" s="4">
        <v>23613</v>
      </c>
      <c r="I1756" s="6">
        <v>3849.517758557532</v>
      </c>
      <c r="J1756" s="4"/>
      <c r="K1756" s="4"/>
      <c r="L1756" s="4"/>
      <c r="M1756" s="4"/>
      <c r="N1756" s="4"/>
      <c r="O1756" s="4"/>
      <c r="P1756" s="4"/>
      <c r="Q1756" s="4"/>
      <c r="R1756" s="4"/>
      <c r="S1756" s="4"/>
      <c r="T1756" s="4"/>
      <c r="U1756" s="4"/>
      <c r="V1756" s="4"/>
      <c r="W1756" s="4"/>
      <c r="X1756" s="4"/>
      <c r="Y1756" s="4"/>
      <c r="Z1756" s="4"/>
    </row>
    <row r="1757" spans="1:26">
      <c r="A1757" s="5">
        <v>43678</v>
      </c>
      <c r="B1757" s="4" t="s">
        <v>20</v>
      </c>
      <c r="C1757" s="4" t="s">
        <v>18</v>
      </c>
      <c r="D1757" s="4" t="s">
        <v>15</v>
      </c>
      <c r="E1757" s="4" t="s">
        <v>13</v>
      </c>
      <c r="F1757" s="4">
        <v>665</v>
      </c>
      <c r="G1757" s="4">
        <v>11</v>
      </c>
      <c r="H1757" s="4">
        <v>35</v>
      </c>
      <c r="I1757" s="6">
        <v>254.03333333333333</v>
      </c>
      <c r="J1757" s="4"/>
      <c r="K1757" s="4"/>
      <c r="L1757" s="4"/>
      <c r="M1757" s="4"/>
      <c r="N1757" s="4"/>
      <c r="O1757" s="4"/>
      <c r="P1757" s="4"/>
      <c r="Q1757" s="4"/>
      <c r="R1757" s="4"/>
      <c r="S1757" s="4"/>
      <c r="T1757" s="4"/>
      <c r="U1757" s="4"/>
      <c r="V1757" s="4"/>
      <c r="W1757" s="4"/>
      <c r="X1757" s="4"/>
      <c r="Y1757" s="4"/>
      <c r="Z1757" s="4"/>
    </row>
    <row r="1758" spans="1:26">
      <c r="A1758" s="5">
        <v>43678</v>
      </c>
      <c r="B1758" s="4" t="s">
        <v>20</v>
      </c>
      <c r="C1758" s="4" t="s">
        <v>18</v>
      </c>
      <c r="D1758" s="4" t="s">
        <v>16</v>
      </c>
      <c r="E1758" s="4" t="s">
        <v>12</v>
      </c>
      <c r="F1758" s="4">
        <v>28066850</v>
      </c>
      <c r="G1758" s="4">
        <v>89930</v>
      </c>
      <c r="H1758" s="4">
        <v>167502</v>
      </c>
      <c r="I1758" s="6">
        <v>55270.258290937672</v>
      </c>
      <c r="J1758" s="4"/>
      <c r="K1758" s="4"/>
      <c r="L1758" s="4"/>
      <c r="M1758" s="4"/>
      <c r="N1758" s="4"/>
      <c r="O1758" s="4"/>
      <c r="P1758" s="4"/>
      <c r="Q1758" s="4"/>
      <c r="R1758" s="4"/>
      <c r="S1758" s="4"/>
      <c r="T1758" s="4"/>
      <c r="U1758" s="4"/>
      <c r="V1758" s="4"/>
      <c r="W1758" s="4"/>
      <c r="X1758" s="4"/>
      <c r="Y1758" s="4"/>
      <c r="Z1758" s="4"/>
    </row>
    <row r="1759" spans="1:26">
      <c r="A1759" s="5">
        <v>43678</v>
      </c>
      <c r="B1759" s="4" t="s">
        <v>20</v>
      </c>
      <c r="C1759" s="4" t="s">
        <v>18</v>
      </c>
      <c r="D1759" s="4" t="s">
        <v>16</v>
      </c>
      <c r="E1759" s="4" t="s">
        <v>13</v>
      </c>
      <c r="F1759" s="4">
        <v>34395</v>
      </c>
      <c r="G1759" s="4">
        <v>113</v>
      </c>
      <c r="H1759" s="4">
        <v>1232</v>
      </c>
      <c r="I1759" s="6">
        <v>1650.8515254237288</v>
      </c>
      <c r="J1759" s="4"/>
      <c r="K1759" s="4"/>
      <c r="L1759" s="4"/>
      <c r="M1759" s="4"/>
      <c r="N1759" s="4"/>
      <c r="O1759" s="4"/>
      <c r="P1759" s="4"/>
      <c r="Q1759" s="4"/>
      <c r="R1759" s="4"/>
      <c r="S1759" s="4"/>
      <c r="T1759" s="4"/>
      <c r="U1759" s="4"/>
      <c r="V1759" s="4"/>
      <c r="W1759" s="4"/>
      <c r="X1759" s="4"/>
      <c r="Y1759" s="4"/>
      <c r="Z1759" s="4"/>
    </row>
    <row r="1760" spans="1:26">
      <c r="A1760" s="5">
        <v>43678</v>
      </c>
      <c r="B1760" s="4" t="s">
        <v>20</v>
      </c>
      <c r="C1760" s="4" t="s">
        <v>18</v>
      </c>
      <c r="D1760" s="4" t="s">
        <v>17</v>
      </c>
      <c r="E1760" s="4" t="s">
        <v>12</v>
      </c>
      <c r="F1760" s="4">
        <v>4945116</v>
      </c>
      <c r="G1760" s="4">
        <v>30363</v>
      </c>
      <c r="H1760" s="4">
        <v>53338</v>
      </c>
      <c r="I1760" s="6">
        <v>18180.71709708808</v>
      </c>
      <c r="J1760" s="4"/>
      <c r="K1760" s="4"/>
      <c r="L1760" s="4"/>
      <c r="M1760" s="4"/>
      <c r="N1760" s="4"/>
      <c r="O1760" s="4"/>
      <c r="P1760" s="4"/>
      <c r="Q1760" s="4"/>
      <c r="R1760" s="4"/>
      <c r="S1760" s="4"/>
      <c r="T1760" s="4"/>
      <c r="U1760" s="4"/>
      <c r="V1760" s="4"/>
      <c r="W1760" s="4"/>
      <c r="X1760" s="4"/>
      <c r="Y1760" s="4"/>
      <c r="Z1760" s="4"/>
    </row>
    <row r="1761" spans="1:26">
      <c r="A1761" s="5">
        <v>43678</v>
      </c>
      <c r="B1761" s="4" t="s">
        <v>20</v>
      </c>
      <c r="C1761" s="4" t="s">
        <v>18</v>
      </c>
      <c r="D1761" s="4" t="s">
        <v>17</v>
      </c>
      <c r="E1761" s="4" t="s">
        <v>13</v>
      </c>
      <c r="F1761" s="4">
        <v>1999</v>
      </c>
      <c r="G1761" s="4">
        <v>31</v>
      </c>
      <c r="H1761" s="4">
        <v>172</v>
      </c>
      <c r="I1761" s="6">
        <v>107.45326086956521</v>
      </c>
      <c r="J1761" s="4"/>
      <c r="K1761" s="4"/>
      <c r="L1761" s="4"/>
      <c r="M1761" s="4"/>
      <c r="N1761" s="4"/>
      <c r="O1761" s="4"/>
      <c r="P1761" s="4"/>
      <c r="Q1761" s="4"/>
      <c r="R1761" s="4"/>
      <c r="S1761" s="4"/>
      <c r="T1761" s="4"/>
      <c r="U1761" s="4"/>
      <c r="V1761" s="4"/>
      <c r="W1761" s="4"/>
      <c r="X1761" s="4"/>
      <c r="Y1761" s="4"/>
      <c r="Z1761" s="4"/>
    </row>
    <row r="1762" spans="1:26">
      <c r="A1762" s="5">
        <v>43678</v>
      </c>
      <c r="B1762" s="4" t="s">
        <v>20</v>
      </c>
      <c r="C1762" s="4" t="s">
        <v>19</v>
      </c>
      <c r="D1762" s="4" t="s">
        <v>11</v>
      </c>
      <c r="E1762" s="4" t="s">
        <v>12</v>
      </c>
      <c r="F1762" s="4">
        <v>976353</v>
      </c>
      <c r="G1762" s="4">
        <v>2906</v>
      </c>
      <c r="H1762" s="4">
        <v>3125</v>
      </c>
      <c r="I1762" s="6">
        <v>10943.02204978488</v>
      </c>
      <c r="J1762" s="4"/>
      <c r="K1762" s="4"/>
      <c r="L1762" s="4"/>
      <c r="M1762" s="4"/>
      <c r="N1762" s="4"/>
      <c r="O1762" s="4"/>
      <c r="P1762" s="4"/>
      <c r="Q1762" s="4"/>
      <c r="R1762" s="4"/>
      <c r="S1762" s="4"/>
      <c r="T1762" s="4"/>
      <c r="U1762" s="4"/>
      <c r="V1762" s="4"/>
      <c r="W1762" s="4"/>
      <c r="X1762" s="4"/>
      <c r="Y1762" s="4"/>
      <c r="Z1762" s="4"/>
    </row>
    <row r="1763" spans="1:26">
      <c r="A1763" s="5">
        <v>43678</v>
      </c>
      <c r="B1763" s="4" t="s">
        <v>20</v>
      </c>
      <c r="C1763" s="4" t="s">
        <v>19</v>
      </c>
      <c r="D1763" s="4" t="s">
        <v>11</v>
      </c>
      <c r="E1763" s="4" t="s">
        <v>13</v>
      </c>
      <c r="F1763" s="4">
        <v>1332</v>
      </c>
      <c r="G1763" s="4">
        <v>53</v>
      </c>
      <c r="H1763" s="4">
        <v>312</v>
      </c>
      <c r="I1763" s="6">
        <v>1469.6407142857145</v>
      </c>
      <c r="J1763" s="4"/>
      <c r="K1763" s="4"/>
      <c r="L1763" s="4"/>
      <c r="M1763" s="4"/>
      <c r="N1763" s="4"/>
      <c r="O1763" s="4"/>
      <c r="P1763" s="4"/>
      <c r="Q1763" s="4"/>
      <c r="R1763" s="4"/>
      <c r="S1763" s="4"/>
      <c r="T1763" s="4"/>
      <c r="U1763" s="4"/>
      <c r="V1763" s="4"/>
      <c r="W1763" s="4"/>
      <c r="X1763" s="4"/>
      <c r="Y1763" s="4"/>
      <c r="Z1763" s="4"/>
    </row>
    <row r="1764" spans="1:26">
      <c r="A1764" s="5">
        <v>43678</v>
      </c>
      <c r="B1764" s="4" t="s">
        <v>20</v>
      </c>
      <c r="C1764" s="4" t="s">
        <v>19</v>
      </c>
      <c r="D1764" s="4" t="s">
        <v>14</v>
      </c>
      <c r="E1764" s="4" t="s">
        <v>12</v>
      </c>
      <c r="F1764" s="4">
        <v>2297275</v>
      </c>
      <c r="G1764" s="4">
        <v>7464</v>
      </c>
      <c r="H1764" s="4">
        <v>7540</v>
      </c>
      <c r="I1764" s="6">
        <v>23173.455409710718</v>
      </c>
      <c r="J1764" s="4"/>
      <c r="K1764" s="4"/>
      <c r="L1764" s="4"/>
      <c r="M1764" s="4"/>
      <c r="N1764" s="4"/>
      <c r="O1764" s="4"/>
      <c r="P1764" s="4"/>
      <c r="Q1764" s="4"/>
      <c r="R1764" s="4"/>
      <c r="S1764" s="4"/>
      <c r="T1764" s="4"/>
      <c r="U1764" s="4"/>
      <c r="V1764" s="4"/>
      <c r="W1764" s="4"/>
      <c r="X1764" s="4"/>
      <c r="Y1764" s="4"/>
      <c r="Z1764" s="4"/>
    </row>
    <row r="1765" spans="1:26">
      <c r="A1765" s="5">
        <v>43678</v>
      </c>
      <c r="B1765" s="4" t="s">
        <v>20</v>
      </c>
      <c r="C1765" s="4" t="s">
        <v>19</v>
      </c>
      <c r="D1765" s="4" t="s">
        <v>14</v>
      </c>
      <c r="E1765" s="4" t="s">
        <v>13</v>
      </c>
      <c r="F1765" s="4">
        <v>3476</v>
      </c>
      <c r="G1765" s="4">
        <v>144</v>
      </c>
      <c r="H1765" s="4">
        <v>597</v>
      </c>
      <c r="I1765" s="6">
        <v>2820.3834887459802</v>
      </c>
      <c r="J1765" s="4"/>
      <c r="K1765" s="4"/>
      <c r="L1765" s="4"/>
      <c r="M1765" s="4"/>
      <c r="N1765" s="4"/>
      <c r="O1765" s="4"/>
      <c r="P1765" s="4"/>
      <c r="Q1765" s="4"/>
      <c r="R1765" s="4"/>
      <c r="S1765" s="4"/>
      <c r="T1765" s="4"/>
      <c r="U1765" s="4"/>
      <c r="V1765" s="4"/>
      <c r="W1765" s="4"/>
      <c r="X1765" s="4"/>
      <c r="Y1765" s="4"/>
      <c r="Z1765" s="4"/>
    </row>
    <row r="1766" spans="1:26">
      <c r="A1766" s="5">
        <v>43678</v>
      </c>
      <c r="B1766" s="4" t="s">
        <v>20</v>
      </c>
      <c r="C1766" s="4" t="s">
        <v>19</v>
      </c>
      <c r="D1766" s="4" t="s">
        <v>15</v>
      </c>
      <c r="E1766" s="4" t="s">
        <v>12</v>
      </c>
      <c r="F1766" s="4">
        <v>597247</v>
      </c>
      <c r="G1766" s="4">
        <v>2033</v>
      </c>
      <c r="H1766" s="4">
        <v>2059</v>
      </c>
      <c r="I1766" s="6">
        <v>7465.3059281716414</v>
      </c>
      <c r="J1766" s="4"/>
      <c r="K1766" s="4"/>
      <c r="L1766" s="4"/>
      <c r="M1766" s="4"/>
      <c r="N1766" s="4"/>
      <c r="O1766" s="4"/>
      <c r="P1766" s="4"/>
      <c r="Q1766" s="4"/>
      <c r="R1766" s="4"/>
      <c r="S1766" s="4"/>
      <c r="T1766" s="4"/>
      <c r="U1766" s="4"/>
      <c r="V1766" s="4"/>
      <c r="W1766" s="4"/>
      <c r="X1766" s="4"/>
      <c r="Y1766" s="4"/>
      <c r="Z1766" s="4"/>
    </row>
    <row r="1767" spans="1:26">
      <c r="A1767" s="5">
        <v>43678</v>
      </c>
      <c r="B1767" s="4" t="s">
        <v>20</v>
      </c>
      <c r="C1767" s="4" t="s">
        <v>19</v>
      </c>
      <c r="D1767" s="4" t="s">
        <v>15</v>
      </c>
      <c r="E1767" s="4" t="s">
        <v>13</v>
      </c>
      <c r="F1767" s="4">
        <v>607</v>
      </c>
      <c r="G1767" s="4">
        <v>26</v>
      </c>
      <c r="H1767" s="4">
        <v>264</v>
      </c>
      <c r="I1767" s="6">
        <v>363.98652631578949</v>
      </c>
      <c r="J1767" s="4"/>
      <c r="K1767" s="4"/>
      <c r="L1767" s="4"/>
      <c r="M1767" s="4"/>
      <c r="N1767" s="4"/>
      <c r="O1767" s="4"/>
      <c r="P1767" s="4"/>
      <c r="Q1767" s="4"/>
      <c r="R1767" s="4"/>
      <c r="S1767" s="4"/>
      <c r="T1767" s="4"/>
      <c r="U1767" s="4"/>
      <c r="V1767" s="4"/>
      <c r="W1767" s="4"/>
      <c r="X1767" s="4"/>
      <c r="Y1767" s="4"/>
      <c r="Z1767" s="4"/>
    </row>
    <row r="1768" spans="1:26">
      <c r="A1768" s="5">
        <v>43678</v>
      </c>
      <c r="B1768" s="4" t="s">
        <v>20</v>
      </c>
      <c r="C1768" s="4" t="s">
        <v>19</v>
      </c>
      <c r="D1768" s="4" t="s">
        <v>16</v>
      </c>
      <c r="E1768" s="4" t="s">
        <v>12</v>
      </c>
      <c r="F1768" s="4">
        <v>5363778</v>
      </c>
      <c r="G1768" s="4">
        <v>14612</v>
      </c>
      <c r="H1768" s="4">
        <v>14982</v>
      </c>
      <c r="I1768" s="6">
        <v>69563.072299698499</v>
      </c>
      <c r="J1768" s="4"/>
      <c r="K1768" s="4"/>
      <c r="L1768" s="4"/>
      <c r="M1768" s="4"/>
      <c r="N1768" s="4"/>
      <c r="O1768" s="4"/>
      <c r="P1768" s="4"/>
      <c r="Q1768" s="4"/>
      <c r="R1768" s="4"/>
      <c r="S1768" s="4"/>
      <c r="T1768" s="4"/>
      <c r="U1768" s="4"/>
      <c r="V1768" s="4"/>
      <c r="W1768" s="4"/>
      <c r="X1768" s="4"/>
      <c r="Y1768" s="4"/>
      <c r="Z1768" s="4"/>
    </row>
    <row r="1769" spans="1:26">
      <c r="A1769" s="5">
        <v>43678</v>
      </c>
      <c r="B1769" s="4" t="s">
        <v>20</v>
      </c>
      <c r="C1769" s="4" t="s">
        <v>19</v>
      </c>
      <c r="D1769" s="4" t="s">
        <v>16</v>
      </c>
      <c r="E1769" s="4" t="s">
        <v>13</v>
      </c>
      <c r="F1769" s="4">
        <v>5331</v>
      </c>
      <c r="G1769" s="4">
        <v>218</v>
      </c>
      <c r="H1769" s="4">
        <v>1117</v>
      </c>
      <c r="I1769" s="6">
        <v>6747.7692899914446</v>
      </c>
      <c r="J1769" s="4"/>
      <c r="K1769" s="4"/>
      <c r="L1769" s="4"/>
      <c r="M1769" s="4"/>
      <c r="N1769" s="4"/>
      <c r="O1769" s="4"/>
      <c r="P1769" s="4"/>
      <c r="Q1769" s="4"/>
      <c r="R1769" s="4"/>
      <c r="S1769" s="4"/>
      <c r="T1769" s="4"/>
      <c r="U1769" s="4"/>
      <c r="V1769" s="4"/>
      <c r="W1769" s="4"/>
      <c r="X1769" s="4"/>
      <c r="Y1769" s="4"/>
      <c r="Z1769" s="4"/>
    </row>
    <row r="1770" spans="1:26">
      <c r="A1770" s="5">
        <v>43678</v>
      </c>
      <c r="B1770" s="4" t="s">
        <v>20</v>
      </c>
      <c r="C1770" s="4" t="s">
        <v>19</v>
      </c>
      <c r="D1770" s="4" t="s">
        <v>17</v>
      </c>
      <c r="E1770" s="4" t="s">
        <v>12</v>
      </c>
      <c r="F1770" s="4">
        <v>1639698</v>
      </c>
      <c r="G1770" s="4">
        <v>5187</v>
      </c>
      <c r="H1770" s="4">
        <v>5236</v>
      </c>
      <c r="I1770" s="6">
        <v>20723.576795742338</v>
      </c>
      <c r="J1770" s="4"/>
      <c r="K1770" s="4"/>
      <c r="L1770" s="4"/>
      <c r="M1770" s="4"/>
      <c r="N1770" s="4"/>
      <c r="O1770" s="4"/>
      <c r="P1770" s="4"/>
      <c r="Q1770" s="4"/>
      <c r="R1770" s="4"/>
      <c r="S1770" s="4"/>
      <c r="T1770" s="4"/>
      <c r="U1770" s="4"/>
      <c r="V1770" s="4"/>
      <c r="W1770" s="4"/>
      <c r="X1770" s="4"/>
      <c r="Y1770" s="4"/>
      <c r="Z1770" s="4"/>
    </row>
    <row r="1771" spans="1:26">
      <c r="A1771" s="5">
        <v>43678</v>
      </c>
      <c r="B1771" s="4" t="s">
        <v>20</v>
      </c>
      <c r="C1771" s="4" t="s">
        <v>19</v>
      </c>
      <c r="D1771" s="4" t="s">
        <v>17</v>
      </c>
      <c r="E1771" s="4" t="s">
        <v>13</v>
      </c>
      <c r="F1771" s="4">
        <v>1911</v>
      </c>
      <c r="G1771" s="4">
        <v>67</v>
      </c>
      <c r="H1771" s="4">
        <v>791</v>
      </c>
      <c r="I1771" s="6">
        <v>1721.2122288438618</v>
      </c>
      <c r="J1771" s="4"/>
      <c r="K1771" s="4"/>
      <c r="L1771" s="4"/>
      <c r="M1771" s="4"/>
      <c r="N1771" s="4"/>
      <c r="O1771" s="4"/>
      <c r="P1771" s="4"/>
      <c r="Q1771" s="4"/>
      <c r="R1771" s="4"/>
      <c r="S1771" s="4"/>
      <c r="T1771" s="4"/>
      <c r="U1771" s="4"/>
      <c r="V1771" s="4"/>
      <c r="W1771" s="4"/>
      <c r="X1771" s="4"/>
      <c r="Y1771" s="4"/>
      <c r="Z1771" s="4"/>
    </row>
    <row r="1772" spans="1:26">
      <c r="A1772" s="5">
        <v>43678</v>
      </c>
      <c r="B1772" s="4" t="s">
        <v>21</v>
      </c>
      <c r="C1772" s="4" t="s">
        <v>10</v>
      </c>
      <c r="D1772" s="4" t="s">
        <v>11</v>
      </c>
      <c r="E1772" s="4" t="s">
        <v>12</v>
      </c>
      <c r="F1772" s="4">
        <v>1709822</v>
      </c>
      <c r="G1772" s="4">
        <v>13718</v>
      </c>
      <c r="H1772" s="4">
        <v>17209</v>
      </c>
      <c r="I1772" s="6">
        <v>25607.636880989612</v>
      </c>
      <c r="J1772" s="4"/>
      <c r="K1772" s="4"/>
      <c r="L1772" s="4"/>
      <c r="M1772" s="4"/>
      <c r="N1772" s="4"/>
      <c r="O1772" s="4"/>
      <c r="P1772" s="4"/>
      <c r="Q1772" s="4"/>
      <c r="R1772" s="4"/>
      <c r="S1772" s="4"/>
      <c r="T1772" s="4"/>
      <c r="U1772" s="4"/>
      <c r="V1772" s="4"/>
      <c r="W1772" s="4"/>
      <c r="X1772" s="4"/>
      <c r="Y1772" s="4"/>
      <c r="Z1772" s="4"/>
    </row>
    <row r="1773" spans="1:26">
      <c r="A1773" s="5">
        <v>43678</v>
      </c>
      <c r="B1773" s="4" t="s">
        <v>21</v>
      </c>
      <c r="C1773" s="4" t="s">
        <v>10</v>
      </c>
      <c r="D1773" s="4" t="s">
        <v>11</v>
      </c>
      <c r="E1773" s="4" t="s">
        <v>13</v>
      </c>
      <c r="F1773" s="4">
        <v>20544</v>
      </c>
      <c r="G1773" s="4">
        <v>1195</v>
      </c>
      <c r="H1773" s="4">
        <v>20109</v>
      </c>
      <c r="I1773" s="6">
        <v>111181.77149326456</v>
      </c>
      <c r="J1773" s="4"/>
      <c r="K1773" s="4"/>
      <c r="L1773" s="4"/>
      <c r="M1773" s="4"/>
      <c r="N1773" s="4"/>
      <c r="O1773" s="4"/>
      <c r="P1773" s="4"/>
      <c r="Q1773" s="4"/>
      <c r="R1773" s="4"/>
      <c r="S1773" s="4"/>
      <c r="T1773" s="4"/>
      <c r="U1773" s="4"/>
      <c r="V1773" s="4"/>
      <c r="W1773" s="4"/>
      <c r="X1773" s="4"/>
      <c r="Y1773" s="4"/>
      <c r="Z1773" s="4"/>
    </row>
    <row r="1774" spans="1:26">
      <c r="A1774" s="5">
        <v>43678</v>
      </c>
      <c r="B1774" s="4" t="s">
        <v>21</v>
      </c>
      <c r="C1774" s="4" t="s">
        <v>10</v>
      </c>
      <c r="D1774" s="4" t="s">
        <v>14</v>
      </c>
      <c r="E1774" s="4" t="s">
        <v>12</v>
      </c>
      <c r="F1774" s="4">
        <v>2627701</v>
      </c>
      <c r="G1774" s="4">
        <v>15950</v>
      </c>
      <c r="H1774" s="4">
        <v>18176</v>
      </c>
      <c r="I1774" s="6">
        <v>38622.596818950929</v>
      </c>
      <c r="J1774" s="4"/>
      <c r="K1774" s="4"/>
      <c r="L1774" s="4"/>
      <c r="M1774" s="4"/>
      <c r="N1774" s="4"/>
      <c r="O1774" s="4"/>
      <c r="P1774" s="4"/>
      <c r="Q1774" s="4"/>
      <c r="R1774" s="4"/>
      <c r="S1774" s="4"/>
      <c r="T1774" s="4"/>
      <c r="U1774" s="4"/>
      <c r="V1774" s="4"/>
      <c r="W1774" s="4"/>
      <c r="X1774" s="4"/>
      <c r="Y1774" s="4"/>
      <c r="Z1774" s="4"/>
    </row>
    <row r="1775" spans="1:26">
      <c r="A1775" s="5">
        <v>43678</v>
      </c>
      <c r="B1775" s="4" t="s">
        <v>21</v>
      </c>
      <c r="C1775" s="4" t="s">
        <v>10</v>
      </c>
      <c r="D1775" s="4" t="s">
        <v>14</v>
      </c>
      <c r="E1775" s="4" t="s">
        <v>13</v>
      </c>
      <c r="F1775" s="4">
        <v>24861</v>
      </c>
      <c r="G1775" s="4">
        <v>1569</v>
      </c>
      <c r="H1775" s="4">
        <v>21564</v>
      </c>
      <c r="I1775" s="6">
        <v>131397.8690462196</v>
      </c>
      <c r="J1775" s="4"/>
      <c r="K1775" s="4"/>
      <c r="L1775" s="4"/>
      <c r="M1775" s="4"/>
      <c r="N1775" s="4"/>
      <c r="O1775" s="4"/>
      <c r="P1775" s="4"/>
      <c r="Q1775" s="4"/>
      <c r="R1775" s="4"/>
      <c r="S1775" s="4"/>
      <c r="T1775" s="4"/>
      <c r="U1775" s="4"/>
      <c r="V1775" s="4"/>
      <c r="W1775" s="4"/>
      <c r="X1775" s="4"/>
      <c r="Y1775" s="4"/>
      <c r="Z1775" s="4"/>
    </row>
    <row r="1776" spans="1:26">
      <c r="A1776" s="5">
        <v>43678</v>
      </c>
      <c r="B1776" s="4" t="s">
        <v>21</v>
      </c>
      <c r="C1776" s="4" t="s">
        <v>10</v>
      </c>
      <c r="D1776" s="4" t="s">
        <v>15</v>
      </c>
      <c r="E1776" s="4" t="s">
        <v>12</v>
      </c>
      <c r="F1776" s="4">
        <v>697912</v>
      </c>
      <c r="G1776" s="4">
        <v>4406</v>
      </c>
      <c r="H1776" s="4">
        <v>5171</v>
      </c>
      <c r="I1776" s="6">
        <v>9521.0004645113331</v>
      </c>
      <c r="J1776" s="4"/>
      <c r="K1776" s="4"/>
      <c r="L1776" s="4"/>
      <c r="M1776" s="4"/>
      <c r="N1776" s="4"/>
      <c r="O1776" s="4"/>
      <c r="P1776" s="4"/>
      <c r="Q1776" s="4"/>
      <c r="R1776" s="4"/>
      <c r="S1776" s="4"/>
      <c r="T1776" s="4"/>
      <c r="U1776" s="4"/>
      <c r="V1776" s="4"/>
      <c r="W1776" s="4"/>
      <c r="X1776" s="4"/>
      <c r="Y1776" s="4"/>
      <c r="Z1776" s="4"/>
    </row>
    <row r="1777" spans="1:26">
      <c r="A1777" s="5">
        <v>43678</v>
      </c>
      <c r="B1777" s="4" t="s">
        <v>21</v>
      </c>
      <c r="C1777" s="4" t="s">
        <v>10</v>
      </c>
      <c r="D1777" s="4" t="s">
        <v>15</v>
      </c>
      <c r="E1777" s="4" t="s">
        <v>13</v>
      </c>
      <c r="F1777" s="4">
        <v>6113</v>
      </c>
      <c r="G1777" s="4">
        <v>401</v>
      </c>
      <c r="H1777" s="4">
        <v>4365</v>
      </c>
      <c r="I1777" s="6">
        <v>32029.692424906822</v>
      </c>
      <c r="J1777" s="4"/>
      <c r="K1777" s="4"/>
      <c r="L1777" s="4"/>
      <c r="M1777" s="4"/>
      <c r="N1777" s="4"/>
      <c r="O1777" s="4"/>
      <c r="P1777" s="4"/>
      <c r="Q1777" s="4"/>
      <c r="R1777" s="4"/>
      <c r="S1777" s="4"/>
      <c r="T1777" s="4"/>
      <c r="U1777" s="4"/>
      <c r="V1777" s="4"/>
      <c r="W1777" s="4"/>
      <c r="X1777" s="4"/>
      <c r="Y1777" s="4"/>
      <c r="Z1777" s="4"/>
    </row>
    <row r="1778" spans="1:26">
      <c r="A1778" s="5">
        <v>43678</v>
      </c>
      <c r="B1778" s="4" t="s">
        <v>21</v>
      </c>
      <c r="C1778" s="4" t="s">
        <v>10</v>
      </c>
      <c r="D1778" s="4" t="s">
        <v>16</v>
      </c>
      <c r="E1778" s="4" t="s">
        <v>12</v>
      </c>
      <c r="F1778" s="4">
        <v>8899419</v>
      </c>
      <c r="G1778" s="4">
        <v>72660</v>
      </c>
      <c r="H1778" s="4">
        <v>80474</v>
      </c>
      <c r="I1778" s="6">
        <v>197628.11013675397</v>
      </c>
      <c r="J1778" s="4"/>
      <c r="K1778" s="4"/>
      <c r="L1778" s="4"/>
      <c r="M1778" s="4"/>
      <c r="N1778" s="4"/>
      <c r="O1778" s="4"/>
      <c r="P1778" s="4"/>
      <c r="Q1778" s="4"/>
      <c r="R1778" s="4"/>
      <c r="S1778" s="4"/>
      <c r="T1778" s="4"/>
      <c r="U1778" s="4"/>
      <c r="V1778" s="4"/>
      <c r="W1778" s="4"/>
      <c r="X1778" s="4"/>
      <c r="Y1778" s="4"/>
      <c r="Z1778" s="4"/>
    </row>
    <row r="1779" spans="1:26">
      <c r="A1779" s="5">
        <v>43678</v>
      </c>
      <c r="B1779" s="4" t="s">
        <v>21</v>
      </c>
      <c r="C1779" s="4" t="s">
        <v>10</v>
      </c>
      <c r="D1779" s="4" t="s">
        <v>16</v>
      </c>
      <c r="E1779" s="4" t="s">
        <v>13</v>
      </c>
      <c r="F1779" s="4">
        <v>109272</v>
      </c>
      <c r="G1779" s="4">
        <v>7677</v>
      </c>
      <c r="H1779" s="4">
        <v>110602</v>
      </c>
      <c r="I1779" s="6">
        <v>622005.90584621532</v>
      </c>
      <c r="J1779" s="4"/>
      <c r="K1779" s="4"/>
      <c r="L1779" s="4"/>
      <c r="M1779" s="4"/>
      <c r="N1779" s="4"/>
      <c r="O1779" s="4"/>
      <c r="P1779" s="4"/>
      <c r="Q1779" s="4"/>
      <c r="R1779" s="4"/>
      <c r="S1779" s="4"/>
      <c r="T1779" s="4"/>
      <c r="U1779" s="4"/>
      <c r="V1779" s="4"/>
      <c r="W1779" s="4"/>
      <c r="X1779" s="4"/>
      <c r="Y1779" s="4"/>
      <c r="Z1779" s="4"/>
    </row>
    <row r="1780" spans="1:26">
      <c r="A1780" s="5">
        <v>43678</v>
      </c>
      <c r="B1780" s="4" t="s">
        <v>21</v>
      </c>
      <c r="C1780" s="4" t="s">
        <v>10</v>
      </c>
      <c r="D1780" s="4" t="s">
        <v>17</v>
      </c>
      <c r="E1780" s="4" t="s">
        <v>12</v>
      </c>
      <c r="F1780" s="4">
        <v>2910981</v>
      </c>
      <c r="G1780" s="4">
        <v>30168</v>
      </c>
      <c r="H1780" s="4">
        <v>32937</v>
      </c>
      <c r="I1780" s="6">
        <v>81489.486580583034</v>
      </c>
      <c r="J1780" s="4"/>
      <c r="K1780" s="4"/>
      <c r="L1780" s="4"/>
      <c r="M1780" s="4"/>
      <c r="N1780" s="4"/>
      <c r="O1780" s="4"/>
      <c r="P1780" s="4"/>
      <c r="Q1780" s="4"/>
      <c r="R1780" s="4"/>
      <c r="S1780" s="4"/>
      <c r="T1780" s="4"/>
      <c r="U1780" s="4"/>
      <c r="V1780" s="4"/>
      <c r="W1780" s="4"/>
      <c r="X1780" s="4"/>
      <c r="Y1780" s="4"/>
      <c r="Z1780" s="4"/>
    </row>
    <row r="1781" spans="1:26">
      <c r="A1781" s="5">
        <v>43678</v>
      </c>
      <c r="B1781" s="4" t="s">
        <v>21</v>
      </c>
      <c r="C1781" s="4" t="s">
        <v>10</v>
      </c>
      <c r="D1781" s="4" t="s">
        <v>17</v>
      </c>
      <c r="E1781" s="4" t="s">
        <v>13</v>
      </c>
      <c r="F1781" s="4">
        <v>41755</v>
      </c>
      <c r="G1781" s="4">
        <v>3397</v>
      </c>
      <c r="H1781" s="4">
        <v>49105</v>
      </c>
      <c r="I1781" s="6">
        <v>268898.98</v>
      </c>
      <c r="J1781" s="4"/>
      <c r="K1781" s="4"/>
      <c r="L1781" s="4"/>
      <c r="M1781" s="4"/>
      <c r="N1781" s="4"/>
      <c r="O1781" s="4"/>
      <c r="P1781" s="4"/>
      <c r="Q1781" s="4"/>
      <c r="R1781" s="4"/>
      <c r="S1781" s="4"/>
      <c r="T1781" s="4"/>
      <c r="U1781" s="4"/>
      <c r="V1781" s="4"/>
      <c r="W1781" s="4"/>
      <c r="X1781" s="4"/>
      <c r="Y1781" s="4"/>
      <c r="Z1781" s="4"/>
    </row>
    <row r="1782" spans="1:26">
      <c r="A1782" s="5">
        <v>43678</v>
      </c>
      <c r="B1782" s="4" t="s">
        <v>21</v>
      </c>
      <c r="C1782" s="4" t="s">
        <v>18</v>
      </c>
      <c r="D1782" s="4" t="s">
        <v>11</v>
      </c>
      <c r="E1782" s="4" t="s">
        <v>12</v>
      </c>
      <c r="F1782" s="4">
        <v>1999043</v>
      </c>
      <c r="G1782" s="4">
        <v>35489</v>
      </c>
      <c r="H1782" s="4">
        <v>154393</v>
      </c>
      <c r="I1782" s="6">
        <v>82278.381849942743</v>
      </c>
      <c r="J1782" s="4"/>
      <c r="K1782" s="4"/>
      <c r="L1782" s="4"/>
      <c r="M1782" s="4"/>
      <c r="N1782" s="4"/>
      <c r="O1782" s="4"/>
      <c r="P1782" s="4"/>
      <c r="Q1782" s="4"/>
      <c r="R1782" s="4"/>
      <c r="S1782" s="4"/>
      <c r="T1782" s="4"/>
      <c r="U1782" s="4"/>
      <c r="V1782" s="4"/>
      <c r="W1782" s="4"/>
      <c r="X1782" s="4"/>
      <c r="Y1782" s="4"/>
      <c r="Z1782" s="4"/>
    </row>
    <row r="1783" spans="1:26">
      <c r="A1783" s="5">
        <v>43678</v>
      </c>
      <c r="B1783" s="4" t="s">
        <v>21</v>
      </c>
      <c r="C1783" s="4" t="s">
        <v>18</v>
      </c>
      <c r="D1783" s="4" t="s">
        <v>11</v>
      </c>
      <c r="E1783" s="4" t="s">
        <v>13</v>
      </c>
      <c r="F1783" s="4">
        <v>14111</v>
      </c>
      <c r="G1783" s="4">
        <v>416</v>
      </c>
      <c r="H1783" s="4">
        <v>18442</v>
      </c>
      <c r="I1783" s="6">
        <v>14578.908512031599</v>
      </c>
      <c r="J1783" s="4"/>
      <c r="K1783" s="4"/>
      <c r="L1783" s="4"/>
      <c r="M1783" s="4"/>
      <c r="N1783" s="4"/>
      <c r="O1783" s="4"/>
      <c r="P1783" s="4"/>
      <c r="Q1783" s="4"/>
      <c r="R1783" s="4"/>
      <c r="S1783" s="4"/>
      <c r="T1783" s="4"/>
      <c r="U1783" s="4"/>
      <c r="V1783" s="4"/>
      <c r="W1783" s="4"/>
      <c r="X1783" s="4"/>
      <c r="Y1783" s="4"/>
      <c r="Z1783" s="4"/>
    </row>
    <row r="1784" spans="1:26">
      <c r="A1784" s="5">
        <v>43678</v>
      </c>
      <c r="B1784" s="4" t="s">
        <v>21</v>
      </c>
      <c r="C1784" s="4" t="s">
        <v>18</v>
      </c>
      <c r="D1784" s="4" t="s">
        <v>14</v>
      </c>
      <c r="E1784" s="4" t="s">
        <v>12</v>
      </c>
      <c r="F1784" s="4">
        <v>3137727</v>
      </c>
      <c r="G1784" s="4">
        <v>50581</v>
      </c>
      <c r="H1784" s="4">
        <v>189428</v>
      </c>
      <c r="I1784" s="6">
        <v>90838.435932881082</v>
      </c>
      <c r="J1784" s="4"/>
      <c r="K1784" s="4"/>
      <c r="L1784" s="4"/>
      <c r="M1784" s="4"/>
      <c r="N1784" s="4"/>
      <c r="O1784" s="4"/>
      <c r="P1784" s="4"/>
      <c r="Q1784" s="4"/>
      <c r="R1784" s="4"/>
      <c r="S1784" s="4"/>
      <c r="T1784" s="4"/>
      <c r="U1784" s="4"/>
      <c r="V1784" s="4"/>
      <c r="W1784" s="4"/>
      <c r="X1784" s="4"/>
      <c r="Y1784" s="4"/>
      <c r="Z1784" s="4"/>
    </row>
    <row r="1785" spans="1:26">
      <c r="A1785" s="5">
        <v>43678</v>
      </c>
      <c r="B1785" s="4" t="s">
        <v>21</v>
      </c>
      <c r="C1785" s="4" t="s">
        <v>18</v>
      </c>
      <c r="D1785" s="4" t="s">
        <v>14</v>
      </c>
      <c r="E1785" s="4" t="s">
        <v>13</v>
      </c>
      <c r="F1785" s="4">
        <v>18342</v>
      </c>
      <c r="G1785" s="4">
        <v>472</v>
      </c>
      <c r="H1785" s="4">
        <v>11339</v>
      </c>
      <c r="I1785" s="6">
        <v>14294.622588832486</v>
      </c>
      <c r="J1785" s="4"/>
      <c r="K1785" s="4"/>
      <c r="L1785" s="4"/>
      <c r="M1785" s="4"/>
      <c r="N1785" s="4"/>
      <c r="O1785" s="4"/>
      <c r="P1785" s="4"/>
      <c r="Q1785" s="4"/>
      <c r="R1785" s="4"/>
      <c r="S1785" s="4"/>
      <c r="T1785" s="4"/>
      <c r="U1785" s="4"/>
      <c r="V1785" s="4"/>
      <c r="W1785" s="4"/>
      <c r="X1785" s="4"/>
      <c r="Y1785" s="4"/>
      <c r="Z1785" s="4"/>
    </row>
    <row r="1786" spans="1:26">
      <c r="A1786" s="5">
        <v>43678</v>
      </c>
      <c r="B1786" s="4" t="s">
        <v>21</v>
      </c>
      <c r="C1786" s="4" t="s">
        <v>18</v>
      </c>
      <c r="D1786" s="4" t="s">
        <v>15</v>
      </c>
      <c r="E1786" s="4" t="s">
        <v>12</v>
      </c>
      <c r="F1786" s="4">
        <v>1083830</v>
      </c>
      <c r="G1786" s="4">
        <v>15867</v>
      </c>
      <c r="H1786" s="4">
        <v>75800</v>
      </c>
      <c r="I1786" s="6">
        <v>24153.401321211659</v>
      </c>
      <c r="J1786" s="4"/>
      <c r="K1786" s="4"/>
      <c r="L1786" s="4"/>
      <c r="M1786" s="4"/>
      <c r="N1786" s="4"/>
      <c r="O1786" s="4"/>
      <c r="P1786" s="4"/>
      <c r="Q1786" s="4"/>
      <c r="R1786" s="4"/>
      <c r="S1786" s="4"/>
      <c r="T1786" s="4"/>
      <c r="U1786" s="4"/>
      <c r="V1786" s="4"/>
      <c r="W1786" s="4"/>
      <c r="X1786" s="4"/>
      <c r="Y1786" s="4"/>
      <c r="Z1786" s="4"/>
    </row>
    <row r="1787" spans="1:26">
      <c r="A1787" s="5">
        <v>43678</v>
      </c>
      <c r="B1787" s="4" t="s">
        <v>21</v>
      </c>
      <c r="C1787" s="4" t="s">
        <v>18</v>
      </c>
      <c r="D1787" s="4" t="s">
        <v>15</v>
      </c>
      <c r="E1787" s="4" t="s">
        <v>13</v>
      </c>
      <c r="F1787" s="4">
        <v>5620</v>
      </c>
      <c r="G1787" s="4">
        <v>180</v>
      </c>
      <c r="H1787" s="4">
        <v>4689</v>
      </c>
      <c r="I1787" s="6">
        <v>2560.1001817068191</v>
      </c>
      <c r="J1787" s="4"/>
      <c r="K1787" s="4"/>
      <c r="L1787" s="4"/>
      <c r="M1787" s="4"/>
      <c r="N1787" s="4"/>
      <c r="O1787" s="4"/>
      <c r="P1787" s="4"/>
      <c r="Q1787" s="4"/>
      <c r="R1787" s="4"/>
      <c r="S1787" s="4"/>
      <c r="T1787" s="4"/>
      <c r="U1787" s="4"/>
      <c r="V1787" s="4"/>
      <c r="W1787" s="4"/>
      <c r="X1787" s="4"/>
      <c r="Y1787" s="4"/>
      <c r="Z1787" s="4"/>
    </row>
    <row r="1788" spans="1:26">
      <c r="A1788" s="5">
        <v>43678</v>
      </c>
      <c r="B1788" s="4" t="s">
        <v>21</v>
      </c>
      <c r="C1788" s="4" t="s">
        <v>18</v>
      </c>
      <c r="D1788" s="4" t="s">
        <v>16</v>
      </c>
      <c r="E1788" s="4" t="s">
        <v>12</v>
      </c>
      <c r="F1788" s="4">
        <v>27483193</v>
      </c>
      <c r="G1788" s="4">
        <v>154412</v>
      </c>
      <c r="H1788" s="4">
        <v>551943</v>
      </c>
      <c r="I1788" s="6">
        <v>349586.10274741921</v>
      </c>
      <c r="J1788" s="4"/>
      <c r="K1788" s="4"/>
      <c r="L1788" s="4"/>
      <c r="M1788" s="4"/>
      <c r="N1788" s="4"/>
      <c r="O1788" s="4"/>
      <c r="P1788" s="4"/>
      <c r="Q1788" s="4"/>
      <c r="R1788" s="4"/>
      <c r="S1788" s="4"/>
      <c r="T1788" s="4"/>
      <c r="U1788" s="4"/>
      <c r="V1788" s="4"/>
      <c r="W1788" s="4"/>
      <c r="X1788" s="4"/>
      <c r="Y1788" s="4"/>
      <c r="Z1788" s="4"/>
    </row>
    <row r="1789" spans="1:26">
      <c r="A1789" s="5">
        <v>43678</v>
      </c>
      <c r="B1789" s="4" t="s">
        <v>21</v>
      </c>
      <c r="C1789" s="4" t="s">
        <v>18</v>
      </c>
      <c r="D1789" s="4" t="s">
        <v>16</v>
      </c>
      <c r="E1789" s="4" t="s">
        <v>13</v>
      </c>
      <c r="F1789" s="4">
        <v>723818</v>
      </c>
      <c r="G1789" s="4">
        <v>1633</v>
      </c>
      <c r="H1789" s="4">
        <v>57210</v>
      </c>
      <c r="I1789" s="6">
        <v>42400.104415863527</v>
      </c>
      <c r="J1789" s="4"/>
      <c r="K1789" s="4"/>
      <c r="L1789" s="4"/>
      <c r="M1789" s="4"/>
      <c r="N1789" s="4"/>
      <c r="O1789" s="4"/>
      <c r="P1789" s="4"/>
      <c r="Q1789" s="4"/>
      <c r="R1789" s="4"/>
      <c r="S1789" s="4"/>
      <c r="T1789" s="4"/>
      <c r="U1789" s="4"/>
      <c r="V1789" s="4"/>
      <c r="W1789" s="4"/>
      <c r="X1789" s="4"/>
      <c r="Y1789" s="4"/>
      <c r="Z1789" s="4"/>
    </row>
    <row r="1790" spans="1:26">
      <c r="A1790" s="5">
        <v>43678</v>
      </c>
      <c r="B1790" s="4" t="s">
        <v>21</v>
      </c>
      <c r="C1790" s="4" t="s">
        <v>18</v>
      </c>
      <c r="D1790" s="4" t="s">
        <v>17</v>
      </c>
      <c r="E1790" s="4" t="s">
        <v>12</v>
      </c>
      <c r="F1790" s="4">
        <v>3648014</v>
      </c>
      <c r="G1790" s="4">
        <v>56372</v>
      </c>
      <c r="H1790" s="4">
        <v>185834</v>
      </c>
      <c r="I1790" s="6">
        <v>132551.65806565399</v>
      </c>
      <c r="J1790" s="4"/>
      <c r="K1790" s="4"/>
      <c r="L1790" s="4"/>
      <c r="M1790" s="4"/>
      <c r="N1790" s="4"/>
      <c r="O1790" s="4"/>
      <c r="P1790" s="4"/>
      <c r="Q1790" s="4"/>
      <c r="R1790" s="4"/>
      <c r="S1790" s="4"/>
      <c r="T1790" s="4"/>
      <c r="U1790" s="4"/>
      <c r="V1790" s="4"/>
      <c r="W1790" s="4"/>
      <c r="X1790" s="4"/>
      <c r="Y1790" s="4"/>
      <c r="Z1790" s="4"/>
    </row>
    <row r="1791" spans="1:26">
      <c r="A1791" s="5">
        <v>43678</v>
      </c>
      <c r="B1791" s="4" t="s">
        <v>21</v>
      </c>
      <c r="C1791" s="4" t="s">
        <v>18</v>
      </c>
      <c r="D1791" s="4" t="s">
        <v>17</v>
      </c>
      <c r="E1791" s="4" t="s">
        <v>13</v>
      </c>
      <c r="F1791" s="4">
        <v>33033</v>
      </c>
      <c r="G1791" s="4">
        <v>789</v>
      </c>
      <c r="H1791" s="4">
        <v>29648</v>
      </c>
      <c r="I1791" s="6">
        <v>23816.52279581728</v>
      </c>
      <c r="J1791" s="4"/>
      <c r="K1791" s="4"/>
      <c r="L1791" s="4"/>
      <c r="M1791" s="4"/>
      <c r="N1791" s="4"/>
      <c r="O1791" s="4"/>
      <c r="P1791" s="4"/>
      <c r="Q1791" s="4"/>
      <c r="R1791" s="4"/>
      <c r="S1791" s="4"/>
      <c r="T1791" s="4"/>
      <c r="U1791" s="4"/>
      <c r="V1791" s="4"/>
      <c r="W1791" s="4"/>
      <c r="X1791" s="4"/>
      <c r="Y1791" s="4"/>
      <c r="Z1791" s="4"/>
    </row>
    <row r="1792" spans="1:26">
      <c r="A1792" s="5">
        <v>43678</v>
      </c>
      <c r="B1792" s="4" t="s">
        <v>21</v>
      </c>
      <c r="C1792" s="4" t="s">
        <v>19</v>
      </c>
      <c r="D1792" s="4" t="s">
        <v>11</v>
      </c>
      <c r="E1792" s="4" t="s">
        <v>12</v>
      </c>
      <c r="F1792" s="4">
        <v>691625</v>
      </c>
      <c r="G1792" s="4">
        <v>9583</v>
      </c>
      <c r="H1792" s="4">
        <v>9929</v>
      </c>
      <c r="I1792" s="6">
        <v>105235.63742160279</v>
      </c>
      <c r="J1792" s="4"/>
      <c r="K1792" s="4"/>
      <c r="L1792" s="4"/>
      <c r="M1792" s="4"/>
      <c r="N1792" s="4"/>
      <c r="O1792" s="4"/>
      <c r="P1792" s="4"/>
      <c r="Q1792" s="4"/>
      <c r="R1792" s="4"/>
      <c r="S1792" s="4"/>
      <c r="T1792" s="4"/>
      <c r="U1792" s="4"/>
      <c r="V1792" s="4"/>
      <c r="W1792" s="4"/>
      <c r="X1792" s="4"/>
      <c r="Y1792" s="4"/>
      <c r="Z1792" s="4"/>
    </row>
    <row r="1793" spans="1:26">
      <c r="A1793" s="5">
        <v>43678</v>
      </c>
      <c r="B1793" s="4" t="s">
        <v>21</v>
      </c>
      <c r="C1793" s="4" t="s">
        <v>19</v>
      </c>
      <c r="D1793" s="4" t="s">
        <v>11</v>
      </c>
      <c r="E1793" s="4" t="s">
        <v>13</v>
      </c>
      <c r="F1793" s="4">
        <v>18109</v>
      </c>
      <c r="G1793" s="4">
        <v>1549</v>
      </c>
      <c r="H1793" s="4">
        <v>45580</v>
      </c>
      <c r="I1793" s="6">
        <v>26003.460146730191</v>
      </c>
      <c r="J1793" s="4"/>
      <c r="K1793" s="4"/>
      <c r="L1793" s="4"/>
      <c r="M1793" s="4"/>
      <c r="N1793" s="4"/>
      <c r="O1793" s="4"/>
      <c r="P1793" s="4"/>
      <c r="Q1793" s="4"/>
      <c r="R1793" s="4"/>
      <c r="S1793" s="4"/>
      <c r="T1793" s="4"/>
      <c r="U1793" s="4"/>
      <c r="V1793" s="4"/>
      <c r="W1793" s="4"/>
      <c r="X1793" s="4"/>
      <c r="Y1793" s="4"/>
      <c r="Z1793" s="4"/>
    </row>
    <row r="1794" spans="1:26">
      <c r="A1794" s="5">
        <v>43678</v>
      </c>
      <c r="B1794" s="4" t="s">
        <v>21</v>
      </c>
      <c r="C1794" s="4" t="s">
        <v>19</v>
      </c>
      <c r="D1794" s="4" t="s">
        <v>14</v>
      </c>
      <c r="E1794" s="4" t="s">
        <v>12</v>
      </c>
      <c r="F1794" s="4">
        <v>1242827</v>
      </c>
      <c r="G1794" s="4">
        <v>19118</v>
      </c>
      <c r="H1794" s="4">
        <v>20600</v>
      </c>
      <c r="I1794" s="6">
        <v>191544.14341031024</v>
      </c>
      <c r="J1794" s="4"/>
      <c r="K1794" s="4"/>
      <c r="L1794" s="4"/>
      <c r="M1794" s="4"/>
      <c r="N1794" s="4"/>
      <c r="O1794" s="4"/>
      <c r="P1794" s="4"/>
      <c r="Q1794" s="4"/>
      <c r="R1794" s="4"/>
      <c r="S1794" s="4"/>
      <c r="T1794" s="4"/>
      <c r="U1794" s="4"/>
      <c r="V1794" s="4"/>
      <c r="W1794" s="4"/>
      <c r="X1794" s="4"/>
      <c r="Y1794" s="4"/>
      <c r="Z1794" s="4"/>
    </row>
    <row r="1795" spans="1:26">
      <c r="A1795" s="5">
        <v>43678</v>
      </c>
      <c r="B1795" s="4" t="s">
        <v>21</v>
      </c>
      <c r="C1795" s="4" t="s">
        <v>19</v>
      </c>
      <c r="D1795" s="4" t="s">
        <v>14</v>
      </c>
      <c r="E1795" s="4" t="s">
        <v>13</v>
      </c>
      <c r="F1795" s="4">
        <v>35380</v>
      </c>
      <c r="G1795" s="4">
        <v>2959</v>
      </c>
      <c r="H1795" s="4">
        <v>139219</v>
      </c>
      <c r="I1795" s="6">
        <v>43621.863667303835</v>
      </c>
      <c r="J1795" s="4"/>
      <c r="K1795" s="4"/>
      <c r="L1795" s="4"/>
      <c r="M1795" s="4"/>
      <c r="N1795" s="4"/>
      <c r="O1795" s="4"/>
      <c r="P1795" s="4"/>
      <c r="Q1795" s="4"/>
      <c r="R1795" s="4"/>
      <c r="S1795" s="4"/>
      <c r="T1795" s="4"/>
      <c r="U1795" s="4"/>
      <c r="V1795" s="4"/>
      <c r="W1795" s="4"/>
      <c r="X1795" s="4"/>
      <c r="Y1795" s="4"/>
      <c r="Z1795" s="4"/>
    </row>
    <row r="1796" spans="1:26">
      <c r="A1796" s="5">
        <v>43678</v>
      </c>
      <c r="B1796" s="4" t="s">
        <v>21</v>
      </c>
      <c r="C1796" s="4" t="s">
        <v>19</v>
      </c>
      <c r="D1796" s="4" t="s">
        <v>15</v>
      </c>
      <c r="E1796" s="4" t="s">
        <v>12</v>
      </c>
      <c r="F1796" s="4">
        <v>376614</v>
      </c>
      <c r="G1796" s="4">
        <v>5177</v>
      </c>
      <c r="H1796" s="4">
        <v>5573</v>
      </c>
      <c r="I1796" s="6">
        <v>52700.92076206897</v>
      </c>
      <c r="J1796" s="4"/>
      <c r="K1796" s="4"/>
      <c r="L1796" s="4"/>
      <c r="M1796" s="4"/>
      <c r="N1796" s="4"/>
      <c r="O1796" s="4"/>
      <c r="P1796" s="4"/>
      <c r="Q1796" s="4"/>
      <c r="R1796" s="4"/>
      <c r="S1796" s="4"/>
      <c r="T1796" s="4"/>
      <c r="U1796" s="4"/>
      <c r="V1796" s="4"/>
      <c r="W1796" s="4"/>
      <c r="X1796" s="4"/>
      <c r="Y1796" s="4"/>
      <c r="Z1796" s="4"/>
    </row>
    <row r="1797" spans="1:26">
      <c r="A1797" s="5">
        <v>43678</v>
      </c>
      <c r="B1797" s="4" t="s">
        <v>21</v>
      </c>
      <c r="C1797" s="4" t="s">
        <v>19</v>
      </c>
      <c r="D1797" s="4" t="s">
        <v>15</v>
      </c>
      <c r="E1797" s="4" t="s">
        <v>13</v>
      </c>
      <c r="F1797" s="4">
        <v>10083</v>
      </c>
      <c r="G1797" s="4">
        <v>821</v>
      </c>
      <c r="H1797" s="4">
        <v>37164</v>
      </c>
      <c r="I1797" s="6">
        <v>12135.922251963622</v>
      </c>
      <c r="J1797" s="4"/>
      <c r="K1797" s="4"/>
      <c r="L1797" s="4"/>
      <c r="M1797" s="4"/>
      <c r="N1797" s="4"/>
      <c r="O1797" s="4"/>
      <c r="P1797" s="4"/>
      <c r="Q1797" s="4"/>
      <c r="R1797" s="4"/>
      <c r="S1797" s="4"/>
      <c r="T1797" s="4"/>
      <c r="U1797" s="4"/>
      <c r="V1797" s="4"/>
      <c r="W1797" s="4"/>
      <c r="X1797" s="4"/>
      <c r="Y1797" s="4"/>
      <c r="Z1797" s="4"/>
    </row>
    <row r="1798" spans="1:26">
      <c r="A1798" s="5">
        <v>43678</v>
      </c>
      <c r="B1798" s="4" t="s">
        <v>21</v>
      </c>
      <c r="C1798" s="4" t="s">
        <v>19</v>
      </c>
      <c r="D1798" s="4" t="s">
        <v>16</v>
      </c>
      <c r="E1798" s="4" t="s">
        <v>12</v>
      </c>
      <c r="F1798" s="4">
        <v>3500637</v>
      </c>
      <c r="G1798" s="4">
        <v>50719</v>
      </c>
      <c r="H1798" s="4">
        <v>51718</v>
      </c>
      <c r="I1798" s="6">
        <v>576812.7503298705</v>
      </c>
      <c r="J1798" s="4"/>
      <c r="K1798" s="4"/>
      <c r="L1798" s="4"/>
      <c r="M1798" s="4"/>
      <c r="N1798" s="4"/>
      <c r="O1798" s="4"/>
      <c r="P1798" s="4"/>
      <c r="Q1798" s="4"/>
      <c r="R1798" s="4"/>
      <c r="S1798" s="4"/>
      <c r="T1798" s="4"/>
      <c r="U1798" s="4"/>
      <c r="V1798" s="4"/>
      <c r="W1798" s="4"/>
      <c r="X1798" s="4"/>
      <c r="Y1798" s="4"/>
      <c r="Z1798" s="4"/>
    </row>
    <row r="1799" spans="1:26">
      <c r="A1799" s="5">
        <v>43678</v>
      </c>
      <c r="B1799" s="4" t="s">
        <v>21</v>
      </c>
      <c r="C1799" s="4" t="s">
        <v>19</v>
      </c>
      <c r="D1799" s="4" t="s">
        <v>16</v>
      </c>
      <c r="E1799" s="4" t="s">
        <v>13</v>
      </c>
      <c r="F1799" s="4">
        <v>90784</v>
      </c>
      <c r="G1799" s="4">
        <v>7675</v>
      </c>
      <c r="H1799" s="4">
        <v>508563</v>
      </c>
      <c r="I1799" s="6">
        <v>117408.90405492744</v>
      </c>
      <c r="J1799" s="4"/>
      <c r="K1799" s="4"/>
      <c r="L1799" s="4"/>
      <c r="M1799" s="4"/>
      <c r="N1799" s="4"/>
      <c r="O1799" s="4"/>
      <c r="P1799" s="4"/>
      <c r="Q1799" s="4"/>
      <c r="R1799" s="4"/>
      <c r="S1799" s="4"/>
      <c r="T1799" s="4"/>
      <c r="U1799" s="4"/>
      <c r="V1799" s="4"/>
      <c r="W1799" s="4"/>
      <c r="X1799" s="4"/>
      <c r="Y1799" s="4"/>
      <c r="Z1799" s="4"/>
    </row>
    <row r="1800" spans="1:26">
      <c r="A1800" s="5">
        <v>43678</v>
      </c>
      <c r="B1800" s="4" t="s">
        <v>21</v>
      </c>
      <c r="C1800" s="4" t="s">
        <v>19</v>
      </c>
      <c r="D1800" s="4" t="s">
        <v>17</v>
      </c>
      <c r="E1800" s="4" t="s">
        <v>12</v>
      </c>
      <c r="F1800" s="4">
        <v>1195189</v>
      </c>
      <c r="G1800" s="4">
        <v>19061</v>
      </c>
      <c r="H1800" s="4">
        <v>21033</v>
      </c>
      <c r="I1800" s="6">
        <v>196951.40117437398</v>
      </c>
      <c r="J1800" s="4"/>
      <c r="K1800" s="4"/>
      <c r="L1800" s="4"/>
      <c r="M1800" s="4"/>
      <c r="N1800" s="4"/>
      <c r="O1800" s="4"/>
      <c r="P1800" s="4"/>
      <c r="Q1800" s="4"/>
      <c r="R1800" s="4"/>
      <c r="S1800" s="4"/>
      <c r="T1800" s="4"/>
      <c r="U1800" s="4"/>
      <c r="V1800" s="4"/>
      <c r="W1800" s="4"/>
      <c r="X1800" s="4"/>
      <c r="Y1800" s="4"/>
      <c r="Z1800" s="4"/>
    </row>
    <row r="1801" spans="1:26">
      <c r="A1801" s="5">
        <v>43678</v>
      </c>
      <c r="B1801" s="4" t="s">
        <v>21</v>
      </c>
      <c r="C1801" s="4" t="s">
        <v>19</v>
      </c>
      <c r="D1801" s="4" t="s">
        <v>17</v>
      </c>
      <c r="E1801" s="4" t="s">
        <v>13</v>
      </c>
      <c r="F1801" s="4">
        <v>31381</v>
      </c>
      <c r="G1801" s="4">
        <v>2721</v>
      </c>
      <c r="H1801" s="4">
        <v>116009</v>
      </c>
      <c r="I1801" s="6">
        <v>47748.60570571963</v>
      </c>
      <c r="J1801" s="4"/>
      <c r="K1801" s="4"/>
      <c r="L1801" s="4"/>
      <c r="M1801" s="4"/>
      <c r="N1801" s="4"/>
      <c r="O1801" s="4"/>
      <c r="P1801" s="4"/>
      <c r="Q1801" s="4"/>
      <c r="R1801" s="4"/>
      <c r="S1801" s="4"/>
      <c r="T1801" s="4"/>
      <c r="U1801" s="4"/>
      <c r="V1801" s="4"/>
      <c r="W1801" s="4"/>
      <c r="X1801" s="4"/>
      <c r="Y1801" s="4"/>
      <c r="Z1801" s="4"/>
    </row>
    <row r="1802" spans="1:26">
      <c r="A1802" s="5">
        <v>43709</v>
      </c>
      <c r="B1802" s="4" t="s">
        <v>9</v>
      </c>
      <c r="C1802" s="4" t="s">
        <v>10</v>
      </c>
      <c r="D1802" s="4" t="s">
        <v>11</v>
      </c>
      <c r="E1802" s="4" t="s">
        <v>12</v>
      </c>
      <c r="F1802" s="4">
        <v>1468019</v>
      </c>
      <c r="G1802" s="4">
        <v>66067</v>
      </c>
      <c r="H1802" s="4">
        <v>78470</v>
      </c>
      <c r="I1802" s="6">
        <v>58925.331877412827</v>
      </c>
      <c r="J1802" s="4"/>
      <c r="K1802" s="4"/>
      <c r="L1802" s="4"/>
      <c r="M1802" s="4"/>
      <c r="N1802" s="4"/>
      <c r="O1802" s="4"/>
      <c r="P1802" s="4"/>
      <c r="Q1802" s="4"/>
      <c r="R1802" s="4"/>
      <c r="S1802" s="4"/>
      <c r="T1802" s="4"/>
      <c r="U1802" s="4"/>
      <c r="V1802" s="4"/>
      <c r="W1802" s="4"/>
      <c r="X1802" s="4"/>
      <c r="Y1802" s="4"/>
      <c r="Z1802" s="4"/>
    </row>
    <row r="1803" spans="1:26">
      <c r="A1803" s="5">
        <v>43709</v>
      </c>
      <c r="B1803" s="4" t="s">
        <v>9</v>
      </c>
      <c r="C1803" s="4" t="s">
        <v>10</v>
      </c>
      <c r="D1803" s="4" t="s">
        <v>11</v>
      </c>
      <c r="E1803" s="4" t="s">
        <v>13</v>
      </c>
      <c r="F1803" s="4">
        <v>8748</v>
      </c>
      <c r="G1803" s="4">
        <v>1466</v>
      </c>
      <c r="H1803" s="4">
        <v>8645</v>
      </c>
      <c r="I1803" s="6">
        <v>300145.93334844708</v>
      </c>
      <c r="J1803" s="4"/>
      <c r="K1803" s="4"/>
      <c r="L1803" s="4"/>
      <c r="M1803" s="4"/>
      <c r="N1803" s="4"/>
      <c r="O1803" s="4"/>
      <c r="P1803" s="4"/>
      <c r="Q1803" s="4"/>
      <c r="R1803" s="4"/>
      <c r="S1803" s="4"/>
      <c r="T1803" s="4"/>
      <c r="U1803" s="4"/>
      <c r="V1803" s="4"/>
      <c r="W1803" s="4"/>
      <c r="X1803" s="4"/>
      <c r="Y1803" s="4"/>
      <c r="Z1803" s="4"/>
    </row>
    <row r="1804" spans="1:26">
      <c r="A1804" s="5">
        <v>43709</v>
      </c>
      <c r="B1804" s="4" t="s">
        <v>9</v>
      </c>
      <c r="C1804" s="4" t="s">
        <v>10</v>
      </c>
      <c r="D1804" s="4" t="s">
        <v>14</v>
      </c>
      <c r="E1804" s="4" t="s">
        <v>12</v>
      </c>
      <c r="F1804" s="4">
        <v>3675517</v>
      </c>
      <c r="G1804" s="4">
        <v>115581</v>
      </c>
      <c r="H1804" s="4">
        <v>136619</v>
      </c>
      <c r="I1804" s="6">
        <v>99288.371973204543</v>
      </c>
      <c r="J1804" s="4"/>
      <c r="K1804" s="4"/>
      <c r="L1804" s="4"/>
      <c r="M1804" s="4"/>
      <c r="N1804" s="4"/>
      <c r="O1804" s="4"/>
      <c r="P1804" s="4"/>
      <c r="Q1804" s="4"/>
      <c r="R1804" s="4"/>
      <c r="S1804" s="4"/>
      <c r="T1804" s="4"/>
      <c r="U1804" s="4"/>
      <c r="V1804" s="4"/>
      <c r="W1804" s="4"/>
      <c r="X1804" s="4"/>
      <c r="Y1804" s="4"/>
      <c r="Z1804" s="4"/>
    </row>
    <row r="1805" spans="1:26">
      <c r="A1805" s="5">
        <v>43709</v>
      </c>
      <c r="B1805" s="4" t="s">
        <v>9</v>
      </c>
      <c r="C1805" s="4" t="s">
        <v>10</v>
      </c>
      <c r="D1805" s="4" t="s">
        <v>14</v>
      </c>
      <c r="E1805" s="4" t="s">
        <v>13</v>
      </c>
      <c r="F1805" s="4">
        <v>14660</v>
      </c>
      <c r="G1805" s="4">
        <v>2937</v>
      </c>
      <c r="H1805" s="4">
        <v>21515</v>
      </c>
      <c r="I1805" s="6">
        <v>462408.42214780388</v>
      </c>
      <c r="J1805" s="4"/>
      <c r="K1805" s="4"/>
      <c r="L1805" s="4"/>
      <c r="M1805" s="4"/>
      <c r="N1805" s="4"/>
      <c r="O1805" s="4"/>
      <c r="P1805" s="4"/>
      <c r="Q1805" s="4"/>
      <c r="R1805" s="4"/>
      <c r="S1805" s="4"/>
      <c r="T1805" s="4"/>
      <c r="U1805" s="4"/>
      <c r="V1805" s="4"/>
      <c r="W1805" s="4"/>
      <c r="X1805" s="4"/>
      <c r="Y1805" s="4"/>
      <c r="Z1805" s="4"/>
    </row>
    <row r="1806" spans="1:26">
      <c r="A1806" s="5">
        <v>43709</v>
      </c>
      <c r="B1806" s="4" t="s">
        <v>9</v>
      </c>
      <c r="C1806" s="4" t="s">
        <v>10</v>
      </c>
      <c r="D1806" s="4" t="s">
        <v>15</v>
      </c>
      <c r="E1806" s="4" t="s">
        <v>12</v>
      </c>
      <c r="F1806" s="4">
        <v>1484512</v>
      </c>
      <c r="G1806" s="4">
        <v>47816</v>
      </c>
      <c r="H1806" s="4">
        <v>61456</v>
      </c>
      <c r="I1806" s="6">
        <v>46105.019217381596</v>
      </c>
      <c r="J1806" s="4"/>
      <c r="K1806" s="4"/>
      <c r="L1806" s="4"/>
      <c r="M1806" s="4"/>
      <c r="N1806" s="4"/>
      <c r="O1806" s="4"/>
      <c r="P1806" s="4"/>
      <c r="Q1806" s="4"/>
      <c r="R1806" s="4"/>
      <c r="S1806" s="4"/>
      <c r="T1806" s="4"/>
      <c r="U1806" s="4"/>
      <c r="V1806" s="4"/>
      <c r="W1806" s="4"/>
      <c r="X1806" s="4"/>
      <c r="Y1806" s="4"/>
      <c r="Z1806" s="4"/>
    </row>
    <row r="1807" spans="1:26">
      <c r="A1807" s="5">
        <v>43709</v>
      </c>
      <c r="B1807" s="4" t="s">
        <v>9</v>
      </c>
      <c r="C1807" s="4" t="s">
        <v>10</v>
      </c>
      <c r="D1807" s="4" t="s">
        <v>15</v>
      </c>
      <c r="E1807" s="4" t="s">
        <v>13</v>
      </c>
      <c r="F1807" s="4">
        <v>5615</v>
      </c>
      <c r="G1807" s="4">
        <v>858</v>
      </c>
      <c r="H1807" s="4">
        <v>7122</v>
      </c>
      <c r="I1807" s="6">
        <v>116196.2918481848</v>
      </c>
      <c r="J1807" s="4"/>
      <c r="K1807" s="4"/>
      <c r="L1807" s="4"/>
      <c r="M1807" s="4"/>
      <c r="N1807" s="4"/>
      <c r="O1807" s="4"/>
      <c r="P1807" s="4"/>
      <c r="Q1807" s="4"/>
      <c r="R1807" s="4"/>
      <c r="S1807" s="4"/>
      <c r="T1807" s="4"/>
      <c r="U1807" s="4"/>
      <c r="V1807" s="4"/>
      <c r="W1807" s="4"/>
      <c r="X1807" s="4"/>
      <c r="Y1807" s="4"/>
      <c r="Z1807" s="4"/>
    </row>
    <row r="1808" spans="1:26">
      <c r="A1808" s="5">
        <v>43709</v>
      </c>
      <c r="B1808" s="4" t="s">
        <v>9</v>
      </c>
      <c r="C1808" s="4" t="s">
        <v>10</v>
      </c>
      <c r="D1808" s="4" t="s">
        <v>16</v>
      </c>
      <c r="E1808" s="4" t="s">
        <v>12</v>
      </c>
      <c r="F1808" s="4">
        <v>45747576</v>
      </c>
      <c r="G1808" s="4">
        <v>298561</v>
      </c>
      <c r="H1808" s="4">
        <v>336349</v>
      </c>
      <c r="I1808" s="6">
        <v>255403.2994833813</v>
      </c>
      <c r="J1808" s="4"/>
      <c r="K1808" s="4"/>
      <c r="L1808" s="4"/>
      <c r="M1808" s="4"/>
      <c r="N1808" s="4"/>
      <c r="O1808" s="4"/>
      <c r="P1808" s="4"/>
      <c r="Q1808" s="4"/>
      <c r="R1808" s="4"/>
      <c r="S1808" s="4"/>
      <c r="T1808" s="4"/>
      <c r="U1808" s="4"/>
      <c r="V1808" s="4"/>
      <c r="W1808" s="4"/>
      <c r="X1808" s="4"/>
      <c r="Y1808" s="4"/>
      <c r="Z1808" s="4"/>
    </row>
    <row r="1809" spans="1:26">
      <c r="A1809" s="5">
        <v>43709</v>
      </c>
      <c r="B1809" s="4" t="s">
        <v>9</v>
      </c>
      <c r="C1809" s="4" t="s">
        <v>10</v>
      </c>
      <c r="D1809" s="4" t="s">
        <v>16</v>
      </c>
      <c r="E1809" s="4" t="s">
        <v>13</v>
      </c>
      <c r="F1809" s="4">
        <v>321280</v>
      </c>
      <c r="G1809" s="4">
        <v>3217</v>
      </c>
      <c r="H1809" s="4">
        <v>21002</v>
      </c>
      <c r="I1809" s="6">
        <v>705430.51095107663</v>
      </c>
      <c r="J1809" s="4"/>
      <c r="K1809" s="4"/>
      <c r="L1809" s="4"/>
      <c r="M1809" s="4"/>
      <c r="N1809" s="4"/>
      <c r="O1809" s="4"/>
      <c r="P1809" s="4"/>
      <c r="Q1809" s="4"/>
      <c r="R1809" s="4"/>
      <c r="S1809" s="4"/>
      <c r="T1809" s="4"/>
      <c r="U1809" s="4"/>
      <c r="V1809" s="4"/>
      <c r="W1809" s="4"/>
      <c r="X1809" s="4"/>
      <c r="Y1809" s="4"/>
      <c r="Z1809" s="4"/>
    </row>
    <row r="1810" spans="1:26">
      <c r="A1810" s="5">
        <v>43709</v>
      </c>
      <c r="B1810" s="4" t="s">
        <v>9</v>
      </c>
      <c r="C1810" s="4" t="s">
        <v>10</v>
      </c>
      <c r="D1810" s="4" t="s">
        <v>17</v>
      </c>
      <c r="E1810" s="4" t="s">
        <v>12</v>
      </c>
      <c r="F1810" s="4">
        <v>2258246</v>
      </c>
      <c r="G1810" s="4">
        <v>99069</v>
      </c>
      <c r="H1810" s="4">
        <v>112747</v>
      </c>
      <c r="I1810" s="6">
        <v>110352.9142237159</v>
      </c>
      <c r="J1810" s="4"/>
      <c r="K1810" s="4"/>
      <c r="L1810" s="4"/>
      <c r="M1810" s="4"/>
      <c r="N1810" s="4"/>
      <c r="O1810" s="4"/>
      <c r="P1810" s="4"/>
      <c r="Q1810" s="4"/>
      <c r="R1810" s="4"/>
      <c r="S1810" s="4"/>
      <c r="T1810" s="4"/>
      <c r="U1810" s="4"/>
      <c r="V1810" s="4"/>
      <c r="W1810" s="4"/>
      <c r="X1810" s="4"/>
      <c r="Y1810" s="4"/>
      <c r="Z1810" s="4"/>
    </row>
    <row r="1811" spans="1:26">
      <c r="A1811" s="5">
        <v>43709</v>
      </c>
      <c r="B1811" s="4" t="s">
        <v>9</v>
      </c>
      <c r="C1811" s="4" t="s">
        <v>10</v>
      </c>
      <c r="D1811" s="4" t="s">
        <v>17</v>
      </c>
      <c r="E1811" s="4" t="s">
        <v>13</v>
      </c>
      <c r="F1811" s="4">
        <v>13477</v>
      </c>
      <c r="G1811" s="4">
        <v>2675</v>
      </c>
      <c r="H1811" s="4">
        <v>15703</v>
      </c>
      <c r="I1811" s="6">
        <v>529214.56628089875</v>
      </c>
      <c r="J1811" s="4"/>
      <c r="K1811" s="4"/>
      <c r="L1811" s="4"/>
      <c r="M1811" s="4"/>
      <c r="N1811" s="4"/>
      <c r="O1811" s="4"/>
      <c r="P1811" s="4"/>
      <c r="Q1811" s="4"/>
      <c r="R1811" s="4"/>
      <c r="S1811" s="4"/>
      <c r="T1811" s="4"/>
      <c r="U1811" s="4"/>
      <c r="V1811" s="4"/>
      <c r="W1811" s="4"/>
      <c r="X1811" s="4"/>
      <c r="Y1811" s="4"/>
      <c r="Z1811" s="4"/>
    </row>
    <row r="1812" spans="1:26">
      <c r="A1812" s="5">
        <v>43709</v>
      </c>
      <c r="B1812" s="4" t="s">
        <v>9</v>
      </c>
      <c r="C1812" s="4" t="s">
        <v>18</v>
      </c>
      <c r="D1812" s="4" t="s">
        <v>11</v>
      </c>
      <c r="E1812" s="4" t="s">
        <v>12</v>
      </c>
      <c r="F1812" s="4">
        <v>8638788</v>
      </c>
      <c r="G1812" s="4">
        <v>233040</v>
      </c>
      <c r="H1812" s="4">
        <v>718970</v>
      </c>
      <c r="I1812" s="6">
        <v>176242.67430248272</v>
      </c>
      <c r="J1812" s="4"/>
      <c r="K1812" s="4"/>
      <c r="L1812" s="4"/>
      <c r="M1812" s="4"/>
      <c r="N1812" s="4"/>
      <c r="O1812" s="4"/>
      <c r="P1812" s="4"/>
      <c r="Q1812" s="4"/>
      <c r="R1812" s="4"/>
      <c r="S1812" s="4"/>
      <c r="T1812" s="4"/>
      <c r="U1812" s="4"/>
      <c r="V1812" s="4"/>
      <c r="W1812" s="4"/>
      <c r="X1812" s="4"/>
      <c r="Y1812" s="4"/>
      <c r="Z1812" s="4"/>
    </row>
    <row r="1813" spans="1:26">
      <c r="A1813" s="5">
        <v>43709</v>
      </c>
      <c r="B1813" s="4" t="s">
        <v>9</v>
      </c>
      <c r="C1813" s="4" t="s">
        <v>18</v>
      </c>
      <c r="D1813" s="4" t="s">
        <v>11</v>
      </c>
      <c r="E1813" s="4" t="s">
        <v>13</v>
      </c>
      <c r="F1813" s="4">
        <v>49064</v>
      </c>
      <c r="G1813" s="4">
        <v>877</v>
      </c>
      <c r="H1813" s="4">
        <v>24343</v>
      </c>
      <c r="I1813" s="6">
        <v>17868.445951777157</v>
      </c>
      <c r="J1813" s="4"/>
      <c r="K1813" s="4"/>
      <c r="L1813" s="4"/>
      <c r="M1813" s="4"/>
      <c r="N1813" s="4"/>
      <c r="O1813" s="4"/>
      <c r="P1813" s="4"/>
      <c r="Q1813" s="4"/>
      <c r="R1813" s="4"/>
      <c r="S1813" s="4"/>
      <c r="T1813" s="4"/>
      <c r="U1813" s="4"/>
      <c r="V1813" s="4"/>
      <c r="W1813" s="4"/>
      <c r="X1813" s="4"/>
      <c r="Y1813" s="4"/>
      <c r="Z1813" s="4"/>
    </row>
    <row r="1814" spans="1:26">
      <c r="A1814" s="5">
        <v>43709</v>
      </c>
      <c r="B1814" s="4" t="s">
        <v>9</v>
      </c>
      <c r="C1814" s="4" t="s">
        <v>18</v>
      </c>
      <c r="D1814" s="4" t="s">
        <v>14</v>
      </c>
      <c r="E1814" s="4" t="s">
        <v>12</v>
      </c>
      <c r="F1814" s="4">
        <v>20302847</v>
      </c>
      <c r="G1814" s="4">
        <v>481468</v>
      </c>
      <c r="H1814" s="4">
        <v>1451267</v>
      </c>
      <c r="I1814" s="6">
        <v>234027.61868154659</v>
      </c>
      <c r="J1814" s="4"/>
      <c r="K1814" s="4"/>
      <c r="L1814" s="4"/>
      <c r="M1814" s="4"/>
      <c r="N1814" s="4"/>
      <c r="O1814" s="4"/>
      <c r="P1814" s="4"/>
      <c r="Q1814" s="4"/>
      <c r="R1814" s="4"/>
      <c r="S1814" s="4"/>
      <c r="T1814" s="4"/>
      <c r="U1814" s="4"/>
      <c r="V1814" s="4"/>
      <c r="W1814" s="4"/>
      <c r="X1814" s="4"/>
      <c r="Y1814" s="4"/>
      <c r="Z1814" s="4"/>
    </row>
    <row r="1815" spans="1:26">
      <c r="A1815" s="5">
        <v>43709</v>
      </c>
      <c r="B1815" s="4" t="s">
        <v>9</v>
      </c>
      <c r="C1815" s="4" t="s">
        <v>18</v>
      </c>
      <c r="D1815" s="4" t="s">
        <v>14</v>
      </c>
      <c r="E1815" s="4" t="s">
        <v>13</v>
      </c>
      <c r="F1815" s="4">
        <v>102827</v>
      </c>
      <c r="G1815" s="4">
        <v>1216</v>
      </c>
      <c r="H1815" s="4">
        <v>18036</v>
      </c>
      <c r="I1815" s="6">
        <v>20746.358013799101</v>
      </c>
      <c r="J1815" s="4"/>
      <c r="K1815" s="4"/>
      <c r="L1815" s="4"/>
      <c r="M1815" s="4"/>
      <c r="N1815" s="4"/>
      <c r="O1815" s="4"/>
      <c r="P1815" s="4"/>
      <c r="Q1815" s="4"/>
      <c r="R1815" s="4"/>
      <c r="S1815" s="4"/>
      <c r="T1815" s="4"/>
      <c r="U1815" s="4"/>
      <c r="V1815" s="4"/>
      <c r="W1815" s="4"/>
      <c r="X1815" s="4"/>
      <c r="Y1815" s="4"/>
      <c r="Z1815" s="4"/>
    </row>
    <row r="1816" spans="1:26">
      <c r="A1816" s="5">
        <v>43709</v>
      </c>
      <c r="B1816" s="4" t="s">
        <v>9</v>
      </c>
      <c r="C1816" s="4" t="s">
        <v>18</v>
      </c>
      <c r="D1816" s="4" t="s">
        <v>15</v>
      </c>
      <c r="E1816" s="4" t="s">
        <v>12</v>
      </c>
      <c r="F1816" s="4">
        <v>10074177</v>
      </c>
      <c r="G1816" s="4">
        <v>259148</v>
      </c>
      <c r="H1816" s="4">
        <v>853877</v>
      </c>
      <c r="I1816" s="6">
        <v>94266.371781263093</v>
      </c>
      <c r="J1816" s="4"/>
      <c r="K1816" s="4"/>
      <c r="L1816" s="4"/>
      <c r="M1816" s="4"/>
      <c r="N1816" s="4"/>
      <c r="O1816" s="4"/>
      <c r="P1816" s="4"/>
      <c r="Q1816" s="4"/>
      <c r="R1816" s="4"/>
      <c r="S1816" s="4"/>
      <c r="T1816" s="4"/>
      <c r="U1816" s="4"/>
      <c r="V1816" s="4"/>
      <c r="W1816" s="4"/>
      <c r="X1816" s="4"/>
      <c r="Y1816" s="4"/>
      <c r="Z1816" s="4"/>
    </row>
    <row r="1817" spans="1:26">
      <c r="A1817" s="5">
        <v>43709</v>
      </c>
      <c r="B1817" s="4" t="s">
        <v>9</v>
      </c>
      <c r="C1817" s="4" t="s">
        <v>18</v>
      </c>
      <c r="D1817" s="4" t="s">
        <v>15</v>
      </c>
      <c r="E1817" s="4" t="s">
        <v>13</v>
      </c>
      <c r="F1817" s="4">
        <v>37536</v>
      </c>
      <c r="G1817" s="4">
        <v>489</v>
      </c>
      <c r="H1817" s="4">
        <v>6959</v>
      </c>
      <c r="I1817" s="6">
        <v>9032.8937045902567</v>
      </c>
      <c r="J1817" s="4"/>
      <c r="K1817" s="4"/>
      <c r="L1817" s="4"/>
      <c r="M1817" s="4"/>
      <c r="N1817" s="4"/>
      <c r="O1817" s="4"/>
      <c r="P1817" s="4"/>
      <c r="Q1817" s="4"/>
      <c r="R1817" s="4"/>
      <c r="S1817" s="4"/>
      <c r="T1817" s="4"/>
      <c r="U1817" s="4"/>
      <c r="V1817" s="4"/>
      <c r="W1817" s="4"/>
      <c r="X1817" s="4"/>
      <c r="Y1817" s="4"/>
      <c r="Z1817" s="4"/>
    </row>
    <row r="1818" spans="1:26">
      <c r="A1818" s="5">
        <v>43709</v>
      </c>
      <c r="B1818" s="4" t="s">
        <v>9</v>
      </c>
      <c r="C1818" s="4" t="s">
        <v>18</v>
      </c>
      <c r="D1818" s="4" t="s">
        <v>16</v>
      </c>
      <c r="E1818" s="4" t="s">
        <v>12</v>
      </c>
      <c r="F1818" s="4">
        <v>129691330</v>
      </c>
      <c r="G1818" s="4">
        <v>880167</v>
      </c>
      <c r="H1818" s="4">
        <v>2520956</v>
      </c>
      <c r="I1818" s="6">
        <v>607614.7606337925</v>
      </c>
      <c r="J1818" s="4"/>
      <c r="K1818" s="4"/>
      <c r="L1818" s="4"/>
      <c r="M1818" s="4"/>
      <c r="N1818" s="4"/>
      <c r="O1818" s="4"/>
      <c r="P1818" s="4"/>
      <c r="Q1818" s="4"/>
      <c r="R1818" s="4"/>
      <c r="S1818" s="4"/>
      <c r="T1818" s="4"/>
      <c r="U1818" s="4"/>
      <c r="V1818" s="4"/>
      <c r="W1818" s="4"/>
      <c r="X1818" s="4"/>
      <c r="Y1818" s="4"/>
      <c r="Z1818" s="4"/>
    </row>
    <row r="1819" spans="1:26">
      <c r="A1819" s="5">
        <v>43709</v>
      </c>
      <c r="B1819" s="4" t="s">
        <v>9</v>
      </c>
      <c r="C1819" s="4" t="s">
        <v>18</v>
      </c>
      <c r="D1819" s="4" t="s">
        <v>16</v>
      </c>
      <c r="E1819" s="4" t="s">
        <v>13</v>
      </c>
      <c r="F1819" s="4">
        <v>1133615</v>
      </c>
      <c r="G1819" s="4">
        <v>2528</v>
      </c>
      <c r="H1819" s="4">
        <v>62243</v>
      </c>
      <c r="I1819" s="6">
        <v>40015.851103009503</v>
      </c>
      <c r="J1819" s="4"/>
      <c r="K1819" s="4"/>
      <c r="L1819" s="4"/>
      <c r="M1819" s="4"/>
      <c r="N1819" s="4"/>
      <c r="O1819" s="4"/>
      <c r="P1819" s="4"/>
      <c r="Q1819" s="4"/>
      <c r="R1819" s="4"/>
      <c r="S1819" s="4"/>
      <c r="T1819" s="4"/>
      <c r="U1819" s="4"/>
      <c r="V1819" s="4"/>
      <c r="W1819" s="4"/>
      <c r="X1819" s="4"/>
      <c r="Y1819" s="4"/>
      <c r="Z1819" s="4"/>
    </row>
    <row r="1820" spans="1:26">
      <c r="A1820" s="5">
        <v>43709</v>
      </c>
      <c r="B1820" s="4" t="s">
        <v>9</v>
      </c>
      <c r="C1820" s="4" t="s">
        <v>18</v>
      </c>
      <c r="D1820" s="4" t="s">
        <v>17</v>
      </c>
      <c r="E1820" s="4" t="s">
        <v>12</v>
      </c>
      <c r="F1820" s="4">
        <v>12277034</v>
      </c>
      <c r="G1820" s="4">
        <v>282942</v>
      </c>
      <c r="H1820" s="4">
        <v>806644</v>
      </c>
      <c r="I1820" s="6">
        <v>206355.20929631079</v>
      </c>
      <c r="J1820" s="4"/>
      <c r="K1820" s="4"/>
      <c r="L1820" s="4"/>
      <c r="M1820" s="4"/>
      <c r="N1820" s="4"/>
      <c r="O1820" s="4"/>
      <c r="P1820" s="4"/>
      <c r="Q1820" s="4"/>
      <c r="R1820" s="4"/>
      <c r="S1820" s="4"/>
      <c r="T1820" s="4"/>
      <c r="U1820" s="4"/>
      <c r="V1820" s="4"/>
      <c r="W1820" s="4"/>
      <c r="X1820" s="4"/>
      <c r="Y1820" s="4"/>
      <c r="Z1820" s="4"/>
    </row>
    <row r="1821" spans="1:26">
      <c r="A1821" s="5">
        <v>43709</v>
      </c>
      <c r="B1821" s="4" t="s">
        <v>9</v>
      </c>
      <c r="C1821" s="4" t="s">
        <v>18</v>
      </c>
      <c r="D1821" s="4" t="s">
        <v>17</v>
      </c>
      <c r="E1821" s="4" t="s">
        <v>13</v>
      </c>
      <c r="F1821" s="4">
        <v>93753</v>
      </c>
      <c r="G1821" s="4">
        <v>1022</v>
      </c>
      <c r="H1821" s="4">
        <v>22592</v>
      </c>
      <c r="I1821" s="6">
        <v>16205.284614650649</v>
      </c>
      <c r="J1821" s="4"/>
      <c r="K1821" s="4"/>
      <c r="L1821" s="4"/>
      <c r="M1821" s="4"/>
      <c r="N1821" s="4"/>
      <c r="O1821" s="4"/>
      <c r="P1821" s="4"/>
      <c r="Q1821" s="4"/>
      <c r="R1821" s="4"/>
      <c r="S1821" s="4"/>
      <c r="T1821" s="4"/>
      <c r="U1821" s="4"/>
      <c r="V1821" s="4"/>
      <c r="W1821" s="4"/>
      <c r="X1821" s="4"/>
      <c r="Y1821" s="4"/>
      <c r="Z1821" s="4"/>
    </row>
    <row r="1822" spans="1:26">
      <c r="A1822" s="5">
        <v>43709</v>
      </c>
      <c r="B1822" s="4" t="s">
        <v>9</v>
      </c>
      <c r="C1822" s="4" t="s">
        <v>19</v>
      </c>
      <c r="D1822" s="4" t="s">
        <v>11</v>
      </c>
      <c r="E1822" s="4" t="s">
        <v>12</v>
      </c>
      <c r="F1822" s="4">
        <v>149527</v>
      </c>
      <c r="G1822" s="4">
        <v>23627</v>
      </c>
      <c r="H1822" s="4">
        <v>24886</v>
      </c>
      <c r="I1822" s="6">
        <v>125820.80241638764</v>
      </c>
      <c r="J1822" s="4"/>
      <c r="K1822" s="4"/>
      <c r="L1822" s="4"/>
      <c r="M1822" s="4"/>
      <c r="N1822" s="4"/>
      <c r="O1822" s="4"/>
      <c r="P1822" s="4"/>
      <c r="Q1822" s="4"/>
      <c r="R1822" s="4"/>
      <c r="S1822" s="4"/>
      <c r="T1822" s="4"/>
      <c r="U1822" s="4"/>
      <c r="V1822" s="4"/>
      <c r="W1822" s="4"/>
      <c r="X1822" s="4"/>
      <c r="Y1822" s="4"/>
      <c r="Z1822" s="4"/>
    </row>
    <row r="1823" spans="1:26">
      <c r="A1823" s="5">
        <v>43709</v>
      </c>
      <c r="B1823" s="4" t="s">
        <v>9</v>
      </c>
      <c r="C1823" s="4" t="s">
        <v>19</v>
      </c>
      <c r="D1823" s="4" t="s">
        <v>11</v>
      </c>
      <c r="E1823" s="4" t="s">
        <v>13</v>
      </c>
      <c r="F1823" s="4">
        <v>827</v>
      </c>
      <c r="G1823" s="4">
        <v>926</v>
      </c>
      <c r="H1823" s="4">
        <v>9674</v>
      </c>
      <c r="I1823" s="6">
        <v>21688.02429251494</v>
      </c>
      <c r="J1823" s="4"/>
      <c r="K1823" s="4"/>
      <c r="L1823" s="4"/>
      <c r="M1823" s="4"/>
      <c r="N1823" s="4"/>
      <c r="O1823" s="4"/>
      <c r="P1823" s="4"/>
      <c r="Q1823" s="4"/>
      <c r="R1823" s="4"/>
      <c r="S1823" s="4"/>
      <c r="T1823" s="4"/>
      <c r="U1823" s="4"/>
      <c r="V1823" s="4"/>
      <c r="W1823" s="4"/>
      <c r="X1823" s="4"/>
      <c r="Y1823" s="4"/>
      <c r="Z1823" s="4"/>
    </row>
    <row r="1824" spans="1:26">
      <c r="A1824" s="5">
        <v>43709</v>
      </c>
      <c r="B1824" s="4" t="s">
        <v>9</v>
      </c>
      <c r="C1824" s="4" t="s">
        <v>19</v>
      </c>
      <c r="D1824" s="4" t="s">
        <v>14</v>
      </c>
      <c r="E1824" s="4" t="s">
        <v>12</v>
      </c>
      <c r="F1824" s="4">
        <v>366857</v>
      </c>
      <c r="G1824" s="4">
        <v>55700</v>
      </c>
      <c r="H1824" s="4">
        <v>58545</v>
      </c>
      <c r="I1824" s="6">
        <v>224172.15401399962</v>
      </c>
      <c r="J1824" s="4"/>
      <c r="K1824" s="4"/>
      <c r="L1824" s="4"/>
      <c r="M1824" s="4"/>
      <c r="N1824" s="4"/>
      <c r="O1824" s="4"/>
      <c r="P1824" s="4"/>
      <c r="Q1824" s="4"/>
      <c r="R1824" s="4"/>
      <c r="S1824" s="4"/>
      <c r="T1824" s="4"/>
      <c r="U1824" s="4"/>
      <c r="V1824" s="4"/>
      <c r="W1824" s="4"/>
      <c r="X1824" s="4"/>
      <c r="Y1824" s="4"/>
      <c r="Z1824" s="4"/>
    </row>
    <row r="1825" spans="1:26">
      <c r="A1825" s="5">
        <v>43709</v>
      </c>
      <c r="B1825" s="4" t="s">
        <v>9</v>
      </c>
      <c r="C1825" s="4" t="s">
        <v>19</v>
      </c>
      <c r="D1825" s="4" t="s">
        <v>14</v>
      </c>
      <c r="E1825" s="4" t="s">
        <v>13</v>
      </c>
      <c r="F1825" s="4">
        <v>1980</v>
      </c>
      <c r="G1825" s="4">
        <v>2058</v>
      </c>
      <c r="H1825" s="4">
        <v>52276</v>
      </c>
      <c r="I1825" s="6">
        <v>35786.789559642319</v>
      </c>
      <c r="J1825" s="4"/>
      <c r="K1825" s="4"/>
      <c r="L1825" s="4"/>
      <c r="M1825" s="4"/>
      <c r="N1825" s="4"/>
      <c r="O1825" s="4"/>
      <c r="P1825" s="4"/>
      <c r="Q1825" s="4"/>
      <c r="R1825" s="4"/>
      <c r="S1825" s="4"/>
      <c r="T1825" s="4"/>
      <c r="U1825" s="4"/>
      <c r="V1825" s="4"/>
      <c r="W1825" s="4"/>
      <c r="X1825" s="4"/>
      <c r="Y1825" s="4"/>
      <c r="Z1825" s="4"/>
    </row>
    <row r="1826" spans="1:26">
      <c r="A1826" s="5">
        <v>43709</v>
      </c>
      <c r="B1826" s="4" t="s">
        <v>9</v>
      </c>
      <c r="C1826" s="4" t="s">
        <v>19</v>
      </c>
      <c r="D1826" s="4" t="s">
        <v>15</v>
      </c>
      <c r="E1826" s="4" t="s">
        <v>12</v>
      </c>
      <c r="F1826" s="4">
        <v>173113</v>
      </c>
      <c r="G1826" s="4">
        <v>28588</v>
      </c>
      <c r="H1826" s="4">
        <v>29624</v>
      </c>
      <c r="I1826" s="6">
        <v>82886.65202237152</v>
      </c>
      <c r="J1826" s="4"/>
      <c r="K1826" s="4"/>
      <c r="L1826" s="4"/>
      <c r="M1826" s="4"/>
      <c r="N1826" s="4"/>
      <c r="O1826" s="4"/>
      <c r="P1826" s="4"/>
      <c r="Q1826" s="4"/>
      <c r="R1826" s="4"/>
      <c r="S1826" s="4"/>
      <c r="T1826" s="4"/>
      <c r="U1826" s="4"/>
      <c r="V1826" s="4"/>
      <c r="W1826" s="4"/>
      <c r="X1826" s="4"/>
      <c r="Y1826" s="4"/>
      <c r="Z1826" s="4"/>
    </row>
    <row r="1827" spans="1:26">
      <c r="A1827" s="5">
        <v>43709</v>
      </c>
      <c r="B1827" s="4" t="s">
        <v>9</v>
      </c>
      <c r="C1827" s="4" t="s">
        <v>19</v>
      </c>
      <c r="D1827" s="4" t="s">
        <v>15</v>
      </c>
      <c r="E1827" s="4" t="s">
        <v>13</v>
      </c>
      <c r="F1827" s="4">
        <v>620</v>
      </c>
      <c r="G1827" s="4">
        <v>849</v>
      </c>
      <c r="H1827" s="4">
        <v>28296</v>
      </c>
      <c r="I1827" s="6">
        <v>15694.040187090741</v>
      </c>
      <c r="J1827" s="4"/>
      <c r="K1827" s="4"/>
      <c r="L1827" s="4"/>
      <c r="M1827" s="4"/>
      <c r="N1827" s="4"/>
      <c r="O1827" s="4"/>
      <c r="P1827" s="4"/>
      <c r="Q1827" s="4"/>
      <c r="R1827" s="4"/>
      <c r="S1827" s="4"/>
      <c r="T1827" s="4"/>
      <c r="U1827" s="4"/>
      <c r="V1827" s="4"/>
      <c r="W1827" s="4"/>
      <c r="X1827" s="4"/>
      <c r="Y1827" s="4"/>
      <c r="Z1827" s="4"/>
    </row>
    <row r="1828" spans="1:26">
      <c r="A1828" s="5">
        <v>43709</v>
      </c>
      <c r="B1828" s="4" t="s">
        <v>9</v>
      </c>
      <c r="C1828" s="4" t="s">
        <v>19</v>
      </c>
      <c r="D1828" s="4" t="s">
        <v>16</v>
      </c>
      <c r="E1828" s="4" t="s">
        <v>12</v>
      </c>
      <c r="F1828" s="4">
        <v>20600955</v>
      </c>
      <c r="G1828" s="4">
        <v>87647</v>
      </c>
      <c r="H1828" s="4">
        <v>89856</v>
      </c>
      <c r="I1828" s="6">
        <v>516967.78147380362</v>
      </c>
      <c r="J1828" s="4"/>
      <c r="K1828" s="4"/>
      <c r="L1828" s="4"/>
      <c r="M1828" s="4"/>
      <c r="N1828" s="4"/>
      <c r="O1828" s="4"/>
      <c r="P1828" s="4"/>
      <c r="Q1828" s="4"/>
      <c r="R1828" s="4"/>
      <c r="S1828" s="4"/>
      <c r="T1828" s="4"/>
      <c r="U1828" s="4"/>
      <c r="V1828" s="4"/>
      <c r="W1828" s="4"/>
      <c r="X1828" s="4"/>
      <c r="Y1828" s="4"/>
      <c r="Z1828" s="4"/>
    </row>
    <row r="1829" spans="1:26">
      <c r="A1829" s="5">
        <v>43709</v>
      </c>
      <c r="B1829" s="4" t="s">
        <v>9</v>
      </c>
      <c r="C1829" s="4" t="s">
        <v>19</v>
      </c>
      <c r="D1829" s="4" t="s">
        <v>16</v>
      </c>
      <c r="E1829" s="4" t="s">
        <v>13</v>
      </c>
      <c r="F1829" s="4">
        <v>192532</v>
      </c>
      <c r="G1829" s="4">
        <v>2640</v>
      </c>
      <c r="H1829" s="4">
        <v>45422</v>
      </c>
      <c r="I1829" s="6">
        <v>70354.162660681133</v>
      </c>
      <c r="J1829" s="4"/>
      <c r="K1829" s="4"/>
      <c r="L1829" s="4"/>
      <c r="M1829" s="4"/>
      <c r="N1829" s="4"/>
      <c r="O1829" s="4"/>
      <c r="P1829" s="4"/>
      <c r="Q1829" s="4"/>
      <c r="R1829" s="4"/>
      <c r="S1829" s="4"/>
      <c r="T1829" s="4"/>
      <c r="U1829" s="4"/>
      <c r="V1829" s="4"/>
      <c r="W1829" s="4"/>
      <c r="X1829" s="4"/>
      <c r="Y1829" s="4"/>
      <c r="Z1829" s="4"/>
    </row>
    <row r="1830" spans="1:26">
      <c r="A1830" s="5">
        <v>43709</v>
      </c>
      <c r="B1830" s="4" t="s">
        <v>9</v>
      </c>
      <c r="C1830" s="4" t="s">
        <v>19</v>
      </c>
      <c r="D1830" s="4" t="s">
        <v>17</v>
      </c>
      <c r="E1830" s="4" t="s">
        <v>12</v>
      </c>
      <c r="F1830" s="4">
        <v>287349</v>
      </c>
      <c r="G1830" s="4">
        <v>31632</v>
      </c>
      <c r="H1830" s="4">
        <v>32660</v>
      </c>
      <c r="I1830" s="6">
        <v>191749.96384703129</v>
      </c>
      <c r="J1830" s="4"/>
      <c r="K1830" s="4"/>
      <c r="L1830" s="4"/>
      <c r="M1830" s="4"/>
      <c r="N1830" s="4"/>
      <c r="O1830" s="4"/>
      <c r="P1830" s="4"/>
      <c r="Q1830" s="4"/>
      <c r="R1830" s="4"/>
      <c r="S1830" s="4"/>
      <c r="T1830" s="4"/>
      <c r="U1830" s="4"/>
      <c r="V1830" s="4"/>
      <c r="W1830" s="4"/>
      <c r="X1830" s="4"/>
      <c r="Y1830" s="4"/>
      <c r="Z1830" s="4"/>
    </row>
    <row r="1831" spans="1:26">
      <c r="A1831" s="5">
        <v>43709</v>
      </c>
      <c r="B1831" s="4" t="s">
        <v>9</v>
      </c>
      <c r="C1831" s="4" t="s">
        <v>19</v>
      </c>
      <c r="D1831" s="4" t="s">
        <v>17</v>
      </c>
      <c r="E1831" s="4" t="s">
        <v>13</v>
      </c>
      <c r="F1831" s="4">
        <v>1950</v>
      </c>
      <c r="G1831" s="4">
        <v>869</v>
      </c>
      <c r="H1831" s="4">
        <v>8754</v>
      </c>
      <c r="I1831" s="6">
        <v>23892.10136750224</v>
      </c>
      <c r="J1831" s="4"/>
      <c r="K1831" s="4"/>
      <c r="L1831" s="4"/>
      <c r="M1831" s="4"/>
      <c r="N1831" s="4"/>
      <c r="O1831" s="4"/>
      <c r="P1831" s="4"/>
      <c r="Q1831" s="4"/>
      <c r="R1831" s="4"/>
      <c r="S1831" s="4"/>
      <c r="T1831" s="4"/>
      <c r="U1831" s="4"/>
      <c r="V1831" s="4"/>
      <c r="W1831" s="4"/>
      <c r="X1831" s="4"/>
      <c r="Y1831" s="4"/>
      <c r="Z1831" s="4"/>
    </row>
    <row r="1832" spans="1:26">
      <c r="A1832" s="5">
        <v>43709</v>
      </c>
      <c r="B1832" s="4" t="s">
        <v>20</v>
      </c>
      <c r="C1832" s="4" t="s">
        <v>10</v>
      </c>
      <c r="D1832" s="4" t="s">
        <v>11</v>
      </c>
      <c r="E1832" s="4" t="s">
        <v>12</v>
      </c>
      <c r="F1832" s="4">
        <v>2909733</v>
      </c>
      <c r="G1832" s="4">
        <v>6648</v>
      </c>
      <c r="H1832" s="4">
        <v>7535</v>
      </c>
      <c r="I1832" s="6">
        <v>1773.254215001301</v>
      </c>
      <c r="J1832" s="4"/>
      <c r="K1832" s="4"/>
      <c r="L1832" s="4"/>
      <c r="M1832" s="4"/>
      <c r="N1832" s="4"/>
      <c r="O1832" s="4"/>
      <c r="P1832" s="4"/>
      <c r="Q1832" s="4"/>
      <c r="R1832" s="4"/>
      <c r="S1832" s="4"/>
      <c r="T1832" s="4"/>
      <c r="U1832" s="4"/>
      <c r="V1832" s="4"/>
      <c r="W1832" s="4"/>
      <c r="X1832" s="4"/>
      <c r="Y1832" s="4"/>
      <c r="Z1832" s="4"/>
    </row>
    <row r="1833" spans="1:26">
      <c r="A1833" s="5">
        <v>43709</v>
      </c>
      <c r="B1833" s="4" t="s">
        <v>20</v>
      </c>
      <c r="C1833" s="4" t="s">
        <v>10</v>
      </c>
      <c r="D1833" s="4" t="s">
        <v>11</v>
      </c>
      <c r="E1833" s="4" t="s">
        <v>13</v>
      </c>
      <c r="F1833" s="4">
        <v>1182</v>
      </c>
      <c r="G1833" s="4">
        <v>38</v>
      </c>
      <c r="H1833" s="4">
        <v>96</v>
      </c>
      <c r="I1833" s="6">
        <v>21346.433939393937</v>
      </c>
      <c r="J1833" s="4"/>
      <c r="K1833" s="4"/>
      <c r="L1833" s="4"/>
      <c r="M1833" s="4"/>
      <c r="N1833" s="4"/>
      <c r="O1833" s="4"/>
      <c r="P1833" s="4"/>
      <c r="Q1833" s="4"/>
      <c r="R1833" s="4"/>
      <c r="S1833" s="4"/>
      <c r="T1833" s="4"/>
      <c r="U1833" s="4"/>
      <c r="V1833" s="4"/>
      <c r="W1833" s="4"/>
      <c r="X1833" s="4"/>
      <c r="Y1833" s="4"/>
      <c r="Z1833" s="4"/>
    </row>
    <row r="1834" spans="1:26">
      <c r="A1834" s="5">
        <v>43709</v>
      </c>
      <c r="B1834" s="4" t="s">
        <v>20</v>
      </c>
      <c r="C1834" s="4" t="s">
        <v>10</v>
      </c>
      <c r="D1834" s="4" t="s">
        <v>14</v>
      </c>
      <c r="E1834" s="4" t="s">
        <v>12</v>
      </c>
      <c r="F1834" s="4">
        <v>5269448</v>
      </c>
      <c r="G1834" s="4">
        <v>11820</v>
      </c>
      <c r="H1834" s="4">
        <v>12839</v>
      </c>
      <c r="I1834" s="6">
        <v>1613.1437394899594</v>
      </c>
      <c r="J1834" s="4"/>
      <c r="K1834" s="4"/>
      <c r="L1834" s="4"/>
      <c r="M1834" s="4"/>
      <c r="N1834" s="4"/>
      <c r="O1834" s="4"/>
      <c r="P1834" s="4"/>
      <c r="Q1834" s="4"/>
      <c r="R1834" s="4"/>
      <c r="S1834" s="4"/>
      <c r="T1834" s="4"/>
      <c r="U1834" s="4"/>
      <c r="V1834" s="4"/>
      <c r="W1834" s="4"/>
      <c r="X1834" s="4"/>
      <c r="Y1834" s="4"/>
      <c r="Z1834" s="4"/>
    </row>
    <row r="1835" spans="1:26">
      <c r="A1835" s="5">
        <v>43709</v>
      </c>
      <c r="B1835" s="4" t="s">
        <v>20</v>
      </c>
      <c r="C1835" s="4" t="s">
        <v>10</v>
      </c>
      <c r="D1835" s="4" t="s">
        <v>14</v>
      </c>
      <c r="E1835" s="4" t="s">
        <v>13</v>
      </c>
      <c r="F1835" s="4">
        <v>2541</v>
      </c>
      <c r="G1835" s="4">
        <v>67</v>
      </c>
      <c r="H1835" s="4">
        <v>281</v>
      </c>
      <c r="I1835" s="6">
        <v>31475.993106896552</v>
      </c>
      <c r="J1835" s="4"/>
      <c r="K1835" s="4"/>
      <c r="L1835" s="4"/>
      <c r="M1835" s="4"/>
      <c r="N1835" s="4"/>
      <c r="O1835" s="4"/>
      <c r="P1835" s="4"/>
      <c r="Q1835" s="4"/>
      <c r="R1835" s="4"/>
      <c r="S1835" s="4"/>
      <c r="T1835" s="4"/>
      <c r="U1835" s="4"/>
      <c r="V1835" s="4"/>
      <c r="W1835" s="4"/>
      <c r="X1835" s="4"/>
      <c r="Y1835" s="4"/>
      <c r="Z1835" s="4"/>
    </row>
    <row r="1836" spans="1:26">
      <c r="A1836" s="5">
        <v>43709</v>
      </c>
      <c r="B1836" s="4" t="s">
        <v>20</v>
      </c>
      <c r="C1836" s="4" t="s">
        <v>10</v>
      </c>
      <c r="D1836" s="4" t="s">
        <v>15</v>
      </c>
      <c r="E1836" s="4" t="s">
        <v>12</v>
      </c>
      <c r="F1836" s="4">
        <v>1316955</v>
      </c>
      <c r="G1836" s="4">
        <v>2990</v>
      </c>
      <c r="H1836" s="4">
        <v>3243</v>
      </c>
      <c r="I1836" s="6">
        <v>517.31191296464192</v>
      </c>
      <c r="J1836" s="4"/>
      <c r="K1836" s="4"/>
      <c r="L1836" s="4"/>
      <c r="M1836" s="4"/>
      <c r="N1836" s="4"/>
      <c r="O1836" s="4"/>
      <c r="P1836" s="4"/>
      <c r="Q1836" s="4"/>
      <c r="R1836" s="4"/>
      <c r="S1836" s="4"/>
      <c r="T1836" s="4"/>
      <c r="U1836" s="4"/>
      <c r="V1836" s="4"/>
      <c r="W1836" s="4"/>
      <c r="X1836" s="4"/>
      <c r="Y1836" s="4"/>
      <c r="Z1836" s="4"/>
    </row>
    <row r="1837" spans="1:26">
      <c r="A1837" s="5">
        <v>43709</v>
      </c>
      <c r="B1837" s="4" t="s">
        <v>20</v>
      </c>
      <c r="C1837" s="4" t="s">
        <v>10</v>
      </c>
      <c r="D1837" s="4" t="s">
        <v>15</v>
      </c>
      <c r="E1837" s="4" t="s">
        <v>13</v>
      </c>
      <c r="F1837" s="4">
        <v>354</v>
      </c>
      <c r="G1837" s="4">
        <v>22</v>
      </c>
      <c r="H1837" s="4">
        <v>67</v>
      </c>
      <c r="I1837" s="6">
        <v>8154.2491549295773</v>
      </c>
      <c r="J1837" s="4"/>
      <c r="K1837" s="4"/>
      <c r="L1837" s="4"/>
      <c r="M1837" s="4"/>
      <c r="N1837" s="4"/>
      <c r="O1837" s="4"/>
      <c r="P1837" s="4"/>
      <c r="Q1837" s="4"/>
      <c r="R1837" s="4"/>
      <c r="S1837" s="4"/>
      <c r="T1837" s="4"/>
      <c r="U1837" s="4"/>
      <c r="V1837" s="4"/>
      <c r="W1837" s="4"/>
      <c r="X1837" s="4"/>
      <c r="Y1837" s="4"/>
      <c r="Z1837" s="4"/>
    </row>
    <row r="1838" spans="1:26">
      <c r="A1838" s="5">
        <v>43709</v>
      </c>
      <c r="B1838" s="4" t="s">
        <v>20</v>
      </c>
      <c r="C1838" s="4" t="s">
        <v>10</v>
      </c>
      <c r="D1838" s="4" t="s">
        <v>16</v>
      </c>
      <c r="E1838" s="4" t="s">
        <v>12</v>
      </c>
      <c r="F1838" s="4">
        <v>14172413</v>
      </c>
      <c r="G1838" s="4">
        <v>43040</v>
      </c>
      <c r="H1838" s="4">
        <v>45203</v>
      </c>
      <c r="I1838" s="6">
        <v>7623.2657584106882</v>
      </c>
      <c r="J1838" s="4"/>
      <c r="K1838" s="4"/>
      <c r="L1838" s="4"/>
      <c r="M1838" s="4"/>
      <c r="N1838" s="4"/>
      <c r="O1838" s="4"/>
      <c r="P1838" s="4"/>
      <c r="Q1838" s="4"/>
      <c r="R1838" s="4"/>
      <c r="S1838" s="4"/>
      <c r="T1838" s="4"/>
      <c r="U1838" s="4"/>
      <c r="V1838" s="4"/>
      <c r="W1838" s="4"/>
      <c r="X1838" s="4"/>
      <c r="Y1838" s="4"/>
      <c r="Z1838" s="4"/>
    </row>
    <row r="1839" spans="1:26">
      <c r="A1839" s="5">
        <v>43709</v>
      </c>
      <c r="B1839" s="4" t="s">
        <v>20</v>
      </c>
      <c r="C1839" s="4" t="s">
        <v>10</v>
      </c>
      <c r="D1839" s="4" t="s">
        <v>16</v>
      </c>
      <c r="E1839" s="4" t="s">
        <v>13</v>
      </c>
      <c r="F1839" s="4">
        <v>6886</v>
      </c>
      <c r="G1839" s="4">
        <v>142</v>
      </c>
      <c r="H1839" s="4">
        <v>383</v>
      </c>
      <c r="I1839" s="6">
        <v>62685.024731051337</v>
      </c>
      <c r="J1839" s="4"/>
      <c r="K1839" s="4"/>
      <c r="L1839" s="4"/>
      <c r="M1839" s="4"/>
      <c r="N1839" s="4"/>
      <c r="O1839" s="4"/>
      <c r="P1839" s="4"/>
      <c r="Q1839" s="4"/>
      <c r="R1839" s="4"/>
      <c r="S1839" s="4"/>
      <c r="T1839" s="4"/>
      <c r="U1839" s="4"/>
      <c r="V1839" s="4"/>
      <c r="W1839" s="4"/>
      <c r="X1839" s="4"/>
      <c r="Y1839" s="4"/>
      <c r="Z1839" s="4"/>
    </row>
    <row r="1840" spans="1:26">
      <c r="A1840" s="5">
        <v>43709</v>
      </c>
      <c r="B1840" s="4" t="s">
        <v>20</v>
      </c>
      <c r="C1840" s="4" t="s">
        <v>10</v>
      </c>
      <c r="D1840" s="4" t="s">
        <v>17</v>
      </c>
      <c r="E1840" s="4" t="s">
        <v>12</v>
      </c>
      <c r="F1840" s="4">
        <v>4490187</v>
      </c>
      <c r="G1840" s="4">
        <v>14326</v>
      </c>
      <c r="H1840" s="4">
        <v>15200</v>
      </c>
      <c r="I1840" s="6">
        <v>2313.1840361173818</v>
      </c>
      <c r="J1840" s="4"/>
      <c r="K1840" s="4"/>
      <c r="L1840" s="4"/>
      <c r="M1840" s="4"/>
      <c r="N1840" s="4"/>
      <c r="O1840" s="4"/>
      <c r="P1840" s="4"/>
      <c r="Q1840" s="4"/>
      <c r="R1840" s="4"/>
      <c r="S1840" s="4"/>
      <c r="T1840" s="4"/>
      <c r="U1840" s="4"/>
      <c r="V1840" s="4"/>
      <c r="W1840" s="4"/>
      <c r="X1840" s="4"/>
      <c r="Y1840" s="4"/>
      <c r="Z1840" s="4"/>
    </row>
    <row r="1841" spans="1:26">
      <c r="A1841" s="5">
        <v>43709</v>
      </c>
      <c r="B1841" s="4" t="s">
        <v>20</v>
      </c>
      <c r="C1841" s="4" t="s">
        <v>10</v>
      </c>
      <c r="D1841" s="4" t="s">
        <v>17</v>
      </c>
      <c r="E1841" s="4" t="s">
        <v>13</v>
      </c>
      <c r="F1841" s="4">
        <v>2334</v>
      </c>
      <c r="G1841" s="4">
        <v>96</v>
      </c>
      <c r="H1841" s="4">
        <v>303</v>
      </c>
      <c r="I1841" s="6">
        <v>46078.128774193545</v>
      </c>
      <c r="J1841" s="4"/>
      <c r="K1841" s="4"/>
      <c r="L1841" s="4"/>
      <c r="M1841" s="4"/>
      <c r="N1841" s="4"/>
      <c r="O1841" s="4"/>
      <c r="P1841" s="4"/>
      <c r="Q1841" s="4"/>
      <c r="R1841" s="4"/>
      <c r="S1841" s="4"/>
      <c r="T1841" s="4"/>
      <c r="U1841" s="4"/>
      <c r="V1841" s="4"/>
      <c r="W1841" s="4"/>
      <c r="X1841" s="4"/>
      <c r="Y1841" s="4"/>
      <c r="Z1841" s="4"/>
    </row>
    <row r="1842" spans="1:26">
      <c r="A1842" s="5">
        <v>43709</v>
      </c>
      <c r="B1842" s="4" t="s">
        <v>20</v>
      </c>
      <c r="C1842" s="4" t="s">
        <v>18</v>
      </c>
      <c r="D1842" s="4" t="s">
        <v>11</v>
      </c>
      <c r="E1842" s="4" t="s">
        <v>12</v>
      </c>
      <c r="F1842" s="4">
        <v>3255310</v>
      </c>
      <c r="G1842" s="4">
        <v>18783</v>
      </c>
      <c r="H1842" s="4">
        <v>36196</v>
      </c>
      <c r="I1842" s="6">
        <v>11134.517424771811</v>
      </c>
      <c r="J1842" s="4"/>
      <c r="K1842" s="4"/>
      <c r="L1842" s="4"/>
      <c r="M1842" s="4"/>
      <c r="N1842" s="4"/>
      <c r="O1842" s="4"/>
      <c r="P1842" s="4"/>
      <c r="Q1842" s="4"/>
      <c r="R1842" s="4"/>
      <c r="S1842" s="4"/>
      <c r="T1842" s="4"/>
      <c r="U1842" s="4"/>
      <c r="V1842" s="4"/>
      <c r="W1842" s="4"/>
      <c r="X1842" s="4"/>
      <c r="Y1842" s="4"/>
      <c r="Z1842" s="4"/>
    </row>
    <row r="1843" spans="1:26">
      <c r="A1843" s="5">
        <v>43709</v>
      </c>
      <c r="B1843" s="4" t="s">
        <v>20</v>
      </c>
      <c r="C1843" s="4" t="s">
        <v>18</v>
      </c>
      <c r="D1843" s="4" t="s">
        <v>11</v>
      </c>
      <c r="E1843" s="4" t="s">
        <v>13</v>
      </c>
      <c r="F1843" s="4">
        <v>1684</v>
      </c>
      <c r="G1843" s="4">
        <v>28</v>
      </c>
      <c r="H1843" s="4">
        <v>48</v>
      </c>
      <c r="I1843" s="6">
        <v>250.49280000000002</v>
      </c>
      <c r="J1843" s="4"/>
      <c r="K1843" s="4"/>
      <c r="L1843" s="4"/>
      <c r="M1843" s="4"/>
      <c r="N1843" s="4"/>
      <c r="O1843" s="4"/>
      <c r="P1843" s="4"/>
      <c r="Q1843" s="4"/>
      <c r="R1843" s="4"/>
      <c r="S1843" s="4"/>
      <c r="T1843" s="4"/>
      <c r="U1843" s="4"/>
      <c r="V1843" s="4"/>
      <c r="W1843" s="4"/>
      <c r="X1843" s="4"/>
      <c r="Y1843" s="4"/>
      <c r="Z1843" s="4"/>
    </row>
    <row r="1844" spans="1:26">
      <c r="A1844" s="5">
        <v>43709</v>
      </c>
      <c r="B1844" s="4" t="s">
        <v>20</v>
      </c>
      <c r="C1844" s="4" t="s">
        <v>18</v>
      </c>
      <c r="D1844" s="4" t="s">
        <v>14</v>
      </c>
      <c r="E1844" s="4" t="s">
        <v>12</v>
      </c>
      <c r="F1844" s="4">
        <v>6167024</v>
      </c>
      <c r="G1844" s="4">
        <v>37059</v>
      </c>
      <c r="H1844" s="4">
        <v>69282</v>
      </c>
      <c r="I1844" s="6">
        <v>14140.047390123107</v>
      </c>
      <c r="J1844" s="4"/>
      <c r="K1844" s="4"/>
      <c r="L1844" s="4"/>
      <c r="M1844" s="4"/>
      <c r="N1844" s="4"/>
      <c r="O1844" s="4"/>
      <c r="P1844" s="4"/>
      <c r="Q1844" s="4"/>
      <c r="R1844" s="4"/>
      <c r="S1844" s="4"/>
      <c r="T1844" s="4"/>
      <c r="U1844" s="4"/>
      <c r="V1844" s="4"/>
      <c r="W1844" s="4"/>
      <c r="X1844" s="4"/>
      <c r="Y1844" s="4"/>
      <c r="Z1844" s="4"/>
    </row>
    <row r="1845" spans="1:26">
      <c r="A1845" s="5">
        <v>43709</v>
      </c>
      <c r="B1845" s="4" t="s">
        <v>20</v>
      </c>
      <c r="C1845" s="4" t="s">
        <v>18</v>
      </c>
      <c r="D1845" s="4" t="s">
        <v>14</v>
      </c>
      <c r="E1845" s="4" t="s">
        <v>13</v>
      </c>
      <c r="F1845" s="4">
        <v>3221</v>
      </c>
      <c r="G1845" s="4">
        <v>41</v>
      </c>
      <c r="H1845" s="4">
        <v>236</v>
      </c>
      <c r="I1845" s="6">
        <v>396.74332528925618</v>
      </c>
      <c r="J1845" s="4"/>
      <c r="K1845" s="4"/>
      <c r="L1845" s="4"/>
      <c r="M1845" s="4"/>
      <c r="N1845" s="4"/>
      <c r="O1845" s="4"/>
      <c r="P1845" s="4"/>
      <c r="Q1845" s="4"/>
      <c r="R1845" s="4"/>
      <c r="S1845" s="4"/>
      <c r="T1845" s="4"/>
      <c r="U1845" s="4"/>
      <c r="V1845" s="4"/>
      <c r="W1845" s="4"/>
      <c r="X1845" s="4"/>
      <c r="Y1845" s="4"/>
      <c r="Z1845" s="4"/>
    </row>
    <row r="1846" spans="1:26">
      <c r="A1846" s="5">
        <v>43709</v>
      </c>
      <c r="B1846" s="4" t="s">
        <v>20</v>
      </c>
      <c r="C1846" s="4" t="s">
        <v>18</v>
      </c>
      <c r="D1846" s="4" t="s">
        <v>15</v>
      </c>
      <c r="E1846" s="4" t="s">
        <v>12</v>
      </c>
      <c r="F1846" s="4">
        <v>1946630</v>
      </c>
      <c r="G1846" s="4">
        <v>12831</v>
      </c>
      <c r="H1846" s="4">
        <v>24086</v>
      </c>
      <c r="I1846" s="6">
        <v>3926.6287524929789</v>
      </c>
      <c r="J1846" s="4"/>
      <c r="K1846" s="4"/>
      <c r="L1846" s="4"/>
      <c r="M1846" s="4"/>
      <c r="N1846" s="4"/>
      <c r="O1846" s="4"/>
      <c r="P1846" s="4"/>
      <c r="Q1846" s="4"/>
      <c r="R1846" s="4"/>
      <c r="S1846" s="4"/>
      <c r="T1846" s="4"/>
      <c r="U1846" s="4"/>
      <c r="V1846" s="4"/>
      <c r="W1846" s="4"/>
      <c r="X1846" s="4"/>
      <c r="Y1846" s="4"/>
      <c r="Z1846" s="4"/>
    </row>
    <row r="1847" spans="1:26">
      <c r="A1847" s="5">
        <v>43709</v>
      </c>
      <c r="B1847" s="4" t="s">
        <v>20</v>
      </c>
      <c r="C1847" s="4" t="s">
        <v>18</v>
      </c>
      <c r="D1847" s="4" t="s">
        <v>15</v>
      </c>
      <c r="E1847" s="4" t="s">
        <v>13</v>
      </c>
      <c r="F1847" s="4">
        <v>679</v>
      </c>
      <c r="G1847" s="4">
        <v>12</v>
      </c>
      <c r="H1847" s="4">
        <v>38</v>
      </c>
      <c r="I1847" s="6">
        <v>275.80761904761903</v>
      </c>
      <c r="J1847" s="4"/>
      <c r="K1847" s="4"/>
      <c r="L1847" s="4"/>
      <c r="M1847" s="4"/>
      <c r="N1847" s="4"/>
      <c r="O1847" s="4"/>
      <c r="P1847" s="4"/>
      <c r="Q1847" s="4"/>
      <c r="R1847" s="4"/>
      <c r="S1847" s="4"/>
      <c r="T1847" s="4"/>
      <c r="U1847" s="4"/>
      <c r="V1847" s="4"/>
      <c r="W1847" s="4"/>
      <c r="X1847" s="4"/>
      <c r="Y1847" s="4"/>
      <c r="Z1847" s="4"/>
    </row>
    <row r="1848" spans="1:26">
      <c r="A1848" s="5">
        <v>43709</v>
      </c>
      <c r="B1848" s="4" t="s">
        <v>20</v>
      </c>
      <c r="C1848" s="4" t="s">
        <v>18</v>
      </c>
      <c r="D1848" s="4" t="s">
        <v>16</v>
      </c>
      <c r="E1848" s="4" t="s">
        <v>12</v>
      </c>
      <c r="F1848" s="4">
        <v>28628187</v>
      </c>
      <c r="G1848" s="4">
        <v>91729</v>
      </c>
      <c r="H1848" s="4">
        <v>170853</v>
      </c>
      <c r="I1848" s="6">
        <v>56375.980225797743</v>
      </c>
      <c r="J1848" s="4"/>
      <c r="K1848" s="4"/>
      <c r="L1848" s="4"/>
      <c r="M1848" s="4"/>
      <c r="N1848" s="4"/>
      <c r="O1848" s="4"/>
      <c r="P1848" s="4"/>
      <c r="Q1848" s="4"/>
      <c r="R1848" s="4"/>
      <c r="S1848" s="4"/>
      <c r="T1848" s="4"/>
      <c r="U1848" s="4"/>
      <c r="V1848" s="4"/>
      <c r="W1848" s="4"/>
      <c r="X1848" s="4"/>
      <c r="Y1848" s="4"/>
      <c r="Z1848" s="4"/>
    </row>
    <row r="1849" spans="1:26">
      <c r="A1849" s="5">
        <v>43709</v>
      </c>
      <c r="B1849" s="4" t="s">
        <v>20</v>
      </c>
      <c r="C1849" s="4" t="s">
        <v>18</v>
      </c>
      <c r="D1849" s="4" t="s">
        <v>16</v>
      </c>
      <c r="E1849" s="4" t="s">
        <v>13</v>
      </c>
      <c r="F1849" s="4">
        <v>35083</v>
      </c>
      <c r="G1849" s="4">
        <v>116</v>
      </c>
      <c r="H1849" s="4">
        <v>1265</v>
      </c>
      <c r="I1849" s="6">
        <v>1695.0707627118643</v>
      </c>
      <c r="J1849" s="4"/>
      <c r="K1849" s="4"/>
      <c r="L1849" s="4"/>
      <c r="M1849" s="4"/>
      <c r="N1849" s="4"/>
      <c r="O1849" s="4"/>
      <c r="P1849" s="4"/>
      <c r="Q1849" s="4"/>
      <c r="R1849" s="4"/>
      <c r="S1849" s="4"/>
      <c r="T1849" s="4"/>
      <c r="U1849" s="4"/>
      <c r="V1849" s="4"/>
      <c r="W1849" s="4"/>
      <c r="X1849" s="4"/>
      <c r="Y1849" s="4"/>
      <c r="Z1849" s="4"/>
    </row>
    <row r="1850" spans="1:26">
      <c r="A1850" s="5">
        <v>43709</v>
      </c>
      <c r="B1850" s="4" t="s">
        <v>20</v>
      </c>
      <c r="C1850" s="4" t="s">
        <v>18</v>
      </c>
      <c r="D1850" s="4" t="s">
        <v>17</v>
      </c>
      <c r="E1850" s="4" t="s">
        <v>12</v>
      </c>
      <c r="F1850" s="4">
        <v>5044019</v>
      </c>
      <c r="G1850" s="4">
        <v>30971</v>
      </c>
      <c r="H1850" s="4">
        <v>54406</v>
      </c>
      <c r="I1850" s="6">
        <v>18544.754103719188</v>
      </c>
      <c r="J1850" s="4"/>
      <c r="K1850" s="4"/>
      <c r="L1850" s="4"/>
      <c r="M1850" s="4"/>
      <c r="N1850" s="4"/>
      <c r="O1850" s="4"/>
      <c r="P1850" s="4"/>
      <c r="Q1850" s="4"/>
      <c r="R1850" s="4"/>
      <c r="S1850" s="4"/>
      <c r="T1850" s="4"/>
      <c r="U1850" s="4"/>
      <c r="V1850" s="4"/>
      <c r="W1850" s="4"/>
      <c r="X1850" s="4"/>
      <c r="Y1850" s="4"/>
      <c r="Z1850" s="4"/>
    </row>
    <row r="1851" spans="1:26">
      <c r="A1851" s="5">
        <v>43709</v>
      </c>
      <c r="B1851" s="4" t="s">
        <v>20</v>
      </c>
      <c r="C1851" s="4" t="s">
        <v>18</v>
      </c>
      <c r="D1851" s="4" t="s">
        <v>17</v>
      </c>
      <c r="E1851" s="4" t="s">
        <v>13</v>
      </c>
      <c r="F1851" s="4">
        <v>2039</v>
      </c>
      <c r="G1851" s="4">
        <v>32</v>
      </c>
      <c r="H1851" s="4">
        <v>178</v>
      </c>
      <c r="I1851" s="6">
        <v>111.20163043478261</v>
      </c>
      <c r="J1851" s="4"/>
      <c r="K1851" s="4"/>
      <c r="L1851" s="4"/>
      <c r="M1851" s="4"/>
      <c r="N1851" s="4"/>
      <c r="O1851" s="4"/>
      <c r="P1851" s="4"/>
      <c r="Q1851" s="4"/>
      <c r="R1851" s="4"/>
      <c r="S1851" s="4"/>
      <c r="T1851" s="4"/>
      <c r="U1851" s="4"/>
      <c r="V1851" s="4"/>
      <c r="W1851" s="4"/>
      <c r="X1851" s="4"/>
      <c r="Y1851" s="4"/>
      <c r="Z1851" s="4"/>
    </row>
    <row r="1852" spans="1:26">
      <c r="A1852" s="5">
        <v>43709</v>
      </c>
      <c r="B1852" s="4" t="s">
        <v>20</v>
      </c>
      <c r="C1852" s="4" t="s">
        <v>19</v>
      </c>
      <c r="D1852" s="4" t="s">
        <v>11</v>
      </c>
      <c r="E1852" s="4" t="s">
        <v>12</v>
      </c>
      <c r="F1852" s="4">
        <v>995881</v>
      </c>
      <c r="G1852" s="4">
        <v>2965</v>
      </c>
      <c r="H1852" s="4">
        <v>3189</v>
      </c>
      <c r="I1852" s="6">
        <v>11167.135141364473</v>
      </c>
      <c r="J1852" s="4"/>
      <c r="K1852" s="4"/>
      <c r="L1852" s="4"/>
      <c r="M1852" s="4"/>
      <c r="N1852" s="4"/>
      <c r="O1852" s="4"/>
      <c r="P1852" s="4"/>
      <c r="Q1852" s="4"/>
      <c r="R1852" s="4"/>
      <c r="S1852" s="4"/>
      <c r="T1852" s="4"/>
      <c r="U1852" s="4"/>
      <c r="V1852" s="4"/>
      <c r="W1852" s="4"/>
      <c r="X1852" s="4"/>
      <c r="Y1852" s="4"/>
      <c r="Z1852" s="4"/>
    </row>
    <row r="1853" spans="1:26">
      <c r="A1853" s="5">
        <v>43709</v>
      </c>
      <c r="B1853" s="4" t="s">
        <v>20</v>
      </c>
      <c r="C1853" s="4" t="s">
        <v>19</v>
      </c>
      <c r="D1853" s="4" t="s">
        <v>11</v>
      </c>
      <c r="E1853" s="4" t="s">
        <v>13</v>
      </c>
      <c r="F1853" s="4">
        <v>1359</v>
      </c>
      <c r="G1853" s="4">
        <v>55</v>
      </c>
      <c r="H1853" s="4">
        <v>324</v>
      </c>
      <c r="I1853" s="6">
        <v>1526.1653571428574</v>
      </c>
      <c r="J1853" s="4"/>
      <c r="K1853" s="4"/>
      <c r="L1853" s="4"/>
      <c r="M1853" s="4"/>
      <c r="N1853" s="4"/>
      <c r="O1853" s="4"/>
      <c r="P1853" s="4"/>
      <c r="Q1853" s="4"/>
      <c r="R1853" s="4"/>
      <c r="S1853" s="4"/>
      <c r="T1853" s="4"/>
      <c r="U1853" s="4"/>
      <c r="V1853" s="4"/>
      <c r="W1853" s="4"/>
      <c r="X1853" s="4"/>
      <c r="Y1853" s="4"/>
      <c r="Z1853" s="4"/>
    </row>
    <row r="1854" spans="1:26">
      <c r="A1854" s="5">
        <v>43709</v>
      </c>
      <c r="B1854" s="4" t="s">
        <v>20</v>
      </c>
      <c r="C1854" s="4" t="s">
        <v>19</v>
      </c>
      <c r="D1854" s="4" t="s">
        <v>14</v>
      </c>
      <c r="E1854" s="4" t="s">
        <v>12</v>
      </c>
      <c r="F1854" s="4">
        <v>2343221</v>
      </c>
      <c r="G1854" s="4">
        <v>7614</v>
      </c>
      <c r="H1854" s="4">
        <v>7692</v>
      </c>
      <c r="I1854" s="6">
        <v>23640.612600994013</v>
      </c>
      <c r="J1854" s="4"/>
      <c r="K1854" s="4"/>
      <c r="L1854" s="4"/>
      <c r="M1854" s="4"/>
      <c r="N1854" s="4"/>
      <c r="O1854" s="4"/>
      <c r="P1854" s="4"/>
      <c r="Q1854" s="4"/>
      <c r="R1854" s="4"/>
      <c r="S1854" s="4"/>
      <c r="T1854" s="4"/>
      <c r="U1854" s="4"/>
      <c r="V1854" s="4"/>
      <c r="W1854" s="4"/>
      <c r="X1854" s="4"/>
      <c r="Y1854" s="4"/>
      <c r="Z1854" s="4"/>
    </row>
    <row r="1855" spans="1:26">
      <c r="A1855" s="5">
        <v>43709</v>
      </c>
      <c r="B1855" s="4" t="s">
        <v>20</v>
      </c>
      <c r="C1855" s="4" t="s">
        <v>19</v>
      </c>
      <c r="D1855" s="4" t="s">
        <v>14</v>
      </c>
      <c r="E1855" s="4" t="s">
        <v>13</v>
      </c>
      <c r="F1855" s="4">
        <v>3546</v>
      </c>
      <c r="G1855" s="4">
        <v>147</v>
      </c>
      <c r="H1855" s="4">
        <v>609</v>
      </c>
      <c r="I1855" s="6">
        <v>2877.0746141479094</v>
      </c>
      <c r="J1855" s="4"/>
      <c r="K1855" s="4"/>
      <c r="L1855" s="4"/>
      <c r="M1855" s="4"/>
      <c r="N1855" s="4"/>
      <c r="O1855" s="4"/>
      <c r="P1855" s="4"/>
      <c r="Q1855" s="4"/>
      <c r="R1855" s="4"/>
      <c r="S1855" s="4"/>
      <c r="T1855" s="4"/>
      <c r="U1855" s="4"/>
      <c r="V1855" s="4"/>
      <c r="W1855" s="4"/>
      <c r="X1855" s="4"/>
      <c r="Y1855" s="4"/>
      <c r="Z1855" s="4"/>
    </row>
    <row r="1856" spans="1:26">
      <c r="A1856" s="5">
        <v>43709</v>
      </c>
      <c r="B1856" s="4" t="s">
        <v>20</v>
      </c>
      <c r="C1856" s="4" t="s">
        <v>19</v>
      </c>
      <c r="D1856" s="4" t="s">
        <v>15</v>
      </c>
      <c r="E1856" s="4" t="s">
        <v>12</v>
      </c>
      <c r="F1856" s="4">
        <v>609192</v>
      </c>
      <c r="G1856" s="4">
        <v>2074</v>
      </c>
      <c r="H1856" s="4">
        <v>2101</v>
      </c>
      <c r="I1856" s="6">
        <v>7617.5851166044777</v>
      </c>
      <c r="J1856" s="4"/>
      <c r="K1856" s="4"/>
      <c r="L1856" s="4"/>
      <c r="M1856" s="4"/>
      <c r="N1856" s="4"/>
      <c r="O1856" s="4"/>
      <c r="P1856" s="4"/>
      <c r="Q1856" s="4"/>
      <c r="R1856" s="4"/>
      <c r="S1856" s="4"/>
      <c r="T1856" s="4"/>
      <c r="U1856" s="4"/>
      <c r="V1856" s="4"/>
      <c r="W1856" s="4"/>
      <c r="X1856" s="4"/>
      <c r="Y1856" s="4"/>
      <c r="Z1856" s="4"/>
    </row>
    <row r="1857" spans="1:26">
      <c r="A1857" s="5">
        <v>43709</v>
      </c>
      <c r="B1857" s="4" t="s">
        <v>20</v>
      </c>
      <c r="C1857" s="4" t="s">
        <v>19</v>
      </c>
      <c r="D1857" s="4" t="s">
        <v>15</v>
      </c>
      <c r="E1857" s="4" t="s">
        <v>13</v>
      </c>
      <c r="F1857" s="4">
        <v>620</v>
      </c>
      <c r="G1857" s="4">
        <v>27</v>
      </c>
      <c r="H1857" s="4">
        <v>274</v>
      </c>
      <c r="I1857" s="6">
        <v>377.77389473684212</v>
      </c>
      <c r="J1857" s="4"/>
      <c r="K1857" s="4"/>
      <c r="L1857" s="4"/>
      <c r="M1857" s="4"/>
      <c r="N1857" s="4"/>
      <c r="O1857" s="4"/>
      <c r="P1857" s="4"/>
      <c r="Q1857" s="4"/>
      <c r="R1857" s="4"/>
      <c r="S1857" s="4"/>
      <c r="T1857" s="4"/>
      <c r="U1857" s="4"/>
      <c r="V1857" s="4"/>
      <c r="W1857" s="4"/>
      <c r="X1857" s="4"/>
      <c r="Y1857" s="4"/>
      <c r="Z1857" s="4"/>
    </row>
    <row r="1858" spans="1:26">
      <c r="A1858" s="5">
        <v>43709</v>
      </c>
      <c r="B1858" s="4" t="s">
        <v>20</v>
      </c>
      <c r="C1858" s="4" t="s">
        <v>19</v>
      </c>
      <c r="D1858" s="4" t="s">
        <v>16</v>
      </c>
      <c r="E1858" s="4" t="s">
        <v>12</v>
      </c>
      <c r="F1858" s="4">
        <v>5471054</v>
      </c>
      <c r="G1858" s="4">
        <v>14905</v>
      </c>
      <c r="H1858" s="4">
        <v>15282</v>
      </c>
      <c r="I1858" s="6">
        <v>70956.005265251137</v>
      </c>
      <c r="J1858" s="4"/>
      <c r="K1858" s="4"/>
      <c r="L1858" s="4"/>
      <c r="M1858" s="4"/>
      <c r="N1858" s="4"/>
      <c r="O1858" s="4"/>
      <c r="P1858" s="4"/>
      <c r="Q1858" s="4"/>
      <c r="R1858" s="4"/>
      <c r="S1858" s="4"/>
      <c r="T1858" s="4"/>
      <c r="U1858" s="4"/>
      <c r="V1858" s="4"/>
      <c r="W1858" s="4"/>
      <c r="X1858" s="4"/>
      <c r="Y1858" s="4"/>
      <c r="Z1858" s="4"/>
    </row>
    <row r="1859" spans="1:26">
      <c r="A1859" s="5">
        <v>43709</v>
      </c>
      <c r="B1859" s="4" t="s">
        <v>20</v>
      </c>
      <c r="C1859" s="4" t="s">
        <v>19</v>
      </c>
      <c r="D1859" s="4" t="s">
        <v>16</v>
      </c>
      <c r="E1859" s="4" t="s">
        <v>13</v>
      </c>
      <c r="F1859" s="4">
        <v>5438</v>
      </c>
      <c r="G1859" s="4">
        <v>223</v>
      </c>
      <c r="H1859" s="4">
        <v>1143</v>
      </c>
      <c r="I1859" s="6">
        <v>6904.8346449957216</v>
      </c>
      <c r="J1859" s="4"/>
      <c r="K1859" s="4"/>
      <c r="L1859" s="4"/>
      <c r="M1859" s="4"/>
      <c r="N1859" s="4"/>
      <c r="O1859" s="4"/>
      <c r="P1859" s="4"/>
      <c r="Q1859" s="4"/>
      <c r="R1859" s="4"/>
      <c r="S1859" s="4"/>
      <c r="T1859" s="4"/>
      <c r="U1859" s="4"/>
      <c r="V1859" s="4"/>
      <c r="W1859" s="4"/>
      <c r="X1859" s="4"/>
      <c r="Y1859" s="4"/>
      <c r="Z1859" s="4"/>
    </row>
    <row r="1860" spans="1:26">
      <c r="A1860" s="5">
        <v>43709</v>
      </c>
      <c r="B1860" s="4" t="s">
        <v>20</v>
      </c>
      <c r="C1860" s="4" t="s">
        <v>19</v>
      </c>
      <c r="D1860" s="4" t="s">
        <v>17</v>
      </c>
      <c r="E1860" s="4" t="s">
        <v>12</v>
      </c>
      <c r="F1860" s="4">
        <v>1672492</v>
      </c>
      <c r="G1860" s="4">
        <v>5291</v>
      </c>
      <c r="H1860" s="4">
        <v>5341</v>
      </c>
      <c r="I1860" s="6">
        <v>21139.15654432006</v>
      </c>
      <c r="J1860" s="4"/>
      <c r="K1860" s="4"/>
      <c r="L1860" s="4"/>
      <c r="M1860" s="4"/>
      <c r="N1860" s="4"/>
      <c r="O1860" s="4"/>
      <c r="P1860" s="4"/>
      <c r="Q1860" s="4"/>
      <c r="R1860" s="4"/>
      <c r="S1860" s="4"/>
      <c r="T1860" s="4"/>
      <c r="U1860" s="4"/>
      <c r="V1860" s="4"/>
      <c r="W1860" s="4"/>
      <c r="X1860" s="4"/>
      <c r="Y1860" s="4"/>
      <c r="Z1860" s="4"/>
    </row>
    <row r="1861" spans="1:26">
      <c r="A1861" s="5">
        <v>43709</v>
      </c>
      <c r="B1861" s="4" t="s">
        <v>20</v>
      </c>
      <c r="C1861" s="4" t="s">
        <v>19</v>
      </c>
      <c r="D1861" s="4" t="s">
        <v>17</v>
      </c>
      <c r="E1861" s="4" t="s">
        <v>13</v>
      </c>
      <c r="F1861" s="4">
        <v>1950</v>
      </c>
      <c r="G1861" s="4">
        <v>69</v>
      </c>
      <c r="H1861" s="4">
        <v>815</v>
      </c>
      <c r="I1861" s="6">
        <v>1773.4361144219308</v>
      </c>
      <c r="J1861" s="4"/>
      <c r="K1861" s="4"/>
      <c r="L1861" s="4"/>
      <c r="M1861" s="4"/>
      <c r="N1861" s="4"/>
      <c r="O1861" s="4"/>
      <c r="P1861" s="4"/>
      <c r="Q1861" s="4"/>
      <c r="R1861" s="4"/>
      <c r="S1861" s="4"/>
      <c r="T1861" s="4"/>
      <c r="U1861" s="4"/>
      <c r="V1861" s="4"/>
      <c r="W1861" s="4"/>
      <c r="X1861" s="4"/>
      <c r="Y1861" s="4"/>
      <c r="Z1861" s="4"/>
    </row>
    <row r="1862" spans="1:26">
      <c r="A1862" s="5">
        <v>43709</v>
      </c>
      <c r="B1862" s="4" t="s">
        <v>21</v>
      </c>
      <c r="C1862" s="4" t="s">
        <v>10</v>
      </c>
      <c r="D1862" s="4" t="s">
        <v>11</v>
      </c>
      <c r="E1862" s="4" t="s">
        <v>12</v>
      </c>
      <c r="F1862" s="4">
        <v>1744019</v>
      </c>
      <c r="G1862" s="4">
        <v>13993</v>
      </c>
      <c r="H1862" s="4">
        <v>17554</v>
      </c>
      <c r="I1862" s="6">
        <v>26121.009809337651</v>
      </c>
      <c r="J1862" s="4"/>
      <c r="K1862" s="4"/>
      <c r="L1862" s="4"/>
      <c r="M1862" s="4"/>
      <c r="N1862" s="4"/>
      <c r="O1862" s="4"/>
      <c r="P1862" s="4"/>
      <c r="Q1862" s="4"/>
      <c r="R1862" s="4"/>
      <c r="S1862" s="4"/>
      <c r="T1862" s="4"/>
      <c r="U1862" s="4"/>
      <c r="V1862" s="4"/>
      <c r="W1862" s="4"/>
      <c r="X1862" s="4"/>
      <c r="Y1862" s="4"/>
      <c r="Z1862" s="4"/>
    </row>
    <row r="1863" spans="1:26">
      <c r="A1863" s="5">
        <v>43709</v>
      </c>
      <c r="B1863" s="4" t="s">
        <v>21</v>
      </c>
      <c r="C1863" s="4" t="s">
        <v>10</v>
      </c>
      <c r="D1863" s="4" t="s">
        <v>11</v>
      </c>
      <c r="E1863" s="4" t="s">
        <v>13</v>
      </c>
      <c r="F1863" s="4">
        <v>20955</v>
      </c>
      <c r="G1863" s="4">
        <v>1219</v>
      </c>
      <c r="H1863" s="4">
        <v>20513</v>
      </c>
      <c r="I1863" s="6">
        <v>113415.4696226235</v>
      </c>
      <c r="J1863" s="4"/>
      <c r="K1863" s="4"/>
      <c r="L1863" s="4"/>
      <c r="M1863" s="4"/>
      <c r="N1863" s="4"/>
      <c r="O1863" s="4"/>
      <c r="P1863" s="4"/>
      <c r="Q1863" s="4"/>
      <c r="R1863" s="4"/>
      <c r="S1863" s="4"/>
      <c r="T1863" s="4"/>
      <c r="U1863" s="4"/>
      <c r="V1863" s="4"/>
      <c r="W1863" s="4"/>
      <c r="X1863" s="4"/>
      <c r="Y1863" s="4"/>
      <c r="Z1863" s="4"/>
    </row>
    <row r="1864" spans="1:26">
      <c r="A1864" s="5">
        <v>43709</v>
      </c>
      <c r="B1864" s="4" t="s">
        <v>21</v>
      </c>
      <c r="C1864" s="4" t="s">
        <v>10</v>
      </c>
      <c r="D1864" s="4" t="s">
        <v>14</v>
      </c>
      <c r="E1864" s="4" t="s">
        <v>12</v>
      </c>
      <c r="F1864" s="4">
        <v>2680256</v>
      </c>
      <c r="G1864" s="4">
        <v>16269</v>
      </c>
      <c r="H1864" s="4">
        <v>18540</v>
      </c>
      <c r="I1864" s="6">
        <v>39396.068718274109</v>
      </c>
      <c r="J1864" s="4"/>
      <c r="K1864" s="4"/>
      <c r="L1864" s="4"/>
      <c r="M1864" s="4"/>
      <c r="N1864" s="4"/>
      <c r="O1864" s="4"/>
      <c r="P1864" s="4"/>
      <c r="Q1864" s="4"/>
      <c r="R1864" s="4"/>
      <c r="S1864" s="4"/>
      <c r="T1864" s="4"/>
      <c r="U1864" s="4"/>
      <c r="V1864" s="4"/>
      <c r="W1864" s="4"/>
      <c r="X1864" s="4"/>
      <c r="Y1864" s="4"/>
      <c r="Z1864" s="4"/>
    </row>
    <row r="1865" spans="1:26">
      <c r="A1865" s="5">
        <v>43709</v>
      </c>
      <c r="B1865" s="4" t="s">
        <v>21</v>
      </c>
      <c r="C1865" s="4" t="s">
        <v>10</v>
      </c>
      <c r="D1865" s="4" t="s">
        <v>14</v>
      </c>
      <c r="E1865" s="4" t="s">
        <v>13</v>
      </c>
      <c r="F1865" s="4">
        <v>25359</v>
      </c>
      <c r="G1865" s="4">
        <v>1601</v>
      </c>
      <c r="H1865" s="4">
        <v>22004</v>
      </c>
      <c r="I1865" s="6">
        <v>134078.96079080951</v>
      </c>
      <c r="J1865" s="4"/>
      <c r="K1865" s="4"/>
      <c r="L1865" s="4"/>
      <c r="M1865" s="4"/>
      <c r="N1865" s="4"/>
      <c r="O1865" s="4"/>
      <c r="P1865" s="4"/>
      <c r="Q1865" s="4"/>
      <c r="R1865" s="4"/>
      <c r="S1865" s="4"/>
      <c r="T1865" s="4"/>
      <c r="U1865" s="4"/>
      <c r="V1865" s="4"/>
      <c r="W1865" s="4"/>
      <c r="X1865" s="4"/>
      <c r="Y1865" s="4"/>
      <c r="Z1865" s="4"/>
    </row>
    <row r="1866" spans="1:26">
      <c r="A1866" s="5">
        <v>43709</v>
      </c>
      <c r="B1866" s="4" t="s">
        <v>21</v>
      </c>
      <c r="C1866" s="4" t="s">
        <v>10</v>
      </c>
      <c r="D1866" s="4" t="s">
        <v>15</v>
      </c>
      <c r="E1866" s="4" t="s">
        <v>12</v>
      </c>
      <c r="F1866" s="4">
        <v>711871</v>
      </c>
      <c r="G1866" s="4">
        <v>4495</v>
      </c>
      <c r="H1866" s="4">
        <v>5276</v>
      </c>
      <c r="I1866" s="6">
        <v>9714.3296172426599</v>
      </c>
      <c r="J1866" s="4"/>
      <c r="K1866" s="4"/>
      <c r="L1866" s="4"/>
      <c r="M1866" s="4"/>
      <c r="N1866" s="4"/>
      <c r="O1866" s="4"/>
      <c r="P1866" s="4"/>
      <c r="Q1866" s="4"/>
      <c r="R1866" s="4"/>
      <c r="S1866" s="4"/>
      <c r="T1866" s="4"/>
      <c r="U1866" s="4"/>
      <c r="V1866" s="4"/>
      <c r="W1866" s="4"/>
      <c r="X1866" s="4"/>
      <c r="Y1866" s="4"/>
      <c r="Z1866" s="4"/>
    </row>
    <row r="1867" spans="1:26">
      <c r="A1867" s="5">
        <v>43709</v>
      </c>
      <c r="B1867" s="4" t="s">
        <v>21</v>
      </c>
      <c r="C1867" s="4" t="s">
        <v>10</v>
      </c>
      <c r="D1867" s="4" t="s">
        <v>15</v>
      </c>
      <c r="E1867" s="4" t="s">
        <v>13</v>
      </c>
      <c r="F1867" s="4">
        <v>6236</v>
      </c>
      <c r="G1867" s="4">
        <v>410</v>
      </c>
      <c r="H1867" s="4">
        <v>4463</v>
      </c>
      <c r="I1867" s="6">
        <v>32748.801212453411</v>
      </c>
      <c r="J1867" s="4"/>
      <c r="K1867" s="4"/>
      <c r="L1867" s="4"/>
      <c r="M1867" s="4"/>
      <c r="N1867" s="4"/>
      <c r="O1867" s="4"/>
      <c r="P1867" s="4"/>
      <c r="Q1867" s="4"/>
      <c r="R1867" s="4"/>
      <c r="S1867" s="4"/>
      <c r="T1867" s="4"/>
      <c r="U1867" s="4"/>
      <c r="V1867" s="4"/>
      <c r="W1867" s="4"/>
      <c r="X1867" s="4"/>
      <c r="Y1867" s="4"/>
      <c r="Z1867" s="4"/>
    </row>
    <row r="1868" spans="1:26">
      <c r="A1868" s="5">
        <v>43709</v>
      </c>
      <c r="B1868" s="4" t="s">
        <v>21</v>
      </c>
      <c r="C1868" s="4" t="s">
        <v>10</v>
      </c>
      <c r="D1868" s="4" t="s">
        <v>16</v>
      </c>
      <c r="E1868" s="4" t="s">
        <v>12</v>
      </c>
      <c r="F1868" s="4">
        <v>9077408</v>
      </c>
      <c r="G1868" s="4">
        <v>74114</v>
      </c>
      <c r="H1868" s="4">
        <v>82084</v>
      </c>
      <c r="I1868" s="6">
        <v>201581.9493558828</v>
      </c>
      <c r="J1868" s="4"/>
      <c r="K1868" s="4"/>
      <c r="L1868" s="4"/>
      <c r="M1868" s="4"/>
      <c r="N1868" s="4"/>
      <c r="O1868" s="4"/>
      <c r="P1868" s="4"/>
      <c r="Q1868" s="4"/>
      <c r="R1868" s="4"/>
      <c r="S1868" s="4"/>
      <c r="T1868" s="4"/>
      <c r="U1868" s="4"/>
      <c r="V1868" s="4"/>
      <c r="W1868" s="4"/>
      <c r="X1868" s="4"/>
      <c r="Y1868" s="4"/>
      <c r="Z1868" s="4"/>
    </row>
    <row r="1869" spans="1:26">
      <c r="A1869" s="5">
        <v>43709</v>
      </c>
      <c r="B1869" s="4" t="s">
        <v>21</v>
      </c>
      <c r="C1869" s="4" t="s">
        <v>10</v>
      </c>
      <c r="D1869" s="4" t="s">
        <v>16</v>
      </c>
      <c r="E1869" s="4" t="s">
        <v>13</v>
      </c>
      <c r="F1869" s="4">
        <v>111458</v>
      </c>
      <c r="G1869" s="4">
        <v>3420</v>
      </c>
      <c r="H1869" s="4">
        <v>49271</v>
      </c>
      <c r="I1869" s="6">
        <v>277091.30926157645</v>
      </c>
      <c r="J1869" s="4"/>
      <c r="K1869" s="4"/>
      <c r="L1869" s="4"/>
      <c r="M1869" s="4"/>
      <c r="N1869" s="4"/>
      <c r="O1869" s="4"/>
      <c r="P1869" s="4"/>
      <c r="Q1869" s="4"/>
      <c r="R1869" s="4"/>
      <c r="S1869" s="4"/>
      <c r="T1869" s="4"/>
      <c r="U1869" s="4"/>
      <c r="V1869" s="4"/>
      <c r="W1869" s="4"/>
      <c r="X1869" s="4"/>
      <c r="Y1869" s="4"/>
      <c r="Z1869" s="4"/>
    </row>
    <row r="1870" spans="1:26">
      <c r="A1870" s="5">
        <v>43709</v>
      </c>
      <c r="B1870" s="4" t="s">
        <v>21</v>
      </c>
      <c r="C1870" s="4" t="s">
        <v>10</v>
      </c>
      <c r="D1870" s="4" t="s">
        <v>17</v>
      </c>
      <c r="E1870" s="4" t="s">
        <v>12</v>
      </c>
      <c r="F1870" s="4">
        <v>2969201</v>
      </c>
      <c r="G1870" s="4">
        <v>30772</v>
      </c>
      <c r="H1870" s="4">
        <v>33596</v>
      </c>
      <c r="I1870" s="6">
        <v>83119.919578627916</v>
      </c>
      <c r="J1870" s="4"/>
      <c r="K1870" s="4"/>
      <c r="L1870" s="4"/>
      <c r="M1870" s="4"/>
      <c r="N1870" s="4"/>
      <c r="O1870" s="4"/>
      <c r="P1870" s="4"/>
      <c r="Q1870" s="4"/>
      <c r="R1870" s="4"/>
      <c r="S1870" s="4"/>
      <c r="T1870" s="4"/>
      <c r="U1870" s="4"/>
      <c r="V1870" s="4"/>
      <c r="W1870" s="4"/>
      <c r="X1870" s="4"/>
      <c r="Y1870" s="4"/>
      <c r="Z1870" s="4"/>
    </row>
    <row r="1871" spans="1:26">
      <c r="A1871" s="5">
        <v>43709</v>
      </c>
      <c r="B1871" s="4" t="s">
        <v>21</v>
      </c>
      <c r="C1871" s="4" t="s">
        <v>10</v>
      </c>
      <c r="D1871" s="4" t="s">
        <v>17</v>
      </c>
      <c r="E1871" s="4" t="s">
        <v>13</v>
      </c>
      <c r="F1871" s="4">
        <v>42591</v>
      </c>
      <c r="G1871" s="4">
        <v>3465</v>
      </c>
      <c r="H1871" s="4">
        <v>50088</v>
      </c>
      <c r="I1871" s="6">
        <v>274281.88799999998</v>
      </c>
      <c r="J1871" s="4"/>
      <c r="K1871" s="4"/>
      <c r="L1871" s="4"/>
      <c r="M1871" s="4"/>
      <c r="N1871" s="4"/>
      <c r="O1871" s="4"/>
      <c r="P1871" s="4"/>
      <c r="Q1871" s="4"/>
      <c r="R1871" s="4"/>
      <c r="S1871" s="4"/>
      <c r="T1871" s="4"/>
      <c r="U1871" s="4"/>
      <c r="V1871" s="4"/>
      <c r="W1871" s="4"/>
      <c r="X1871" s="4"/>
      <c r="Y1871" s="4"/>
      <c r="Z1871" s="4"/>
    </row>
    <row r="1872" spans="1:26">
      <c r="A1872" s="5">
        <v>43709</v>
      </c>
      <c r="B1872" s="4" t="s">
        <v>21</v>
      </c>
      <c r="C1872" s="4" t="s">
        <v>18</v>
      </c>
      <c r="D1872" s="4" t="s">
        <v>11</v>
      </c>
      <c r="E1872" s="4" t="s">
        <v>12</v>
      </c>
      <c r="F1872" s="4">
        <v>2039024</v>
      </c>
      <c r="G1872" s="4">
        <v>36199</v>
      </c>
      <c r="H1872" s="4">
        <v>157482</v>
      </c>
      <c r="I1872" s="6">
        <v>83924.55701030929</v>
      </c>
      <c r="J1872" s="4"/>
      <c r="K1872" s="4"/>
      <c r="L1872" s="4"/>
      <c r="M1872" s="4"/>
      <c r="N1872" s="4"/>
      <c r="O1872" s="4"/>
      <c r="P1872" s="4"/>
      <c r="Q1872" s="4"/>
      <c r="R1872" s="4"/>
      <c r="S1872" s="4"/>
      <c r="T1872" s="4"/>
      <c r="U1872" s="4"/>
      <c r="V1872" s="4"/>
      <c r="W1872" s="4"/>
      <c r="X1872" s="4"/>
      <c r="Y1872" s="4"/>
      <c r="Z1872" s="4"/>
    </row>
    <row r="1873" spans="1:26">
      <c r="A1873" s="5">
        <v>43709</v>
      </c>
      <c r="B1873" s="4" t="s">
        <v>21</v>
      </c>
      <c r="C1873" s="4" t="s">
        <v>18</v>
      </c>
      <c r="D1873" s="4" t="s">
        <v>11</v>
      </c>
      <c r="E1873" s="4" t="s">
        <v>13</v>
      </c>
      <c r="F1873" s="4">
        <v>14394</v>
      </c>
      <c r="G1873" s="4">
        <v>425</v>
      </c>
      <c r="H1873" s="4">
        <v>18841</v>
      </c>
      <c r="I1873" s="6">
        <v>14894.32899225612</v>
      </c>
      <c r="J1873" s="4"/>
      <c r="K1873" s="4"/>
      <c r="L1873" s="4"/>
      <c r="M1873" s="4"/>
      <c r="N1873" s="4"/>
      <c r="O1873" s="4"/>
      <c r="P1873" s="4"/>
      <c r="Q1873" s="4"/>
      <c r="R1873" s="4"/>
      <c r="S1873" s="4"/>
      <c r="T1873" s="4"/>
      <c r="U1873" s="4"/>
      <c r="V1873" s="4"/>
      <c r="W1873" s="4"/>
      <c r="X1873" s="4"/>
      <c r="Y1873" s="4"/>
      <c r="Z1873" s="4"/>
    </row>
    <row r="1874" spans="1:26">
      <c r="A1874" s="5">
        <v>43709</v>
      </c>
      <c r="B1874" s="4" t="s">
        <v>21</v>
      </c>
      <c r="C1874" s="4" t="s">
        <v>18</v>
      </c>
      <c r="D1874" s="4" t="s">
        <v>14</v>
      </c>
      <c r="E1874" s="4" t="s">
        <v>12</v>
      </c>
      <c r="F1874" s="4">
        <v>3200482</v>
      </c>
      <c r="G1874" s="4">
        <v>51593</v>
      </c>
      <c r="H1874" s="4">
        <v>193218</v>
      </c>
      <c r="I1874" s="6">
        <v>92655.895190148323</v>
      </c>
      <c r="J1874" s="4"/>
      <c r="K1874" s="4"/>
      <c r="L1874" s="4"/>
      <c r="M1874" s="4"/>
      <c r="N1874" s="4"/>
      <c r="O1874" s="4"/>
      <c r="P1874" s="4"/>
      <c r="Q1874" s="4"/>
      <c r="R1874" s="4"/>
      <c r="S1874" s="4"/>
      <c r="T1874" s="4"/>
      <c r="U1874" s="4"/>
      <c r="V1874" s="4"/>
      <c r="W1874" s="4"/>
      <c r="X1874" s="4"/>
      <c r="Y1874" s="4"/>
      <c r="Z1874" s="4"/>
    </row>
    <row r="1875" spans="1:26">
      <c r="A1875" s="5">
        <v>43709</v>
      </c>
      <c r="B1875" s="4" t="s">
        <v>21</v>
      </c>
      <c r="C1875" s="4" t="s">
        <v>18</v>
      </c>
      <c r="D1875" s="4" t="s">
        <v>14</v>
      </c>
      <c r="E1875" s="4" t="s">
        <v>13</v>
      </c>
      <c r="F1875" s="4">
        <v>18709</v>
      </c>
      <c r="G1875" s="4">
        <v>482</v>
      </c>
      <c r="H1875" s="4">
        <v>11579</v>
      </c>
      <c r="I1875" s="6">
        <v>14597.180964467005</v>
      </c>
      <c r="J1875" s="4"/>
      <c r="K1875" s="4"/>
      <c r="L1875" s="4"/>
      <c r="M1875" s="4"/>
      <c r="N1875" s="4"/>
      <c r="O1875" s="4"/>
      <c r="P1875" s="4"/>
      <c r="Q1875" s="4"/>
      <c r="R1875" s="4"/>
      <c r="S1875" s="4"/>
      <c r="T1875" s="4"/>
      <c r="U1875" s="4"/>
      <c r="V1875" s="4"/>
      <c r="W1875" s="4"/>
      <c r="X1875" s="4"/>
      <c r="Y1875" s="4"/>
      <c r="Z1875" s="4"/>
    </row>
    <row r="1876" spans="1:26">
      <c r="A1876" s="5">
        <v>43709</v>
      </c>
      <c r="B1876" s="4" t="s">
        <v>21</v>
      </c>
      <c r="C1876" s="4" t="s">
        <v>18</v>
      </c>
      <c r="D1876" s="4" t="s">
        <v>15</v>
      </c>
      <c r="E1876" s="4" t="s">
        <v>12</v>
      </c>
      <c r="F1876" s="4">
        <v>1105507</v>
      </c>
      <c r="G1876" s="4">
        <v>16185</v>
      </c>
      <c r="H1876" s="4">
        <v>77319</v>
      </c>
      <c r="I1876" s="6">
        <v>24637.425287002166</v>
      </c>
      <c r="J1876" s="4"/>
      <c r="K1876" s="4"/>
      <c r="L1876" s="4"/>
      <c r="M1876" s="4"/>
      <c r="N1876" s="4"/>
      <c r="O1876" s="4"/>
      <c r="P1876" s="4"/>
      <c r="Q1876" s="4"/>
      <c r="R1876" s="4"/>
      <c r="S1876" s="4"/>
      <c r="T1876" s="4"/>
      <c r="U1876" s="4"/>
      <c r="V1876" s="4"/>
      <c r="W1876" s="4"/>
      <c r="X1876" s="4"/>
      <c r="Y1876" s="4"/>
      <c r="Z1876" s="4"/>
    </row>
    <row r="1877" spans="1:26">
      <c r="A1877" s="5">
        <v>43709</v>
      </c>
      <c r="B1877" s="4" t="s">
        <v>21</v>
      </c>
      <c r="C1877" s="4" t="s">
        <v>18</v>
      </c>
      <c r="D1877" s="4" t="s">
        <v>15</v>
      </c>
      <c r="E1877" s="4" t="s">
        <v>13</v>
      </c>
      <c r="F1877" s="4">
        <v>5733</v>
      </c>
      <c r="G1877" s="4">
        <v>184</v>
      </c>
      <c r="H1877" s="4">
        <v>4793</v>
      </c>
      <c r="I1877" s="6">
        <v>2616.8821008574928</v>
      </c>
      <c r="J1877" s="4"/>
      <c r="K1877" s="4"/>
      <c r="L1877" s="4"/>
      <c r="M1877" s="4"/>
      <c r="N1877" s="4"/>
      <c r="O1877" s="4"/>
      <c r="P1877" s="4"/>
      <c r="Q1877" s="4"/>
      <c r="R1877" s="4"/>
      <c r="S1877" s="4"/>
      <c r="T1877" s="4"/>
      <c r="U1877" s="4"/>
      <c r="V1877" s="4"/>
      <c r="W1877" s="4"/>
      <c r="X1877" s="4"/>
      <c r="Y1877" s="4"/>
      <c r="Z1877" s="4"/>
    </row>
    <row r="1878" spans="1:26">
      <c r="A1878" s="5">
        <v>43709</v>
      </c>
      <c r="B1878" s="4" t="s">
        <v>21</v>
      </c>
      <c r="C1878" s="4" t="s">
        <v>18</v>
      </c>
      <c r="D1878" s="4" t="s">
        <v>16</v>
      </c>
      <c r="E1878" s="4" t="s">
        <v>12</v>
      </c>
      <c r="F1878" s="4">
        <v>28032857</v>
      </c>
      <c r="G1878" s="4">
        <v>157501</v>
      </c>
      <c r="H1878" s="4">
        <v>562984</v>
      </c>
      <c r="I1878" s="6">
        <v>356579.18022178573</v>
      </c>
      <c r="J1878" s="4"/>
      <c r="K1878" s="4"/>
      <c r="L1878" s="4"/>
      <c r="M1878" s="4"/>
      <c r="N1878" s="4"/>
      <c r="O1878" s="4"/>
      <c r="P1878" s="4"/>
      <c r="Q1878" s="4"/>
      <c r="R1878" s="4"/>
      <c r="S1878" s="4"/>
      <c r="T1878" s="4"/>
      <c r="U1878" s="4"/>
      <c r="V1878" s="4"/>
      <c r="W1878" s="4"/>
      <c r="X1878" s="4"/>
      <c r="Y1878" s="4"/>
      <c r="Z1878" s="4"/>
    </row>
    <row r="1879" spans="1:26">
      <c r="A1879" s="5">
        <v>43709</v>
      </c>
      <c r="B1879" s="4" t="s">
        <v>21</v>
      </c>
      <c r="C1879" s="4" t="s">
        <v>18</v>
      </c>
      <c r="D1879" s="4" t="s">
        <v>16</v>
      </c>
      <c r="E1879" s="4" t="s">
        <v>13</v>
      </c>
      <c r="F1879" s="4">
        <v>738295</v>
      </c>
      <c r="G1879" s="4">
        <v>1666</v>
      </c>
      <c r="H1879" s="4">
        <v>58366</v>
      </c>
      <c r="I1879" s="6">
        <v>43256.851849961378</v>
      </c>
      <c r="J1879" s="4"/>
      <c r="K1879" s="4"/>
      <c r="L1879" s="4"/>
      <c r="M1879" s="4"/>
      <c r="N1879" s="4"/>
      <c r="O1879" s="4"/>
      <c r="P1879" s="4"/>
      <c r="Q1879" s="4"/>
      <c r="R1879" s="4"/>
      <c r="S1879" s="4"/>
      <c r="T1879" s="4"/>
      <c r="U1879" s="4"/>
      <c r="V1879" s="4"/>
      <c r="W1879" s="4"/>
      <c r="X1879" s="4"/>
      <c r="Y1879" s="4"/>
      <c r="Z1879" s="4"/>
    </row>
    <row r="1880" spans="1:26">
      <c r="A1880" s="5">
        <v>43709</v>
      </c>
      <c r="B1880" s="4" t="s">
        <v>21</v>
      </c>
      <c r="C1880" s="4" t="s">
        <v>18</v>
      </c>
      <c r="D1880" s="4" t="s">
        <v>17</v>
      </c>
      <c r="E1880" s="4" t="s">
        <v>12</v>
      </c>
      <c r="F1880" s="4">
        <v>3720975</v>
      </c>
      <c r="G1880" s="4">
        <v>57500</v>
      </c>
      <c r="H1880" s="4">
        <v>189552</v>
      </c>
      <c r="I1880" s="6">
        <v>135203.63275644308</v>
      </c>
      <c r="J1880" s="4"/>
      <c r="K1880" s="4"/>
      <c r="L1880" s="4"/>
      <c r="M1880" s="4"/>
      <c r="N1880" s="4"/>
      <c r="O1880" s="4"/>
      <c r="P1880" s="4"/>
      <c r="Q1880" s="4"/>
      <c r="R1880" s="4"/>
      <c r="S1880" s="4"/>
      <c r="T1880" s="4"/>
      <c r="U1880" s="4"/>
      <c r="V1880" s="4"/>
      <c r="W1880" s="4"/>
      <c r="X1880" s="4"/>
      <c r="Y1880" s="4"/>
      <c r="Z1880" s="4"/>
    </row>
    <row r="1881" spans="1:26">
      <c r="A1881" s="5">
        <v>43709</v>
      </c>
      <c r="B1881" s="4" t="s">
        <v>21</v>
      </c>
      <c r="C1881" s="4" t="s">
        <v>18</v>
      </c>
      <c r="D1881" s="4" t="s">
        <v>17</v>
      </c>
      <c r="E1881" s="4" t="s">
        <v>13</v>
      </c>
      <c r="F1881" s="4">
        <v>33694</v>
      </c>
      <c r="G1881" s="4">
        <v>805</v>
      </c>
      <c r="H1881" s="4">
        <v>30250</v>
      </c>
      <c r="I1881" s="6">
        <v>24300.115170449026</v>
      </c>
      <c r="J1881" s="4"/>
      <c r="K1881" s="4"/>
      <c r="L1881" s="4"/>
      <c r="M1881" s="4"/>
      <c r="N1881" s="4"/>
      <c r="O1881" s="4"/>
      <c r="P1881" s="4"/>
      <c r="Q1881" s="4"/>
      <c r="R1881" s="4"/>
      <c r="S1881" s="4"/>
      <c r="T1881" s="4"/>
      <c r="U1881" s="4"/>
      <c r="V1881" s="4"/>
      <c r="W1881" s="4"/>
      <c r="X1881" s="4"/>
      <c r="Y1881" s="4"/>
      <c r="Z1881" s="4"/>
    </row>
    <row r="1882" spans="1:26">
      <c r="A1882" s="5">
        <v>43709</v>
      </c>
      <c r="B1882" s="4" t="s">
        <v>21</v>
      </c>
      <c r="C1882" s="4" t="s">
        <v>19</v>
      </c>
      <c r="D1882" s="4" t="s">
        <v>11</v>
      </c>
      <c r="E1882" s="4" t="s">
        <v>12</v>
      </c>
      <c r="F1882" s="4">
        <v>705458</v>
      </c>
      <c r="G1882" s="4">
        <v>9775</v>
      </c>
      <c r="H1882" s="4">
        <v>10128</v>
      </c>
      <c r="I1882" s="6">
        <v>107344.80167247387</v>
      </c>
      <c r="J1882" s="4"/>
      <c r="K1882" s="4"/>
      <c r="L1882" s="4"/>
      <c r="M1882" s="4"/>
      <c r="N1882" s="4"/>
      <c r="O1882" s="4"/>
      <c r="P1882" s="4"/>
      <c r="Q1882" s="4"/>
      <c r="R1882" s="4"/>
      <c r="S1882" s="4"/>
      <c r="T1882" s="4"/>
      <c r="U1882" s="4"/>
      <c r="V1882" s="4"/>
      <c r="W1882" s="4"/>
      <c r="X1882" s="4"/>
      <c r="Y1882" s="4"/>
      <c r="Z1882" s="4"/>
    </row>
    <row r="1883" spans="1:26">
      <c r="A1883" s="5">
        <v>43709</v>
      </c>
      <c r="B1883" s="4" t="s">
        <v>21</v>
      </c>
      <c r="C1883" s="4" t="s">
        <v>19</v>
      </c>
      <c r="D1883" s="4" t="s">
        <v>11</v>
      </c>
      <c r="E1883" s="4" t="s">
        <v>13</v>
      </c>
      <c r="F1883" s="4">
        <v>18472</v>
      </c>
      <c r="G1883" s="4">
        <v>1580</v>
      </c>
      <c r="H1883" s="4">
        <v>46492</v>
      </c>
      <c r="I1883" s="6">
        <v>26523.757550280385</v>
      </c>
      <c r="J1883" s="4"/>
      <c r="K1883" s="4"/>
      <c r="L1883" s="4"/>
      <c r="M1883" s="4"/>
      <c r="N1883" s="4"/>
      <c r="O1883" s="4"/>
      <c r="P1883" s="4"/>
      <c r="Q1883" s="4"/>
      <c r="R1883" s="4"/>
      <c r="S1883" s="4"/>
      <c r="T1883" s="4"/>
      <c r="U1883" s="4"/>
      <c r="V1883" s="4"/>
      <c r="W1883" s="4"/>
      <c r="X1883" s="4"/>
      <c r="Y1883" s="4"/>
      <c r="Z1883" s="4"/>
    </row>
    <row r="1884" spans="1:26">
      <c r="A1884" s="5">
        <v>43709</v>
      </c>
      <c r="B1884" s="4" t="s">
        <v>21</v>
      </c>
      <c r="C1884" s="4" t="s">
        <v>19</v>
      </c>
      <c r="D1884" s="4" t="s">
        <v>14</v>
      </c>
      <c r="E1884" s="4" t="s">
        <v>12</v>
      </c>
      <c r="F1884" s="4">
        <v>1267684</v>
      </c>
      <c r="G1884" s="4">
        <v>19501</v>
      </c>
      <c r="H1884" s="4">
        <v>21013</v>
      </c>
      <c r="I1884" s="6">
        <v>195384.32453790528</v>
      </c>
      <c r="J1884" s="4"/>
      <c r="K1884" s="4"/>
      <c r="L1884" s="4"/>
      <c r="M1884" s="4"/>
      <c r="N1884" s="4"/>
      <c r="O1884" s="4"/>
      <c r="P1884" s="4"/>
      <c r="Q1884" s="4"/>
      <c r="R1884" s="4"/>
      <c r="S1884" s="4"/>
      <c r="T1884" s="4"/>
      <c r="U1884" s="4"/>
      <c r="V1884" s="4"/>
      <c r="W1884" s="4"/>
      <c r="X1884" s="4"/>
      <c r="Y1884" s="4"/>
      <c r="Z1884" s="4"/>
    </row>
    <row r="1885" spans="1:26">
      <c r="A1885" s="5">
        <v>43709</v>
      </c>
      <c r="B1885" s="4" t="s">
        <v>21</v>
      </c>
      <c r="C1885" s="4" t="s">
        <v>19</v>
      </c>
      <c r="D1885" s="4" t="s">
        <v>14</v>
      </c>
      <c r="E1885" s="4" t="s">
        <v>13</v>
      </c>
      <c r="F1885" s="4">
        <v>36088</v>
      </c>
      <c r="G1885" s="4">
        <v>3019</v>
      </c>
      <c r="H1885" s="4">
        <v>142042</v>
      </c>
      <c r="I1885" s="6">
        <v>44506.401849109476</v>
      </c>
      <c r="J1885" s="4"/>
      <c r="K1885" s="4"/>
      <c r="L1885" s="4"/>
      <c r="M1885" s="4"/>
      <c r="N1885" s="4"/>
      <c r="O1885" s="4"/>
      <c r="P1885" s="4"/>
      <c r="Q1885" s="4"/>
      <c r="R1885" s="4"/>
      <c r="S1885" s="4"/>
      <c r="T1885" s="4"/>
      <c r="U1885" s="4"/>
      <c r="V1885" s="4"/>
      <c r="W1885" s="4"/>
      <c r="X1885" s="4"/>
      <c r="Y1885" s="4"/>
      <c r="Z1885" s="4"/>
    </row>
    <row r="1886" spans="1:26">
      <c r="A1886" s="5">
        <v>43709</v>
      </c>
      <c r="B1886" s="4" t="s">
        <v>21</v>
      </c>
      <c r="C1886" s="4" t="s">
        <v>19</v>
      </c>
      <c r="D1886" s="4" t="s">
        <v>15</v>
      </c>
      <c r="E1886" s="4" t="s">
        <v>12</v>
      </c>
      <c r="F1886" s="4">
        <v>384147</v>
      </c>
      <c r="G1886" s="4">
        <v>5281</v>
      </c>
      <c r="H1886" s="4">
        <v>5685</v>
      </c>
      <c r="I1886" s="6">
        <v>53760.045672413798</v>
      </c>
      <c r="J1886" s="4"/>
      <c r="K1886" s="4"/>
      <c r="L1886" s="4"/>
      <c r="M1886" s="4"/>
      <c r="N1886" s="4"/>
      <c r="O1886" s="4"/>
      <c r="P1886" s="4"/>
      <c r="Q1886" s="4"/>
      <c r="R1886" s="4"/>
      <c r="S1886" s="4"/>
      <c r="T1886" s="4"/>
      <c r="U1886" s="4"/>
      <c r="V1886" s="4"/>
      <c r="W1886" s="4"/>
      <c r="X1886" s="4"/>
      <c r="Y1886" s="4"/>
      <c r="Z1886" s="4"/>
    </row>
    <row r="1887" spans="1:26">
      <c r="A1887" s="5">
        <v>43709</v>
      </c>
      <c r="B1887" s="4" t="s">
        <v>21</v>
      </c>
      <c r="C1887" s="4" t="s">
        <v>19</v>
      </c>
      <c r="D1887" s="4" t="s">
        <v>15</v>
      </c>
      <c r="E1887" s="4" t="s">
        <v>13</v>
      </c>
      <c r="F1887" s="4">
        <v>10285</v>
      </c>
      <c r="G1887" s="4">
        <v>838</v>
      </c>
      <c r="H1887" s="4">
        <v>37934</v>
      </c>
      <c r="I1887" s="6">
        <v>12387.366125981811</v>
      </c>
      <c r="J1887" s="4"/>
      <c r="K1887" s="4"/>
      <c r="L1887" s="4"/>
      <c r="M1887" s="4"/>
      <c r="N1887" s="4"/>
      <c r="O1887" s="4"/>
      <c r="P1887" s="4"/>
      <c r="Q1887" s="4"/>
      <c r="R1887" s="4"/>
      <c r="S1887" s="4"/>
      <c r="T1887" s="4"/>
      <c r="U1887" s="4"/>
      <c r="V1887" s="4"/>
      <c r="W1887" s="4"/>
      <c r="X1887" s="4"/>
      <c r="Y1887" s="4"/>
      <c r="Z1887" s="4"/>
    </row>
    <row r="1888" spans="1:26">
      <c r="A1888" s="5">
        <v>43709</v>
      </c>
      <c r="B1888" s="4" t="s">
        <v>21</v>
      </c>
      <c r="C1888" s="4" t="s">
        <v>19</v>
      </c>
      <c r="D1888" s="4" t="s">
        <v>16</v>
      </c>
      <c r="E1888" s="4" t="s">
        <v>12</v>
      </c>
      <c r="F1888" s="4">
        <v>3570650</v>
      </c>
      <c r="G1888" s="4">
        <v>51734</v>
      </c>
      <c r="H1888" s="4">
        <v>52753</v>
      </c>
      <c r="I1888" s="6">
        <v>588356.14327993453</v>
      </c>
      <c r="J1888" s="4"/>
      <c r="K1888" s="4"/>
      <c r="L1888" s="4"/>
      <c r="M1888" s="4"/>
      <c r="N1888" s="4"/>
      <c r="O1888" s="4"/>
      <c r="P1888" s="4"/>
      <c r="Q1888" s="4"/>
      <c r="R1888" s="4"/>
      <c r="S1888" s="4"/>
      <c r="T1888" s="4"/>
      <c r="U1888" s="4"/>
      <c r="V1888" s="4"/>
      <c r="W1888" s="4"/>
      <c r="X1888" s="4"/>
      <c r="Y1888" s="4"/>
      <c r="Z1888" s="4"/>
    </row>
    <row r="1889" spans="1:26">
      <c r="A1889" s="5">
        <v>43709</v>
      </c>
      <c r="B1889" s="4" t="s">
        <v>21</v>
      </c>
      <c r="C1889" s="4" t="s">
        <v>19</v>
      </c>
      <c r="D1889" s="4" t="s">
        <v>16</v>
      </c>
      <c r="E1889" s="4" t="s">
        <v>13</v>
      </c>
      <c r="F1889" s="4">
        <v>92600</v>
      </c>
      <c r="G1889" s="4">
        <v>7829</v>
      </c>
      <c r="H1889" s="4">
        <v>518767</v>
      </c>
      <c r="I1889" s="6">
        <v>119764.64062439174</v>
      </c>
      <c r="J1889" s="4"/>
      <c r="K1889" s="4"/>
      <c r="L1889" s="4"/>
      <c r="M1889" s="4"/>
      <c r="N1889" s="4"/>
      <c r="O1889" s="4"/>
      <c r="P1889" s="4"/>
      <c r="Q1889" s="4"/>
      <c r="R1889" s="4"/>
      <c r="S1889" s="4"/>
      <c r="T1889" s="4"/>
      <c r="U1889" s="4"/>
      <c r="V1889" s="4"/>
      <c r="W1889" s="4"/>
      <c r="X1889" s="4"/>
      <c r="Y1889" s="4"/>
      <c r="Z1889" s="4"/>
    </row>
    <row r="1890" spans="1:26">
      <c r="A1890" s="5">
        <v>43709</v>
      </c>
      <c r="B1890" s="4" t="s">
        <v>21</v>
      </c>
      <c r="C1890" s="4" t="s">
        <v>19</v>
      </c>
      <c r="D1890" s="4" t="s">
        <v>17</v>
      </c>
      <c r="E1890" s="4" t="s">
        <v>12</v>
      </c>
      <c r="F1890" s="4">
        <v>1219093</v>
      </c>
      <c r="G1890" s="4">
        <v>19443</v>
      </c>
      <c r="H1890" s="4">
        <v>21454</v>
      </c>
      <c r="I1890" s="6">
        <v>200893.61293182237</v>
      </c>
      <c r="J1890" s="4"/>
      <c r="K1890" s="4"/>
      <c r="L1890" s="4"/>
      <c r="M1890" s="4"/>
      <c r="N1890" s="4"/>
      <c r="O1890" s="4"/>
      <c r="P1890" s="4"/>
      <c r="Q1890" s="4"/>
      <c r="R1890" s="4"/>
      <c r="S1890" s="4"/>
      <c r="T1890" s="4"/>
      <c r="U1890" s="4"/>
      <c r="V1890" s="4"/>
      <c r="W1890" s="4"/>
      <c r="X1890" s="4"/>
      <c r="Y1890" s="4"/>
      <c r="Z1890" s="4"/>
    </row>
    <row r="1891" spans="1:26">
      <c r="A1891" s="5">
        <v>43709</v>
      </c>
      <c r="B1891" s="4" t="s">
        <v>21</v>
      </c>
      <c r="C1891" s="4" t="s">
        <v>19</v>
      </c>
      <c r="D1891" s="4" t="s">
        <v>17</v>
      </c>
      <c r="E1891" s="4" t="s">
        <v>13</v>
      </c>
      <c r="F1891" s="4">
        <v>32009</v>
      </c>
      <c r="G1891" s="4">
        <v>2776</v>
      </c>
      <c r="H1891" s="4">
        <v>118354</v>
      </c>
      <c r="I1891" s="6">
        <v>48713.793582349143</v>
      </c>
      <c r="J1891" s="4"/>
      <c r="K1891" s="4"/>
      <c r="L1891" s="4"/>
      <c r="M1891" s="4"/>
      <c r="N1891" s="4"/>
      <c r="O1891" s="4"/>
      <c r="P1891" s="4"/>
      <c r="Q1891" s="4"/>
      <c r="R1891" s="4"/>
      <c r="S1891" s="4"/>
      <c r="T1891" s="4"/>
      <c r="U1891" s="4"/>
      <c r="V1891" s="4"/>
      <c r="W1891" s="4"/>
      <c r="X1891" s="4"/>
      <c r="Y1891" s="4"/>
      <c r="Z1891" s="4"/>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tabColor rgb="FFC9DAF8"/>
    <outlinePr summaryBelow="0" summaryRight="0"/>
  </sheetPr>
  <dimension ref="A1:AB1005"/>
  <sheetViews>
    <sheetView showGridLines="0" workbookViewId="0">
      <selection activeCell="D9" sqref="D9"/>
    </sheetView>
  </sheetViews>
  <sheetFormatPr defaultColWidth="14.42578125" defaultRowHeight="15.75" customHeight="1"/>
  <cols>
    <col min="1" max="1" width="10.85546875" customWidth="1"/>
    <col min="2" max="2" width="4" customWidth="1"/>
    <col min="3" max="3" width="21.85546875" customWidth="1"/>
    <col min="4" max="4" width="118.7109375" customWidth="1"/>
    <col min="5" max="5" width="3.28515625" customWidth="1"/>
    <col min="6" max="28" width="14.42578125" hidden="1"/>
  </cols>
  <sheetData>
    <row r="1" spans="1:28" ht="15">
      <c r="A1" s="7"/>
      <c r="B1" s="8"/>
      <c r="C1" s="9"/>
      <c r="D1" s="9" t="s">
        <v>22</v>
      </c>
      <c r="E1" s="4"/>
      <c r="F1" s="4"/>
      <c r="G1" s="4"/>
      <c r="H1" s="4"/>
      <c r="I1" s="4"/>
      <c r="J1" s="4"/>
      <c r="K1" s="4"/>
      <c r="L1" s="4"/>
      <c r="M1" s="4"/>
      <c r="N1" s="4"/>
      <c r="O1" s="4"/>
      <c r="P1" s="4"/>
      <c r="Q1" s="4"/>
      <c r="R1" s="4"/>
      <c r="S1" s="4"/>
      <c r="T1" s="4"/>
      <c r="U1" s="4"/>
      <c r="V1" s="4"/>
      <c r="W1" s="4"/>
      <c r="X1" s="4"/>
      <c r="Y1" s="4"/>
      <c r="Z1" s="4"/>
      <c r="AA1" s="4"/>
      <c r="AB1" s="4"/>
    </row>
    <row r="2" spans="1:28" ht="28.5">
      <c r="A2" s="8"/>
      <c r="B2" s="33" t="s">
        <v>23</v>
      </c>
      <c r="C2" s="10" t="s">
        <v>5</v>
      </c>
      <c r="D2" s="11" t="s">
        <v>24</v>
      </c>
      <c r="E2" s="4"/>
      <c r="F2" s="4"/>
      <c r="G2" s="4"/>
      <c r="H2" s="4"/>
      <c r="I2" s="4"/>
      <c r="J2" s="4"/>
      <c r="K2" s="4"/>
      <c r="L2" s="4"/>
      <c r="M2" s="4"/>
      <c r="N2" s="4"/>
      <c r="O2" s="4"/>
      <c r="P2" s="4"/>
      <c r="Q2" s="4"/>
      <c r="R2" s="4"/>
      <c r="S2" s="4"/>
      <c r="T2" s="4"/>
      <c r="U2" s="4"/>
      <c r="V2" s="4"/>
      <c r="W2" s="4"/>
      <c r="X2" s="4"/>
      <c r="Y2" s="4"/>
      <c r="Z2" s="4"/>
      <c r="AA2" s="4"/>
      <c r="AB2" s="4"/>
    </row>
    <row r="3" spans="1:28" ht="14.25">
      <c r="A3" s="8"/>
      <c r="B3" s="34"/>
      <c r="C3" s="10" t="s">
        <v>6</v>
      </c>
      <c r="D3" s="11" t="s">
        <v>25</v>
      </c>
      <c r="E3" s="4"/>
      <c r="F3" s="4"/>
      <c r="G3" s="4"/>
      <c r="H3" s="4"/>
      <c r="I3" s="4"/>
      <c r="J3" s="4"/>
      <c r="K3" s="4"/>
      <c r="L3" s="4"/>
      <c r="M3" s="4"/>
      <c r="N3" s="4"/>
      <c r="O3" s="4"/>
      <c r="P3" s="4"/>
      <c r="Q3" s="4"/>
      <c r="R3" s="4"/>
      <c r="S3" s="4"/>
      <c r="T3" s="4"/>
      <c r="U3" s="4"/>
      <c r="V3" s="4"/>
      <c r="W3" s="4"/>
      <c r="X3" s="4"/>
      <c r="Y3" s="4"/>
      <c r="Z3" s="4"/>
      <c r="AA3" s="4"/>
      <c r="AB3" s="4"/>
    </row>
    <row r="4" spans="1:28" ht="28.5">
      <c r="A4" s="8"/>
      <c r="B4" s="34"/>
      <c r="C4" s="10" t="s">
        <v>7</v>
      </c>
      <c r="D4" s="11" t="s">
        <v>26</v>
      </c>
      <c r="E4" s="4"/>
      <c r="F4" s="4"/>
      <c r="G4" s="4"/>
      <c r="H4" s="4"/>
      <c r="I4" s="4"/>
      <c r="J4" s="4"/>
      <c r="K4" s="4"/>
      <c r="L4" s="4"/>
      <c r="M4" s="4"/>
      <c r="N4" s="4"/>
      <c r="O4" s="4"/>
      <c r="P4" s="4"/>
      <c r="Q4" s="4"/>
      <c r="R4" s="4"/>
      <c r="S4" s="4"/>
      <c r="T4" s="4"/>
      <c r="U4" s="4"/>
      <c r="V4" s="4"/>
      <c r="W4" s="4"/>
      <c r="X4" s="4"/>
      <c r="Y4" s="4"/>
      <c r="Z4" s="4"/>
      <c r="AA4" s="4"/>
      <c r="AB4" s="4"/>
    </row>
    <row r="5" spans="1:28" ht="14.25">
      <c r="A5" s="8"/>
      <c r="B5" s="35"/>
      <c r="C5" s="10" t="s">
        <v>8</v>
      </c>
      <c r="D5" s="11" t="s">
        <v>27</v>
      </c>
      <c r="E5" s="4"/>
      <c r="F5" s="4"/>
      <c r="G5" s="4"/>
      <c r="H5" s="4"/>
      <c r="I5" s="4"/>
      <c r="J5" s="4"/>
      <c r="K5" s="4"/>
      <c r="L5" s="4"/>
      <c r="M5" s="4"/>
      <c r="N5" s="4"/>
      <c r="O5" s="4"/>
      <c r="P5" s="4"/>
      <c r="Q5" s="4"/>
      <c r="R5" s="4"/>
      <c r="S5" s="4"/>
      <c r="T5" s="4"/>
      <c r="U5" s="4"/>
      <c r="V5" s="4"/>
      <c r="W5" s="4"/>
      <c r="X5" s="4"/>
      <c r="Y5" s="4"/>
      <c r="Z5" s="4"/>
      <c r="AA5" s="4"/>
      <c r="AB5" s="4"/>
    </row>
    <row r="6" spans="1:28" ht="7.5" customHeight="1">
      <c r="A6" s="12"/>
      <c r="B6" s="12"/>
      <c r="C6" s="13"/>
      <c r="D6" s="14"/>
      <c r="E6" s="4"/>
      <c r="F6" s="4"/>
      <c r="G6" s="4"/>
      <c r="H6" s="4"/>
      <c r="I6" s="4"/>
      <c r="J6" s="4"/>
      <c r="K6" s="4"/>
      <c r="L6" s="4"/>
      <c r="M6" s="4"/>
      <c r="N6" s="4"/>
      <c r="O6" s="4"/>
      <c r="P6" s="4"/>
      <c r="Q6" s="4"/>
      <c r="R6" s="4"/>
      <c r="S6" s="4"/>
      <c r="T6" s="4"/>
      <c r="U6" s="4"/>
      <c r="V6" s="4"/>
      <c r="W6" s="4"/>
      <c r="X6" s="4"/>
      <c r="Y6" s="4"/>
      <c r="Z6" s="4"/>
      <c r="AA6" s="4"/>
      <c r="AB6" s="4"/>
    </row>
    <row r="7" spans="1:28" ht="14.25">
      <c r="A7" s="8"/>
      <c r="B7" s="36" t="s">
        <v>28</v>
      </c>
      <c r="C7" s="10" t="s">
        <v>0</v>
      </c>
      <c r="D7" s="11" t="s">
        <v>29</v>
      </c>
      <c r="E7" s="4"/>
      <c r="F7" s="4"/>
      <c r="G7" s="4"/>
      <c r="H7" s="4"/>
      <c r="I7" s="4"/>
      <c r="J7" s="4"/>
      <c r="K7" s="4"/>
      <c r="L7" s="4"/>
      <c r="M7" s="4"/>
      <c r="N7" s="4"/>
      <c r="O7" s="4"/>
      <c r="P7" s="4"/>
      <c r="Q7" s="4"/>
      <c r="R7" s="4"/>
      <c r="S7" s="4"/>
      <c r="T7" s="4"/>
      <c r="U7" s="4"/>
      <c r="V7" s="4"/>
      <c r="W7" s="4"/>
      <c r="X7" s="4"/>
      <c r="Y7" s="4"/>
      <c r="Z7" s="4"/>
      <c r="AA7" s="4"/>
      <c r="AB7" s="4"/>
    </row>
    <row r="8" spans="1:28" ht="28.5">
      <c r="A8" s="8"/>
      <c r="B8" s="34"/>
      <c r="C8" s="10" t="s">
        <v>1</v>
      </c>
      <c r="D8" s="11" t="s">
        <v>30</v>
      </c>
      <c r="E8" s="4"/>
      <c r="F8" s="4"/>
      <c r="G8" s="4"/>
      <c r="H8" s="4"/>
      <c r="I8" s="4"/>
      <c r="J8" s="4"/>
      <c r="K8" s="4"/>
      <c r="L8" s="4"/>
      <c r="M8" s="4"/>
      <c r="N8" s="4"/>
      <c r="O8" s="4"/>
      <c r="P8" s="4"/>
      <c r="Q8" s="4"/>
      <c r="R8" s="4"/>
      <c r="S8" s="4"/>
      <c r="T8" s="4"/>
      <c r="U8" s="4"/>
      <c r="V8" s="4"/>
      <c r="W8" s="4"/>
      <c r="X8" s="4"/>
      <c r="Y8" s="4"/>
      <c r="Z8" s="4"/>
      <c r="AA8" s="4"/>
      <c r="AB8" s="4"/>
    </row>
    <row r="9" spans="1:28" ht="114">
      <c r="A9" s="8"/>
      <c r="B9" s="34"/>
      <c r="C9" s="10" t="s">
        <v>2</v>
      </c>
      <c r="D9" s="11" t="s">
        <v>31</v>
      </c>
      <c r="E9" s="4"/>
      <c r="F9" s="4"/>
      <c r="G9" s="4"/>
      <c r="H9" s="4"/>
      <c r="I9" s="4"/>
      <c r="J9" s="4"/>
      <c r="K9" s="4"/>
      <c r="L9" s="4"/>
      <c r="M9" s="4"/>
      <c r="N9" s="4"/>
      <c r="O9" s="4"/>
      <c r="P9" s="4"/>
      <c r="Q9" s="4"/>
      <c r="R9" s="4"/>
      <c r="S9" s="4"/>
      <c r="T9" s="4"/>
      <c r="U9" s="4"/>
      <c r="V9" s="4"/>
      <c r="W9" s="4"/>
      <c r="X9" s="4"/>
      <c r="Y9" s="4"/>
      <c r="Z9" s="4"/>
      <c r="AA9" s="4"/>
      <c r="AB9" s="4"/>
    </row>
    <row r="10" spans="1:28" ht="42.75">
      <c r="A10" s="8"/>
      <c r="B10" s="34"/>
      <c r="C10" s="10" t="s">
        <v>3</v>
      </c>
      <c r="D10" s="11" t="s">
        <v>32</v>
      </c>
      <c r="E10" s="4"/>
      <c r="F10" s="4"/>
      <c r="G10" s="4"/>
      <c r="H10" s="4"/>
      <c r="I10" s="4"/>
      <c r="J10" s="4"/>
      <c r="K10" s="4"/>
      <c r="L10" s="4"/>
      <c r="M10" s="4"/>
      <c r="N10" s="4"/>
      <c r="O10" s="4"/>
      <c r="P10" s="4"/>
      <c r="Q10" s="4"/>
      <c r="R10" s="4"/>
      <c r="S10" s="4"/>
      <c r="T10" s="4"/>
      <c r="U10" s="4"/>
      <c r="V10" s="4"/>
      <c r="W10" s="4"/>
      <c r="X10" s="4"/>
      <c r="Y10" s="4"/>
      <c r="Z10" s="4"/>
      <c r="AA10" s="4"/>
      <c r="AB10" s="4"/>
    </row>
    <row r="11" spans="1:28" ht="42.75">
      <c r="A11" s="8"/>
      <c r="B11" s="35"/>
      <c r="C11" s="10" t="s">
        <v>4</v>
      </c>
      <c r="D11" s="11" t="s">
        <v>33</v>
      </c>
      <c r="E11" s="4"/>
      <c r="F11" s="4"/>
      <c r="G11" s="4"/>
      <c r="H11" s="4"/>
      <c r="I11" s="4"/>
      <c r="J11" s="4"/>
      <c r="K11" s="4"/>
      <c r="L11" s="4"/>
      <c r="M11" s="4"/>
      <c r="N11" s="4"/>
      <c r="O11" s="4"/>
      <c r="P11" s="4"/>
      <c r="Q11" s="4"/>
      <c r="R11" s="4"/>
      <c r="S11" s="4"/>
      <c r="T11" s="4"/>
      <c r="U11" s="4"/>
      <c r="V11" s="4"/>
      <c r="W11" s="4"/>
      <c r="X11" s="4"/>
      <c r="Y11" s="4"/>
      <c r="Z11" s="4"/>
      <c r="AA11" s="4"/>
      <c r="AB11" s="4"/>
    </row>
    <row r="12" spans="1:28" ht="12.75">
      <c r="A12" s="4"/>
      <c r="B12" s="4"/>
      <c r="C12" s="4"/>
      <c r="D12" s="15"/>
      <c r="E12" s="4"/>
      <c r="F12" s="4"/>
      <c r="G12" s="4"/>
      <c r="H12" s="4"/>
      <c r="I12" s="4"/>
      <c r="J12" s="4"/>
      <c r="K12" s="4"/>
      <c r="L12" s="4"/>
      <c r="M12" s="4"/>
      <c r="N12" s="4"/>
      <c r="O12" s="4"/>
      <c r="P12" s="4"/>
      <c r="Q12" s="4"/>
      <c r="R12" s="4"/>
      <c r="S12" s="4"/>
      <c r="T12" s="4"/>
      <c r="U12" s="4"/>
      <c r="V12" s="4"/>
      <c r="W12" s="4"/>
      <c r="X12" s="4"/>
      <c r="Y12" s="4"/>
      <c r="Z12" s="4"/>
      <c r="AA12" s="4"/>
      <c r="AB12" s="4"/>
    </row>
    <row r="13" spans="1:28" ht="12.75" hidden="1">
      <c r="A13" s="4"/>
      <c r="B13" s="4"/>
      <c r="C13" s="4"/>
      <c r="D13" s="15"/>
      <c r="E13" s="4"/>
      <c r="F13" s="4"/>
      <c r="G13" s="4"/>
      <c r="H13" s="4"/>
      <c r="I13" s="4"/>
      <c r="J13" s="4"/>
      <c r="K13" s="4"/>
      <c r="L13" s="4"/>
      <c r="M13" s="4"/>
      <c r="N13" s="4"/>
      <c r="O13" s="4"/>
      <c r="P13" s="4"/>
      <c r="Q13" s="4"/>
      <c r="R13" s="4"/>
      <c r="S13" s="4"/>
      <c r="T13" s="4"/>
      <c r="U13" s="4"/>
      <c r="V13" s="4"/>
      <c r="W13" s="4"/>
      <c r="X13" s="4"/>
      <c r="Y13" s="4"/>
      <c r="Z13" s="4"/>
      <c r="AA13" s="4"/>
      <c r="AB13" s="4"/>
    </row>
    <row r="14" spans="1:28" ht="12.75" hidden="1">
      <c r="A14" s="4"/>
      <c r="B14" s="4"/>
      <c r="C14" s="4"/>
      <c r="D14" s="15"/>
      <c r="E14" s="4"/>
      <c r="F14" s="4"/>
      <c r="G14" s="4"/>
      <c r="H14" s="4"/>
      <c r="I14" s="4"/>
      <c r="J14" s="4"/>
      <c r="K14" s="4"/>
      <c r="L14" s="4"/>
      <c r="M14" s="4"/>
      <c r="N14" s="4"/>
      <c r="O14" s="4"/>
      <c r="P14" s="4"/>
      <c r="Q14" s="4"/>
      <c r="R14" s="4"/>
      <c r="S14" s="4"/>
      <c r="T14" s="4"/>
      <c r="U14" s="4"/>
      <c r="V14" s="4"/>
      <c r="W14" s="4"/>
      <c r="X14" s="4"/>
      <c r="Y14" s="4"/>
      <c r="Z14" s="4"/>
      <c r="AA14" s="4"/>
      <c r="AB14" s="4"/>
    </row>
    <row r="15" spans="1:28" ht="12.75" hidden="1">
      <c r="A15" s="4"/>
      <c r="B15" s="4"/>
      <c r="C15" s="4"/>
      <c r="D15" s="15"/>
      <c r="E15" s="4"/>
      <c r="F15" s="4"/>
      <c r="G15" s="4"/>
      <c r="H15" s="4"/>
      <c r="I15" s="4"/>
      <c r="J15" s="4"/>
      <c r="K15" s="4"/>
      <c r="L15" s="4"/>
      <c r="M15" s="4"/>
      <c r="N15" s="4"/>
      <c r="O15" s="4"/>
      <c r="P15" s="4"/>
      <c r="Q15" s="4"/>
      <c r="R15" s="4"/>
      <c r="S15" s="4"/>
      <c r="T15" s="4"/>
      <c r="U15" s="4"/>
      <c r="V15" s="4"/>
      <c r="W15" s="4"/>
      <c r="X15" s="4"/>
      <c r="Y15" s="4"/>
      <c r="Z15" s="4"/>
      <c r="AA15" s="4"/>
      <c r="AB15" s="4"/>
    </row>
    <row r="16" spans="1:28" ht="12.75" hidden="1">
      <c r="A16" s="4"/>
      <c r="B16" s="4"/>
      <c r="C16" s="4"/>
      <c r="D16" s="15"/>
      <c r="E16" s="4"/>
      <c r="F16" s="4"/>
      <c r="G16" s="4"/>
      <c r="H16" s="4"/>
      <c r="I16" s="4"/>
      <c r="J16" s="4"/>
      <c r="K16" s="4"/>
      <c r="L16" s="4"/>
      <c r="M16" s="4"/>
      <c r="N16" s="4"/>
      <c r="O16" s="4"/>
      <c r="P16" s="4"/>
      <c r="Q16" s="4"/>
      <c r="R16" s="4"/>
      <c r="S16" s="4"/>
      <c r="T16" s="4"/>
      <c r="U16" s="4"/>
      <c r="V16" s="4"/>
      <c r="W16" s="4"/>
      <c r="X16" s="4"/>
      <c r="Y16" s="4"/>
      <c r="Z16" s="4"/>
      <c r="AA16" s="4"/>
      <c r="AB16" s="4"/>
    </row>
    <row r="17" spans="1:28" ht="12.75" hidden="1">
      <c r="A17" s="16"/>
      <c r="B17" s="16"/>
      <c r="C17" s="4"/>
      <c r="D17" s="17"/>
      <c r="E17" s="4"/>
      <c r="F17" s="4"/>
      <c r="G17" s="4"/>
      <c r="H17" s="4"/>
      <c r="I17" s="4"/>
      <c r="J17" s="4"/>
      <c r="K17" s="4"/>
      <c r="L17" s="4"/>
      <c r="M17" s="4"/>
      <c r="N17" s="4"/>
      <c r="O17" s="4"/>
      <c r="P17" s="4"/>
      <c r="Q17" s="4"/>
      <c r="R17" s="4"/>
      <c r="S17" s="4"/>
      <c r="T17" s="4"/>
      <c r="U17" s="4"/>
      <c r="V17" s="4"/>
      <c r="W17" s="4"/>
      <c r="X17" s="4"/>
      <c r="Y17" s="4"/>
      <c r="Z17" s="4"/>
      <c r="AA17" s="4"/>
      <c r="AB17" s="4"/>
    </row>
    <row r="18" spans="1:28" ht="12.75" hidden="1">
      <c r="A18" s="4"/>
      <c r="B18" s="4"/>
      <c r="C18" s="4"/>
      <c r="D18" s="15"/>
      <c r="E18" s="4"/>
      <c r="F18" s="4"/>
      <c r="G18" s="4"/>
      <c r="H18" s="4"/>
      <c r="I18" s="4"/>
      <c r="J18" s="4"/>
      <c r="K18" s="4"/>
      <c r="L18" s="4"/>
      <c r="M18" s="4"/>
      <c r="N18" s="4"/>
      <c r="O18" s="4"/>
      <c r="P18" s="4"/>
      <c r="Q18" s="4"/>
      <c r="R18" s="4"/>
      <c r="S18" s="4"/>
      <c r="T18" s="4"/>
      <c r="U18" s="4"/>
      <c r="V18" s="4"/>
      <c r="W18" s="4"/>
      <c r="X18" s="4"/>
      <c r="Y18" s="4"/>
      <c r="Z18" s="4"/>
      <c r="AA18" s="4"/>
      <c r="AB18" s="4"/>
    </row>
    <row r="19" spans="1:28" ht="12.75" hidden="1">
      <c r="A19" s="4"/>
      <c r="B19" s="4"/>
      <c r="C19" s="4"/>
      <c r="D19" s="15"/>
      <c r="E19" s="4"/>
      <c r="F19" s="4"/>
      <c r="G19" s="4"/>
      <c r="H19" s="4"/>
      <c r="I19" s="4"/>
      <c r="J19" s="4"/>
      <c r="K19" s="4"/>
      <c r="L19" s="4"/>
      <c r="M19" s="4"/>
      <c r="N19" s="4"/>
      <c r="O19" s="4"/>
      <c r="P19" s="4"/>
      <c r="Q19" s="4"/>
      <c r="R19" s="4"/>
      <c r="S19" s="4"/>
      <c r="T19" s="4"/>
      <c r="U19" s="4"/>
      <c r="V19" s="4"/>
      <c r="W19" s="4"/>
      <c r="X19" s="4"/>
      <c r="Y19" s="4"/>
      <c r="Z19" s="4"/>
      <c r="AA19" s="4"/>
      <c r="AB19" s="4"/>
    </row>
    <row r="20" spans="1:28" ht="12.75" hidden="1">
      <c r="A20" s="4"/>
      <c r="B20" s="4"/>
      <c r="C20" s="4"/>
      <c r="D20" s="15"/>
      <c r="E20" s="4"/>
      <c r="F20" s="4"/>
      <c r="G20" s="4"/>
      <c r="H20" s="4"/>
      <c r="I20" s="4"/>
      <c r="J20" s="4"/>
      <c r="K20" s="4"/>
      <c r="L20" s="4"/>
      <c r="M20" s="4"/>
      <c r="N20" s="4"/>
      <c r="O20" s="4"/>
      <c r="P20" s="4"/>
      <c r="Q20" s="4"/>
      <c r="R20" s="4"/>
      <c r="S20" s="4"/>
      <c r="T20" s="4"/>
      <c r="U20" s="4"/>
      <c r="V20" s="4"/>
      <c r="W20" s="4"/>
      <c r="X20" s="4"/>
      <c r="Y20" s="4"/>
      <c r="Z20" s="4"/>
      <c r="AA20" s="4"/>
      <c r="AB20" s="4"/>
    </row>
    <row r="21" spans="1:28" ht="12.75" hidden="1">
      <c r="A21" s="4"/>
      <c r="B21" s="4"/>
      <c r="C21" s="4"/>
      <c r="D21" s="15"/>
      <c r="E21" s="4"/>
      <c r="F21" s="4"/>
      <c r="G21" s="4"/>
      <c r="H21" s="4"/>
      <c r="I21" s="4"/>
      <c r="J21" s="4"/>
      <c r="K21" s="4"/>
      <c r="L21" s="4"/>
      <c r="M21" s="4"/>
      <c r="N21" s="4"/>
      <c r="O21" s="4"/>
      <c r="P21" s="4"/>
      <c r="Q21" s="4"/>
      <c r="R21" s="4"/>
      <c r="S21" s="4"/>
      <c r="T21" s="4"/>
      <c r="U21" s="4"/>
      <c r="V21" s="4"/>
      <c r="W21" s="4"/>
      <c r="X21" s="4"/>
      <c r="Y21" s="4"/>
      <c r="Z21" s="4"/>
      <c r="AA21" s="4"/>
      <c r="AB21" s="4"/>
    </row>
    <row r="22" spans="1:28" ht="12.75" hidden="1">
      <c r="A22" s="4"/>
      <c r="B22" s="4"/>
      <c r="C22" s="4"/>
      <c r="D22" s="15"/>
      <c r="E22" s="4"/>
      <c r="F22" s="4"/>
      <c r="G22" s="4"/>
      <c r="H22" s="4"/>
      <c r="I22" s="4"/>
      <c r="J22" s="4"/>
      <c r="K22" s="4"/>
      <c r="L22" s="4"/>
      <c r="M22" s="4"/>
      <c r="N22" s="4"/>
      <c r="O22" s="4"/>
      <c r="P22" s="4"/>
      <c r="Q22" s="4"/>
      <c r="R22" s="4"/>
      <c r="S22" s="4"/>
      <c r="T22" s="4"/>
      <c r="U22" s="4"/>
      <c r="V22" s="4"/>
      <c r="W22" s="4"/>
      <c r="X22" s="4"/>
      <c r="Y22" s="4"/>
      <c r="Z22" s="4"/>
      <c r="AA22" s="4"/>
      <c r="AB22" s="4"/>
    </row>
    <row r="23" spans="1:28" ht="12.75" hidden="1">
      <c r="A23" s="4"/>
      <c r="B23" s="4"/>
      <c r="C23" s="4"/>
      <c r="D23" s="15"/>
      <c r="E23" s="4"/>
      <c r="F23" s="4"/>
      <c r="G23" s="4"/>
      <c r="H23" s="4"/>
      <c r="I23" s="4"/>
      <c r="J23" s="4"/>
      <c r="K23" s="4"/>
      <c r="L23" s="4"/>
      <c r="M23" s="4"/>
      <c r="N23" s="4"/>
      <c r="O23" s="4"/>
      <c r="P23" s="4"/>
      <c r="Q23" s="4"/>
      <c r="R23" s="4"/>
      <c r="S23" s="4"/>
      <c r="T23" s="4"/>
      <c r="U23" s="4"/>
      <c r="V23" s="4"/>
      <c r="W23" s="4"/>
      <c r="X23" s="4"/>
      <c r="Y23" s="4"/>
      <c r="Z23" s="4"/>
      <c r="AA23" s="4"/>
      <c r="AB23" s="4"/>
    </row>
    <row r="24" spans="1:28" ht="12.75" hidden="1">
      <c r="A24" s="4"/>
      <c r="B24" s="4"/>
      <c r="C24" s="4"/>
      <c r="D24" s="15"/>
      <c r="E24" s="4"/>
      <c r="F24" s="4"/>
      <c r="G24" s="4"/>
      <c r="H24" s="4"/>
      <c r="I24" s="4"/>
      <c r="J24" s="4"/>
      <c r="K24" s="4"/>
      <c r="L24" s="4"/>
      <c r="M24" s="4"/>
      <c r="N24" s="4"/>
      <c r="O24" s="4"/>
      <c r="P24" s="4"/>
      <c r="Q24" s="4"/>
      <c r="R24" s="4"/>
      <c r="S24" s="4"/>
      <c r="T24" s="4"/>
      <c r="U24" s="4"/>
      <c r="V24" s="4"/>
      <c r="W24" s="4"/>
      <c r="X24" s="4"/>
      <c r="Y24" s="4"/>
      <c r="Z24" s="4"/>
      <c r="AA24" s="4"/>
      <c r="AB24" s="4"/>
    </row>
    <row r="25" spans="1:28" ht="12.75" hidden="1">
      <c r="A25" s="4"/>
      <c r="B25" s="4"/>
      <c r="C25" s="4"/>
      <c r="D25" s="15"/>
      <c r="E25" s="4"/>
      <c r="F25" s="4"/>
      <c r="G25" s="4"/>
      <c r="H25" s="4"/>
      <c r="I25" s="4"/>
      <c r="J25" s="4"/>
      <c r="K25" s="4"/>
      <c r="L25" s="4"/>
      <c r="M25" s="4"/>
      <c r="N25" s="4"/>
      <c r="O25" s="4"/>
      <c r="P25" s="4"/>
      <c r="Q25" s="4"/>
      <c r="R25" s="4"/>
      <c r="S25" s="4"/>
      <c r="T25" s="4"/>
      <c r="U25" s="4"/>
      <c r="V25" s="4"/>
      <c r="W25" s="4"/>
      <c r="X25" s="4"/>
      <c r="Y25" s="4"/>
      <c r="Z25" s="4"/>
      <c r="AA25" s="4"/>
      <c r="AB25" s="4"/>
    </row>
    <row r="26" spans="1:28" ht="12.75" hidden="1">
      <c r="A26" s="4"/>
      <c r="B26" s="4"/>
      <c r="C26" s="4"/>
      <c r="D26" s="15"/>
      <c r="E26" s="4"/>
      <c r="F26" s="4"/>
      <c r="G26" s="4"/>
      <c r="H26" s="4"/>
      <c r="I26" s="4"/>
      <c r="J26" s="4"/>
      <c r="K26" s="4"/>
      <c r="L26" s="4"/>
      <c r="M26" s="4"/>
      <c r="N26" s="4"/>
      <c r="O26" s="4"/>
      <c r="P26" s="4"/>
      <c r="Q26" s="4"/>
      <c r="R26" s="4"/>
      <c r="S26" s="4"/>
      <c r="T26" s="4"/>
      <c r="U26" s="4"/>
      <c r="V26" s="4"/>
      <c r="W26" s="4"/>
      <c r="X26" s="4"/>
      <c r="Y26" s="4"/>
      <c r="Z26" s="4"/>
      <c r="AA26" s="4"/>
      <c r="AB26" s="4"/>
    </row>
    <row r="27" spans="1:28" ht="12.75" hidden="1">
      <c r="A27" s="4"/>
      <c r="B27" s="4"/>
      <c r="C27" s="4"/>
      <c r="D27" s="15"/>
      <c r="E27" s="4"/>
      <c r="F27" s="4"/>
      <c r="G27" s="4"/>
      <c r="H27" s="4"/>
      <c r="I27" s="4"/>
      <c r="J27" s="4"/>
      <c r="K27" s="4"/>
      <c r="L27" s="4"/>
      <c r="M27" s="4"/>
      <c r="N27" s="4"/>
      <c r="O27" s="4"/>
      <c r="P27" s="4"/>
      <c r="Q27" s="4"/>
      <c r="R27" s="4"/>
      <c r="S27" s="4"/>
      <c r="T27" s="4"/>
      <c r="U27" s="4"/>
      <c r="V27" s="4"/>
      <c r="W27" s="4"/>
      <c r="X27" s="4"/>
      <c r="Y27" s="4"/>
      <c r="Z27" s="4"/>
      <c r="AA27" s="4"/>
      <c r="AB27" s="4"/>
    </row>
    <row r="28" spans="1:28" ht="12.75" hidden="1">
      <c r="A28" s="4"/>
      <c r="B28" s="4"/>
      <c r="C28" s="4"/>
      <c r="D28" s="15"/>
      <c r="E28" s="4"/>
      <c r="F28" s="4"/>
      <c r="G28" s="4"/>
      <c r="H28" s="4"/>
      <c r="I28" s="4"/>
      <c r="J28" s="4"/>
      <c r="K28" s="4"/>
      <c r="L28" s="4"/>
      <c r="M28" s="4"/>
      <c r="N28" s="4"/>
      <c r="O28" s="4"/>
      <c r="P28" s="4"/>
      <c r="Q28" s="4"/>
      <c r="R28" s="4"/>
      <c r="S28" s="4"/>
      <c r="T28" s="4"/>
      <c r="U28" s="4"/>
      <c r="V28" s="4"/>
      <c r="W28" s="4"/>
      <c r="X28" s="4"/>
      <c r="Y28" s="4"/>
      <c r="Z28" s="4"/>
      <c r="AA28" s="4"/>
      <c r="AB28" s="4"/>
    </row>
    <row r="29" spans="1:28" ht="12.75" hidden="1">
      <c r="A29" s="4"/>
      <c r="B29" s="4"/>
      <c r="C29" s="4"/>
      <c r="D29" s="15"/>
      <c r="E29" s="4"/>
      <c r="F29" s="4"/>
      <c r="G29" s="4"/>
      <c r="H29" s="4"/>
      <c r="I29" s="4"/>
      <c r="J29" s="4"/>
      <c r="K29" s="4"/>
      <c r="L29" s="4"/>
      <c r="M29" s="4"/>
      <c r="N29" s="4"/>
      <c r="O29" s="4"/>
      <c r="P29" s="4"/>
      <c r="Q29" s="4"/>
      <c r="R29" s="4"/>
      <c r="S29" s="4"/>
      <c r="T29" s="4"/>
      <c r="U29" s="4"/>
      <c r="V29" s="4"/>
      <c r="W29" s="4"/>
      <c r="X29" s="4"/>
      <c r="Y29" s="4"/>
      <c r="Z29" s="4"/>
      <c r="AA29" s="4"/>
      <c r="AB29" s="4"/>
    </row>
    <row r="30" spans="1:28" ht="12.75" hidden="1">
      <c r="A30" s="4"/>
      <c r="B30" s="4"/>
      <c r="C30" s="4"/>
      <c r="D30" s="15"/>
      <c r="E30" s="4"/>
      <c r="F30" s="4"/>
      <c r="G30" s="4"/>
      <c r="H30" s="4"/>
      <c r="I30" s="4"/>
      <c r="J30" s="4"/>
      <c r="K30" s="4"/>
      <c r="L30" s="4"/>
      <c r="M30" s="4"/>
      <c r="N30" s="4"/>
      <c r="O30" s="4"/>
      <c r="P30" s="4"/>
      <c r="Q30" s="4"/>
      <c r="R30" s="4"/>
      <c r="S30" s="4"/>
      <c r="T30" s="4"/>
      <c r="U30" s="4"/>
      <c r="V30" s="4"/>
      <c r="W30" s="4"/>
      <c r="X30" s="4"/>
      <c r="Y30" s="4"/>
      <c r="Z30" s="4"/>
      <c r="AA30" s="4"/>
      <c r="AB30" s="4"/>
    </row>
    <row r="31" spans="1:28" ht="12.75" hidden="1">
      <c r="A31" s="4"/>
      <c r="B31" s="4"/>
      <c r="C31" s="4"/>
      <c r="D31" s="15"/>
      <c r="E31" s="4"/>
      <c r="F31" s="4"/>
      <c r="G31" s="4"/>
      <c r="H31" s="4"/>
      <c r="I31" s="4"/>
      <c r="J31" s="4"/>
      <c r="K31" s="4"/>
      <c r="L31" s="4"/>
      <c r="M31" s="4"/>
      <c r="N31" s="4"/>
      <c r="O31" s="4"/>
      <c r="P31" s="4"/>
      <c r="Q31" s="4"/>
      <c r="R31" s="4"/>
      <c r="S31" s="4"/>
      <c r="T31" s="4"/>
      <c r="U31" s="4"/>
      <c r="V31" s="4"/>
      <c r="W31" s="4"/>
      <c r="X31" s="4"/>
      <c r="Y31" s="4"/>
      <c r="Z31" s="4"/>
      <c r="AA31" s="4"/>
      <c r="AB31" s="4"/>
    </row>
    <row r="32" spans="1:28" ht="12.75" hidden="1">
      <c r="A32" s="4"/>
      <c r="B32" s="4"/>
      <c r="C32" s="4"/>
      <c r="D32" s="15"/>
      <c r="E32" s="4"/>
      <c r="F32" s="4"/>
      <c r="G32" s="4"/>
      <c r="H32" s="4"/>
      <c r="I32" s="4"/>
      <c r="J32" s="4"/>
      <c r="K32" s="4"/>
      <c r="L32" s="4"/>
      <c r="M32" s="4"/>
      <c r="N32" s="4"/>
      <c r="O32" s="4"/>
      <c r="P32" s="4"/>
      <c r="Q32" s="4"/>
      <c r="R32" s="4"/>
      <c r="S32" s="4"/>
      <c r="T32" s="4"/>
      <c r="U32" s="4"/>
      <c r="V32" s="4"/>
      <c r="W32" s="4"/>
      <c r="X32" s="4"/>
      <c r="Y32" s="4"/>
      <c r="Z32" s="4"/>
      <c r="AA32" s="4"/>
      <c r="AB32" s="4"/>
    </row>
    <row r="33" spans="1:28" ht="12.75" hidden="1">
      <c r="A33" s="4"/>
      <c r="B33" s="4"/>
      <c r="C33" s="4"/>
      <c r="D33" s="15"/>
      <c r="E33" s="4"/>
      <c r="F33" s="4"/>
      <c r="G33" s="4"/>
      <c r="H33" s="4"/>
      <c r="I33" s="4"/>
      <c r="J33" s="4"/>
      <c r="K33" s="4"/>
      <c r="L33" s="4"/>
      <c r="M33" s="4"/>
      <c r="N33" s="4"/>
      <c r="O33" s="4"/>
      <c r="P33" s="4"/>
      <c r="Q33" s="4"/>
      <c r="R33" s="4"/>
      <c r="S33" s="4"/>
      <c r="T33" s="4"/>
      <c r="U33" s="4"/>
      <c r="V33" s="4"/>
      <c r="W33" s="4"/>
      <c r="X33" s="4"/>
      <c r="Y33" s="4"/>
      <c r="Z33" s="4"/>
      <c r="AA33" s="4"/>
      <c r="AB33" s="4"/>
    </row>
    <row r="34" spans="1:28" ht="12.75" hidden="1">
      <c r="A34" s="4"/>
      <c r="B34" s="4"/>
      <c r="C34" s="4"/>
      <c r="D34" s="15"/>
      <c r="E34" s="4"/>
      <c r="F34" s="4"/>
      <c r="G34" s="4"/>
      <c r="H34" s="4"/>
      <c r="I34" s="4"/>
      <c r="J34" s="4"/>
      <c r="K34" s="4"/>
      <c r="L34" s="4"/>
      <c r="M34" s="4"/>
      <c r="N34" s="4"/>
      <c r="O34" s="4"/>
      <c r="P34" s="4"/>
      <c r="Q34" s="4"/>
      <c r="R34" s="4"/>
      <c r="S34" s="4"/>
      <c r="T34" s="4"/>
      <c r="U34" s="4"/>
      <c r="V34" s="4"/>
      <c r="W34" s="4"/>
      <c r="X34" s="4"/>
      <c r="Y34" s="4"/>
      <c r="Z34" s="4"/>
      <c r="AA34" s="4"/>
      <c r="AB34" s="4"/>
    </row>
    <row r="35" spans="1:28" ht="12.75" hidden="1">
      <c r="A35" s="4"/>
      <c r="B35" s="4"/>
      <c r="C35" s="4"/>
      <c r="D35" s="15"/>
      <c r="E35" s="4"/>
      <c r="F35" s="4"/>
      <c r="G35" s="4"/>
      <c r="H35" s="4"/>
      <c r="I35" s="4"/>
      <c r="J35" s="4"/>
      <c r="K35" s="4"/>
      <c r="L35" s="4"/>
      <c r="M35" s="4"/>
      <c r="N35" s="4"/>
      <c r="O35" s="4"/>
      <c r="P35" s="4"/>
      <c r="Q35" s="4"/>
      <c r="R35" s="4"/>
      <c r="S35" s="4"/>
      <c r="T35" s="4"/>
      <c r="U35" s="4"/>
      <c r="V35" s="4"/>
      <c r="W35" s="4"/>
      <c r="X35" s="4"/>
      <c r="Y35" s="4"/>
      <c r="Z35" s="4"/>
      <c r="AA35" s="4"/>
      <c r="AB35" s="4"/>
    </row>
    <row r="36" spans="1:28" ht="12.75" hidden="1">
      <c r="A36" s="4"/>
      <c r="B36" s="4"/>
      <c r="C36" s="4"/>
      <c r="D36" s="15"/>
      <c r="E36" s="4"/>
      <c r="F36" s="4"/>
      <c r="G36" s="4"/>
      <c r="H36" s="4"/>
      <c r="I36" s="4"/>
      <c r="J36" s="4"/>
      <c r="K36" s="4"/>
      <c r="L36" s="4"/>
      <c r="M36" s="4"/>
      <c r="N36" s="4"/>
      <c r="O36" s="4"/>
      <c r="P36" s="4"/>
      <c r="Q36" s="4"/>
      <c r="R36" s="4"/>
      <c r="S36" s="4"/>
      <c r="T36" s="4"/>
      <c r="U36" s="4"/>
      <c r="V36" s="4"/>
      <c r="W36" s="4"/>
      <c r="X36" s="4"/>
      <c r="Y36" s="4"/>
      <c r="Z36" s="4"/>
      <c r="AA36" s="4"/>
      <c r="AB36" s="4"/>
    </row>
    <row r="37" spans="1:28" ht="12.75" hidden="1">
      <c r="A37" s="4"/>
      <c r="B37" s="4"/>
      <c r="C37" s="4"/>
      <c r="D37" s="15"/>
      <c r="E37" s="4"/>
      <c r="F37" s="4"/>
      <c r="G37" s="4"/>
      <c r="H37" s="4"/>
      <c r="I37" s="4"/>
      <c r="J37" s="4"/>
      <c r="K37" s="4"/>
      <c r="L37" s="4"/>
      <c r="M37" s="4"/>
      <c r="N37" s="4"/>
      <c r="O37" s="4"/>
      <c r="P37" s="4"/>
      <c r="Q37" s="4"/>
      <c r="R37" s="4"/>
      <c r="S37" s="4"/>
      <c r="T37" s="4"/>
      <c r="U37" s="4"/>
      <c r="V37" s="4"/>
      <c r="W37" s="4"/>
      <c r="X37" s="4"/>
      <c r="Y37" s="4"/>
      <c r="Z37" s="4"/>
      <c r="AA37" s="4"/>
      <c r="AB37" s="4"/>
    </row>
    <row r="38" spans="1:28" ht="12.75" hidden="1">
      <c r="A38" s="4"/>
      <c r="B38" s="4"/>
      <c r="C38" s="4"/>
      <c r="D38" s="15"/>
      <c r="E38" s="4"/>
      <c r="F38" s="4"/>
      <c r="G38" s="4"/>
      <c r="H38" s="4"/>
      <c r="I38" s="4"/>
      <c r="J38" s="4"/>
      <c r="K38" s="4"/>
      <c r="L38" s="4"/>
      <c r="M38" s="4"/>
      <c r="N38" s="4"/>
      <c r="O38" s="4"/>
      <c r="P38" s="4"/>
      <c r="Q38" s="4"/>
      <c r="R38" s="4"/>
      <c r="S38" s="4"/>
      <c r="T38" s="4"/>
      <c r="U38" s="4"/>
      <c r="V38" s="4"/>
      <c r="W38" s="4"/>
      <c r="X38" s="4"/>
      <c r="Y38" s="4"/>
      <c r="Z38" s="4"/>
      <c r="AA38" s="4"/>
      <c r="AB38" s="4"/>
    </row>
    <row r="39" spans="1:28" ht="12.75" hidden="1">
      <c r="A39" s="4"/>
      <c r="B39" s="4"/>
      <c r="C39" s="4"/>
      <c r="D39" s="15"/>
      <c r="E39" s="4"/>
      <c r="F39" s="4"/>
      <c r="G39" s="4"/>
      <c r="H39" s="4"/>
      <c r="I39" s="4"/>
      <c r="J39" s="4"/>
      <c r="K39" s="4"/>
      <c r="L39" s="4"/>
      <c r="M39" s="4"/>
      <c r="N39" s="4"/>
      <c r="O39" s="4"/>
      <c r="P39" s="4"/>
      <c r="Q39" s="4"/>
      <c r="R39" s="4"/>
      <c r="S39" s="4"/>
      <c r="T39" s="4"/>
      <c r="U39" s="4"/>
      <c r="V39" s="4"/>
      <c r="W39" s="4"/>
      <c r="X39" s="4"/>
      <c r="Y39" s="4"/>
      <c r="Z39" s="4"/>
      <c r="AA39" s="4"/>
      <c r="AB39" s="4"/>
    </row>
    <row r="40" spans="1:28" ht="12.75" hidden="1">
      <c r="A40" s="4"/>
      <c r="B40" s="4"/>
      <c r="C40" s="4"/>
      <c r="D40" s="15"/>
      <c r="E40" s="4"/>
      <c r="F40" s="4"/>
      <c r="G40" s="4"/>
      <c r="H40" s="4"/>
      <c r="I40" s="4"/>
      <c r="J40" s="4"/>
      <c r="K40" s="4"/>
      <c r="L40" s="4"/>
      <c r="M40" s="4"/>
      <c r="N40" s="4"/>
      <c r="O40" s="4"/>
      <c r="P40" s="4"/>
      <c r="Q40" s="4"/>
      <c r="R40" s="4"/>
      <c r="S40" s="4"/>
      <c r="T40" s="4"/>
      <c r="U40" s="4"/>
      <c r="V40" s="4"/>
      <c r="W40" s="4"/>
      <c r="X40" s="4"/>
      <c r="Y40" s="4"/>
      <c r="Z40" s="4"/>
      <c r="AA40" s="4"/>
      <c r="AB40" s="4"/>
    </row>
    <row r="41" spans="1:28" ht="12.75" hidden="1">
      <c r="A41" s="4"/>
      <c r="B41" s="4"/>
      <c r="C41" s="4"/>
      <c r="D41" s="15"/>
      <c r="E41" s="4"/>
      <c r="F41" s="4"/>
      <c r="G41" s="4"/>
      <c r="H41" s="4"/>
      <c r="I41" s="4"/>
      <c r="J41" s="4"/>
      <c r="K41" s="4"/>
      <c r="L41" s="4"/>
      <c r="M41" s="4"/>
      <c r="N41" s="4"/>
      <c r="O41" s="4"/>
      <c r="P41" s="4"/>
      <c r="Q41" s="4"/>
      <c r="R41" s="4"/>
      <c r="S41" s="4"/>
      <c r="T41" s="4"/>
      <c r="U41" s="4"/>
      <c r="V41" s="4"/>
      <c r="W41" s="4"/>
      <c r="X41" s="4"/>
      <c r="Y41" s="4"/>
      <c r="Z41" s="4"/>
      <c r="AA41" s="4"/>
      <c r="AB41" s="4"/>
    </row>
    <row r="42" spans="1:28" ht="12.75" hidden="1">
      <c r="A42" s="4"/>
      <c r="B42" s="4"/>
      <c r="C42" s="4"/>
      <c r="D42" s="15"/>
      <c r="E42" s="4"/>
      <c r="F42" s="4"/>
      <c r="G42" s="4"/>
      <c r="H42" s="4"/>
      <c r="I42" s="4"/>
      <c r="J42" s="4"/>
      <c r="K42" s="4"/>
      <c r="L42" s="4"/>
      <c r="M42" s="4"/>
      <c r="N42" s="4"/>
      <c r="O42" s="4"/>
      <c r="P42" s="4"/>
      <c r="Q42" s="4"/>
      <c r="R42" s="4"/>
      <c r="S42" s="4"/>
      <c r="T42" s="4"/>
      <c r="U42" s="4"/>
      <c r="V42" s="4"/>
      <c r="W42" s="4"/>
      <c r="X42" s="4"/>
      <c r="Y42" s="4"/>
      <c r="Z42" s="4"/>
      <c r="AA42" s="4"/>
      <c r="AB42" s="4"/>
    </row>
    <row r="43" spans="1:28" ht="12.75" hidden="1">
      <c r="A43" s="4"/>
      <c r="B43" s="4"/>
      <c r="C43" s="4"/>
      <c r="D43" s="15"/>
      <c r="E43" s="4"/>
      <c r="F43" s="4"/>
      <c r="G43" s="4"/>
      <c r="H43" s="4"/>
      <c r="I43" s="4"/>
      <c r="J43" s="4"/>
      <c r="K43" s="4"/>
      <c r="L43" s="4"/>
      <c r="M43" s="4"/>
      <c r="N43" s="4"/>
      <c r="O43" s="4"/>
      <c r="P43" s="4"/>
      <c r="Q43" s="4"/>
      <c r="R43" s="4"/>
      <c r="S43" s="4"/>
      <c r="T43" s="4"/>
      <c r="U43" s="4"/>
      <c r="V43" s="4"/>
      <c r="W43" s="4"/>
      <c r="X43" s="4"/>
      <c r="Y43" s="4"/>
      <c r="Z43" s="4"/>
      <c r="AA43" s="4"/>
      <c r="AB43" s="4"/>
    </row>
    <row r="44" spans="1:28" ht="12.75" hidden="1">
      <c r="A44" s="4"/>
      <c r="B44" s="4"/>
      <c r="C44" s="4"/>
      <c r="D44" s="15"/>
      <c r="E44" s="4"/>
      <c r="F44" s="4"/>
      <c r="G44" s="4"/>
      <c r="H44" s="4"/>
      <c r="I44" s="4"/>
      <c r="J44" s="4"/>
      <c r="K44" s="4"/>
      <c r="L44" s="4"/>
      <c r="M44" s="4"/>
      <c r="N44" s="4"/>
      <c r="O44" s="4"/>
      <c r="P44" s="4"/>
      <c r="Q44" s="4"/>
      <c r="R44" s="4"/>
      <c r="S44" s="4"/>
      <c r="T44" s="4"/>
      <c r="U44" s="4"/>
      <c r="V44" s="4"/>
      <c r="W44" s="4"/>
      <c r="X44" s="4"/>
      <c r="Y44" s="4"/>
      <c r="Z44" s="4"/>
      <c r="AA44" s="4"/>
      <c r="AB44" s="4"/>
    </row>
    <row r="45" spans="1:28" ht="12.75" hidden="1">
      <c r="A45" s="4"/>
      <c r="B45" s="4"/>
      <c r="C45" s="4"/>
      <c r="D45" s="15"/>
      <c r="E45" s="4"/>
      <c r="F45" s="4"/>
      <c r="G45" s="4"/>
      <c r="H45" s="4"/>
      <c r="I45" s="4"/>
      <c r="J45" s="4"/>
      <c r="K45" s="4"/>
      <c r="L45" s="4"/>
      <c r="M45" s="4"/>
      <c r="N45" s="4"/>
      <c r="O45" s="4"/>
      <c r="P45" s="4"/>
      <c r="Q45" s="4"/>
      <c r="R45" s="4"/>
      <c r="S45" s="4"/>
      <c r="T45" s="4"/>
      <c r="U45" s="4"/>
      <c r="V45" s="4"/>
      <c r="W45" s="4"/>
      <c r="X45" s="4"/>
      <c r="Y45" s="4"/>
      <c r="Z45" s="4"/>
      <c r="AA45" s="4"/>
      <c r="AB45" s="4"/>
    </row>
    <row r="46" spans="1:28" ht="12.75" hidden="1">
      <c r="A46" s="4"/>
      <c r="B46" s="4"/>
      <c r="C46" s="4"/>
      <c r="D46" s="15"/>
      <c r="E46" s="4"/>
      <c r="F46" s="4"/>
      <c r="G46" s="4"/>
      <c r="H46" s="4"/>
      <c r="I46" s="4"/>
      <c r="J46" s="4"/>
      <c r="K46" s="4"/>
      <c r="L46" s="4"/>
      <c r="M46" s="4"/>
      <c r="N46" s="4"/>
      <c r="O46" s="4"/>
      <c r="P46" s="4"/>
      <c r="Q46" s="4"/>
      <c r="R46" s="4"/>
      <c r="S46" s="4"/>
      <c r="T46" s="4"/>
      <c r="U46" s="4"/>
      <c r="V46" s="4"/>
      <c r="W46" s="4"/>
      <c r="X46" s="4"/>
      <c r="Y46" s="4"/>
      <c r="Z46" s="4"/>
      <c r="AA46" s="4"/>
      <c r="AB46" s="4"/>
    </row>
    <row r="47" spans="1:28" ht="12.75" hidden="1">
      <c r="A47" s="4"/>
      <c r="B47" s="4"/>
      <c r="C47" s="4"/>
      <c r="D47" s="15"/>
      <c r="E47" s="4"/>
      <c r="F47" s="4"/>
      <c r="G47" s="4"/>
      <c r="H47" s="4"/>
      <c r="I47" s="4"/>
      <c r="J47" s="4"/>
      <c r="K47" s="4"/>
      <c r="L47" s="4"/>
      <c r="M47" s="4"/>
      <c r="N47" s="4"/>
      <c r="O47" s="4"/>
      <c r="P47" s="4"/>
      <c r="Q47" s="4"/>
      <c r="R47" s="4"/>
      <c r="S47" s="4"/>
      <c r="T47" s="4"/>
      <c r="U47" s="4"/>
      <c r="V47" s="4"/>
      <c r="W47" s="4"/>
      <c r="X47" s="4"/>
      <c r="Y47" s="4"/>
      <c r="Z47" s="4"/>
      <c r="AA47" s="4"/>
      <c r="AB47" s="4"/>
    </row>
    <row r="48" spans="1:28" ht="12.75" hidden="1">
      <c r="A48" s="4"/>
      <c r="B48" s="4"/>
      <c r="C48" s="4"/>
      <c r="D48" s="15"/>
      <c r="E48" s="4"/>
      <c r="F48" s="4"/>
      <c r="G48" s="4"/>
      <c r="H48" s="4"/>
      <c r="I48" s="4"/>
      <c r="J48" s="4"/>
      <c r="K48" s="4"/>
      <c r="L48" s="4"/>
      <c r="M48" s="4"/>
      <c r="N48" s="4"/>
      <c r="O48" s="4"/>
      <c r="P48" s="4"/>
      <c r="Q48" s="4"/>
      <c r="R48" s="4"/>
      <c r="S48" s="4"/>
      <c r="T48" s="4"/>
      <c r="U48" s="4"/>
      <c r="V48" s="4"/>
      <c r="W48" s="4"/>
      <c r="X48" s="4"/>
      <c r="Y48" s="4"/>
      <c r="Z48" s="4"/>
      <c r="AA48" s="4"/>
      <c r="AB48" s="4"/>
    </row>
    <row r="49" spans="1:28" ht="12.75" hidden="1">
      <c r="A49" s="4"/>
      <c r="B49" s="4"/>
      <c r="C49" s="4"/>
      <c r="D49" s="15"/>
      <c r="E49" s="4"/>
      <c r="F49" s="4"/>
      <c r="G49" s="4"/>
      <c r="H49" s="4"/>
      <c r="I49" s="4"/>
      <c r="J49" s="4"/>
      <c r="K49" s="4"/>
      <c r="L49" s="4"/>
      <c r="M49" s="4"/>
      <c r="N49" s="4"/>
      <c r="O49" s="4"/>
      <c r="P49" s="4"/>
      <c r="Q49" s="4"/>
      <c r="R49" s="4"/>
      <c r="S49" s="4"/>
      <c r="T49" s="4"/>
      <c r="U49" s="4"/>
      <c r="V49" s="4"/>
      <c r="W49" s="4"/>
      <c r="X49" s="4"/>
      <c r="Y49" s="4"/>
      <c r="Z49" s="4"/>
      <c r="AA49" s="4"/>
      <c r="AB49" s="4"/>
    </row>
    <row r="50" spans="1:28" ht="12.75" hidden="1">
      <c r="A50" s="4"/>
      <c r="B50" s="4"/>
      <c r="C50" s="4"/>
      <c r="D50" s="15"/>
      <c r="E50" s="4"/>
      <c r="F50" s="4"/>
      <c r="G50" s="4"/>
      <c r="H50" s="4"/>
      <c r="I50" s="4"/>
      <c r="J50" s="4"/>
      <c r="K50" s="4"/>
      <c r="L50" s="4"/>
      <c r="M50" s="4"/>
      <c r="N50" s="4"/>
      <c r="O50" s="4"/>
      <c r="P50" s="4"/>
      <c r="Q50" s="4"/>
      <c r="R50" s="4"/>
      <c r="S50" s="4"/>
      <c r="T50" s="4"/>
      <c r="U50" s="4"/>
      <c r="V50" s="4"/>
      <c r="W50" s="4"/>
      <c r="X50" s="4"/>
      <c r="Y50" s="4"/>
      <c r="Z50" s="4"/>
      <c r="AA50" s="4"/>
      <c r="AB50" s="4"/>
    </row>
    <row r="51" spans="1:28" ht="12.75" hidden="1">
      <c r="A51" s="4"/>
      <c r="B51" s="4"/>
      <c r="C51" s="4"/>
      <c r="D51" s="15"/>
      <c r="E51" s="4"/>
      <c r="F51" s="4"/>
      <c r="G51" s="4"/>
      <c r="H51" s="4"/>
      <c r="I51" s="4"/>
      <c r="J51" s="4"/>
      <c r="K51" s="4"/>
      <c r="L51" s="4"/>
      <c r="M51" s="4"/>
      <c r="N51" s="4"/>
      <c r="O51" s="4"/>
      <c r="P51" s="4"/>
      <c r="Q51" s="4"/>
      <c r="R51" s="4"/>
      <c r="S51" s="4"/>
      <c r="T51" s="4"/>
      <c r="U51" s="4"/>
      <c r="V51" s="4"/>
      <c r="W51" s="4"/>
      <c r="X51" s="4"/>
      <c r="Y51" s="4"/>
      <c r="Z51" s="4"/>
      <c r="AA51" s="4"/>
      <c r="AB51" s="4"/>
    </row>
    <row r="52" spans="1:28" ht="12.75" hidden="1">
      <c r="A52" s="4"/>
      <c r="B52" s="4"/>
      <c r="C52" s="4"/>
      <c r="D52" s="15"/>
      <c r="E52" s="4"/>
      <c r="F52" s="4"/>
      <c r="G52" s="4"/>
      <c r="H52" s="4"/>
      <c r="I52" s="4"/>
      <c r="J52" s="4"/>
      <c r="K52" s="4"/>
      <c r="L52" s="4"/>
      <c r="M52" s="4"/>
      <c r="N52" s="4"/>
      <c r="O52" s="4"/>
      <c r="P52" s="4"/>
      <c r="Q52" s="4"/>
      <c r="R52" s="4"/>
      <c r="S52" s="4"/>
      <c r="T52" s="4"/>
      <c r="U52" s="4"/>
      <c r="V52" s="4"/>
      <c r="W52" s="4"/>
      <c r="X52" s="4"/>
      <c r="Y52" s="4"/>
      <c r="Z52" s="4"/>
      <c r="AA52" s="4"/>
      <c r="AB52" s="4"/>
    </row>
    <row r="53" spans="1:28" ht="12.75" hidden="1">
      <c r="A53" s="4"/>
      <c r="B53" s="4"/>
      <c r="C53" s="4"/>
      <c r="D53" s="15"/>
      <c r="E53" s="4"/>
      <c r="F53" s="4"/>
      <c r="G53" s="4"/>
      <c r="H53" s="4"/>
      <c r="I53" s="4"/>
      <c r="J53" s="4"/>
      <c r="K53" s="4"/>
      <c r="L53" s="4"/>
      <c r="M53" s="4"/>
      <c r="N53" s="4"/>
      <c r="O53" s="4"/>
      <c r="P53" s="4"/>
      <c r="Q53" s="4"/>
      <c r="R53" s="4"/>
      <c r="S53" s="4"/>
      <c r="T53" s="4"/>
      <c r="U53" s="4"/>
      <c r="V53" s="4"/>
      <c r="W53" s="4"/>
      <c r="X53" s="4"/>
      <c r="Y53" s="4"/>
      <c r="Z53" s="4"/>
      <c r="AA53" s="4"/>
      <c r="AB53" s="4"/>
    </row>
    <row r="54" spans="1:28" ht="12.75" hidden="1">
      <c r="A54" s="4"/>
      <c r="B54" s="4"/>
      <c r="C54" s="4"/>
      <c r="D54" s="15"/>
      <c r="E54" s="4"/>
      <c r="F54" s="4"/>
      <c r="G54" s="4"/>
      <c r="H54" s="4"/>
      <c r="I54" s="4"/>
      <c r="J54" s="4"/>
      <c r="K54" s="4"/>
      <c r="L54" s="4"/>
      <c r="M54" s="4"/>
      <c r="N54" s="4"/>
      <c r="O54" s="4"/>
      <c r="P54" s="4"/>
      <c r="Q54" s="4"/>
      <c r="R54" s="4"/>
      <c r="S54" s="4"/>
      <c r="T54" s="4"/>
      <c r="U54" s="4"/>
      <c r="V54" s="4"/>
      <c r="W54" s="4"/>
      <c r="X54" s="4"/>
      <c r="Y54" s="4"/>
      <c r="Z54" s="4"/>
      <c r="AA54" s="4"/>
      <c r="AB54" s="4"/>
    </row>
    <row r="55" spans="1:28" ht="12.75" hidden="1">
      <c r="A55" s="4"/>
      <c r="B55" s="4"/>
      <c r="C55" s="4"/>
      <c r="D55" s="15"/>
      <c r="E55" s="4"/>
      <c r="F55" s="4"/>
      <c r="G55" s="4"/>
      <c r="H55" s="4"/>
      <c r="I55" s="4"/>
      <c r="J55" s="4"/>
      <c r="K55" s="4"/>
      <c r="L55" s="4"/>
      <c r="M55" s="4"/>
      <c r="N55" s="4"/>
      <c r="O55" s="4"/>
      <c r="P55" s="4"/>
      <c r="Q55" s="4"/>
      <c r="R55" s="4"/>
      <c r="S55" s="4"/>
      <c r="T55" s="4"/>
      <c r="U55" s="4"/>
      <c r="V55" s="4"/>
      <c r="W55" s="4"/>
      <c r="X55" s="4"/>
      <c r="Y55" s="4"/>
      <c r="Z55" s="4"/>
      <c r="AA55" s="4"/>
      <c r="AB55" s="4"/>
    </row>
    <row r="56" spans="1:28" ht="12.75" hidden="1">
      <c r="A56" s="4"/>
      <c r="B56" s="4"/>
      <c r="C56" s="4"/>
      <c r="D56" s="15"/>
      <c r="E56" s="4"/>
      <c r="F56" s="4"/>
      <c r="G56" s="4"/>
      <c r="H56" s="4"/>
      <c r="I56" s="4"/>
      <c r="J56" s="4"/>
      <c r="K56" s="4"/>
      <c r="L56" s="4"/>
      <c r="M56" s="4"/>
      <c r="N56" s="4"/>
      <c r="O56" s="4"/>
      <c r="P56" s="4"/>
      <c r="Q56" s="4"/>
      <c r="R56" s="4"/>
      <c r="S56" s="4"/>
      <c r="T56" s="4"/>
      <c r="U56" s="4"/>
      <c r="V56" s="4"/>
      <c r="W56" s="4"/>
      <c r="X56" s="4"/>
      <c r="Y56" s="4"/>
      <c r="Z56" s="4"/>
      <c r="AA56" s="4"/>
      <c r="AB56" s="4"/>
    </row>
    <row r="57" spans="1:28" ht="12.75" hidden="1">
      <c r="A57" s="4"/>
      <c r="B57" s="4"/>
      <c r="C57" s="4"/>
      <c r="D57" s="15"/>
      <c r="E57" s="4"/>
      <c r="F57" s="4"/>
      <c r="G57" s="4"/>
      <c r="H57" s="4"/>
      <c r="I57" s="4"/>
      <c r="J57" s="4"/>
      <c r="K57" s="4"/>
      <c r="L57" s="4"/>
      <c r="M57" s="4"/>
      <c r="N57" s="4"/>
      <c r="O57" s="4"/>
      <c r="P57" s="4"/>
      <c r="Q57" s="4"/>
      <c r="R57" s="4"/>
      <c r="S57" s="4"/>
      <c r="T57" s="4"/>
      <c r="U57" s="4"/>
      <c r="V57" s="4"/>
      <c r="W57" s="4"/>
      <c r="X57" s="4"/>
      <c r="Y57" s="4"/>
      <c r="Z57" s="4"/>
      <c r="AA57" s="4"/>
      <c r="AB57" s="4"/>
    </row>
    <row r="58" spans="1:28" ht="12.75" hidden="1">
      <c r="A58" s="4"/>
      <c r="B58" s="4"/>
      <c r="C58" s="4"/>
      <c r="D58" s="15"/>
      <c r="E58" s="4"/>
      <c r="F58" s="4"/>
      <c r="G58" s="4"/>
      <c r="H58" s="4"/>
      <c r="I58" s="4"/>
      <c r="J58" s="4"/>
      <c r="K58" s="4"/>
      <c r="L58" s="4"/>
      <c r="M58" s="4"/>
      <c r="N58" s="4"/>
      <c r="O58" s="4"/>
      <c r="P58" s="4"/>
      <c r="Q58" s="4"/>
      <c r="R58" s="4"/>
      <c r="S58" s="4"/>
      <c r="T58" s="4"/>
      <c r="U58" s="4"/>
      <c r="V58" s="4"/>
      <c r="W58" s="4"/>
      <c r="X58" s="4"/>
      <c r="Y58" s="4"/>
      <c r="Z58" s="4"/>
      <c r="AA58" s="4"/>
      <c r="AB58" s="4"/>
    </row>
    <row r="59" spans="1:28" ht="12.75" hidden="1">
      <c r="A59" s="4"/>
      <c r="B59" s="4"/>
      <c r="C59" s="4"/>
      <c r="D59" s="15"/>
      <c r="E59" s="4"/>
      <c r="F59" s="4"/>
      <c r="G59" s="4"/>
      <c r="H59" s="4"/>
      <c r="I59" s="4"/>
      <c r="J59" s="4"/>
      <c r="K59" s="4"/>
      <c r="L59" s="4"/>
      <c r="M59" s="4"/>
      <c r="N59" s="4"/>
      <c r="O59" s="4"/>
      <c r="P59" s="4"/>
      <c r="Q59" s="4"/>
      <c r="R59" s="4"/>
      <c r="S59" s="4"/>
      <c r="T59" s="4"/>
      <c r="U59" s="4"/>
      <c r="V59" s="4"/>
      <c r="W59" s="4"/>
      <c r="X59" s="4"/>
      <c r="Y59" s="4"/>
      <c r="Z59" s="4"/>
      <c r="AA59" s="4"/>
      <c r="AB59" s="4"/>
    </row>
    <row r="60" spans="1:28" ht="12.75" hidden="1">
      <c r="A60" s="4"/>
      <c r="B60" s="4"/>
      <c r="C60" s="4"/>
      <c r="D60" s="15"/>
      <c r="E60" s="4"/>
      <c r="F60" s="4"/>
      <c r="G60" s="4"/>
      <c r="H60" s="4"/>
      <c r="I60" s="4"/>
      <c r="J60" s="4"/>
      <c r="K60" s="4"/>
      <c r="L60" s="4"/>
      <c r="M60" s="4"/>
      <c r="N60" s="4"/>
      <c r="O60" s="4"/>
      <c r="P60" s="4"/>
      <c r="Q60" s="4"/>
      <c r="R60" s="4"/>
      <c r="S60" s="4"/>
      <c r="T60" s="4"/>
      <c r="U60" s="4"/>
      <c r="V60" s="4"/>
      <c r="W60" s="4"/>
      <c r="X60" s="4"/>
      <c r="Y60" s="4"/>
      <c r="Z60" s="4"/>
      <c r="AA60" s="4"/>
      <c r="AB60" s="4"/>
    </row>
    <row r="61" spans="1:28" ht="12.75" hidden="1">
      <c r="A61" s="4"/>
      <c r="B61" s="4"/>
      <c r="C61" s="4"/>
      <c r="D61" s="15"/>
      <c r="E61" s="4"/>
      <c r="F61" s="4"/>
      <c r="G61" s="4"/>
      <c r="H61" s="4"/>
      <c r="I61" s="4"/>
      <c r="J61" s="4"/>
      <c r="K61" s="4"/>
      <c r="L61" s="4"/>
      <c r="M61" s="4"/>
      <c r="N61" s="4"/>
      <c r="O61" s="4"/>
      <c r="P61" s="4"/>
      <c r="Q61" s="4"/>
      <c r="R61" s="4"/>
      <c r="S61" s="4"/>
      <c r="T61" s="4"/>
      <c r="U61" s="4"/>
      <c r="V61" s="4"/>
      <c r="W61" s="4"/>
      <c r="X61" s="4"/>
      <c r="Y61" s="4"/>
      <c r="Z61" s="4"/>
      <c r="AA61" s="4"/>
      <c r="AB61" s="4"/>
    </row>
    <row r="62" spans="1:28" ht="12.75" hidden="1">
      <c r="A62" s="4"/>
      <c r="B62" s="4"/>
      <c r="C62" s="4"/>
      <c r="D62" s="15"/>
      <c r="E62" s="4"/>
      <c r="F62" s="4"/>
      <c r="G62" s="4"/>
      <c r="H62" s="4"/>
      <c r="I62" s="4"/>
      <c r="J62" s="4"/>
      <c r="K62" s="4"/>
      <c r="L62" s="4"/>
      <c r="M62" s="4"/>
      <c r="N62" s="4"/>
      <c r="O62" s="4"/>
      <c r="P62" s="4"/>
      <c r="Q62" s="4"/>
      <c r="R62" s="4"/>
      <c r="S62" s="4"/>
      <c r="T62" s="4"/>
      <c r="U62" s="4"/>
      <c r="V62" s="4"/>
      <c r="W62" s="4"/>
      <c r="X62" s="4"/>
      <c r="Y62" s="4"/>
      <c r="Z62" s="4"/>
      <c r="AA62" s="4"/>
      <c r="AB62" s="4"/>
    </row>
    <row r="63" spans="1:28" ht="12.75" hidden="1">
      <c r="A63" s="4"/>
      <c r="B63" s="4"/>
      <c r="C63" s="4"/>
      <c r="D63" s="15"/>
      <c r="E63" s="4"/>
      <c r="F63" s="4"/>
      <c r="G63" s="4"/>
      <c r="H63" s="4"/>
      <c r="I63" s="4"/>
      <c r="J63" s="4"/>
      <c r="K63" s="4"/>
      <c r="L63" s="4"/>
      <c r="M63" s="4"/>
      <c r="N63" s="4"/>
      <c r="O63" s="4"/>
      <c r="P63" s="4"/>
      <c r="Q63" s="4"/>
      <c r="R63" s="4"/>
      <c r="S63" s="4"/>
      <c r="T63" s="4"/>
      <c r="U63" s="4"/>
      <c r="V63" s="4"/>
      <c r="W63" s="4"/>
      <c r="X63" s="4"/>
      <c r="Y63" s="4"/>
      <c r="Z63" s="4"/>
      <c r="AA63" s="4"/>
      <c r="AB63" s="4"/>
    </row>
    <row r="64" spans="1:28" ht="12.75" hidden="1">
      <c r="A64" s="4"/>
      <c r="B64" s="4"/>
      <c r="C64" s="4"/>
      <c r="D64" s="15"/>
      <c r="E64" s="4"/>
      <c r="F64" s="4"/>
      <c r="G64" s="4"/>
      <c r="H64" s="4"/>
      <c r="I64" s="4"/>
      <c r="J64" s="4"/>
      <c r="K64" s="4"/>
      <c r="L64" s="4"/>
      <c r="M64" s="4"/>
      <c r="N64" s="4"/>
      <c r="O64" s="4"/>
      <c r="P64" s="4"/>
      <c r="Q64" s="4"/>
      <c r="R64" s="4"/>
      <c r="S64" s="4"/>
      <c r="T64" s="4"/>
      <c r="U64" s="4"/>
      <c r="V64" s="4"/>
      <c r="W64" s="4"/>
      <c r="X64" s="4"/>
      <c r="Y64" s="4"/>
      <c r="Z64" s="4"/>
      <c r="AA64" s="4"/>
      <c r="AB64" s="4"/>
    </row>
    <row r="65" spans="1:28" ht="12.75" hidden="1">
      <c r="A65" s="4"/>
      <c r="B65" s="4"/>
      <c r="C65" s="4"/>
      <c r="D65" s="15"/>
      <c r="E65" s="4"/>
      <c r="F65" s="4"/>
      <c r="G65" s="4"/>
      <c r="H65" s="4"/>
      <c r="I65" s="4"/>
      <c r="J65" s="4"/>
      <c r="K65" s="4"/>
      <c r="L65" s="4"/>
      <c r="M65" s="4"/>
      <c r="N65" s="4"/>
      <c r="O65" s="4"/>
      <c r="P65" s="4"/>
      <c r="Q65" s="4"/>
      <c r="R65" s="4"/>
      <c r="S65" s="4"/>
      <c r="T65" s="4"/>
      <c r="U65" s="4"/>
      <c r="V65" s="4"/>
      <c r="W65" s="4"/>
      <c r="X65" s="4"/>
      <c r="Y65" s="4"/>
      <c r="Z65" s="4"/>
      <c r="AA65" s="4"/>
      <c r="AB65" s="4"/>
    </row>
    <row r="66" spans="1:28" ht="12.75" hidden="1">
      <c r="A66" s="4"/>
      <c r="B66" s="4"/>
      <c r="C66" s="4"/>
      <c r="D66" s="15"/>
      <c r="E66" s="4"/>
      <c r="F66" s="4"/>
      <c r="G66" s="4"/>
      <c r="H66" s="4"/>
      <c r="I66" s="4"/>
      <c r="J66" s="4"/>
      <c r="K66" s="4"/>
      <c r="L66" s="4"/>
      <c r="M66" s="4"/>
      <c r="N66" s="4"/>
      <c r="O66" s="4"/>
      <c r="P66" s="4"/>
      <c r="Q66" s="4"/>
      <c r="R66" s="4"/>
      <c r="S66" s="4"/>
      <c r="T66" s="4"/>
      <c r="U66" s="4"/>
      <c r="V66" s="4"/>
      <c r="W66" s="4"/>
      <c r="X66" s="4"/>
      <c r="Y66" s="4"/>
      <c r="Z66" s="4"/>
      <c r="AA66" s="4"/>
      <c r="AB66" s="4"/>
    </row>
    <row r="67" spans="1:28" ht="12.75" hidden="1">
      <c r="A67" s="4"/>
      <c r="B67" s="4"/>
      <c r="C67" s="4"/>
      <c r="D67" s="15"/>
      <c r="E67" s="4"/>
      <c r="F67" s="4"/>
      <c r="G67" s="4"/>
      <c r="H67" s="4"/>
      <c r="I67" s="4"/>
      <c r="J67" s="4"/>
      <c r="K67" s="4"/>
      <c r="L67" s="4"/>
      <c r="M67" s="4"/>
      <c r="N67" s="4"/>
      <c r="O67" s="4"/>
      <c r="P67" s="4"/>
      <c r="Q67" s="4"/>
      <c r="R67" s="4"/>
      <c r="S67" s="4"/>
      <c r="T67" s="4"/>
      <c r="U67" s="4"/>
      <c r="V67" s="4"/>
      <c r="W67" s="4"/>
      <c r="X67" s="4"/>
      <c r="Y67" s="4"/>
      <c r="Z67" s="4"/>
      <c r="AA67" s="4"/>
      <c r="AB67" s="4"/>
    </row>
    <row r="68" spans="1:28" ht="12.75" hidden="1">
      <c r="A68" s="4"/>
      <c r="B68" s="4"/>
      <c r="C68" s="4"/>
      <c r="D68" s="15"/>
      <c r="E68" s="4"/>
      <c r="F68" s="4"/>
      <c r="G68" s="4"/>
      <c r="H68" s="4"/>
      <c r="I68" s="4"/>
      <c r="J68" s="4"/>
      <c r="K68" s="4"/>
      <c r="L68" s="4"/>
      <c r="M68" s="4"/>
      <c r="N68" s="4"/>
      <c r="O68" s="4"/>
      <c r="P68" s="4"/>
      <c r="Q68" s="4"/>
      <c r="R68" s="4"/>
      <c r="S68" s="4"/>
      <c r="T68" s="4"/>
      <c r="U68" s="4"/>
      <c r="V68" s="4"/>
      <c r="W68" s="4"/>
      <c r="X68" s="4"/>
      <c r="Y68" s="4"/>
      <c r="Z68" s="4"/>
      <c r="AA68" s="4"/>
      <c r="AB68" s="4"/>
    </row>
    <row r="69" spans="1:28" ht="12.75" hidden="1">
      <c r="A69" s="4"/>
      <c r="B69" s="4"/>
      <c r="C69" s="4"/>
      <c r="D69" s="15"/>
      <c r="E69" s="4"/>
      <c r="F69" s="4"/>
      <c r="G69" s="4"/>
      <c r="H69" s="4"/>
      <c r="I69" s="4"/>
      <c r="J69" s="4"/>
      <c r="K69" s="4"/>
      <c r="L69" s="4"/>
      <c r="M69" s="4"/>
      <c r="N69" s="4"/>
      <c r="O69" s="4"/>
      <c r="P69" s="4"/>
      <c r="Q69" s="4"/>
      <c r="R69" s="4"/>
      <c r="S69" s="4"/>
      <c r="T69" s="4"/>
      <c r="U69" s="4"/>
      <c r="V69" s="4"/>
      <c r="W69" s="4"/>
      <c r="X69" s="4"/>
      <c r="Y69" s="4"/>
      <c r="Z69" s="4"/>
      <c r="AA69" s="4"/>
      <c r="AB69" s="4"/>
    </row>
    <row r="70" spans="1:28" ht="12.75" hidden="1">
      <c r="A70" s="4"/>
      <c r="B70" s="4"/>
      <c r="C70" s="4"/>
      <c r="D70" s="15"/>
      <c r="E70" s="4"/>
      <c r="F70" s="4"/>
      <c r="G70" s="4"/>
      <c r="H70" s="4"/>
      <c r="I70" s="4"/>
      <c r="J70" s="4"/>
      <c r="K70" s="4"/>
      <c r="L70" s="4"/>
      <c r="M70" s="4"/>
      <c r="N70" s="4"/>
      <c r="O70" s="4"/>
      <c r="P70" s="4"/>
      <c r="Q70" s="4"/>
      <c r="R70" s="4"/>
      <c r="S70" s="4"/>
      <c r="T70" s="4"/>
      <c r="U70" s="4"/>
      <c r="V70" s="4"/>
      <c r="W70" s="4"/>
      <c r="X70" s="4"/>
      <c r="Y70" s="4"/>
      <c r="Z70" s="4"/>
      <c r="AA70" s="4"/>
      <c r="AB70" s="4"/>
    </row>
    <row r="71" spans="1:28" ht="12.75" hidden="1">
      <c r="A71" s="4"/>
      <c r="B71" s="4"/>
      <c r="C71" s="4"/>
      <c r="D71" s="15"/>
      <c r="E71" s="4"/>
      <c r="F71" s="4"/>
      <c r="G71" s="4"/>
      <c r="H71" s="4"/>
      <c r="I71" s="4"/>
      <c r="J71" s="4"/>
      <c r="K71" s="4"/>
      <c r="L71" s="4"/>
      <c r="M71" s="4"/>
      <c r="N71" s="4"/>
      <c r="O71" s="4"/>
      <c r="P71" s="4"/>
      <c r="Q71" s="4"/>
      <c r="R71" s="4"/>
      <c r="S71" s="4"/>
      <c r="T71" s="4"/>
      <c r="U71" s="4"/>
      <c r="V71" s="4"/>
      <c r="W71" s="4"/>
      <c r="X71" s="4"/>
      <c r="Y71" s="4"/>
      <c r="Z71" s="4"/>
      <c r="AA71" s="4"/>
      <c r="AB71" s="4"/>
    </row>
    <row r="72" spans="1:28" ht="12.75" hidden="1">
      <c r="A72" s="4"/>
      <c r="B72" s="4"/>
      <c r="C72" s="4"/>
      <c r="D72" s="15"/>
      <c r="E72" s="4"/>
      <c r="F72" s="4"/>
      <c r="G72" s="4"/>
      <c r="H72" s="4"/>
      <c r="I72" s="4"/>
      <c r="J72" s="4"/>
      <c r="K72" s="4"/>
      <c r="L72" s="4"/>
      <c r="M72" s="4"/>
      <c r="N72" s="4"/>
      <c r="O72" s="4"/>
      <c r="P72" s="4"/>
      <c r="Q72" s="4"/>
      <c r="R72" s="4"/>
      <c r="S72" s="4"/>
      <c r="T72" s="4"/>
      <c r="U72" s="4"/>
      <c r="V72" s="4"/>
      <c r="W72" s="4"/>
      <c r="X72" s="4"/>
      <c r="Y72" s="4"/>
      <c r="Z72" s="4"/>
      <c r="AA72" s="4"/>
      <c r="AB72" s="4"/>
    </row>
    <row r="73" spans="1:28" ht="12.75" hidden="1">
      <c r="A73" s="4"/>
      <c r="B73" s="4"/>
      <c r="C73" s="4"/>
      <c r="D73" s="15"/>
      <c r="E73" s="4"/>
      <c r="F73" s="4"/>
      <c r="G73" s="4"/>
      <c r="H73" s="4"/>
      <c r="I73" s="4"/>
      <c r="J73" s="4"/>
      <c r="K73" s="4"/>
      <c r="L73" s="4"/>
      <c r="M73" s="4"/>
      <c r="N73" s="4"/>
      <c r="O73" s="4"/>
      <c r="P73" s="4"/>
      <c r="Q73" s="4"/>
      <c r="R73" s="4"/>
      <c r="S73" s="4"/>
      <c r="T73" s="4"/>
      <c r="U73" s="4"/>
      <c r="V73" s="4"/>
      <c r="W73" s="4"/>
      <c r="X73" s="4"/>
      <c r="Y73" s="4"/>
      <c r="Z73" s="4"/>
      <c r="AA73" s="4"/>
      <c r="AB73" s="4"/>
    </row>
    <row r="74" spans="1:28" ht="12.75" hidden="1">
      <c r="A74" s="4"/>
      <c r="B74" s="4"/>
      <c r="C74" s="4"/>
      <c r="D74" s="15"/>
      <c r="E74" s="4"/>
      <c r="F74" s="4"/>
      <c r="G74" s="4"/>
      <c r="H74" s="4"/>
      <c r="I74" s="4"/>
      <c r="J74" s="4"/>
      <c r="K74" s="4"/>
      <c r="L74" s="4"/>
      <c r="M74" s="4"/>
      <c r="N74" s="4"/>
      <c r="O74" s="4"/>
      <c r="P74" s="4"/>
      <c r="Q74" s="4"/>
      <c r="R74" s="4"/>
      <c r="S74" s="4"/>
      <c r="T74" s="4"/>
      <c r="U74" s="4"/>
      <c r="V74" s="4"/>
      <c r="W74" s="4"/>
      <c r="X74" s="4"/>
      <c r="Y74" s="4"/>
      <c r="Z74" s="4"/>
      <c r="AA74" s="4"/>
      <c r="AB74" s="4"/>
    </row>
    <row r="75" spans="1:28" ht="12.75" hidden="1">
      <c r="A75" s="4"/>
      <c r="B75" s="4"/>
      <c r="C75" s="4"/>
      <c r="D75" s="15"/>
      <c r="E75" s="4"/>
      <c r="F75" s="4"/>
      <c r="G75" s="4"/>
      <c r="H75" s="4"/>
      <c r="I75" s="4"/>
      <c r="J75" s="4"/>
      <c r="K75" s="4"/>
      <c r="L75" s="4"/>
      <c r="M75" s="4"/>
      <c r="N75" s="4"/>
      <c r="O75" s="4"/>
      <c r="P75" s="4"/>
      <c r="Q75" s="4"/>
      <c r="R75" s="4"/>
      <c r="S75" s="4"/>
      <c r="T75" s="4"/>
      <c r="U75" s="4"/>
      <c r="V75" s="4"/>
      <c r="W75" s="4"/>
      <c r="X75" s="4"/>
      <c r="Y75" s="4"/>
      <c r="Z75" s="4"/>
      <c r="AA75" s="4"/>
      <c r="AB75" s="4"/>
    </row>
    <row r="76" spans="1:28" ht="12.75" hidden="1">
      <c r="A76" s="4"/>
      <c r="B76" s="4"/>
      <c r="C76" s="4"/>
      <c r="D76" s="15"/>
      <c r="E76" s="4"/>
      <c r="F76" s="4"/>
      <c r="G76" s="4"/>
      <c r="H76" s="4"/>
      <c r="I76" s="4"/>
      <c r="J76" s="4"/>
      <c r="K76" s="4"/>
      <c r="L76" s="4"/>
      <c r="M76" s="4"/>
      <c r="N76" s="4"/>
      <c r="O76" s="4"/>
      <c r="P76" s="4"/>
      <c r="Q76" s="4"/>
      <c r="R76" s="4"/>
      <c r="S76" s="4"/>
      <c r="T76" s="4"/>
      <c r="U76" s="4"/>
      <c r="V76" s="4"/>
      <c r="W76" s="4"/>
      <c r="X76" s="4"/>
      <c r="Y76" s="4"/>
      <c r="Z76" s="4"/>
      <c r="AA76" s="4"/>
      <c r="AB76" s="4"/>
    </row>
    <row r="77" spans="1:28" ht="12.75" hidden="1">
      <c r="A77" s="4"/>
      <c r="B77" s="4"/>
      <c r="C77" s="4"/>
      <c r="D77" s="15"/>
      <c r="E77" s="4"/>
      <c r="F77" s="4"/>
      <c r="G77" s="4"/>
      <c r="H77" s="4"/>
      <c r="I77" s="4"/>
      <c r="J77" s="4"/>
      <c r="K77" s="4"/>
      <c r="L77" s="4"/>
      <c r="M77" s="4"/>
      <c r="N77" s="4"/>
      <c r="O77" s="4"/>
      <c r="P77" s="4"/>
      <c r="Q77" s="4"/>
      <c r="R77" s="4"/>
      <c r="S77" s="4"/>
      <c r="T77" s="4"/>
      <c r="U77" s="4"/>
      <c r="V77" s="4"/>
      <c r="W77" s="4"/>
      <c r="X77" s="4"/>
      <c r="Y77" s="4"/>
      <c r="Z77" s="4"/>
      <c r="AA77" s="4"/>
      <c r="AB77" s="4"/>
    </row>
    <row r="78" spans="1:28" ht="12.75" hidden="1">
      <c r="A78" s="4"/>
      <c r="B78" s="4"/>
      <c r="C78" s="4"/>
      <c r="D78" s="15"/>
      <c r="E78" s="4"/>
      <c r="F78" s="4"/>
      <c r="G78" s="4"/>
      <c r="H78" s="4"/>
      <c r="I78" s="4"/>
      <c r="J78" s="4"/>
      <c r="K78" s="4"/>
      <c r="L78" s="4"/>
      <c r="M78" s="4"/>
      <c r="N78" s="4"/>
      <c r="O78" s="4"/>
      <c r="P78" s="4"/>
      <c r="Q78" s="4"/>
      <c r="R78" s="4"/>
      <c r="S78" s="4"/>
      <c r="T78" s="4"/>
      <c r="U78" s="4"/>
      <c r="V78" s="4"/>
      <c r="W78" s="4"/>
      <c r="X78" s="4"/>
      <c r="Y78" s="4"/>
      <c r="Z78" s="4"/>
      <c r="AA78" s="4"/>
      <c r="AB78" s="4"/>
    </row>
    <row r="79" spans="1:28" ht="12.75" hidden="1">
      <c r="A79" s="4"/>
      <c r="B79" s="4"/>
      <c r="C79" s="4"/>
      <c r="D79" s="15"/>
      <c r="E79" s="4"/>
      <c r="F79" s="4"/>
      <c r="G79" s="4"/>
      <c r="H79" s="4"/>
      <c r="I79" s="4"/>
      <c r="J79" s="4"/>
      <c r="K79" s="4"/>
      <c r="L79" s="4"/>
      <c r="M79" s="4"/>
      <c r="N79" s="4"/>
      <c r="O79" s="4"/>
      <c r="P79" s="4"/>
      <c r="Q79" s="4"/>
      <c r="R79" s="4"/>
      <c r="S79" s="4"/>
      <c r="T79" s="4"/>
      <c r="U79" s="4"/>
      <c r="V79" s="4"/>
      <c r="W79" s="4"/>
      <c r="X79" s="4"/>
      <c r="Y79" s="4"/>
      <c r="Z79" s="4"/>
      <c r="AA79" s="4"/>
      <c r="AB79" s="4"/>
    </row>
    <row r="80" spans="1:28" ht="12.75" hidden="1">
      <c r="A80" s="4"/>
      <c r="B80" s="4"/>
      <c r="C80" s="4"/>
      <c r="D80" s="15"/>
      <c r="E80" s="4"/>
      <c r="F80" s="4"/>
      <c r="G80" s="4"/>
      <c r="H80" s="4"/>
      <c r="I80" s="4"/>
      <c r="J80" s="4"/>
      <c r="K80" s="4"/>
      <c r="L80" s="4"/>
      <c r="M80" s="4"/>
      <c r="N80" s="4"/>
      <c r="O80" s="4"/>
      <c r="P80" s="4"/>
      <c r="Q80" s="4"/>
      <c r="R80" s="4"/>
      <c r="S80" s="4"/>
      <c r="T80" s="4"/>
      <c r="U80" s="4"/>
      <c r="V80" s="4"/>
      <c r="W80" s="4"/>
      <c r="X80" s="4"/>
      <c r="Y80" s="4"/>
      <c r="Z80" s="4"/>
      <c r="AA80" s="4"/>
      <c r="AB80" s="4"/>
    </row>
    <row r="81" spans="1:28" ht="12.75" hidden="1">
      <c r="A81" s="4"/>
      <c r="B81" s="4"/>
      <c r="C81" s="4"/>
      <c r="D81" s="15"/>
      <c r="E81" s="4"/>
      <c r="F81" s="4"/>
      <c r="G81" s="4"/>
      <c r="H81" s="4"/>
      <c r="I81" s="4"/>
      <c r="J81" s="4"/>
      <c r="K81" s="4"/>
      <c r="L81" s="4"/>
      <c r="M81" s="4"/>
      <c r="N81" s="4"/>
      <c r="O81" s="4"/>
      <c r="P81" s="4"/>
      <c r="Q81" s="4"/>
      <c r="R81" s="4"/>
      <c r="S81" s="4"/>
      <c r="T81" s="4"/>
      <c r="U81" s="4"/>
      <c r="V81" s="4"/>
      <c r="W81" s="4"/>
      <c r="X81" s="4"/>
      <c r="Y81" s="4"/>
      <c r="Z81" s="4"/>
      <c r="AA81" s="4"/>
      <c r="AB81" s="4"/>
    </row>
    <row r="82" spans="1:28" ht="12.75" hidden="1">
      <c r="A82" s="4"/>
      <c r="B82" s="4"/>
      <c r="C82" s="4"/>
      <c r="D82" s="15"/>
      <c r="E82" s="4"/>
      <c r="F82" s="4"/>
      <c r="G82" s="4"/>
      <c r="H82" s="4"/>
      <c r="I82" s="4"/>
      <c r="J82" s="4"/>
      <c r="K82" s="4"/>
      <c r="L82" s="4"/>
      <c r="M82" s="4"/>
      <c r="N82" s="4"/>
      <c r="O82" s="4"/>
      <c r="P82" s="4"/>
      <c r="Q82" s="4"/>
      <c r="R82" s="4"/>
      <c r="S82" s="4"/>
      <c r="T82" s="4"/>
      <c r="U82" s="4"/>
      <c r="V82" s="4"/>
      <c r="W82" s="4"/>
      <c r="X82" s="4"/>
      <c r="Y82" s="4"/>
      <c r="Z82" s="4"/>
      <c r="AA82" s="4"/>
      <c r="AB82" s="4"/>
    </row>
    <row r="83" spans="1:28" ht="12.75" hidden="1">
      <c r="A83" s="4"/>
      <c r="B83" s="4"/>
      <c r="C83" s="4"/>
      <c r="D83" s="15"/>
      <c r="E83" s="4"/>
      <c r="F83" s="4"/>
      <c r="G83" s="4"/>
      <c r="H83" s="4"/>
      <c r="I83" s="4"/>
      <c r="J83" s="4"/>
      <c r="K83" s="4"/>
      <c r="L83" s="4"/>
      <c r="M83" s="4"/>
      <c r="N83" s="4"/>
      <c r="O83" s="4"/>
      <c r="P83" s="4"/>
      <c r="Q83" s="4"/>
      <c r="R83" s="4"/>
      <c r="S83" s="4"/>
      <c r="T83" s="4"/>
      <c r="U83" s="4"/>
      <c r="V83" s="4"/>
      <c r="W83" s="4"/>
      <c r="X83" s="4"/>
      <c r="Y83" s="4"/>
      <c r="Z83" s="4"/>
      <c r="AA83" s="4"/>
      <c r="AB83" s="4"/>
    </row>
    <row r="84" spans="1:28" ht="12.75" hidden="1">
      <c r="A84" s="4"/>
      <c r="B84" s="4"/>
      <c r="C84" s="4"/>
      <c r="D84" s="15"/>
      <c r="E84" s="4"/>
      <c r="F84" s="4"/>
      <c r="G84" s="4"/>
      <c r="H84" s="4"/>
      <c r="I84" s="4"/>
      <c r="J84" s="4"/>
      <c r="K84" s="4"/>
      <c r="L84" s="4"/>
      <c r="M84" s="4"/>
      <c r="N84" s="4"/>
      <c r="O84" s="4"/>
      <c r="P84" s="4"/>
      <c r="Q84" s="4"/>
      <c r="R84" s="4"/>
      <c r="S84" s="4"/>
      <c r="T84" s="4"/>
      <c r="U84" s="4"/>
      <c r="V84" s="4"/>
      <c r="W84" s="4"/>
      <c r="X84" s="4"/>
      <c r="Y84" s="4"/>
      <c r="Z84" s="4"/>
      <c r="AA84" s="4"/>
      <c r="AB84" s="4"/>
    </row>
    <row r="85" spans="1:28" ht="12.75" hidden="1">
      <c r="A85" s="4"/>
      <c r="B85" s="4"/>
      <c r="C85" s="4"/>
      <c r="D85" s="15"/>
      <c r="E85" s="4"/>
      <c r="F85" s="4"/>
      <c r="G85" s="4"/>
      <c r="H85" s="4"/>
      <c r="I85" s="4"/>
      <c r="J85" s="4"/>
      <c r="K85" s="4"/>
      <c r="L85" s="4"/>
      <c r="M85" s="4"/>
      <c r="N85" s="4"/>
      <c r="O85" s="4"/>
      <c r="P85" s="4"/>
      <c r="Q85" s="4"/>
      <c r="R85" s="4"/>
      <c r="S85" s="4"/>
      <c r="T85" s="4"/>
      <c r="U85" s="4"/>
      <c r="V85" s="4"/>
      <c r="W85" s="4"/>
      <c r="X85" s="4"/>
      <c r="Y85" s="4"/>
      <c r="Z85" s="4"/>
      <c r="AA85" s="4"/>
      <c r="AB85" s="4"/>
    </row>
    <row r="86" spans="1:28" ht="12.75" hidden="1">
      <c r="A86" s="4"/>
      <c r="B86" s="4"/>
      <c r="C86" s="4"/>
      <c r="D86" s="15"/>
      <c r="E86" s="4"/>
      <c r="F86" s="4"/>
      <c r="G86" s="4"/>
      <c r="H86" s="4"/>
      <c r="I86" s="4"/>
      <c r="J86" s="4"/>
      <c r="K86" s="4"/>
      <c r="L86" s="4"/>
      <c r="M86" s="4"/>
      <c r="N86" s="4"/>
      <c r="O86" s="4"/>
      <c r="P86" s="4"/>
      <c r="Q86" s="4"/>
      <c r="R86" s="4"/>
      <c r="S86" s="4"/>
      <c r="T86" s="4"/>
      <c r="U86" s="4"/>
      <c r="V86" s="4"/>
      <c r="W86" s="4"/>
      <c r="X86" s="4"/>
      <c r="Y86" s="4"/>
      <c r="Z86" s="4"/>
      <c r="AA86" s="4"/>
      <c r="AB86" s="4"/>
    </row>
    <row r="87" spans="1:28" ht="12.75" hidden="1">
      <c r="A87" s="4"/>
      <c r="B87" s="4"/>
      <c r="C87" s="4"/>
      <c r="D87" s="15"/>
      <c r="E87" s="4"/>
      <c r="F87" s="4"/>
      <c r="G87" s="4"/>
      <c r="H87" s="4"/>
      <c r="I87" s="4"/>
      <c r="J87" s="4"/>
      <c r="K87" s="4"/>
      <c r="L87" s="4"/>
      <c r="M87" s="4"/>
      <c r="N87" s="4"/>
      <c r="O87" s="4"/>
      <c r="P87" s="4"/>
      <c r="Q87" s="4"/>
      <c r="R87" s="4"/>
      <c r="S87" s="4"/>
      <c r="T87" s="4"/>
      <c r="U87" s="4"/>
      <c r="V87" s="4"/>
      <c r="W87" s="4"/>
      <c r="X87" s="4"/>
      <c r="Y87" s="4"/>
      <c r="Z87" s="4"/>
      <c r="AA87" s="4"/>
      <c r="AB87" s="4"/>
    </row>
    <row r="88" spans="1:28" ht="12.75" hidden="1">
      <c r="A88" s="4"/>
      <c r="B88" s="4"/>
      <c r="C88" s="4"/>
      <c r="D88" s="15"/>
      <c r="E88" s="4"/>
      <c r="F88" s="4"/>
      <c r="G88" s="4"/>
      <c r="H88" s="4"/>
      <c r="I88" s="4"/>
      <c r="J88" s="4"/>
      <c r="K88" s="4"/>
      <c r="L88" s="4"/>
      <c r="M88" s="4"/>
      <c r="N88" s="4"/>
      <c r="O88" s="4"/>
      <c r="P88" s="4"/>
      <c r="Q88" s="4"/>
      <c r="R88" s="4"/>
      <c r="S88" s="4"/>
      <c r="T88" s="4"/>
      <c r="U88" s="4"/>
      <c r="V88" s="4"/>
      <c r="W88" s="4"/>
      <c r="X88" s="4"/>
      <c r="Y88" s="4"/>
      <c r="Z88" s="4"/>
      <c r="AA88" s="4"/>
      <c r="AB88" s="4"/>
    </row>
    <row r="89" spans="1:28" ht="12.75" hidden="1">
      <c r="A89" s="4"/>
      <c r="B89" s="4"/>
      <c r="C89" s="4"/>
      <c r="D89" s="15"/>
      <c r="E89" s="4"/>
      <c r="F89" s="4"/>
      <c r="G89" s="4"/>
      <c r="H89" s="4"/>
      <c r="I89" s="4"/>
      <c r="J89" s="4"/>
      <c r="K89" s="4"/>
      <c r="L89" s="4"/>
      <c r="M89" s="4"/>
      <c r="N89" s="4"/>
      <c r="O89" s="4"/>
      <c r="P89" s="4"/>
      <c r="Q89" s="4"/>
      <c r="R89" s="4"/>
      <c r="S89" s="4"/>
      <c r="T89" s="4"/>
      <c r="U89" s="4"/>
      <c r="V89" s="4"/>
      <c r="W89" s="4"/>
      <c r="X89" s="4"/>
      <c r="Y89" s="4"/>
      <c r="Z89" s="4"/>
      <c r="AA89" s="4"/>
      <c r="AB89" s="4"/>
    </row>
    <row r="90" spans="1:28" ht="12.75" hidden="1">
      <c r="A90" s="4"/>
      <c r="B90" s="4"/>
      <c r="C90" s="4"/>
      <c r="D90" s="15"/>
      <c r="E90" s="4"/>
      <c r="F90" s="4"/>
      <c r="G90" s="4"/>
      <c r="H90" s="4"/>
      <c r="I90" s="4"/>
      <c r="J90" s="4"/>
      <c r="K90" s="4"/>
      <c r="L90" s="4"/>
      <c r="M90" s="4"/>
      <c r="N90" s="4"/>
      <c r="O90" s="4"/>
      <c r="P90" s="4"/>
      <c r="Q90" s="4"/>
      <c r="R90" s="4"/>
      <c r="S90" s="4"/>
      <c r="T90" s="4"/>
      <c r="U90" s="4"/>
      <c r="V90" s="4"/>
      <c r="W90" s="4"/>
      <c r="X90" s="4"/>
      <c r="Y90" s="4"/>
      <c r="Z90" s="4"/>
      <c r="AA90" s="4"/>
      <c r="AB90" s="4"/>
    </row>
    <row r="91" spans="1:28" ht="12.75" hidden="1">
      <c r="A91" s="4"/>
      <c r="B91" s="4"/>
      <c r="C91" s="4"/>
      <c r="D91" s="15"/>
      <c r="E91" s="4"/>
      <c r="F91" s="4"/>
      <c r="G91" s="4"/>
      <c r="H91" s="4"/>
      <c r="I91" s="4"/>
      <c r="J91" s="4"/>
      <c r="K91" s="4"/>
      <c r="L91" s="4"/>
      <c r="M91" s="4"/>
      <c r="N91" s="4"/>
      <c r="O91" s="4"/>
      <c r="P91" s="4"/>
      <c r="Q91" s="4"/>
      <c r="R91" s="4"/>
      <c r="S91" s="4"/>
      <c r="T91" s="4"/>
      <c r="U91" s="4"/>
      <c r="V91" s="4"/>
      <c r="W91" s="4"/>
      <c r="X91" s="4"/>
      <c r="Y91" s="4"/>
      <c r="Z91" s="4"/>
      <c r="AA91" s="4"/>
      <c r="AB91" s="4"/>
    </row>
    <row r="92" spans="1:28" ht="12.75" hidden="1">
      <c r="A92" s="4"/>
      <c r="B92" s="4"/>
      <c r="C92" s="4"/>
      <c r="D92" s="15"/>
      <c r="E92" s="4"/>
      <c r="F92" s="4"/>
      <c r="G92" s="4"/>
      <c r="H92" s="4"/>
      <c r="I92" s="4"/>
      <c r="J92" s="4"/>
      <c r="K92" s="4"/>
      <c r="L92" s="4"/>
      <c r="M92" s="4"/>
      <c r="N92" s="4"/>
      <c r="O92" s="4"/>
      <c r="P92" s="4"/>
      <c r="Q92" s="4"/>
      <c r="R92" s="4"/>
      <c r="S92" s="4"/>
      <c r="T92" s="4"/>
      <c r="U92" s="4"/>
      <c r="V92" s="4"/>
      <c r="W92" s="4"/>
      <c r="X92" s="4"/>
      <c r="Y92" s="4"/>
      <c r="Z92" s="4"/>
      <c r="AA92" s="4"/>
      <c r="AB92" s="4"/>
    </row>
    <row r="93" spans="1:28" ht="12.75" hidden="1">
      <c r="A93" s="4"/>
      <c r="B93" s="4"/>
      <c r="C93" s="4"/>
      <c r="D93" s="15"/>
      <c r="E93" s="4"/>
      <c r="F93" s="4"/>
      <c r="G93" s="4"/>
      <c r="H93" s="4"/>
      <c r="I93" s="4"/>
      <c r="J93" s="4"/>
      <c r="K93" s="4"/>
      <c r="L93" s="4"/>
      <c r="M93" s="4"/>
      <c r="N93" s="4"/>
      <c r="O93" s="4"/>
      <c r="P93" s="4"/>
      <c r="Q93" s="4"/>
      <c r="R93" s="4"/>
      <c r="S93" s="4"/>
      <c r="T93" s="4"/>
      <c r="U93" s="4"/>
      <c r="V93" s="4"/>
      <c r="W93" s="4"/>
      <c r="X93" s="4"/>
      <c r="Y93" s="4"/>
      <c r="Z93" s="4"/>
      <c r="AA93" s="4"/>
      <c r="AB93" s="4"/>
    </row>
    <row r="94" spans="1:28" ht="12.75" hidden="1">
      <c r="A94" s="4"/>
      <c r="B94" s="4"/>
      <c r="C94" s="4"/>
      <c r="D94" s="15"/>
      <c r="E94" s="4"/>
      <c r="F94" s="4"/>
      <c r="G94" s="4"/>
      <c r="H94" s="4"/>
      <c r="I94" s="4"/>
      <c r="J94" s="4"/>
      <c r="K94" s="4"/>
      <c r="L94" s="4"/>
      <c r="M94" s="4"/>
      <c r="N94" s="4"/>
      <c r="O94" s="4"/>
      <c r="P94" s="4"/>
      <c r="Q94" s="4"/>
      <c r="R94" s="4"/>
      <c r="S94" s="4"/>
      <c r="T94" s="4"/>
      <c r="U94" s="4"/>
      <c r="V94" s="4"/>
      <c r="W94" s="4"/>
      <c r="X94" s="4"/>
      <c r="Y94" s="4"/>
      <c r="Z94" s="4"/>
      <c r="AA94" s="4"/>
      <c r="AB94" s="4"/>
    </row>
    <row r="95" spans="1:28" ht="12.75" hidden="1">
      <c r="A95" s="4"/>
      <c r="B95" s="4"/>
      <c r="C95" s="4"/>
      <c r="D95" s="15"/>
      <c r="E95" s="4"/>
      <c r="F95" s="4"/>
      <c r="G95" s="4"/>
      <c r="H95" s="4"/>
      <c r="I95" s="4"/>
      <c r="J95" s="4"/>
      <c r="K95" s="4"/>
      <c r="L95" s="4"/>
      <c r="M95" s="4"/>
      <c r="N95" s="4"/>
      <c r="O95" s="4"/>
      <c r="P95" s="4"/>
      <c r="Q95" s="4"/>
      <c r="R95" s="4"/>
      <c r="S95" s="4"/>
      <c r="T95" s="4"/>
      <c r="U95" s="4"/>
      <c r="V95" s="4"/>
      <c r="W95" s="4"/>
      <c r="X95" s="4"/>
      <c r="Y95" s="4"/>
      <c r="Z95" s="4"/>
      <c r="AA95" s="4"/>
      <c r="AB95" s="4"/>
    </row>
    <row r="96" spans="1:28" ht="12.75" hidden="1">
      <c r="A96" s="4"/>
      <c r="B96" s="4"/>
      <c r="C96" s="4"/>
      <c r="D96" s="15"/>
      <c r="E96" s="4"/>
      <c r="F96" s="4"/>
      <c r="G96" s="4"/>
      <c r="H96" s="4"/>
      <c r="I96" s="4"/>
      <c r="J96" s="4"/>
      <c r="K96" s="4"/>
      <c r="L96" s="4"/>
      <c r="M96" s="4"/>
      <c r="N96" s="4"/>
      <c r="O96" s="4"/>
      <c r="P96" s="4"/>
      <c r="Q96" s="4"/>
      <c r="R96" s="4"/>
      <c r="S96" s="4"/>
      <c r="T96" s="4"/>
      <c r="U96" s="4"/>
      <c r="V96" s="4"/>
      <c r="W96" s="4"/>
      <c r="X96" s="4"/>
      <c r="Y96" s="4"/>
      <c r="Z96" s="4"/>
      <c r="AA96" s="4"/>
      <c r="AB96" s="4"/>
    </row>
    <row r="97" spans="1:28" ht="12.75" hidden="1">
      <c r="A97" s="4"/>
      <c r="B97" s="4"/>
      <c r="C97" s="4"/>
      <c r="D97" s="15"/>
      <c r="E97" s="4"/>
      <c r="F97" s="4"/>
      <c r="G97" s="4"/>
      <c r="H97" s="4"/>
      <c r="I97" s="4"/>
      <c r="J97" s="4"/>
      <c r="K97" s="4"/>
      <c r="L97" s="4"/>
      <c r="M97" s="4"/>
      <c r="N97" s="4"/>
      <c r="O97" s="4"/>
      <c r="P97" s="4"/>
      <c r="Q97" s="4"/>
      <c r="R97" s="4"/>
      <c r="S97" s="4"/>
      <c r="T97" s="4"/>
      <c r="U97" s="4"/>
      <c r="V97" s="4"/>
      <c r="W97" s="4"/>
      <c r="X97" s="4"/>
      <c r="Y97" s="4"/>
      <c r="Z97" s="4"/>
      <c r="AA97" s="4"/>
      <c r="AB97" s="4"/>
    </row>
    <row r="98" spans="1:28" ht="12.75" hidden="1">
      <c r="A98" s="4"/>
      <c r="B98" s="4"/>
      <c r="C98" s="4"/>
      <c r="D98" s="15"/>
      <c r="E98" s="4"/>
      <c r="F98" s="4"/>
      <c r="G98" s="4"/>
      <c r="H98" s="4"/>
      <c r="I98" s="4"/>
      <c r="J98" s="4"/>
      <c r="K98" s="4"/>
      <c r="L98" s="4"/>
      <c r="M98" s="4"/>
      <c r="N98" s="4"/>
      <c r="O98" s="4"/>
      <c r="P98" s="4"/>
      <c r="Q98" s="4"/>
      <c r="R98" s="4"/>
      <c r="S98" s="4"/>
      <c r="T98" s="4"/>
      <c r="U98" s="4"/>
      <c r="V98" s="4"/>
      <c r="W98" s="4"/>
      <c r="X98" s="4"/>
      <c r="Y98" s="4"/>
      <c r="Z98" s="4"/>
      <c r="AA98" s="4"/>
      <c r="AB98" s="4"/>
    </row>
    <row r="99" spans="1:28" ht="12.75" hidden="1">
      <c r="A99" s="4"/>
      <c r="B99" s="4"/>
      <c r="C99" s="4"/>
      <c r="D99" s="15"/>
      <c r="E99" s="4"/>
      <c r="F99" s="4"/>
      <c r="G99" s="4"/>
      <c r="H99" s="4"/>
      <c r="I99" s="4"/>
      <c r="J99" s="4"/>
      <c r="K99" s="4"/>
      <c r="L99" s="4"/>
      <c r="M99" s="4"/>
      <c r="N99" s="4"/>
      <c r="O99" s="4"/>
      <c r="P99" s="4"/>
      <c r="Q99" s="4"/>
      <c r="R99" s="4"/>
      <c r="S99" s="4"/>
      <c r="T99" s="4"/>
      <c r="U99" s="4"/>
      <c r="V99" s="4"/>
      <c r="W99" s="4"/>
      <c r="X99" s="4"/>
      <c r="Y99" s="4"/>
      <c r="Z99" s="4"/>
      <c r="AA99" s="4"/>
      <c r="AB99" s="4"/>
    </row>
    <row r="100" spans="1:28" ht="12.75" hidden="1">
      <c r="A100" s="4"/>
      <c r="B100" s="4"/>
      <c r="C100" s="4"/>
      <c r="D100" s="15"/>
      <c r="E100" s="4"/>
      <c r="F100" s="4"/>
      <c r="G100" s="4"/>
      <c r="H100" s="4"/>
      <c r="I100" s="4"/>
      <c r="J100" s="4"/>
      <c r="K100" s="4"/>
      <c r="L100" s="4"/>
      <c r="M100" s="4"/>
      <c r="N100" s="4"/>
      <c r="O100" s="4"/>
      <c r="P100" s="4"/>
      <c r="Q100" s="4"/>
      <c r="R100" s="4"/>
      <c r="S100" s="4"/>
      <c r="T100" s="4"/>
      <c r="U100" s="4"/>
      <c r="V100" s="4"/>
      <c r="W100" s="4"/>
      <c r="X100" s="4"/>
      <c r="Y100" s="4"/>
      <c r="Z100" s="4"/>
      <c r="AA100" s="4"/>
      <c r="AB100" s="4"/>
    </row>
    <row r="101" spans="1:28" ht="12.75" hidden="1">
      <c r="A101" s="4"/>
      <c r="B101" s="4"/>
      <c r="C101" s="4"/>
      <c r="D101" s="15"/>
      <c r="E101" s="4"/>
      <c r="F101" s="4"/>
      <c r="G101" s="4"/>
      <c r="H101" s="4"/>
      <c r="I101" s="4"/>
      <c r="J101" s="4"/>
      <c r="K101" s="4"/>
      <c r="L101" s="4"/>
      <c r="M101" s="4"/>
      <c r="N101" s="4"/>
      <c r="O101" s="4"/>
      <c r="P101" s="4"/>
      <c r="Q101" s="4"/>
      <c r="R101" s="4"/>
      <c r="S101" s="4"/>
      <c r="T101" s="4"/>
      <c r="U101" s="4"/>
      <c r="V101" s="4"/>
      <c r="W101" s="4"/>
      <c r="X101" s="4"/>
      <c r="Y101" s="4"/>
      <c r="Z101" s="4"/>
      <c r="AA101" s="4"/>
      <c r="AB101" s="4"/>
    </row>
    <row r="102" spans="1:28" ht="12.75" hidden="1">
      <c r="A102" s="4"/>
      <c r="B102" s="4"/>
      <c r="C102" s="4"/>
      <c r="D102" s="15"/>
      <c r="E102" s="4"/>
      <c r="F102" s="4"/>
      <c r="G102" s="4"/>
      <c r="H102" s="4"/>
      <c r="I102" s="4"/>
      <c r="J102" s="4"/>
      <c r="K102" s="4"/>
      <c r="L102" s="4"/>
      <c r="M102" s="4"/>
      <c r="N102" s="4"/>
      <c r="O102" s="4"/>
      <c r="P102" s="4"/>
      <c r="Q102" s="4"/>
      <c r="R102" s="4"/>
      <c r="S102" s="4"/>
      <c r="T102" s="4"/>
      <c r="U102" s="4"/>
      <c r="V102" s="4"/>
      <c r="W102" s="4"/>
      <c r="X102" s="4"/>
      <c r="Y102" s="4"/>
      <c r="Z102" s="4"/>
      <c r="AA102" s="4"/>
      <c r="AB102" s="4"/>
    </row>
    <row r="103" spans="1:28" ht="12.75" hidden="1">
      <c r="A103" s="4"/>
      <c r="B103" s="4"/>
      <c r="C103" s="4"/>
      <c r="D103" s="15"/>
      <c r="E103" s="4"/>
      <c r="F103" s="4"/>
      <c r="G103" s="4"/>
      <c r="H103" s="4"/>
      <c r="I103" s="4"/>
      <c r="J103" s="4"/>
      <c r="K103" s="4"/>
      <c r="L103" s="4"/>
      <c r="M103" s="4"/>
      <c r="N103" s="4"/>
      <c r="O103" s="4"/>
      <c r="P103" s="4"/>
      <c r="Q103" s="4"/>
      <c r="R103" s="4"/>
      <c r="S103" s="4"/>
      <c r="T103" s="4"/>
      <c r="U103" s="4"/>
      <c r="V103" s="4"/>
      <c r="W103" s="4"/>
      <c r="X103" s="4"/>
      <c r="Y103" s="4"/>
      <c r="Z103" s="4"/>
      <c r="AA103" s="4"/>
      <c r="AB103" s="4"/>
    </row>
    <row r="104" spans="1:28" ht="12.75" hidden="1">
      <c r="A104" s="4"/>
      <c r="B104" s="4"/>
      <c r="C104" s="4"/>
      <c r="D104" s="15"/>
      <c r="E104" s="4"/>
      <c r="F104" s="4"/>
      <c r="G104" s="4"/>
      <c r="H104" s="4"/>
      <c r="I104" s="4"/>
      <c r="J104" s="4"/>
      <c r="K104" s="4"/>
      <c r="L104" s="4"/>
      <c r="M104" s="4"/>
      <c r="N104" s="4"/>
      <c r="O104" s="4"/>
      <c r="P104" s="4"/>
      <c r="Q104" s="4"/>
      <c r="R104" s="4"/>
      <c r="S104" s="4"/>
      <c r="T104" s="4"/>
      <c r="U104" s="4"/>
      <c r="V104" s="4"/>
      <c r="W104" s="4"/>
      <c r="X104" s="4"/>
      <c r="Y104" s="4"/>
      <c r="Z104" s="4"/>
      <c r="AA104" s="4"/>
      <c r="AB104" s="4"/>
    </row>
    <row r="105" spans="1:28" ht="12.75" hidden="1">
      <c r="A105" s="4"/>
      <c r="B105" s="4"/>
      <c r="C105" s="4"/>
      <c r="D105" s="15"/>
      <c r="E105" s="4"/>
      <c r="F105" s="4"/>
      <c r="G105" s="4"/>
      <c r="H105" s="4"/>
      <c r="I105" s="4"/>
      <c r="J105" s="4"/>
      <c r="K105" s="4"/>
      <c r="L105" s="4"/>
      <c r="M105" s="4"/>
      <c r="N105" s="4"/>
      <c r="O105" s="4"/>
      <c r="P105" s="4"/>
      <c r="Q105" s="4"/>
      <c r="R105" s="4"/>
      <c r="S105" s="4"/>
      <c r="T105" s="4"/>
      <c r="U105" s="4"/>
      <c r="V105" s="4"/>
      <c r="W105" s="4"/>
      <c r="X105" s="4"/>
      <c r="Y105" s="4"/>
      <c r="Z105" s="4"/>
      <c r="AA105" s="4"/>
      <c r="AB105" s="4"/>
    </row>
    <row r="106" spans="1:28" ht="12.75" hidden="1">
      <c r="A106" s="4"/>
      <c r="B106" s="4"/>
      <c r="C106" s="4"/>
      <c r="D106" s="15"/>
      <c r="E106" s="4"/>
      <c r="F106" s="4"/>
      <c r="G106" s="4"/>
      <c r="H106" s="4"/>
      <c r="I106" s="4"/>
      <c r="J106" s="4"/>
      <c r="K106" s="4"/>
      <c r="L106" s="4"/>
      <c r="M106" s="4"/>
      <c r="N106" s="4"/>
      <c r="O106" s="4"/>
      <c r="P106" s="4"/>
      <c r="Q106" s="4"/>
      <c r="R106" s="4"/>
      <c r="S106" s="4"/>
      <c r="T106" s="4"/>
      <c r="U106" s="4"/>
      <c r="V106" s="4"/>
      <c r="W106" s="4"/>
      <c r="X106" s="4"/>
      <c r="Y106" s="4"/>
      <c r="Z106" s="4"/>
      <c r="AA106" s="4"/>
      <c r="AB106" s="4"/>
    </row>
    <row r="107" spans="1:28" ht="12.75" hidden="1">
      <c r="A107" s="4"/>
      <c r="B107" s="4"/>
      <c r="C107" s="4"/>
      <c r="D107" s="15"/>
      <c r="E107" s="4"/>
      <c r="F107" s="4"/>
      <c r="G107" s="4"/>
      <c r="H107" s="4"/>
      <c r="I107" s="4"/>
      <c r="J107" s="4"/>
      <c r="K107" s="4"/>
      <c r="L107" s="4"/>
      <c r="M107" s="4"/>
      <c r="N107" s="4"/>
      <c r="O107" s="4"/>
      <c r="P107" s="4"/>
      <c r="Q107" s="4"/>
      <c r="R107" s="4"/>
      <c r="S107" s="4"/>
      <c r="T107" s="4"/>
      <c r="U107" s="4"/>
      <c r="V107" s="4"/>
      <c r="W107" s="4"/>
      <c r="X107" s="4"/>
      <c r="Y107" s="4"/>
      <c r="Z107" s="4"/>
      <c r="AA107" s="4"/>
      <c r="AB107" s="4"/>
    </row>
    <row r="108" spans="1:28" ht="12.75" hidden="1">
      <c r="A108" s="4"/>
      <c r="B108" s="4"/>
      <c r="C108" s="4"/>
      <c r="D108" s="15"/>
      <c r="E108" s="4"/>
      <c r="F108" s="4"/>
      <c r="G108" s="4"/>
      <c r="H108" s="4"/>
      <c r="I108" s="4"/>
      <c r="J108" s="4"/>
      <c r="K108" s="4"/>
      <c r="L108" s="4"/>
      <c r="M108" s="4"/>
      <c r="N108" s="4"/>
      <c r="O108" s="4"/>
      <c r="P108" s="4"/>
      <c r="Q108" s="4"/>
      <c r="R108" s="4"/>
      <c r="S108" s="4"/>
      <c r="T108" s="4"/>
      <c r="U108" s="4"/>
      <c r="V108" s="4"/>
      <c r="W108" s="4"/>
      <c r="X108" s="4"/>
      <c r="Y108" s="4"/>
      <c r="Z108" s="4"/>
      <c r="AA108" s="4"/>
      <c r="AB108" s="4"/>
    </row>
    <row r="109" spans="1:28" ht="12.75" hidden="1">
      <c r="A109" s="4"/>
      <c r="B109" s="4"/>
      <c r="C109" s="4"/>
      <c r="D109" s="15"/>
      <c r="E109" s="4"/>
      <c r="F109" s="4"/>
      <c r="G109" s="4"/>
      <c r="H109" s="4"/>
      <c r="I109" s="4"/>
      <c r="J109" s="4"/>
      <c r="K109" s="4"/>
      <c r="L109" s="4"/>
      <c r="M109" s="4"/>
      <c r="N109" s="4"/>
      <c r="O109" s="4"/>
      <c r="P109" s="4"/>
      <c r="Q109" s="4"/>
      <c r="R109" s="4"/>
      <c r="S109" s="4"/>
      <c r="T109" s="4"/>
      <c r="U109" s="4"/>
      <c r="V109" s="4"/>
      <c r="W109" s="4"/>
      <c r="X109" s="4"/>
      <c r="Y109" s="4"/>
      <c r="Z109" s="4"/>
      <c r="AA109" s="4"/>
      <c r="AB109" s="4"/>
    </row>
    <row r="110" spans="1:28" ht="12.75" hidden="1">
      <c r="A110" s="4"/>
      <c r="B110" s="4"/>
      <c r="C110" s="4"/>
      <c r="D110" s="15"/>
      <c r="E110" s="4"/>
      <c r="F110" s="4"/>
      <c r="G110" s="4"/>
      <c r="H110" s="4"/>
      <c r="I110" s="4"/>
      <c r="J110" s="4"/>
      <c r="K110" s="4"/>
      <c r="L110" s="4"/>
      <c r="M110" s="4"/>
      <c r="N110" s="4"/>
      <c r="O110" s="4"/>
      <c r="P110" s="4"/>
      <c r="Q110" s="4"/>
      <c r="R110" s="4"/>
      <c r="S110" s="4"/>
      <c r="T110" s="4"/>
      <c r="U110" s="4"/>
      <c r="V110" s="4"/>
      <c r="W110" s="4"/>
      <c r="X110" s="4"/>
      <c r="Y110" s="4"/>
      <c r="Z110" s="4"/>
      <c r="AA110" s="4"/>
      <c r="AB110" s="4"/>
    </row>
    <row r="111" spans="1:28" ht="12.75" hidden="1">
      <c r="A111" s="4"/>
      <c r="B111" s="4"/>
      <c r="C111" s="4"/>
      <c r="D111" s="15"/>
      <c r="E111" s="4"/>
      <c r="F111" s="4"/>
      <c r="G111" s="4"/>
      <c r="H111" s="4"/>
      <c r="I111" s="4"/>
      <c r="J111" s="4"/>
      <c r="K111" s="4"/>
      <c r="L111" s="4"/>
      <c r="M111" s="4"/>
      <c r="N111" s="4"/>
      <c r="O111" s="4"/>
      <c r="P111" s="4"/>
      <c r="Q111" s="4"/>
      <c r="R111" s="4"/>
      <c r="S111" s="4"/>
      <c r="T111" s="4"/>
      <c r="U111" s="4"/>
      <c r="V111" s="4"/>
      <c r="W111" s="4"/>
      <c r="X111" s="4"/>
      <c r="Y111" s="4"/>
      <c r="Z111" s="4"/>
      <c r="AA111" s="4"/>
      <c r="AB111" s="4"/>
    </row>
    <row r="112" spans="1:28" ht="12.75" hidden="1">
      <c r="A112" s="4"/>
      <c r="B112" s="4"/>
      <c r="C112" s="4"/>
      <c r="D112" s="15"/>
      <c r="E112" s="4"/>
      <c r="F112" s="4"/>
      <c r="G112" s="4"/>
      <c r="H112" s="4"/>
      <c r="I112" s="4"/>
      <c r="J112" s="4"/>
      <c r="K112" s="4"/>
      <c r="L112" s="4"/>
      <c r="M112" s="4"/>
      <c r="N112" s="4"/>
      <c r="O112" s="4"/>
      <c r="P112" s="4"/>
      <c r="Q112" s="4"/>
      <c r="R112" s="4"/>
      <c r="S112" s="4"/>
      <c r="T112" s="4"/>
      <c r="U112" s="4"/>
      <c r="V112" s="4"/>
      <c r="W112" s="4"/>
      <c r="X112" s="4"/>
      <c r="Y112" s="4"/>
      <c r="Z112" s="4"/>
      <c r="AA112" s="4"/>
      <c r="AB112" s="4"/>
    </row>
    <row r="113" spans="1:28" ht="12.75" hidden="1">
      <c r="A113" s="4"/>
      <c r="B113" s="4"/>
      <c r="C113" s="4"/>
      <c r="D113" s="15"/>
      <c r="E113" s="4"/>
      <c r="F113" s="4"/>
      <c r="G113" s="4"/>
      <c r="H113" s="4"/>
      <c r="I113" s="4"/>
      <c r="J113" s="4"/>
      <c r="K113" s="4"/>
      <c r="L113" s="4"/>
      <c r="M113" s="4"/>
      <c r="N113" s="4"/>
      <c r="O113" s="4"/>
      <c r="P113" s="4"/>
      <c r="Q113" s="4"/>
      <c r="R113" s="4"/>
      <c r="S113" s="4"/>
      <c r="T113" s="4"/>
      <c r="U113" s="4"/>
      <c r="V113" s="4"/>
      <c r="W113" s="4"/>
      <c r="X113" s="4"/>
      <c r="Y113" s="4"/>
      <c r="Z113" s="4"/>
      <c r="AA113" s="4"/>
      <c r="AB113" s="4"/>
    </row>
    <row r="114" spans="1:28" ht="12.75" hidden="1">
      <c r="A114" s="4"/>
      <c r="B114" s="4"/>
      <c r="C114" s="4"/>
      <c r="D114" s="15"/>
      <c r="E114" s="4"/>
      <c r="F114" s="4"/>
      <c r="G114" s="4"/>
      <c r="H114" s="4"/>
      <c r="I114" s="4"/>
      <c r="J114" s="4"/>
      <c r="K114" s="4"/>
      <c r="L114" s="4"/>
      <c r="M114" s="4"/>
      <c r="N114" s="4"/>
      <c r="O114" s="4"/>
      <c r="P114" s="4"/>
      <c r="Q114" s="4"/>
      <c r="R114" s="4"/>
      <c r="S114" s="4"/>
      <c r="T114" s="4"/>
      <c r="U114" s="4"/>
      <c r="V114" s="4"/>
      <c r="W114" s="4"/>
      <c r="X114" s="4"/>
      <c r="Y114" s="4"/>
      <c r="Z114" s="4"/>
      <c r="AA114" s="4"/>
      <c r="AB114" s="4"/>
    </row>
    <row r="115" spans="1:28" ht="12.75" hidden="1">
      <c r="A115" s="4"/>
      <c r="B115" s="4"/>
      <c r="C115" s="4"/>
      <c r="D115" s="15"/>
      <c r="E115" s="4"/>
      <c r="F115" s="4"/>
      <c r="G115" s="4"/>
      <c r="H115" s="4"/>
      <c r="I115" s="4"/>
      <c r="J115" s="4"/>
      <c r="K115" s="4"/>
      <c r="L115" s="4"/>
      <c r="M115" s="4"/>
      <c r="N115" s="4"/>
      <c r="O115" s="4"/>
      <c r="P115" s="4"/>
      <c r="Q115" s="4"/>
      <c r="R115" s="4"/>
      <c r="S115" s="4"/>
      <c r="T115" s="4"/>
      <c r="U115" s="4"/>
      <c r="V115" s="4"/>
      <c r="W115" s="4"/>
      <c r="X115" s="4"/>
      <c r="Y115" s="4"/>
      <c r="Z115" s="4"/>
      <c r="AA115" s="4"/>
      <c r="AB115" s="4"/>
    </row>
    <row r="116" spans="1:28" ht="12.75" hidden="1">
      <c r="A116" s="4"/>
      <c r="B116" s="4"/>
      <c r="C116" s="4"/>
      <c r="D116" s="15"/>
      <c r="E116" s="4"/>
      <c r="F116" s="4"/>
      <c r="G116" s="4"/>
      <c r="H116" s="4"/>
      <c r="I116" s="4"/>
      <c r="J116" s="4"/>
      <c r="K116" s="4"/>
      <c r="L116" s="4"/>
      <c r="M116" s="4"/>
      <c r="N116" s="4"/>
      <c r="O116" s="4"/>
      <c r="P116" s="4"/>
      <c r="Q116" s="4"/>
      <c r="R116" s="4"/>
      <c r="S116" s="4"/>
      <c r="T116" s="4"/>
      <c r="U116" s="4"/>
      <c r="V116" s="4"/>
      <c r="W116" s="4"/>
      <c r="X116" s="4"/>
      <c r="Y116" s="4"/>
      <c r="Z116" s="4"/>
      <c r="AA116" s="4"/>
      <c r="AB116" s="4"/>
    </row>
    <row r="117" spans="1:28" ht="12.75" hidden="1">
      <c r="A117" s="4"/>
      <c r="B117" s="4"/>
      <c r="C117" s="4"/>
      <c r="D117" s="15"/>
      <c r="E117" s="4"/>
      <c r="F117" s="4"/>
      <c r="G117" s="4"/>
      <c r="H117" s="4"/>
      <c r="I117" s="4"/>
      <c r="J117" s="4"/>
      <c r="K117" s="4"/>
      <c r="L117" s="4"/>
      <c r="M117" s="4"/>
      <c r="N117" s="4"/>
      <c r="O117" s="4"/>
      <c r="P117" s="4"/>
      <c r="Q117" s="4"/>
      <c r="R117" s="4"/>
      <c r="S117" s="4"/>
      <c r="T117" s="4"/>
      <c r="U117" s="4"/>
      <c r="V117" s="4"/>
      <c r="W117" s="4"/>
      <c r="X117" s="4"/>
      <c r="Y117" s="4"/>
      <c r="Z117" s="4"/>
      <c r="AA117" s="4"/>
      <c r="AB117" s="4"/>
    </row>
    <row r="118" spans="1:28" ht="12.75" hidden="1">
      <c r="A118" s="4"/>
      <c r="B118" s="4"/>
      <c r="C118" s="4"/>
      <c r="D118" s="15"/>
      <c r="E118" s="4"/>
      <c r="F118" s="4"/>
      <c r="G118" s="4"/>
      <c r="H118" s="4"/>
      <c r="I118" s="4"/>
      <c r="J118" s="4"/>
      <c r="K118" s="4"/>
      <c r="L118" s="4"/>
      <c r="M118" s="4"/>
      <c r="N118" s="4"/>
      <c r="O118" s="4"/>
      <c r="P118" s="4"/>
      <c r="Q118" s="4"/>
      <c r="R118" s="4"/>
      <c r="S118" s="4"/>
      <c r="T118" s="4"/>
      <c r="U118" s="4"/>
      <c r="V118" s="4"/>
      <c r="W118" s="4"/>
      <c r="X118" s="4"/>
      <c r="Y118" s="4"/>
      <c r="Z118" s="4"/>
      <c r="AA118" s="4"/>
      <c r="AB118" s="4"/>
    </row>
    <row r="119" spans="1:28" ht="12.75" hidden="1">
      <c r="A119" s="4"/>
      <c r="B119" s="4"/>
      <c r="C119" s="4"/>
      <c r="D119" s="15"/>
      <c r="E119" s="4"/>
      <c r="F119" s="4"/>
      <c r="G119" s="4"/>
      <c r="H119" s="4"/>
      <c r="I119" s="4"/>
      <c r="J119" s="4"/>
      <c r="K119" s="4"/>
      <c r="L119" s="4"/>
      <c r="M119" s="4"/>
      <c r="N119" s="4"/>
      <c r="O119" s="4"/>
      <c r="P119" s="4"/>
      <c r="Q119" s="4"/>
      <c r="R119" s="4"/>
      <c r="S119" s="4"/>
      <c r="T119" s="4"/>
      <c r="U119" s="4"/>
      <c r="V119" s="4"/>
      <c r="W119" s="4"/>
      <c r="X119" s="4"/>
      <c r="Y119" s="4"/>
      <c r="Z119" s="4"/>
      <c r="AA119" s="4"/>
      <c r="AB119" s="4"/>
    </row>
    <row r="120" spans="1:28" ht="12.75" hidden="1">
      <c r="A120" s="4"/>
      <c r="B120" s="4"/>
      <c r="C120" s="4"/>
      <c r="D120" s="15"/>
      <c r="E120" s="4"/>
      <c r="F120" s="4"/>
      <c r="G120" s="4"/>
      <c r="H120" s="4"/>
      <c r="I120" s="4"/>
      <c r="J120" s="4"/>
      <c r="K120" s="4"/>
      <c r="L120" s="4"/>
      <c r="M120" s="4"/>
      <c r="N120" s="4"/>
      <c r="O120" s="4"/>
      <c r="P120" s="4"/>
      <c r="Q120" s="4"/>
      <c r="R120" s="4"/>
      <c r="S120" s="4"/>
      <c r="T120" s="4"/>
      <c r="U120" s="4"/>
      <c r="V120" s="4"/>
      <c r="W120" s="4"/>
      <c r="X120" s="4"/>
      <c r="Y120" s="4"/>
      <c r="Z120" s="4"/>
      <c r="AA120" s="4"/>
      <c r="AB120" s="4"/>
    </row>
    <row r="121" spans="1:28" ht="12.75" hidden="1">
      <c r="A121" s="4"/>
      <c r="B121" s="4"/>
      <c r="C121" s="4"/>
      <c r="D121" s="15"/>
      <c r="E121" s="4"/>
      <c r="F121" s="4"/>
      <c r="G121" s="4"/>
      <c r="H121" s="4"/>
      <c r="I121" s="4"/>
      <c r="J121" s="4"/>
      <c r="K121" s="4"/>
      <c r="L121" s="4"/>
      <c r="M121" s="4"/>
      <c r="N121" s="4"/>
      <c r="O121" s="4"/>
      <c r="P121" s="4"/>
      <c r="Q121" s="4"/>
      <c r="R121" s="4"/>
      <c r="S121" s="4"/>
      <c r="T121" s="4"/>
      <c r="U121" s="4"/>
      <c r="V121" s="4"/>
      <c r="W121" s="4"/>
      <c r="X121" s="4"/>
      <c r="Y121" s="4"/>
      <c r="Z121" s="4"/>
      <c r="AA121" s="4"/>
      <c r="AB121" s="4"/>
    </row>
    <row r="122" spans="1:28" ht="12.75" hidden="1">
      <c r="A122" s="4"/>
      <c r="B122" s="4"/>
      <c r="C122" s="4"/>
      <c r="D122" s="15"/>
      <c r="E122" s="4"/>
      <c r="F122" s="4"/>
      <c r="G122" s="4"/>
      <c r="H122" s="4"/>
      <c r="I122" s="4"/>
      <c r="J122" s="4"/>
      <c r="K122" s="4"/>
      <c r="L122" s="4"/>
      <c r="M122" s="4"/>
      <c r="N122" s="4"/>
      <c r="O122" s="4"/>
      <c r="P122" s="4"/>
      <c r="Q122" s="4"/>
      <c r="R122" s="4"/>
      <c r="S122" s="4"/>
      <c r="T122" s="4"/>
      <c r="U122" s="4"/>
      <c r="V122" s="4"/>
      <c r="W122" s="4"/>
      <c r="X122" s="4"/>
      <c r="Y122" s="4"/>
      <c r="Z122" s="4"/>
      <c r="AA122" s="4"/>
      <c r="AB122" s="4"/>
    </row>
    <row r="123" spans="1:28" ht="12.75" hidden="1">
      <c r="A123" s="4"/>
      <c r="B123" s="4"/>
      <c r="C123" s="4"/>
      <c r="D123" s="15"/>
      <c r="E123" s="4"/>
      <c r="F123" s="4"/>
      <c r="G123" s="4"/>
      <c r="H123" s="4"/>
      <c r="I123" s="4"/>
      <c r="J123" s="4"/>
      <c r="K123" s="4"/>
      <c r="L123" s="4"/>
      <c r="M123" s="4"/>
      <c r="N123" s="4"/>
      <c r="O123" s="4"/>
      <c r="P123" s="4"/>
      <c r="Q123" s="4"/>
      <c r="R123" s="4"/>
      <c r="S123" s="4"/>
      <c r="T123" s="4"/>
      <c r="U123" s="4"/>
      <c r="V123" s="4"/>
      <c r="W123" s="4"/>
      <c r="X123" s="4"/>
      <c r="Y123" s="4"/>
      <c r="Z123" s="4"/>
      <c r="AA123" s="4"/>
      <c r="AB123" s="4"/>
    </row>
    <row r="124" spans="1:28" ht="12.75" hidden="1">
      <c r="A124" s="4"/>
      <c r="B124" s="4"/>
      <c r="C124" s="4"/>
      <c r="D124" s="15"/>
      <c r="E124" s="4"/>
      <c r="F124" s="4"/>
      <c r="G124" s="4"/>
      <c r="H124" s="4"/>
      <c r="I124" s="4"/>
      <c r="J124" s="4"/>
      <c r="K124" s="4"/>
      <c r="L124" s="4"/>
      <c r="M124" s="4"/>
      <c r="N124" s="4"/>
      <c r="O124" s="4"/>
      <c r="P124" s="4"/>
      <c r="Q124" s="4"/>
      <c r="R124" s="4"/>
      <c r="S124" s="4"/>
      <c r="T124" s="4"/>
      <c r="U124" s="4"/>
      <c r="V124" s="4"/>
      <c r="W124" s="4"/>
      <c r="X124" s="4"/>
      <c r="Y124" s="4"/>
      <c r="Z124" s="4"/>
      <c r="AA124" s="4"/>
      <c r="AB124" s="4"/>
    </row>
    <row r="125" spans="1:28" ht="12.75" hidden="1">
      <c r="A125" s="4"/>
      <c r="B125" s="4"/>
      <c r="C125" s="4"/>
      <c r="D125" s="15"/>
      <c r="E125" s="4"/>
      <c r="F125" s="4"/>
      <c r="G125" s="4"/>
      <c r="H125" s="4"/>
      <c r="I125" s="4"/>
      <c r="J125" s="4"/>
      <c r="K125" s="4"/>
      <c r="L125" s="4"/>
      <c r="M125" s="4"/>
      <c r="N125" s="4"/>
      <c r="O125" s="4"/>
      <c r="P125" s="4"/>
      <c r="Q125" s="4"/>
      <c r="R125" s="4"/>
      <c r="S125" s="4"/>
      <c r="T125" s="4"/>
      <c r="U125" s="4"/>
      <c r="V125" s="4"/>
      <c r="W125" s="4"/>
      <c r="X125" s="4"/>
      <c r="Y125" s="4"/>
      <c r="Z125" s="4"/>
      <c r="AA125" s="4"/>
      <c r="AB125" s="4"/>
    </row>
    <row r="126" spans="1:28" ht="12.75" hidden="1">
      <c r="A126" s="4"/>
      <c r="B126" s="4"/>
      <c r="C126" s="4"/>
      <c r="D126" s="15"/>
      <c r="E126" s="4"/>
      <c r="F126" s="4"/>
      <c r="G126" s="4"/>
      <c r="H126" s="4"/>
      <c r="I126" s="4"/>
      <c r="J126" s="4"/>
      <c r="K126" s="4"/>
      <c r="L126" s="4"/>
      <c r="M126" s="4"/>
      <c r="N126" s="4"/>
      <c r="O126" s="4"/>
      <c r="P126" s="4"/>
      <c r="Q126" s="4"/>
      <c r="R126" s="4"/>
      <c r="S126" s="4"/>
      <c r="T126" s="4"/>
      <c r="U126" s="4"/>
      <c r="V126" s="4"/>
      <c r="W126" s="4"/>
      <c r="X126" s="4"/>
      <c r="Y126" s="4"/>
      <c r="Z126" s="4"/>
      <c r="AA126" s="4"/>
      <c r="AB126" s="4"/>
    </row>
    <row r="127" spans="1:28" ht="12.75" hidden="1">
      <c r="A127" s="4"/>
      <c r="B127" s="4"/>
      <c r="C127" s="4"/>
      <c r="D127" s="15"/>
      <c r="E127" s="4"/>
      <c r="F127" s="4"/>
      <c r="G127" s="4"/>
      <c r="H127" s="4"/>
      <c r="I127" s="4"/>
      <c r="J127" s="4"/>
      <c r="K127" s="4"/>
      <c r="L127" s="4"/>
      <c r="M127" s="4"/>
      <c r="N127" s="4"/>
      <c r="O127" s="4"/>
      <c r="P127" s="4"/>
      <c r="Q127" s="4"/>
      <c r="R127" s="4"/>
      <c r="S127" s="4"/>
      <c r="T127" s="4"/>
      <c r="U127" s="4"/>
      <c r="V127" s="4"/>
      <c r="W127" s="4"/>
      <c r="X127" s="4"/>
      <c r="Y127" s="4"/>
      <c r="Z127" s="4"/>
      <c r="AA127" s="4"/>
      <c r="AB127" s="4"/>
    </row>
    <row r="128" spans="1:28" ht="12.75" hidden="1">
      <c r="A128" s="4"/>
      <c r="B128" s="4"/>
      <c r="C128" s="4"/>
      <c r="D128" s="15"/>
      <c r="E128" s="4"/>
      <c r="F128" s="4"/>
      <c r="G128" s="4"/>
      <c r="H128" s="4"/>
      <c r="I128" s="4"/>
      <c r="J128" s="4"/>
      <c r="K128" s="4"/>
      <c r="L128" s="4"/>
      <c r="M128" s="4"/>
      <c r="N128" s="4"/>
      <c r="O128" s="4"/>
      <c r="P128" s="4"/>
      <c r="Q128" s="4"/>
      <c r="R128" s="4"/>
      <c r="S128" s="4"/>
      <c r="T128" s="4"/>
      <c r="U128" s="4"/>
      <c r="V128" s="4"/>
      <c r="W128" s="4"/>
      <c r="X128" s="4"/>
      <c r="Y128" s="4"/>
      <c r="Z128" s="4"/>
      <c r="AA128" s="4"/>
      <c r="AB128" s="4"/>
    </row>
    <row r="129" spans="1:28" ht="12.75" hidden="1">
      <c r="A129" s="4"/>
      <c r="B129" s="4"/>
      <c r="C129" s="4"/>
      <c r="D129" s="15"/>
      <c r="E129" s="4"/>
      <c r="F129" s="4"/>
      <c r="G129" s="4"/>
      <c r="H129" s="4"/>
      <c r="I129" s="4"/>
      <c r="J129" s="4"/>
      <c r="K129" s="4"/>
      <c r="L129" s="4"/>
      <c r="M129" s="4"/>
      <c r="N129" s="4"/>
      <c r="O129" s="4"/>
      <c r="P129" s="4"/>
      <c r="Q129" s="4"/>
      <c r="R129" s="4"/>
      <c r="S129" s="4"/>
      <c r="T129" s="4"/>
      <c r="U129" s="4"/>
      <c r="V129" s="4"/>
      <c r="W129" s="4"/>
      <c r="X129" s="4"/>
      <c r="Y129" s="4"/>
      <c r="Z129" s="4"/>
      <c r="AA129" s="4"/>
      <c r="AB129" s="4"/>
    </row>
    <row r="130" spans="1:28" ht="12.75" hidden="1">
      <c r="A130" s="4"/>
      <c r="B130" s="4"/>
      <c r="C130" s="4"/>
      <c r="D130" s="15"/>
      <c r="E130" s="4"/>
      <c r="F130" s="4"/>
      <c r="G130" s="4"/>
      <c r="H130" s="4"/>
      <c r="I130" s="4"/>
      <c r="J130" s="4"/>
      <c r="K130" s="4"/>
      <c r="L130" s="4"/>
      <c r="M130" s="4"/>
      <c r="N130" s="4"/>
      <c r="O130" s="4"/>
      <c r="P130" s="4"/>
      <c r="Q130" s="4"/>
      <c r="R130" s="4"/>
      <c r="S130" s="4"/>
      <c r="T130" s="4"/>
      <c r="U130" s="4"/>
      <c r="V130" s="4"/>
      <c r="W130" s="4"/>
      <c r="X130" s="4"/>
      <c r="Y130" s="4"/>
      <c r="Z130" s="4"/>
      <c r="AA130" s="4"/>
      <c r="AB130" s="4"/>
    </row>
    <row r="131" spans="1:28" ht="12.75" hidden="1">
      <c r="A131" s="4"/>
      <c r="B131" s="4"/>
      <c r="C131" s="4"/>
      <c r="D131" s="15"/>
      <c r="E131" s="4"/>
      <c r="F131" s="4"/>
      <c r="G131" s="4"/>
      <c r="H131" s="4"/>
      <c r="I131" s="4"/>
      <c r="J131" s="4"/>
      <c r="K131" s="4"/>
      <c r="L131" s="4"/>
      <c r="M131" s="4"/>
      <c r="N131" s="4"/>
      <c r="O131" s="4"/>
      <c r="P131" s="4"/>
      <c r="Q131" s="4"/>
      <c r="R131" s="4"/>
      <c r="S131" s="4"/>
      <c r="T131" s="4"/>
      <c r="U131" s="4"/>
      <c r="V131" s="4"/>
      <c r="W131" s="4"/>
      <c r="X131" s="4"/>
      <c r="Y131" s="4"/>
      <c r="Z131" s="4"/>
      <c r="AA131" s="4"/>
      <c r="AB131" s="4"/>
    </row>
    <row r="132" spans="1:28" ht="12.75" hidden="1">
      <c r="A132" s="4"/>
      <c r="B132" s="4"/>
      <c r="C132" s="4"/>
      <c r="D132" s="15"/>
      <c r="E132" s="4"/>
      <c r="F132" s="4"/>
      <c r="G132" s="4"/>
      <c r="H132" s="4"/>
      <c r="I132" s="4"/>
      <c r="J132" s="4"/>
      <c r="K132" s="4"/>
      <c r="L132" s="4"/>
      <c r="M132" s="4"/>
      <c r="N132" s="4"/>
      <c r="O132" s="4"/>
      <c r="P132" s="4"/>
      <c r="Q132" s="4"/>
      <c r="R132" s="4"/>
      <c r="S132" s="4"/>
      <c r="T132" s="4"/>
      <c r="U132" s="4"/>
      <c r="V132" s="4"/>
      <c r="W132" s="4"/>
      <c r="X132" s="4"/>
      <c r="Y132" s="4"/>
      <c r="Z132" s="4"/>
      <c r="AA132" s="4"/>
      <c r="AB132" s="4"/>
    </row>
    <row r="133" spans="1:28" ht="12.75" hidden="1">
      <c r="A133" s="4"/>
      <c r="B133" s="4"/>
      <c r="C133" s="4"/>
      <c r="D133" s="15"/>
      <c r="E133" s="4"/>
      <c r="F133" s="4"/>
      <c r="G133" s="4"/>
      <c r="H133" s="4"/>
      <c r="I133" s="4"/>
      <c r="J133" s="4"/>
      <c r="K133" s="4"/>
      <c r="L133" s="4"/>
      <c r="M133" s="4"/>
      <c r="N133" s="4"/>
      <c r="O133" s="4"/>
      <c r="P133" s="4"/>
      <c r="Q133" s="4"/>
      <c r="R133" s="4"/>
      <c r="S133" s="4"/>
      <c r="T133" s="4"/>
      <c r="U133" s="4"/>
      <c r="V133" s="4"/>
      <c r="W133" s="4"/>
      <c r="X133" s="4"/>
      <c r="Y133" s="4"/>
      <c r="Z133" s="4"/>
      <c r="AA133" s="4"/>
      <c r="AB133" s="4"/>
    </row>
    <row r="134" spans="1:28" ht="12.75" hidden="1">
      <c r="A134" s="4"/>
      <c r="B134" s="4"/>
      <c r="C134" s="4"/>
      <c r="D134" s="15"/>
      <c r="E134" s="4"/>
      <c r="F134" s="4"/>
      <c r="G134" s="4"/>
      <c r="H134" s="4"/>
      <c r="I134" s="4"/>
      <c r="J134" s="4"/>
      <c r="K134" s="4"/>
      <c r="L134" s="4"/>
      <c r="M134" s="4"/>
      <c r="N134" s="4"/>
      <c r="O134" s="4"/>
      <c r="P134" s="4"/>
      <c r="Q134" s="4"/>
      <c r="R134" s="4"/>
      <c r="S134" s="4"/>
      <c r="T134" s="4"/>
      <c r="U134" s="4"/>
      <c r="V134" s="4"/>
      <c r="W134" s="4"/>
      <c r="X134" s="4"/>
      <c r="Y134" s="4"/>
      <c r="Z134" s="4"/>
      <c r="AA134" s="4"/>
      <c r="AB134" s="4"/>
    </row>
    <row r="135" spans="1:28" ht="12.75" hidden="1">
      <c r="A135" s="4"/>
      <c r="B135" s="4"/>
      <c r="C135" s="4"/>
      <c r="D135" s="15"/>
      <c r="E135" s="4"/>
      <c r="F135" s="4"/>
      <c r="G135" s="4"/>
      <c r="H135" s="4"/>
      <c r="I135" s="4"/>
      <c r="J135" s="4"/>
      <c r="K135" s="4"/>
      <c r="L135" s="4"/>
      <c r="M135" s="4"/>
      <c r="N135" s="4"/>
      <c r="O135" s="4"/>
      <c r="P135" s="4"/>
      <c r="Q135" s="4"/>
      <c r="R135" s="4"/>
      <c r="S135" s="4"/>
      <c r="T135" s="4"/>
      <c r="U135" s="4"/>
      <c r="V135" s="4"/>
      <c r="W135" s="4"/>
      <c r="X135" s="4"/>
      <c r="Y135" s="4"/>
      <c r="Z135" s="4"/>
      <c r="AA135" s="4"/>
      <c r="AB135" s="4"/>
    </row>
    <row r="136" spans="1:28" ht="12.75" hidden="1">
      <c r="A136" s="4"/>
      <c r="B136" s="4"/>
      <c r="C136" s="4"/>
      <c r="D136" s="15"/>
      <c r="E136" s="4"/>
      <c r="F136" s="4"/>
      <c r="G136" s="4"/>
      <c r="H136" s="4"/>
      <c r="I136" s="4"/>
      <c r="J136" s="4"/>
      <c r="K136" s="4"/>
      <c r="L136" s="4"/>
      <c r="M136" s="4"/>
      <c r="N136" s="4"/>
      <c r="O136" s="4"/>
      <c r="P136" s="4"/>
      <c r="Q136" s="4"/>
      <c r="R136" s="4"/>
      <c r="S136" s="4"/>
      <c r="T136" s="4"/>
      <c r="U136" s="4"/>
      <c r="V136" s="4"/>
      <c r="W136" s="4"/>
      <c r="X136" s="4"/>
      <c r="Y136" s="4"/>
      <c r="Z136" s="4"/>
      <c r="AA136" s="4"/>
      <c r="AB136" s="4"/>
    </row>
    <row r="137" spans="1:28" ht="12.75" hidden="1">
      <c r="A137" s="4"/>
      <c r="B137" s="4"/>
      <c r="C137" s="4"/>
      <c r="D137" s="15"/>
      <c r="E137" s="4"/>
      <c r="F137" s="4"/>
      <c r="G137" s="4"/>
      <c r="H137" s="4"/>
      <c r="I137" s="4"/>
      <c r="J137" s="4"/>
      <c r="K137" s="4"/>
      <c r="L137" s="4"/>
      <c r="M137" s="4"/>
      <c r="N137" s="4"/>
      <c r="O137" s="4"/>
      <c r="P137" s="4"/>
      <c r="Q137" s="4"/>
      <c r="R137" s="4"/>
      <c r="S137" s="4"/>
      <c r="T137" s="4"/>
      <c r="U137" s="4"/>
      <c r="V137" s="4"/>
      <c r="W137" s="4"/>
      <c r="X137" s="4"/>
      <c r="Y137" s="4"/>
      <c r="Z137" s="4"/>
      <c r="AA137" s="4"/>
      <c r="AB137" s="4"/>
    </row>
    <row r="138" spans="1:28" ht="12.75" hidden="1">
      <c r="A138" s="4"/>
      <c r="B138" s="4"/>
      <c r="C138" s="4"/>
      <c r="D138" s="15"/>
      <c r="E138" s="4"/>
      <c r="F138" s="4"/>
      <c r="G138" s="4"/>
      <c r="H138" s="4"/>
      <c r="I138" s="4"/>
      <c r="J138" s="4"/>
      <c r="K138" s="4"/>
      <c r="L138" s="4"/>
      <c r="M138" s="4"/>
      <c r="N138" s="4"/>
      <c r="O138" s="4"/>
      <c r="P138" s="4"/>
      <c r="Q138" s="4"/>
      <c r="R138" s="4"/>
      <c r="S138" s="4"/>
      <c r="T138" s="4"/>
      <c r="U138" s="4"/>
      <c r="V138" s="4"/>
      <c r="W138" s="4"/>
      <c r="X138" s="4"/>
      <c r="Y138" s="4"/>
      <c r="Z138" s="4"/>
      <c r="AA138" s="4"/>
      <c r="AB138" s="4"/>
    </row>
    <row r="139" spans="1:28" ht="12.75" hidden="1">
      <c r="A139" s="4"/>
      <c r="B139" s="4"/>
      <c r="C139" s="4"/>
      <c r="D139" s="15"/>
      <c r="E139" s="4"/>
      <c r="F139" s="4"/>
      <c r="G139" s="4"/>
      <c r="H139" s="4"/>
      <c r="I139" s="4"/>
      <c r="J139" s="4"/>
      <c r="K139" s="4"/>
      <c r="L139" s="4"/>
      <c r="M139" s="4"/>
      <c r="N139" s="4"/>
      <c r="O139" s="4"/>
      <c r="P139" s="4"/>
      <c r="Q139" s="4"/>
      <c r="R139" s="4"/>
      <c r="S139" s="4"/>
      <c r="T139" s="4"/>
      <c r="U139" s="4"/>
      <c r="V139" s="4"/>
      <c r="W139" s="4"/>
      <c r="X139" s="4"/>
      <c r="Y139" s="4"/>
      <c r="Z139" s="4"/>
      <c r="AA139" s="4"/>
      <c r="AB139" s="4"/>
    </row>
    <row r="140" spans="1:28" ht="12.75" hidden="1">
      <c r="A140" s="4"/>
      <c r="B140" s="4"/>
      <c r="C140" s="4"/>
      <c r="D140" s="15"/>
      <c r="E140" s="4"/>
      <c r="F140" s="4"/>
      <c r="G140" s="4"/>
      <c r="H140" s="4"/>
      <c r="I140" s="4"/>
      <c r="J140" s="4"/>
      <c r="K140" s="4"/>
      <c r="L140" s="4"/>
      <c r="M140" s="4"/>
      <c r="N140" s="4"/>
      <c r="O140" s="4"/>
      <c r="P140" s="4"/>
      <c r="Q140" s="4"/>
      <c r="R140" s="4"/>
      <c r="S140" s="4"/>
      <c r="T140" s="4"/>
      <c r="U140" s="4"/>
      <c r="V140" s="4"/>
      <c r="W140" s="4"/>
      <c r="X140" s="4"/>
      <c r="Y140" s="4"/>
      <c r="Z140" s="4"/>
      <c r="AA140" s="4"/>
      <c r="AB140" s="4"/>
    </row>
    <row r="141" spans="1:28" ht="12.75" hidden="1">
      <c r="A141" s="4"/>
      <c r="B141" s="4"/>
      <c r="C141" s="4"/>
      <c r="D141" s="15"/>
      <c r="E141" s="4"/>
      <c r="F141" s="4"/>
      <c r="G141" s="4"/>
      <c r="H141" s="4"/>
      <c r="I141" s="4"/>
      <c r="J141" s="4"/>
      <c r="K141" s="4"/>
      <c r="L141" s="4"/>
      <c r="M141" s="4"/>
      <c r="N141" s="4"/>
      <c r="O141" s="4"/>
      <c r="P141" s="4"/>
      <c r="Q141" s="4"/>
      <c r="R141" s="4"/>
      <c r="S141" s="4"/>
      <c r="T141" s="4"/>
      <c r="U141" s="4"/>
      <c r="V141" s="4"/>
      <c r="W141" s="4"/>
      <c r="X141" s="4"/>
      <c r="Y141" s="4"/>
      <c r="Z141" s="4"/>
      <c r="AA141" s="4"/>
      <c r="AB141" s="4"/>
    </row>
    <row r="142" spans="1:28" ht="12.75" hidden="1">
      <c r="A142" s="4"/>
      <c r="B142" s="4"/>
      <c r="C142" s="4"/>
      <c r="D142" s="15"/>
      <c r="E142" s="4"/>
      <c r="F142" s="4"/>
      <c r="G142" s="4"/>
      <c r="H142" s="4"/>
      <c r="I142" s="4"/>
      <c r="J142" s="4"/>
      <c r="K142" s="4"/>
      <c r="L142" s="4"/>
      <c r="M142" s="4"/>
      <c r="N142" s="4"/>
      <c r="O142" s="4"/>
      <c r="P142" s="4"/>
      <c r="Q142" s="4"/>
      <c r="R142" s="4"/>
      <c r="S142" s="4"/>
      <c r="T142" s="4"/>
      <c r="U142" s="4"/>
      <c r="V142" s="4"/>
      <c r="W142" s="4"/>
      <c r="X142" s="4"/>
      <c r="Y142" s="4"/>
      <c r="Z142" s="4"/>
      <c r="AA142" s="4"/>
      <c r="AB142" s="4"/>
    </row>
    <row r="143" spans="1:28" ht="12.75" hidden="1">
      <c r="A143" s="4"/>
      <c r="B143" s="4"/>
      <c r="C143" s="4"/>
      <c r="D143" s="15"/>
      <c r="E143" s="4"/>
      <c r="F143" s="4"/>
      <c r="G143" s="4"/>
      <c r="H143" s="4"/>
      <c r="I143" s="4"/>
      <c r="J143" s="4"/>
      <c r="K143" s="4"/>
      <c r="L143" s="4"/>
      <c r="M143" s="4"/>
      <c r="N143" s="4"/>
      <c r="O143" s="4"/>
      <c r="P143" s="4"/>
      <c r="Q143" s="4"/>
      <c r="R143" s="4"/>
      <c r="S143" s="4"/>
      <c r="T143" s="4"/>
      <c r="U143" s="4"/>
      <c r="V143" s="4"/>
      <c r="W143" s="4"/>
      <c r="X143" s="4"/>
      <c r="Y143" s="4"/>
      <c r="Z143" s="4"/>
      <c r="AA143" s="4"/>
      <c r="AB143" s="4"/>
    </row>
    <row r="144" spans="1:28" ht="12.75" hidden="1">
      <c r="A144" s="4"/>
      <c r="B144" s="4"/>
      <c r="C144" s="4"/>
      <c r="D144" s="15"/>
      <c r="E144" s="4"/>
      <c r="F144" s="4"/>
      <c r="G144" s="4"/>
      <c r="H144" s="4"/>
      <c r="I144" s="4"/>
      <c r="J144" s="4"/>
      <c r="K144" s="4"/>
      <c r="L144" s="4"/>
      <c r="M144" s="4"/>
      <c r="N144" s="4"/>
      <c r="O144" s="4"/>
      <c r="P144" s="4"/>
      <c r="Q144" s="4"/>
      <c r="R144" s="4"/>
      <c r="S144" s="4"/>
      <c r="T144" s="4"/>
      <c r="U144" s="4"/>
      <c r="V144" s="4"/>
      <c r="W144" s="4"/>
      <c r="X144" s="4"/>
      <c r="Y144" s="4"/>
      <c r="Z144" s="4"/>
      <c r="AA144" s="4"/>
      <c r="AB144" s="4"/>
    </row>
    <row r="145" spans="1:28" ht="12.75" hidden="1">
      <c r="A145" s="4"/>
      <c r="B145" s="4"/>
      <c r="C145" s="4"/>
      <c r="D145" s="15"/>
      <c r="E145" s="4"/>
      <c r="F145" s="4"/>
      <c r="G145" s="4"/>
      <c r="H145" s="4"/>
      <c r="I145" s="4"/>
      <c r="J145" s="4"/>
      <c r="K145" s="4"/>
      <c r="L145" s="4"/>
      <c r="M145" s="4"/>
      <c r="N145" s="4"/>
      <c r="O145" s="4"/>
      <c r="P145" s="4"/>
      <c r="Q145" s="4"/>
      <c r="R145" s="4"/>
      <c r="S145" s="4"/>
      <c r="T145" s="4"/>
      <c r="U145" s="4"/>
      <c r="V145" s="4"/>
      <c r="W145" s="4"/>
      <c r="X145" s="4"/>
      <c r="Y145" s="4"/>
      <c r="Z145" s="4"/>
      <c r="AA145" s="4"/>
      <c r="AB145" s="4"/>
    </row>
    <row r="146" spans="1:28" ht="12.75" hidden="1">
      <c r="A146" s="4"/>
      <c r="B146" s="4"/>
      <c r="C146" s="4"/>
      <c r="D146" s="15"/>
      <c r="E146" s="4"/>
      <c r="F146" s="4"/>
      <c r="G146" s="4"/>
      <c r="H146" s="4"/>
      <c r="I146" s="4"/>
      <c r="J146" s="4"/>
      <c r="K146" s="4"/>
      <c r="L146" s="4"/>
      <c r="M146" s="4"/>
      <c r="N146" s="4"/>
      <c r="O146" s="4"/>
      <c r="P146" s="4"/>
      <c r="Q146" s="4"/>
      <c r="R146" s="4"/>
      <c r="S146" s="4"/>
      <c r="T146" s="4"/>
      <c r="U146" s="4"/>
      <c r="V146" s="4"/>
      <c r="W146" s="4"/>
      <c r="X146" s="4"/>
      <c r="Y146" s="4"/>
      <c r="Z146" s="4"/>
      <c r="AA146" s="4"/>
      <c r="AB146" s="4"/>
    </row>
    <row r="147" spans="1:28" ht="12.75" hidden="1">
      <c r="A147" s="4"/>
      <c r="B147" s="4"/>
      <c r="C147" s="4"/>
      <c r="D147" s="15"/>
      <c r="E147" s="4"/>
      <c r="F147" s="4"/>
      <c r="G147" s="4"/>
      <c r="H147" s="4"/>
      <c r="I147" s="4"/>
      <c r="J147" s="4"/>
      <c r="K147" s="4"/>
      <c r="L147" s="4"/>
      <c r="M147" s="4"/>
      <c r="N147" s="4"/>
      <c r="O147" s="4"/>
      <c r="P147" s="4"/>
      <c r="Q147" s="4"/>
      <c r="R147" s="4"/>
      <c r="S147" s="4"/>
      <c r="T147" s="4"/>
      <c r="U147" s="4"/>
      <c r="V147" s="4"/>
      <c r="W147" s="4"/>
      <c r="X147" s="4"/>
      <c r="Y147" s="4"/>
      <c r="Z147" s="4"/>
      <c r="AA147" s="4"/>
      <c r="AB147" s="4"/>
    </row>
    <row r="148" spans="1:28" ht="12.75" hidden="1">
      <c r="A148" s="4"/>
      <c r="B148" s="4"/>
      <c r="C148" s="4"/>
      <c r="D148" s="15"/>
      <c r="E148" s="4"/>
      <c r="F148" s="4"/>
      <c r="G148" s="4"/>
      <c r="H148" s="4"/>
      <c r="I148" s="4"/>
      <c r="J148" s="4"/>
      <c r="K148" s="4"/>
      <c r="L148" s="4"/>
      <c r="M148" s="4"/>
      <c r="N148" s="4"/>
      <c r="O148" s="4"/>
      <c r="P148" s="4"/>
      <c r="Q148" s="4"/>
      <c r="R148" s="4"/>
      <c r="S148" s="4"/>
      <c r="T148" s="4"/>
      <c r="U148" s="4"/>
      <c r="V148" s="4"/>
      <c r="W148" s="4"/>
      <c r="X148" s="4"/>
      <c r="Y148" s="4"/>
      <c r="Z148" s="4"/>
      <c r="AA148" s="4"/>
      <c r="AB148" s="4"/>
    </row>
    <row r="149" spans="1:28" ht="12.75" hidden="1">
      <c r="A149" s="4"/>
      <c r="B149" s="4"/>
      <c r="C149" s="4"/>
      <c r="D149" s="15"/>
      <c r="E149" s="4"/>
      <c r="F149" s="4"/>
      <c r="G149" s="4"/>
      <c r="H149" s="4"/>
      <c r="I149" s="4"/>
      <c r="J149" s="4"/>
      <c r="K149" s="4"/>
      <c r="L149" s="4"/>
      <c r="M149" s="4"/>
      <c r="N149" s="4"/>
      <c r="O149" s="4"/>
      <c r="P149" s="4"/>
      <c r="Q149" s="4"/>
      <c r="R149" s="4"/>
      <c r="S149" s="4"/>
      <c r="T149" s="4"/>
      <c r="U149" s="4"/>
      <c r="V149" s="4"/>
      <c r="W149" s="4"/>
      <c r="X149" s="4"/>
      <c r="Y149" s="4"/>
      <c r="Z149" s="4"/>
      <c r="AA149" s="4"/>
      <c r="AB149" s="4"/>
    </row>
    <row r="150" spans="1:28" ht="12.75" hidden="1">
      <c r="A150" s="4"/>
      <c r="B150" s="4"/>
      <c r="C150" s="4"/>
      <c r="D150" s="15"/>
      <c r="E150" s="4"/>
      <c r="F150" s="4"/>
      <c r="G150" s="4"/>
      <c r="H150" s="4"/>
      <c r="I150" s="4"/>
      <c r="J150" s="4"/>
      <c r="K150" s="4"/>
      <c r="L150" s="4"/>
      <c r="M150" s="4"/>
      <c r="N150" s="4"/>
      <c r="O150" s="4"/>
      <c r="P150" s="4"/>
      <c r="Q150" s="4"/>
      <c r="R150" s="4"/>
      <c r="S150" s="4"/>
      <c r="T150" s="4"/>
      <c r="U150" s="4"/>
      <c r="V150" s="4"/>
      <c r="W150" s="4"/>
      <c r="X150" s="4"/>
      <c r="Y150" s="4"/>
      <c r="Z150" s="4"/>
      <c r="AA150" s="4"/>
      <c r="AB150" s="4"/>
    </row>
    <row r="151" spans="1:28" ht="12.75" hidden="1">
      <c r="A151" s="4"/>
      <c r="B151" s="4"/>
      <c r="C151" s="4"/>
      <c r="D151" s="15"/>
      <c r="E151" s="4"/>
      <c r="F151" s="4"/>
      <c r="G151" s="4"/>
      <c r="H151" s="4"/>
      <c r="I151" s="4"/>
      <c r="J151" s="4"/>
      <c r="K151" s="4"/>
      <c r="L151" s="4"/>
      <c r="M151" s="4"/>
      <c r="N151" s="4"/>
      <c r="O151" s="4"/>
      <c r="P151" s="4"/>
      <c r="Q151" s="4"/>
      <c r="R151" s="4"/>
      <c r="S151" s="4"/>
      <c r="T151" s="4"/>
      <c r="U151" s="4"/>
      <c r="V151" s="4"/>
      <c r="W151" s="4"/>
      <c r="X151" s="4"/>
      <c r="Y151" s="4"/>
      <c r="Z151" s="4"/>
      <c r="AA151" s="4"/>
      <c r="AB151" s="4"/>
    </row>
    <row r="152" spans="1:28" ht="12.75" hidden="1">
      <c r="A152" s="4"/>
      <c r="B152" s="4"/>
      <c r="C152" s="4"/>
      <c r="D152" s="15"/>
      <c r="E152" s="4"/>
      <c r="F152" s="4"/>
      <c r="G152" s="4"/>
      <c r="H152" s="4"/>
      <c r="I152" s="4"/>
      <c r="J152" s="4"/>
      <c r="K152" s="4"/>
      <c r="L152" s="4"/>
      <c r="M152" s="4"/>
      <c r="N152" s="4"/>
      <c r="O152" s="4"/>
      <c r="P152" s="4"/>
      <c r="Q152" s="4"/>
      <c r="R152" s="4"/>
      <c r="S152" s="4"/>
      <c r="T152" s="4"/>
      <c r="U152" s="4"/>
      <c r="V152" s="4"/>
      <c r="W152" s="4"/>
      <c r="X152" s="4"/>
      <c r="Y152" s="4"/>
      <c r="Z152" s="4"/>
      <c r="AA152" s="4"/>
      <c r="AB152" s="4"/>
    </row>
    <row r="153" spans="1:28" ht="12.75" hidden="1">
      <c r="A153" s="4"/>
      <c r="B153" s="4"/>
      <c r="C153" s="4"/>
      <c r="D153" s="15"/>
      <c r="E153" s="4"/>
      <c r="F153" s="4"/>
      <c r="G153" s="4"/>
      <c r="H153" s="4"/>
      <c r="I153" s="4"/>
      <c r="J153" s="4"/>
      <c r="K153" s="4"/>
      <c r="L153" s="4"/>
      <c r="M153" s="4"/>
      <c r="N153" s="4"/>
      <c r="O153" s="4"/>
      <c r="P153" s="4"/>
      <c r="Q153" s="4"/>
      <c r="R153" s="4"/>
      <c r="S153" s="4"/>
      <c r="T153" s="4"/>
      <c r="U153" s="4"/>
      <c r="V153" s="4"/>
      <c r="W153" s="4"/>
      <c r="X153" s="4"/>
      <c r="Y153" s="4"/>
      <c r="Z153" s="4"/>
      <c r="AA153" s="4"/>
      <c r="AB153" s="4"/>
    </row>
    <row r="154" spans="1:28" ht="12.75" hidden="1">
      <c r="A154" s="4"/>
      <c r="B154" s="4"/>
      <c r="C154" s="4"/>
      <c r="D154" s="15"/>
      <c r="E154" s="4"/>
      <c r="F154" s="4"/>
      <c r="G154" s="4"/>
      <c r="H154" s="4"/>
      <c r="I154" s="4"/>
      <c r="J154" s="4"/>
      <c r="K154" s="4"/>
      <c r="L154" s="4"/>
      <c r="M154" s="4"/>
      <c r="N154" s="4"/>
      <c r="O154" s="4"/>
      <c r="P154" s="4"/>
      <c r="Q154" s="4"/>
      <c r="R154" s="4"/>
      <c r="S154" s="4"/>
      <c r="T154" s="4"/>
      <c r="U154" s="4"/>
      <c r="V154" s="4"/>
      <c r="W154" s="4"/>
      <c r="X154" s="4"/>
      <c r="Y154" s="4"/>
      <c r="Z154" s="4"/>
      <c r="AA154" s="4"/>
      <c r="AB154" s="4"/>
    </row>
    <row r="155" spans="1:28" ht="12.75" hidden="1">
      <c r="A155" s="4"/>
      <c r="B155" s="4"/>
      <c r="C155" s="4"/>
      <c r="D155" s="15"/>
      <c r="E155" s="4"/>
      <c r="F155" s="4"/>
      <c r="G155" s="4"/>
      <c r="H155" s="4"/>
      <c r="I155" s="4"/>
      <c r="J155" s="4"/>
      <c r="K155" s="4"/>
      <c r="L155" s="4"/>
      <c r="M155" s="4"/>
      <c r="N155" s="4"/>
      <c r="O155" s="4"/>
      <c r="P155" s="4"/>
      <c r="Q155" s="4"/>
      <c r="R155" s="4"/>
      <c r="S155" s="4"/>
      <c r="T155" s="4"/>
      <c r="U155" s="4"/>
      <c r="V155" s="4"/>
      <c r="W155" s="4"/>
      <c r="X155" s="4"/>
      <c r="Y155" s="4"/>
      <c r="Z155" s="4"/>
      <c r="AA155" s="4"/>
      <c r="AB155" s="4"/>
    </row>
    <row r="156" spans="1:28" ht="12.75" hidden="1">
      <c r="A156" s="4"/>
      <c r="B156" s="4"/>
      <c r="C156" s="4"/>
      <c r="D156" s="15"/>
      <c r="E156" s="4"/>
      <c r="F156" s="4"/>
      <c r="G156" s="4"/>
      <c r="H156" s="4"/>
      <c r="I156" s="4"/>
      <c r="J156" s="4"/>
      <c r="K156" s="4"/>
      <c r="L156" s="4"/>
      <c r="M156" s="4"/>
      <c r="N156" s="4"/>
      <c r="O156" s="4"/>
      <c r="P156" s="4"/>
      <c r="Q156" s="4"/>
      <c r="R156" s="4"/>
      <c r="S156" s="4"/>
      <c r="T156" s="4"/>
      <c r="U156" s="4"/>
      <c r="V156" s="4"/>
      <c r="W156" s="4"/>
      <c r="X156" s="4"/>
      <c r="Y156" s="4"/>
      <c r="Z156" s="4"/>
      <c r="AA156" s="4"/>
      <c r="AB156" s="4"/>
    </row>
    <row r="157" spans="1:28" ht="12.75" hidden="1">
      <c r="A157" s="4"/>
      <c r="B157" s="4"/>
      <c r="C157" s="4"/>
      <c r="D157" s="15"/>
      <c r="E157" s="4"/>
      <c r="F157" s="4"/>
      <c r="G157" s="4"/>
      <c r="H157" s="4"/>
      <c r="I157" s="4"/>
      <c r="J157" s="4"/>
      <c r="K157" s="4"/>
      <c r="L157" s="4"/>
      <c r="M157" s="4"/>
      <c r="N157" s="4"/>
      <c r="O157" s="4"/>
      <c r="P157" s="4"/>
      <c r="Q157" s="4"/>
      <c r="R157" s="4"/>
      <c r="S157" s="4"/>
      <c r="T157" s="4"/>
      <c r="U157" s="4"/>
      <c r="V157" s="4"/>
      <c r="W157" s="4"/>
      <c r="X157" s="4"/>
      <c r="Y157" s="4"/>
      <c r="Z157" s="4"/>
      <c r="AA157" s="4"/>
      <c r="AB157" s="4"/>
    </row>
    <row r="158" spans="1:28" ht="12.75" hidden="1">
      <c r="A158" s="4"/>
      <c r="B158" s="4"/>
      <c r="C158" s="4"/>
      <c r="D158" s="15"/>
      <c r="E158" s="4"/>
      <c r="F158" s="4"/>
      <c r="G158" s="4"/>
      <c r="H158" s="4"/>
      <c r="I158" s="4"/>
      <c r="J158" s="4"/>
      <c r="K158" s="4"/>
      <c r="L158" s="4"/>
      <c r="M158" s="4"/>
      <c r="N158" s="4"/>
      <c r="O158" s="4"/>
      <c r="P158" s="4"/>
      <c r="Q158" s="4"/>
      <c r="R158" s="4"/>
      <c r="S158" s="4"/>
      <c r="T158" s="4"/>
      <c r="U158" s="4"/>
      <c r="V158" s="4"/>
      <c r="W158" s="4"/>
      <c r="X158" s="4"/>
      <c r="Y158" s="4"/>
      <c r="Z158" s="4"/>
      <c r="AA158" s="4"/>
      <c r="AB158" s="4"/>
    </row>
    <row r="159" spans="1:28" ht="12.75" hidden="1">
      <c r="A159" s="4"/>
      <c r="B159" s="4"/>
      <c r="C159" s="4"/>
      <c r="D159" s="15"/>
      <c r="E159" s="4"/>
      <c r="F159" s="4"/>
      <c r="G159" s="4"/>
      <c r="H159" s="4"/>
      <c r="I159" s="4"/>
      <c r="J159" s="4"/>
      <c r="K159" s="4"/>
      <c r="L159" s="4"/>
      <c r="M159" s="4"/>
      <c r="N159" s="4"/>
      <c r="O159" s="4"/>
      <c r="P159" s="4"/>
      <c r="Q159" s="4"/>
      <c r="R159" s="4"/>
      <c r="S159" s="4"/>
      <c r="T159" s="4"/>
      <c r="U159" s="4"/>
      <c r="V159" s="4"/>
      <c r="W159" s="4"/>
      <c r="X159" s="4"/>
      <c r="Y159" s="4"/>
      <c r="Z159" s="4"/>
      <c r="AA159" s="4"/>
      <c r="AB159" s="4"/>
    </row>
    <row r="160" spans="1:28" ht="12.75" hidden="1">
      <c r="A160" s="4"/>
      <c r="B160" s="4"/>
      <c r="C160" s="4"/>
      <c r="D160" s="15"/>
      <c r="E160" s="4"/>
      <c r="F160" s="4"/>
      <c r="G160" s="4"/>
      <c r="H160" s="4"/>
      <c r="I160" s="4"/>
      <c r="J160" s="4"/>
      <c r="K160" s="4"/>
      <c r="L160" s="4"/>
      <c r="M160" s="4"/>
      <c r="N160" s="4"/>
      <c r="O160" s="4"/>
      <c r="P160" s="4"/>
      <c r="Q160" s="4"/>
      <c r="R160" s="4"/>
      <c r="S160" s="4"/>
      <c r="T160" s="4"/>
      <c r="U160" s="4"/>
      <c r="V160" s="4"/>
      <c r="W160" s="4"/>
      <c r="X160" s="4"/>
      <c r="Y160" s="4"/>
      <c r="Z160" s="4"/>
      <c r="AA160" s="4"/>
      <c r="AB160" s="4"/>
    </row>
    <row r="161" spans="1:28" ht="12.75" hidden="1">
      <c r="A161" s="4"/>
      <c r="B161" s="4"/>
      <c r="C161" s="4"/>
      <c r="D161" s="15"/>
      <c r="E161" s="4"/>
      <c r="F161" s="4"/>
      <c r="G161" s="4"/>
      <c r="H161" s="4"/>
      <c r="I161" s="4"/>
      <c r="J161" s="4"/>
      <c r="K161" s="4"/>
      <c r="L161" s="4"/>
      <c r="M161" s="4"/>
      <c r="N161" s="4"/>
      <c r="O161" s="4"/>
      <c r="P161" s="4"/>
      <c r="Q161" s="4"/>
      <c r="R161" s="4"/>
      <c r="S161" s="4"/>
      <c r="T161" s="4"/>
      <c r="U161" s="4"/>
      <c r="V161" s="4"/>
      <c r="W161" s="4"/>
      <c r="X161" s="4"/>
      <c r="Y161" s="4"/>
      <c r="Z161" s="4"/>
      <c r="AA161" s="4"/>
      <c r="AB161" s="4"/>
    </row>
    <row r="162" spans="1:28" ht="12.75" hidden="1">
      <c r="A162" s="4"/>
      <c r="B162" s="4"/>
      <c r="C162" s="4"/>
      <c r="D162" s="15"/>
      <c r="E162" s="4"/>
      <c r="F162" s="4"/>
      <c r="G162" s="4"/>
      <c r="H162" s="4"/>
      <c r="I162" s="4"/>
      <c r="J162" s="4"/>
      <c r="K162" s="4"/>
      <c r="L162" s="4"/>
      <c r="M162" s="4"/>
      <c r="N162" s="4"/>
      <c r="O162" s="4"/>
      <c r="P162" s="4"/>
      <c r="Q162" s="4"/>
      <c r="R162" s="4"/>
      <c r="S162" s="4"/>
      <c r="T162" s="4"/>
      <c r="U162" s="4"/>
      <c r="V162" s="4"/>
      <c r="W162" s="4"/>
      <c r="X162" s="4"/>
      <c r="Y162" s="4"/>
      <c r="Z162" s="4"/>
      <c r="AA162" s="4"/>
      <c r="AB162" s="4"/>
    </row>
    <row r="163" spans="1:28" ht="12.75" hidden="1">
      <c r="A163" s="4"/>
      <c r="B163" s="4"/>
      <c r="C163" s="4"/>
      <c r="D163" s="15"/>
      <c r="E163" s="4"/>
      <c r="F163" s="4"/>
      <c r="G163" s="4"/>
      <c r="H163" s="4"/>
      <c r="I163" s="4"/>
      <c r="J163" s="4"/>
      <c r="K163" s="4"/>
      <c r="L163" s="4"/>
      <c r="M163" s="4"/>
      <c r="N163" s="4"/>
      <c r="O163" s="4"/>
      <c r="P163" s="4"/>
      <c r="Q163" s="4"/>
      <c r="R163" s="4"/>
      <c r="S163" s="4"/>
      <c r="T163" s="4"/>
      <c r="U163" s="4"/>
      <c r="V163" s="4"/>
      <c r="W163" s="4"/>
      <c r="X163" s="4"/>
      <c r="Y163" s="4"/>
      <c r="Z163" s="4"/>
      <c r="AA163" s="4"/>
      <c r="AB163" s="4"/>
    </row>
    <row r="164" spans="1:28" ht="12.75" hidden="1">
      <c r="A164" s="4"/>
      <c r="B164" s="4"/>
      <c r="C164" s="4"/>
      <c r="D164" s="15"/>
      <c r="E164" s="4"/>
      <c r="F164" s="4"/>
      <c r="G164" s="4"/>
      <c r="H164" s="4"/>
      <c r="I164" s="4"/>
      <c r="J164" s="4"/>
      <c r="K164" s="4"/>
      <c r="L164" s="4"/>
      <c r="M164" s="4"/>
      <c r="N164" s="4"/>
      <c r="O164" s="4"/>
      <c r="P164" s="4"/>
      <c r="Q164" s="4"/>
      <c r="R164" s="4"/>
      <c r="S164" s="4"/>
      <c r="T164" s="4"/>
      <c r="U164" s="4"/>
      <c r="V164" s="4"/>
      <c r="W164" s="4"/>
      <c r="X164" s="4"/>
      <c r="Y164" s="4"/>
      <c r="Z164" s="4"/>
      <c r="AA164" s="4"/>
      <c r="AB164" s="4"/>
    </row>
    <row r="165" spans="1:28" ht="12.75" hidden="1">
      <c r="A165" s="4"/>
      <c r="B165" s="4"/>
      <c r="C165" s="4"/>
      <c r="D165" s="15"/>
      <c r="E165" s="4"/>
      <c r="F165" s="4"/>
      <c r="G165" s="4"/>
      <c r="H165" s="4"/>
      <c r="I165" s="4"/>
      <c r="J165" s="4"/>
      <c r="K165" s="4"/>
      <c r="L165" s="4"/>
      <c r="M165" s="4"/>
      <c r="N165" s="4"/>
      <c r="O165" s="4"/>
      <c r="P165" s="4"/>
      <c r="Q165" s="4"/>
      <c r="R165" s="4"/>
      <c r="S165" s="4"/>
      <c r="T165" s="4"/>
      <c r="U165" s="4"/>
      <c r="V165" s="4"/>
      <c r="W165" s="4"/>
      <c r="X165" s="4"/>
      <c r="Y165" s="4"/>
      <c r="Z165" s="4"/>
      <c r="AA165" s="4"/>
      <c r="AB165" s="4"/>
    </row>
    <row r="166" spans="1:28" ht="12.75" hidden="1">
      <c r="A166" s="4"/>
      <c r="B166" s="4"/>
      <c r="C166" s="4"/>
      <c r="D166" s="15"/>
      <c r="E166" s="4"/>
      <c r="F166" s="4"/>
      <c r="G166" s="4"/>
      <c r="H166" s="4"/>
      <c r="I166" s="4"/>
      <c r="J166" s="4"/>
      <c r="K166" s="4"/>
      <c r="L166" s="4"/>
      <c r="M166" s="4"/>
      <c r="N166" s="4"/>
      <c r="O166" s="4"/>
      <c r="P166" s="4"/>
      <c r="Q166" s="4"/>
      <c r="R166" s="4"/>
      <c r="S166" s="4"/>
      <c r="T166" s="4"/>
      <c r="U166" s="4"/>
      <c r="V166" s="4"/>
      <c r="W166" s="4"/>
      <c r="X166" s="4"/>
      <c r="Y166" s="4"/>
      <c r="Z166" s="4"/>
      <c r="AA166" s="4"/>
      <c r="AB166" s="4"/>
    </row>
    <row r="167" spans="1:28" ht="12.75" hidden="1">
      <c r="A167" s="4"/>
      <c r="B167" s="4"/>
      <c r="C167" s="4"/>
      <c r="D167" s="15"/>
      <c r="E167" s="4"/>
      <c r="F167" s="4"/>
      <c r="G167" s="4"/>
      <c r="H167" s="4"/>
      <c r="I167" s="4"/>
      <c r="J167" s="4"/>
      <c r="K167" s="4"/>
      <c r="L167" s="4"/>
      <c r="M167" s="4"/>
      <c r="N167" s="4"/>
      <c r="O167" s="4"/>
      <c r="P167" s="4"/>
      <c r="Q167" s="4"/>
      <c r="R167" s="4"/>
      <c r="S167" s="4"/>
      <c r="T167" s="4"/>
      <c r="U167" s="4"/>
      <c r="V167" s="4"/>
      <c r="W167" s="4"/>
      <c r="X167" s="4"/>
      <c r="Y167" s="4"/>
      <c r="Z167" s="4"/>
      <c r="AA167" s="4"/>
      <c r="AB167" s="4"/>
    </row>
    <row r="168" spans="1:28" ht="12.75" hidden="1">
      <c r="A168" s="4"/>
      <c r="B168" s="4"/>
      <c r="C168" s="4"/>
      <c r="D168" s="15"/>
      <c r="E168" s="4"/>
      <c r="F168" s="4"/>
      <c r="G168" s="4"/>
      <c r="H168" s="4"/>
      <c r="I168" s="4"/>
      <c r="J168" s="4"/>
      <c r="K168" s="4"/>
      <c r="L168" s="4"/>
      <c r="M168" s="4"/>
      <c r="N168" s="4"/>
      <c r="O168" s="4"/>
      <c r="P168" s="4"/>
      <c r="Q168" s="4"/>
      <c r="R168" s="4"/>
      <c r="S168" s="4"/>
      <c r="T168" s="4"/>
      <c r="U168" s="4"/>
      <c r="V168" s="4"/>
      <c r="W168" s="4"/>
      <c r="X168" s="4"/>
      <c r="Y168" s="4"/>
      <c r="Z168" s="4"/>
      <c r="AA168" s="4"/>
      <c r="AB168" s="4"/>
    </row>
    <row r="169" spans="1:28" ht="12.75" hidden="1">
      <c r="A169" s="4"/>
      <c r="B169" s="4"/>
      <c r="C169" s="4"/>
      <c r="D169" s="15"/>
      <c r="E169" s="4"/>
      <c r="F169" s="4"/>
      <c r="G169" s="4"/>
      <c r="H169" s="4"/>
      <c r="I169" s="4"/>
      <c r="J169" s="4"/>
      <c r="K169" s="4"/>
      <c r="L169" s="4"/>
      <c r="M169" s="4"/>
      <c r="N169" s="4"/>
      <c r="O169" s="4"/>
      <c r="P169" s="4"/>
      <c r="Q169" s="4"/>
      <c r="R169" s="4"/>
      <c r="S169" s="4"/>
      <c r="T169" s="4"/>
      <c r="U169" s="4"/>
      <c r="V169" s="4"/>
      <c r="W169" s="4"/>
      <c r="X169" s="4"/>
      <c r="Y169" s="4"/>
      <c r="Z169" s="4"/>
      <c r="AA169" s="4"/>
      <c r="AB169" s="4"/>
    </row>
    <row r="170" spans="1:28" ht="12.75" hidden="1">
      <c r="A170" s="4"/>
      <c r="B170" s="4"/>
      <c r="C170" s="4"/>
      <c r="D170" s="15"/>
      <c r="E170" s="4"/>
      <c r="F170" s="4"/>
      <c r="G170" s="4"/>
      <c r="H170" s="4"/>
      <c r="I170" s="4"/>
      <c r="J170" s="4"/>
      <c r="K170" s="4"/>
      <c r="L170" s="4"/>
      <c r="M170" s="4"/>
      <c r="N170" s="4"/>
      <c r="O170" s="4"/>
      <c r="P170" s="4"/>
      <c r="Q170" s="4"/>
      <c r="R170" s="4"/>
      <c r="S170" s="4"/>
      <c r="T170" s="4"/>
      <c r="U170" s="4"/>
      <c r="V170" s="4"/>
      <c r="W170" s="4"/>
      <c r="X170" s="4"/>
      <c r="Y170" s="4"/>
      <c r="Z170" s="4"/>
      <c r="AA170" s="4"/>
      <c r="AB170" s="4"/>
    </row>
    <row r="171" spans="1:28" ht="12.75" hidden="1">
      <c r="A171" s="4"/>
      <c r="B171" s="4"/>
      <c r="C171" s="4"/>
      <c r="D171" s="15"/>
      <c r="E171" s="4"/>
      <c r="F171" s="4"/>
      <c r="G171" s="4"/>
      <c r="H171" s="4"/>
      <c r="I171" s="4"/>
      <c r="J171" s="4"/>
      <c r="K171" s="4"/>
      <c r="L171" s="4"/>
      <c r="M171" s="4"/>
      <c r="N171" s="4"/>
      <c r="O171" s="4"/>
      <c r="P171" s="4"/>
      <c r="Q171" s="4"/>
      <c r="R171" s="4"/>
      <c r="S171" s="4"/>
      <c r="T171" s="4"/>
      <c r="U171" s="4"/>
      <c r="V171" s="4"/>
      <c r="W171" s="4"/>
      <c r="X171" s="4"/>
      <c r="Y171" s="4"/>
      <c r="Z171" s="4"/>
      <c r="AA171" s="4"/>
      <c r="AB171" s="4"/>
    </row>
    <row r="172" spans="1:28" ht="12.75" hidden="1">
      <c r="A172" s="4"/>
      <c r="B172" s="4"/>
      <c r="C172" s="4"/>
      <c r="D172" s="15"/>
      <c r="E172" s="4"/>
      <c r="F172" s="4"/>
      <c r="G172" s="4"/>
      <c r="H172" s="4"/>
      <c r="I172" s="4"/>
      <c r="J172" s="4"/>
      <c r="K172" s="4"/>
      <c r="L172" s="4"/>
      <c r="M172" s="4"/>
      <c r="N172" s="4"/>
      <c r="O172" s="4"/>
      <c r="P172" s="4"/>
      <c r="Q172" s="4"/>
      <c r="R172" s="4"/>
      <c r="S172" s="4"/>
      <c r="T172" s="4"/>
      <c r="U172" s="4"/>
      <c r="V172" s="4"/>
      <c r="W172" s="4"/>
      <c r="X172" s="4"/>
      <c r="Y172" s="4"/>
      <c r="Z172" s="4"/>
      <c r="AA172" s="4"/>
      <c r="AB172" s="4"/>
    </row>
    <row r="173" spans="1:28" ht="12.75" hidden="1">
      <c r="A173" s="4"/>
      <c r="B173" s="4"/>
      <c r="C173" s="4"/>
      <c r="D173" s="15"/>
      <c r="E173" s="4"/>
      <c r="F173" s="4"/>
      <c r="G173" s="4"/>
      <c r="H173" s="4"/>
      <c r="I173" s="4"/>
      <c r="J173" s="4"/>
      <c r="K173" s="4"/>
      <c r="L173" s="4"/>
      <c r="M173" s="4"/>
      <c r="N173" s="4"/>
      <c r="O173" s="4"/>
      <c r="P173" s="4"/>
      <c r="Q173" s="4"/>
      <c r="R173" s="4"/>
      <c r="S173" s="4"/>
      <c r="T173" s="4"/>
      <c r="U173" s="4"/>
      <c r="V173" s="4"/>
      <c r="W173" s="4"/>
      <c r="X173" s="4"/>
      <c r="Y173" s="4"/>
      <c r="Z173" s="4"/>
      <c r="AA173" s="4"/>
      <c r="AB173" s="4"/>
    </row>
    <row r="174" spans="1:28" ht="12.75" hidden="1">
      <c r="A174" s="4"/>
      <c r="B174" s="4"/>
      <c r="C174" s="4"/>
      <c r="D174" s="15"/>
      <c r="E174" s="4"/>
      <c r="F174" s="4"/>
      <c r="G174" s="4"/>
      <c r="H174" s="4"/>
      <c r="I174" s="4"/>
      <c r="J174" s="4"/>
      <c r="K174" s="4"/>
      <c r="L174" s="4"/>
      <c r="M174" s="4"/>
      <c r="N174" s="4"/>
      <c r="O174" s="4"/>
      <c r="P174" s="4"/>
      <c r="Q174" s="4"/>
      <c r="R174" s="4"/>
      <c r="S174" s="4"/>
      <c r="T174" s="4"/>
      <c r="U174" s="4"/>
      <c r="V174" s="4"/>
      <c r="W174" s="4"/>
      <c r="X174" s="4"/>
      <c r="Y174" s="4"/>
      <c r="Z174" s="4"/>
      <c r="AA174" s="4"/>
      <c r="AB174" s="4"/>
    </row>
    <row r="175" spans="1:28" ht="12.75" hidden="1">
      <c r="A175" s="4"/>
      <c r="B175" s="4"/>
      <c r="C175" s="4"/>
      <c r="D175" s="15"/>
      <c r="E175" s="4"/>
      <c r="F175" s="4"/>
      <c r="G175" s="4"/>
      <c r="H175" s="4"/>
      <c r="I175" s="4"/>
      <c r="J175" s="4"/>
      <c r="K175" s="4"/>
      <c r="L175" s="4"/>
      <c r="M175" s="4"/>
      <c r="N175" s="4"/>
      <c r="O175" s="4"/>
      <c r="P175" s="4"/>
      <c r="Q175" s="4"/>
      <c r="R175" s="4"/>
      <c r="S175" s="4"/>
      <c r="T175" s="4"/>
      <c r="U175" s="4"/>
      <c r="V175" s="4"/>
      <c r="W175" s="4"/>
      <c r="X175" s="4"/>
      <c r="Y175" s="4"/>
      <c r="Z175" s="4"/>
      <c r="AA175" s="4"/>
      <c r="AB175" s="4"/>
    </row>
    <row r="176" spans="1:28" ht="12.75" hidden="1">
      <c r="A176" s="4"/>
      <c r="B176" s="4"/>
      <c r="C176" s="4"/>
      <c r="D176" s="15"/>
      <c r="E176" s="4"/>
      <c r="F176" s="4"/>
      <c r="G176" s="4"/>
      <c r="H176" s="4"/>
      <c r="I176" s="4"/>
      <c r="J176" s="4"/>
      <c r="K176" s="4"/>
      <c r="L176" s="4"/>
      <c r="M176" s="4"/>
      <c r="N176" s="4"/>
      <c r="O176" s="4"/>
      <c r="P176" s="4"/>
      <c r="Q176" s="4"/>
      <c r="R176" s="4"/>
      <c r="S176" s="4"/>
      <c r="T176" s="4"/>
      <c r="U176" s="4"/>
      <c r="V176" s="4"/>
      <c r="W176" s="4"/>
      <c r="X176" s="4"/>
      <c r="Y176" s="4"/>
      <c r="Z176" s="4"/>
      <c r="AA176" s="4"/>
      <c r="AB176" s="4"/>
    </row>
    <row r="177" spans="1:28" ht="12.75" hidden="1">
      <c r="A177" s="4"/>
      <c r="B177" s="4"/>
      <c r="C177" s="4"/>
      <c r="D177" s="15"/>
      <c r="E177" s="4"/>
      <c r="F177" s="4"/>
      <c r="G177" s="4"/>
      <c r="H177" s="4"/>
      <c r="I177" s="4"/>
      <c r="J177" s="4"/>
      <c r="K177" s="4"/>
      <c r="L177" s="4"/>
      <c r="M177" s="4"/>
      <c r="N177" s="4"/>
      <c r="O177" s="4"/>
      <c r="P177" s="4"/>
      <c r="Q177" s="4"/>
      <c r="R177" s="4"/>
      <c r="S177" s="4"/>
      <c r="T177" s="4"/>
      <c r="U177" s="4"/>
      <c r="V177" s="4"/>
      <c r="W177" s="4"/>
      <c r="X177" s="4"/>
      <c r="Y177" s="4"/>
      <c r="Z177" s="4"/>
      <c r="AA177" s="4"/>
      <c r="AB177" s="4"/>
    </row>
    <row r="178" spans="1:28" ht="12.75" hidden="1">
      <c r="A178" s="4"/>
      <c r="B178" s="4"/>
      <c r="C178" s="4"/>
      <c r="D178" s="15"/>
      <c r="E178" s="4"/>
      <c r="F178" s="4"/>
      <c r="G178" s="4"/>
      <c r="H178" s="4"/>
      <c r="I178" s="4"/>
      <c r="J178" s="4"/>
      <c r="K178" s="4"/>
      <c r="L178" s="4"/>
      <c r="M178" s="4"/>
      <c r="N178" s="4"/>
      <c r="O178" s="4"/>
      <c r="P178" s="4"/>
      <c r="Q178" s="4"/>
      <c r="R178" s="4"/>
      <c r="S178" s="4"/>
      <c r="T178" s="4"/>
      <c r="U178" s="4"/>
      <c r="V178" s="4"/>
      <c r="W178" s="4"/>
      <c r="X178" s="4"/>
      <c r="Y178" s="4"/>
      <c r="Z178" s="4"/>
      <c r="AA178" s="4"/>
      <c r="AB178" s="4"/>
    </row>
    <row r="179" spans="1:28" ht="12.75" hidden="1">
      <c r="A179" s="4"/>
      <c r="B179" s="4"/>
      <c r="C179" s="4"/>
      <c r="D179" s="15"/>
      <c r="E179" s="4"/>
      <c r="F179" s="4"/>
      <c r="G179" s="4"/>
      <c r="H179" s="4"/>
      <c r="I179" s="4"/>
      <c r="J179" s="4"/>
      <c r="K179" s="4"/>
      <c r="L179" s="4"/>
      <c r="M179" s="4"/>
      <c r="N179" s="4"/>
      <c r="O179" s="4"/>
      <c r="P179" s="4"/>
      <c r="Q179" s="4"/>
      <c r="R179" s="4"/>
      <c r="S179" s="4"/>
      <c r="T179" s="4"/>
      <c r="U179" s="4"/>
      <c r="V179" s="4"/>
      <c r="W179" s="4"/>
      <c r="X179" s="4"/>
      <c r="Y179" s="4"/>
      <c r="Z179" s="4"/>
      <c r="AA179" s="4"/>
      <c r="AB179" s="4"/>
    </row>
    <row r="180" spans="1:28" ht="12.75" hidden="1">
      <c r="A180" s="4"/>
      <c r="B180" s="4"/>
      <c r="C180" s="4"/>
      <c r="D180" s="15"/>
      <c r="E180" s="4"/>
      <c r="F180" s="4"/>
      <c r="G180" s="4"/>
      <c r="H180" s="4"/>
      <c r="I180" s="4"/>
      <c r="J180" s="4"/>
      <c r="K180" s="4"/>
      <c r="L180" s="4"/>
      <c r="M180" s="4"/>
      <c r="N180" s="4"/>
      <c r="O180" s="4"/>
      <c r="P180" s="4"/>
      <c r="Q180" s="4"/>
      <c r="R180" s="4"/>
      <c r="S180" s="4"/>
      <c r="T180" s="4"/>
      <c r="U180" s="4"/>
      <c r="V180" s="4"/>
      <c r="W180" s="4"/>
      <c r="X180" s="4"/>
      <c r="Y180" s="4"/>
      <c r="Z180" s="4"/>
      <c r="AA180" s="4"/>
      <c r="AB180" s="4"/>
    </row>
    <row r="181" spans="1:28" ht="12.75" hidden="1">
      <c r="A181" s="4"/>
      <c r="B181" s="4"/>
      <c r="C181" s="4"/>
      <c r="D181" s="15"/>
      <c r="E181" s="4"/>
      <c r="F181" s="4"/>
      <c r="G181" s="4"/>
      <c r="H181" s="4"/>
      <c r="I181" s="4"/>
      <c r="J181" s="4"/>
      <c r="K181" s="4"/>
      <c r="L181" s="4"/>
      <c r="M181" s="4"/>
      <c r="N181" s="4"/>
      <c r="O181" s="4"/>
      <c r="P181" s="4"/>
      <c r="Q181" s="4"/>
      <c r="R181" s="4"/>
      <c r="S181" s="4"/>
      <c r="T181" s="4"/>
      <c r="U181" s="4"/>
      <c r="V181" s="4"/>
      <c r="W181" s="4"/>
      <c r="X181" s="4"/>
      <c r="Y181" s="4"/>
      <c r="Z181" s="4"/>
      <c r="AA181" s="4"/>
      <c r="AB181" s="4"/>
    </row>
    <row r="182" spans="1:28" ht="12.75" hidden="1">
      <c r="A182" s="4"/>
      <c r="B182" s="4"/>
      <c r="C182" s="4"/>
      <c r="D182" s="15"/>
      <c r="E182" s="4"/>
      <c r="F182" s="4"/>
      <c r="G182" s="4"/>
      <c r="H182" s="4"/>
      <c r="I182" s="4"/>
      <c r="J182" s="4"/>
      <c r="K182" s="4"/>
      <c r="L182" s="4"/>
      <c r="M182" s="4"/>
      <c r="N182" s="4"/>
      <c r="O182" s="4"/>
      <c r="P182" s="4"/>
      <c r="Q182" s="4"/>
      <c r="R182" s="4"/>
      <c r="S182" s="4"/>
      <c r="T182" s="4"/>
      <c r="U182" s="4"/>
      <c r="V182" s="4"/>
      <c r="W182" s="4"/>
      <c r="X182" s="4"/>
      <c r="Y182" s="4"/>
      <c r="Z182" s="4"/>
      <c r="AA182" s="4"/>
      <c r="AB182" s="4"/>
    </row>
    <row r="183" spans="1:28" ht="12.75" hidden="1">
      <c r="A183" s="4"/>
      <c r="B183" s="4"/>
      <c r="C183" s="4"/>
      <c r="D183" s="15"/>
      <c r="E183" s="4"/>
      <c r="F183" s="4"/>
      <c r="G183" s="4"/>
      <c r="H183" s="4"/>
      <c r="I183" s="4"/>
      <c r="J183" s="4"/>
      <c r="K183" s="4"/>
      <c r="L183" s="4"/>
      <c r="M183" s="4"/>
      <c r="N183" s="4"/>
      <c r="O183" s="4"/>
      <c r="P183" s="4"/>
      <c r="Q183" s="4"/>
      <c r="R183" s="4"/>
      <c r="S183" s="4"/>
      <c r="T183" s="4"/>
      <c r="U183" s="4"/>
      <c r="V183" s="4"/>
      <c r="W183" s="4"/>
      <c r="X183" s="4"/>
      <c r="Y183" s="4"/>
      <c r="Z183" s="4"/>
      <c r="AA183" s="4"/>
      <c r="AB183" s="4"/>
    </row>
    <row r="184" spans="1:28" ht="12.75" hidden="1">
      <c r="A184" s="4"/>
      <c r="B184" s="4"/>
      <c r="C184" s="4"/>
      <c r="D184" s="15"/>
      <c r="E184" s="4"/>
      <c r="F184" s="4"/>
      <c r="G184" s="4"/>
      <c r="H184" s="4"/>
      <c r="I184" s="4"/>
      <c r="J184" s="4"/>
      <c r="K184" s="4"/>
      <c r="L184" s="4"/>
      <c r="M184" s="4"/>
      <c r="N184" s="4"/>
      <c r="O184" s="4"/>
      <c r="P184" s="4"/>
      <c r="Q184" s="4"/>
      <c r="R184" s="4"/>
      <c r="S184" s="4"/>
      <c r="T184" s="4"/>
      <c r="U184" s="4"/>
      <c r="V184" s="4"/>
      <c r="W184" s="4"/>
      <c r="X184" s="4"/>
      <c r="Y184" s="4"/>
      <c r="Z184" s="4"/>
      <c r="AA184" s="4"/>
      <c r="AB184" s="4"/>
    </row>
    <row r="185" spans="1:28" ht="12.75" hidden="1">
      <c r="A185" s="4"/>
      <c r="B185" s="4"/>
      <c r="C185" s="4"/>
      <c r="D185" s="15"/>
      <c r="E185" s="4"/>
      <c r="F185" s="4"/>
      <c r="G185" s="4"/>
      <c r="H185" s="4"/>
      <c r="I185" s="4"/>
      <c r="J185" s="4"/>
      <c r="K185" s="4"/>
      <c r="L185" s="4"/>
      <c r="M185" s="4"/>
      <c r="N185" s="4"/>
      <c r="O185" s="4"/>
      <c r="P185" s="4"/>
      <c r="Q185" s="4"/>
      <c r="R185" s="4"/>
      <c r="S185" s="4"/>
      <c r="T185" s="4"/>
      <c r="U185" s="4"/>
      <c r="V185" s="4"/>
      <c r="W185" s="4"/>
      <c r="X185" s="4"/>
      <c r="Y185" s="4"/>
      <c r="Z185" s="4"/>
      <c r="AA185" s="4"/>
      <c r="AB185" s="4"/>
    </row>
    <row r="186" spans="1:28" ht="12.75" hidden="1">
      <c r="A186" s="4"/>
      <c r="B186" s="4"/>
      <c r="C186" s="4"/>
      <c r="D186" s="15"/>
      <c r="E186" s="4"/>
      <c r="F186" s="4"/>
      <c r="G186" s="4"/>
      <c r="H186" s="4"/>
      <c r="I186" s="4"/>
      <c r="J186" s="4"/>
      <c r="K186" s="4"/>
      <c r="L186" s="4"/>
      <c r="M186" s="4"/>
      <c r="N186" s="4"/>
      <c r="O186" s="4"/>
      <c r="P186" s="4"/>
      <c r="Q186" s="4"/>
      <c r="R186" s="4"/>
      <c r="S186" s="4"/>
      <c r="T186" s="4"/>
      <c r="U186" s="4"/>
      <c r="V186" s="4"/>
      <c r="W186" s="4"/>
      <c r="X186" s="4"/>
      <c r="Y186" s="4"/>
      <c r="Z186" s="4"/>
      <c r="AA186" s="4"/>
      <c r="AB186" s="4"/>
    </row>
    <row r="187" spans="1:28" ht="12.75" hidden="1">
      <c r="A187" s="4"/>
      <c r="B187" s="4"/>
      <c r="C187" s="4"/>
      <c r="D187" s="15"/>
      <c r="E187" s="4"/>
      <c r="F187" s="4"/>
      <c r="G187" s="4"/>
      <c r="H187" s="4"/>
      <c r="I187" s="4"/>
      <c r="J187" s="4"/>
      <c r="K187" s="4"/>
      <c r="L187" s="4"/>
      <c r="M187" s="4"/>
      <c r="N187" s="4"/>
      <c r="O187" s="4"/>
      <c r="P187" s="4"/>
      <c r="Q187" s="4"/>
      <c r="R187" s="4"/>
      <c r="S187" s="4"/>
      <c r="T187" s="4"/>
      <c r="U187" s="4"/>
      <c r="V187" s="4"/>
      <c r="W187" s="4"/>
      <c r="X187" s="4"/>
      <c r="Y187" s="4"/>
      <c r="Z187" s="4"/>
      <c r="AA187" s="4"/>
      <c r="AB187" s="4"/>
    </row>
    <row r="188" spans="1:28" ht="12.75" hidden="1">
      <c r="A188" s="4"/>
      <c r="B188" s="4"/>
      <c r="C188" s="4"/>
      <c r="D188" s="15"/>
      <c r="E188" s="4"/>
      <c r="F188" s="4"/>
      <c r="G188" s="4"/>
      <c r="H188" s="4"/>
      <c r="I188" s="4"/>
      <c r="J188" s="4"/>
      <c r="K188" s="4"/>
      <c r="L188" s="4"/>
      <c r="M188" s="4"/>
      <c r="N188" s="4"/>
      <c r="O188" s="4"/>
      <c r="P188" s="4"/>
      <c r="Q188" s="4"/>
      <c r="R188" s="4"/>
      <c r="S188" s="4"/>
      <c r="T188" s="4"/>
      <c r="U188" s="4"/>
      <c r="V188" s="4"/>
      <c r="W188" s="4"/>
      <c r="X188" s="4"/>
      <c r="Y188" s="4"/>
      <c r="Z188" s="4"/>
      <c r="AA188" s="4"/>
      <c r="AB188" s="4"/>
    </row>
    <row r="189" spans="1:28" ht="12.75" hidden="1">
      <c r="A189" s="4"/>
      <c r="B189" s="4"/>
      <c r="C189" s="4"/>
      <c r="D189" s="15"/>
      <c r="E189" s="4"/>
      <c r="F189" s="4"/>
      <c r="G189" s="4"/>
      <c r="H189" s="4"/>
      <c r="I189" s="4"/>
      <c r="J189" s="4"/>
      <c r="K189" s="4"/>
      <c r="L189" s="4"/>
      <c r="M189" s="4"/>
      <c r="N189" s="4"/>
      <c r="O189" s="4"/>
      <c r="P189" s="4"/>
      <c r="Q189" s="4"/>
      <c r="R189" s="4"/>
      <c r="S189" s="4"/>
      <c r="T189" s="4"/>
      <c r="U189" s="4"/>
      <c r="V189" s="4"/>
      <c r="W189" s="4"/>
      <c r="X189" s="4"/>
      <c r="Y189" s="4"/>
      <c r="Z189" s="4"/>
      <c r="AA189" s="4"/>
      <c r="AB189" s="4"/>
    </row>
    <row r="190" spans="1:28" ht="12.75" hidden="1">
      <c r="A190" s="4"/>
      <c r="B190" s="4"/>
      <c r="C190" s="4"/>
      <c r="D190" s="15"/>
      <c r="E190" s="4"/>
      <c r="F190" s="4"/>
      <c r="G190" s="4"/>
      <c r="H190" s="4"/>
      <c r="I190" s="4"/>
      <c r="J190" s="4"/>
      <c r="K190" s="4"/>
      <c r="L190" s="4"/>
      <c r="M190" s="4"/>
      <c r="N190" s="4"/>
      <c r="O190" s="4"/>
      <c r="P190" s="4"/>
      <c r="Q190" s="4"/>
      <c r="R190" s="4"/>
      <c r="S190" s="4"/>
      <c r="T190" s="4"/>
      <c r="U190" s="4"/>
      <c r="V190" s="4"/>
      <c r="W190" s="4"/>
      <c r="X190" s="4"/>
      <c r="Y190" s="4"/>
      <c r="Z190" s="4"/>
      <c r="AA190" s="4"/>
      <c r="AB190" s="4"/>
    </row>
    <row r="191" spans="1:28" ht="12.75" hidden="1">
      <c r="A191" s="4"/>
      <c r="B191" s="4"/>
      <c r="C191" s="4"/>
      <c r="D191" s="15"/>
      <c r="E191" s="4"/>
      <c r="F191" s="4"/>
      <c r="G191" s="4"/>
      <c r="H191" s="4"/>
      <c r="I191" s="4"/>
      <c r="J191" s="4"/>
      <c r="K191" s="4"/>
      <c r="L191" s="4"/>
      <c r="M191" s="4"/>
      <c r="N191" s="4"/>
      <c r="O191" s="4"/>
      <c r="P191" s="4"/>
      <c r="Q191" s="4"/>
      <c r="R191" s="4"/>
      <c r="S191" s="4"/>
      <c r="T191" s="4"/>
      <c r="U191" s="4"/>
      <c r="V191" s="4"/>
      <c r="W191" s="4"/>
      <c r="X191" s="4"/>
      <c r="Y191" s="4"/>
      <c r="Z191" s="4"/>
      <c r="AA191" s="4"/>
      <c r="AB191" s="4"/>
    </row>
    <row r="192" spans="1:28" ht="12.75" hidden="1">
      <c r="A192" s="4"/>
      <c r="B192" s="4"/>
      <c r="C192" s="4"/>
      <c r="D192" s="15"/>
      <c r="E192" s="4"/>
      <c r="F192" s="4"/>
      <c r="G192" s="4"/>
      <c r="H192" s="4"/>
      <c r="I192" s="4"/>
      <c r="J192" s="4"/>
      <c r="K192" s="4"/>
      <c r="L192" s="4"/>
      <c r="M192" s="4"/>
      <c r="N192" s="4"/>
      <c r="O192" s="4"/>
      <c r="P192" s="4"/>
      <c r="Q192" s="4"/>
      <c r="R192" s="4"/>
      <c r="S192" s="4"/>
      <c r="T192" s="4"/>
      <c r="U192" s="4"/>
      <c r="V192" s="4"/>
      <c r="W192" s="4"/>
      <c r="X192" s="4"/>
      <c r="Y192" s="4"/>
      <c r="Z192" s="4"/>
      <c r="AA192" s="4"/>
      <c r="AB192" s="4"/>
    </row>
    <row r="193" spans="1:28" ht="12.75" hidden="1">
      <c r="A193" s="4"/>
      <c r="B193" s="4"/>
      <c r="C193" s="4"/>
      <c r="D193" s="15"/>
      <c r="E193" s="4"/>
      <c r="F193" s="4"/>
      <c r="G193" s="4"/>
      <c r="H193" s="4"/>
      <c r="I193" s="4"/>
      <c r="J193" s="4"/>
      <c r="K193" s="4"/>
      <c r="L193" s="4"/>
      <c r="M193" s="4"/>
      <c r="N193" s="4"/>
      <c r="O193" s="4"/>
      <c r="P193" s="4"/>
      <c r="Q193" s="4"/>
      <c r="R193" s="4"/>
      <c r="S193" s="4"/>
      <c r="T193" s="4"/>
      <c r="U193" s="4"/>
      <c r="V193" s="4"/>
      <c r="W193" s="4"/>
      <c r="X193" s="4"/>
      <c r="Y193" s="4"/>
      <c r="Z193" s="4"/>
      <c r="AA193" s="4"/>
      <c r="AB193" s="4"/>
    </row>
    <row r="194" spans="1:28" ht="12.75" hidden="1">
      <c r="A194" s="4"/>
      <c r="B194" s="4"/>
      <c r="C194" s="4"/>
      <c r="D194" s="15"/>
      <c r="E194" s="4"/>
      <c r="F194" s="4"/>
      <c r="G194" s="4"/>
      <c r="H194" s="4"/>
      <c r="I194" s="4"/>
      <c r="J194" s="4"/>
      <c r="K194" s="4"/>
      <c r="L194" s="4"/>
      <c r="M194" s="4"/>
      <c r="N194" s="4"/>
      <c r="O194" s="4"/>
      <c r="P194" s="4"/>
      <c r="Q194" s="4"/>
      <c r="R194" s="4"/>
      <c r="S194" s="4"/>
      <c r="T194" s="4"/>
      <c r="U194" s="4"/>
      <c r="V194" s="4"/>
      <c r="W194" s="4"/>
      <c r="X194" s="4"/>
      <c r="Y194" s="4"/>
      <c r="Z194" s="4"/>
      <c r="AA194" s="4"/>
      <c r="AB194" s="4"/>
    </row>
    <row r="195" spans="1:28" ht="12.75" hidden="1">
      <c r="A195" s="4"/>
      <c r="B195" s="4"/>
      <c r="C195" s="4"/>
      <c r="D195" s="15"/>
      <c r="E195" s="4"/>
      <c r="F195" s="4"/>
      <c r="G195" s="4"/>
      <c r="H195" s="4"/>
      <c r="I195" s="4"/>
      <c r="J195" s="4"/>
      <c r="K195" s="4"/>
      <c r="L195" s="4"/>
      <c r="M195" s="4"/>
      <c r="N195" s="4"/>
      <c r="O195" s="4"/>
      <c r="P195" s="4"/>
      <c r="Q195" s="4"/>
      <c r="R195" s="4"/>
      <c r="S195" s="4"/>
      <c r="T195" s="4"/>
      <c r="U195" s="4"/>
      <c r="V195" s="4"/>
      <c r="W195" s="4"/>
      <c r="X195" s="4"/>
      <c r="Y195" s="4"/>
      <c r="Z195" s="4"/>
      <c r="AA195" s="4"/>
      <c r="AB195" s="4"/>
    </row>
    <row r="196" spans="1:28" ht="12.75" hidden="1">
      <c r="A196" s="4"/>
      <c r="B196" s="4"/>
      <c r="C196" s="4"/>
      <c r="D196" s="15"/>
      <c r="E196" s="4"/>
      <c r="F196" s="4"/>
      <c r="G196" s="4"/>
      <c r="H196" s="4"/>
      <c r="I196" s="4"/>
      <c r="J196" s="4"/>
      <c r="K196" s="4"/>
      <c r="L196" s="4"/>
      <c r="M196" s="4"/>
      <c r="N196" s="4"/>
      <c r="O196" s="4"/>
      <c r="P196" s="4"/>
      <c r="Q196" s="4"/>
      <c r="R196" s="4"/>
      <c r="S196" s="4"/>
      <c r="T196" s="4"/>
      <c r="U196" s="4"/>
      <c r="V196" s="4"/>
      <c r="W196" s="4"/>
      <c r="X196" s="4"/>
      <c r="Y196" s="4"/>
      <c r="Z196" s="4"/>
      <c r="AA196" s="4"/>
      <c r="AB196" s="4"/>
    </row>
    <row r="197" spans="1:28" ht="12.75" hidden="1">
      <c r="A197" s="4"/>
      <c r="B197" s="4"/>
      <c r="C197" s="4"/>
      <c r="D197" s="15"/>
      <c r="E197" s="4"/>
      <c r="F197" s="4"/>
      <c r="G197" s="4"/>
      <c r="H197" s="4"/>
      <c r="I197" s="4"/>
      <c r="J197" s="4"/>
      <c r="K197" s="4"/>
      <c r="L197" s="4"/>
      <c r="M197" s="4"/>
      <c r="N197" s="4"/>
      <c r="O197" s="4"/>
      <c r="P197" s="4"/>
      <c r="Q197" s="4"/>
      <c r="R197" s="4"/>
      <c r="S197" s="4"/>
      <c r="T197" s="4"/>
      <c r="U197" s="4"/>
      <c r="V197" s="4"/>
      <c r="W197" s="4"/>
      <c r="X197" s="4"/>
      <c r="Y197" s="4"/>
      <c r="Z197" s="4"/>
      <c r="AA197" s="4"/>
      <c r="AB197" s="4"/>
    </row>
    <row r="198" spans="1:28" ht="12.75" hidden="1">
      <c r="A198" s="4"/>
      <c r="B198" s="4"/>
      <c r="C198" s="4"/>
      <c r="D198" s="15"/>
      <c r="E198" s="4"/>
      <c r="F198" s="4"/>
      <c r="G198" s="4"/>
      <c r="H198" s="4"/>
      <c r="I198" s="4"/>
      <c r="J198" s="4"/>
      <c r="K198" s="4"/>
      <c r="L198" s="4"/>
      <c r="M198" s="4"/>
      <c r="N198" s="4"/>
      <c r="O198" s="4"/>
      <c r="P198" s="4"/>
      <c r="Q198" s="4"/>
      <c r="R198" s="4"/>
      <c r="S198" s="4"/>
      <c r="T198" s="4"/>
      <c r="U198" s="4"/>
      <c r="V198" s="4"/>
      <c r="W198" s="4"/>
      <c r="X198" s="4"/>
      <c r="Y198" s="4"/>
      <c r="Z198" s="4"/>
      <c r="AA198" s="4"/>
      <c r="AB198" s="4"/>
    </row>
    <row r="199" spans="1:28" ht="12.75" hidden="1">
      <c r="A199" s="4"/>
      <c r="B199" s="4"/>
      <c r="C199" s="4"/>
      <c r="D199" s="15"/>
      <c r="E199" s="4"/>
      <c r="F199" s="4"/>
      <c r="G199" s="4"/>
      <c r="H199" s="4"/>
      <c r="I199" s="4"/>
      <c r="J199" s="4"/>
      <c r="K199" s="4"/>
      <c r="L199" s="4"/>
      <c r="M199" s="4"/>
      <c r="N199" s="4"/>
      <c r="O199" s="4"/>
      <c r="P199" s="4"/>
      <c r="Q199" s="4"/>
      <c r="R199" s="4"/>
      <c r="S199" s="4"/>
      <c r="T199" s="4"/>
      <c r="U199" s="4"/>
      <c r="V199" s="4"/>
      <c r="W199" s="4"/>
      <c r="X199" s="4"/>
      <c r="Y199" s="4"/>
      <c r="Z199" s="4"/>
      <c r="AA199" s="4"/>
      <c r="AB199" s="4"/>
    </row>
    <row r="200" spans="1:28" ht="12.75" hidden="1">
      <c r="A200" s="4"/>
      <c r="B200" s="4"/>
      <c r="C200" s="4"/>
      <c r="D200" s="15"/>
      <c r="E200" s="4"/>
      <c r="F200" s="4"/>
      <c r="G200" s="4"/>
      <c r="H200" s="4"/>
      <c r="I200" s="4"/>
      <c r="J200" s="4"/>
      <c r="K200" s="4"/>
      <c r="L200" s="4"/>
      <c r="M200" s="4"/>
      <c r="N200" s="4"/>
      <c r="O200" s="4"/>
      <c r="P200" s="4"/>
      <c r="Q200" s="4"/>
      <c r="R200" s="4"/>
      <c r="S200" s="4"/>
      <c r="T200" s="4"/>
      <c r="U200" s="4"/>
      <c r="V200" s="4"/>
      <c r="W200" s="4"/>
      <c r="X200" s="4"/>
      <c r="Y200" s="4"/>
      <c r="Z200" s="4"/>
      <c r="AA200" s="4"/>
      <c r="AB200" s="4"/>
    </row>
    <row r="201" spans="1:28" ht="12.75" hidden="1">
      <c r="A201" s="4"/>
      <c r="B201" s="4"/>
      <c r="C201" s="4"/>
      <c r="D201" s="15"/>
      <c r="E201" s="4"/>
      <c r="F201" s="4"/>
      <c r="G201" s="4"/>
      <c r="H201" s="4"/>
      <c r="I201" s="4"/>
      <c r="J201" s="4"/>
      <c r="K201" s="4"/>
      <c r="L201" s="4"/>
      <c r="M201" s="4"/>
      <c r="N201" s="4"/>
      <c r="O201" s="4"/>
      <c r="P201" s="4"/>
      <c r="Q201" s="4"/>
      <c r="R201" s="4"/>
      <c r="S201" s="4"/>
      <c r="T201" s="4"/>
      <c r="U201" s="4"/>
      <c r="V201" s="4"/>
      <c r="W201" s="4"/>
      <c r="X201" s="4"/>
      <c r="Y201" s="4"/>
      <c r="Z201" s="4"/>
      <c r="AA201" s="4"/>
      <c r="AB201" s="4"/>
    </row>
    <row r="202" spans="1:28" ht="12.75" hidden="1">
      <c r="A202" s="4"/>
      <c r="B202" s="4"/>
      <c r="C202" s="4"/>
      <c r="D202" s="15"/>
      <c r="E202" s="4"/>
      <c r="F202" s="4"/>
      <c r="G202" s="4"/>
      <c r="H202" s="4"/>
      <c r="I202" s="4"/>
      <c r="J202" s="4"/>
      <c r="K202" s="4"/>
      <c r="L202" s="4"/>
      <c r="M202" s="4"/>
      <c r="N202" s="4"/>
      <c r="O202" s="4"/>
      <c r="P202" s="4"/>
      <c r="Q202" s="4"/>
      <c r="R202" s="4"/>
      <c r="S202" s="4"/>
      <c r="T202" s="4"/>
      <c r="U202" s="4"/>
      <c r="V202" s="4"/>
      <c r="W202" s="4"/>
      <c r="X202" s="4"/>
      <c r="Y202" s="4"/>
      <c r="Z202" s="4"/>
      <c r="AA202" s="4"/>
      <c r="AB202" s="4"/>
    </row>
    <row r="203" spans="1:28" ht="12.75" hidden="1">
      <c r="A203" s="4"/>
      <c r="B203" s="4"/>
      <c r="C203" s="4"/>
      <c r="D203" s="15"/>
      <c r="E203" s="4"/>
      <c r="F203" s="4"/>
      <c r="G203" s="4"/>
      <c r="H203" s="4"/>
      <c r="I203" s="4"/>
      <c r="J203" s="4"/>
      <c r="K203" s="4"/>
      <c r="L203" s="4"/>
      <c r="M203" s="4"/>
      <c r="N203" s="4"/>
      <c r="O203" s="4"/>
      <c r="P203" s="4"/>
      <c r="Q203" s="4"/>
      <c r="R203" s="4"/>
      <c r="S203" s="4"/>
      <c r="T203" s="4"/>
      <c r="U203" s="4"/>
      <c r="V203" s="4"/>
      <c r="W203" s="4"/>
      <c r="X203" s="4"/>
      <c r="Y203" s="4"/>
      <c r="Z203" s="4"/>
      <c r="AA203" s="4"/>
      <c r="AB203" s="4"/>
    </row>
    <row r="204" spans="1:28" ht="12.75" hidden="1">
      <c r="A204" s="4"/>
      <c r="B204" s="4"/>
      <c r="C204" s="4"/>
      <c r="D204" s="15"/>
      <c r="E204" s="4"/>
      <c r="F204" s="4"/>
      <c r="G204" s="4"/>
      <c r="H204" s="4"/>
      <c r="I204" s="4"/>
      <c r="J204" s="4"/>
      <c r="K204" s="4"/>
      <c r="L204" s="4"/>
      <c r="M204" s="4"/>
      <c r="N204" s="4"/>
      <c r="O204" s="4"/>
      <c r="P204" s="4"/>
      <c r="Q204" s="4"/>
      <c r="R204" s="4"/>
      <c r="S204" s="4"/>
      <c r="T204" s="4"/>
      <c r="U204" s="4"/>
      <c r="V204" s="4"/>
      <c r="W204" s="4"/>
      <c r="X204" s="4"/>
      <c r="Y204" s="4"/>
      <c r="Z204" s="4"/>
      <c r="AA204" s="4"/>
      <c r="AB204" s="4"/>
    </row>
    <row r="205" spans="1:28" ht="12.75" hidden="1">
      <c r="A205" s="4"/>
      <c r="B205" s="4"/>
      <c r="C205" s="4"/>
      <c r="D205" s="15"/>
      <c r="E205" s="4"/>
      <c r="F205" s="4"/>
      <c r="G205" s="4"/>
      <c r="H205" s="4"/>
      <c r="I205" s="4"/>
      <c r="J205" s="4"/>
      <c r="K205" s="4"/>
      <c r="L205" s="4"/>
      <c r="M205" s="4"/>
      <c r="N205" s="4"/>
      <c r="O205" s="4"/>
      <c r="P205" s="4"/>
      <c r="Q205" s="4"/>
      <c r="R205" s="4"/>
      <c r="S205" s="4"/>
      <c r="T205" s="4"/>
      <c r="U205" s="4"/>
      <c r="V205" s="4"/>
      <c r="W205" s="4"/>
      <c r="X205" s="4"/>
      <c r="Y205" s="4"/>
      <c r="Z205" s="4"/>
      <c r="AA205" s="4"/>
      <c r="AB205" s="4"/>
    </row>
    <row r="206" spans="1:28" ht="12.75" hidden="1">
      <c r="A206" s="4"/>
      <c r="B206" s="4"/>
      <c r="C206" s="4"/>
      <c r="D206" s="15"/>
      <c r="E206" s="4"/>
      <c r="F206" s="4"/>
      <c r="G206" s="4"/>
      <c r="H206" s="4"/>
      <c r="I206" s="4"/>
      <c r="J206" s="4"/>
      <c r="K206" s="4"/>
      <c r="L206" s="4"/>
      <c r="M206" s="4"/>
      <c r="N206" s="4"/>
      <c r="O206" s="4"/>
      <c r="P206" s="4"/>
      <c r="Q206" s="4"/>
      <c r="R206" s="4"/>
      <c r="S206" s="4"/>
      <c r="T206" s="4"/>
      <c r="U206" s="4"/>
      <c r="V206" s="4"/>
      <c r="W206" s="4"/>
      <c r="X206" s="4"/>
      <c r="Y206" s="4"/>
      <c r="Z206" s="4"/>
      <c r="AA206" s="4"/>
      <c r="AB206" s="4"/>
    </row>
    <row r="207" spans="1:28" ht="12.75" hidden="1">
      <c r="A207" s="4"/>
      <c r="B207" s="4"/>
      <c r="C207" s="4"/>
      <c r="D207" s="15"/>
      <c r="E207" s="4"/>
      <c r="F207" s="4"/>
      <c r="G207" s="4"/>
      <c r="H207" s="4"/>
      <c r="I207" s="4"/>
      <c r="J207" s="4"/>
      <c r="K207" s="4"/>
      <c r="L207" s="4"/>
      <c r="M207" s="4"/>
      <c r="N207" s="4"/>
      <c r="O207" s="4"/>
      <c r="P207" s="4"/>
      <c r="Q207" s="4"/>
      <c r="R207" s="4"/>
      <c r="S207" s="4"/>
      <c r="T207" s="4"/>
      <c r="U207" s="4"/>
      <c r="V207" s="4"/>
      <c r="W207" s="4"/>
      <c r="X207" s="4"/>
      <c r="Y207" s="4"/>
      <c r="Z207" s="4"/>
      <c r="AA207" s="4"/>
      <c r="AB207" s="4"/>
    </row>
    <row r="208" spans="1:28" ht="12.75" hidden="1">
      <c r="A208" s="4"/>
      <c r="B208" s="4"/>
      <c r="C208" s="4"/>
      <c r="D208" s="15"/>
      <c r="E208" s="4"/>
      <c r="F208" s="4"/>
      <c r="G208" s="4"/>
      <c r="H208" s="4"/>
      <c r="I208" s="4"/>
      <c r="J208" s="4"/>
      <c r="K208" s="4"/>
      <c r="L208" s="4"/>
      <c r="M208" s="4"/>
      <c r="N208" s="4"/>
      <c r="O208" s="4"/>
      <c r="P208" s="4"/>
      <c r="Q208" s="4"/>
      <c r="R208" s="4"/>
      <c r="S208" s="4"/>
      <c r="T208" s="4"/>
      <c r="U208" s="4"/>
      <c r="V208" s="4"/>
      <c r="W208" s="4"/>
      <c r="X208" s="4"/>
      <c r="Y208" s="4"/>
      <c r="Z208" s="4"/>
      <c r="AA208" s="4"/>
      <c r="AB208" s="4"/>
    </row>
    <row r="209" spans="1:28" ht="12.75" hidden="1">
      <c r="A209" s="4"/>
      <c r="B209" s="4"/>
      <c r="C209" s="4"/>
      <c r="D209" s="15"/>
      <c r="E209" s="4"/>
      <c r="F209" s="4"/>
      <c r="G209" s="4"/>
      <c r="H209" s="4"/>
      <c r="I209" s="4"/>
      <c r="J209" s="4"/>
      <c r="K209" s="4"/>
      <c r="L209" s="4"/>
      <c r="M209" s="4"/>
      <c r="N209" s="4"/>
      <c r="O209" s="4"/>
      <c r="P209" s="4"/>
      <c r="Q209" s="4"/>
      <c r="R209" s="4"/>
      <c r="S209" s="4"/>
      <c r="T209" s="4"/>
      <c r="U209" s="4"/>
      <c r="V209" s="4"/>
      <c r="W209" s="4"/>
      <c r="X209" s="4"/>
      <c r="Y209" s="4"/>
      <c r="Z209" s="4"/>
      <c r="AA209" s="4"/>
      <c r="AB209" s="4"/>
    </row>
    <row r="210" spans="1:28" ht="12.75" hidden="1">
      <c r="A210" s="4"/>
      <c r="B210" s="4"/>
      <c r="C210" s="4"/>
      <c r="D210" s="15"/>
      <c r="E210" s="4"/>
      <c r="F210" s="4"/>
      <c r="G210" s="4"/>
      <c r="H210" s="4"/>
      <c r="I210" s="4"/>
      <c r="J210" s="4"/>
      <c r="K210" s="4"/>
      <c r="L210" s="4"/>
      <c r="M210" s="4"/>
      <c r="N210" s="4"/>
      <c r="O210" s="4"/>
      <c r="P210" s="4"/>
      <c r="Q210" s="4"/>
      <c r="R210" s="4"/>
      <c r="S210" s="4"/>
      <c r="T210" s="4"/>
      <c r="U210" s="4"/>
      <c r="V210" s="4"/>
      <c r="W210" s="4"/>
      <c r="X210" s="4"/>
      <c r="Y210" s="4"/>
      <c r="Z210" s="4"/>
      <c r="AA210" s="4"/>
      <c r="AB210" s="4"/>
    </row>
    <row r="211" spans="1:28" ht="12.75" hidden="1">
      <c r="A211" s="4"/>
      <c r="B211" s="4"/>
      <c r="C211" s="4"/>
      <c r="D211" s="15"/>
      <c r="E211" s="4"/>
      <c r="F211" s="4"/>
      <c r="G211" s="4"/>
      <c r="H211" s="4"/>
      <c r="I211" s="4"/>
      <c r="J211" s="4"/>
      <c r="K211" s="4"/>
      <c r="L211" s="4"/>
      <c r="M211" s="4"/>
      <c r="N211" s="4"/>
      <c r="O211" s="4"/>
      <c r="P211" s="4"/>
      <c r="Q211" s="4"/>
      <c r="R211" s="4"/>
      <c r="S211" s="4"/>
      <c r="T211" s="4"/>
      <c r="U211" s="4"/>
      <c r="V211" s="4"/>
      <c r="W211" s="4"/>
      <c r="X211" s="4"/>
      <c r="Y211" s="4"/>
      <c r="Z211" s="4"/>
      <c r="AA211" s="4"/>
      <c r="AB211" s="4"/>
    </row>
    <row r="212" spans="1:28" ht="12.75" hidden="1">
      <c r="A212" s="4"/>
      <c r="B212" s="4"/>
      <c r="C212" s="4"/>
      <c r="D212" s="15"/>
      <c r="E212" s="4"/>
      <c r="F212" s="4"/>
      <c r="G212" s="4"/>
      <c r="H212" s="4"/>
      <c r="I212" s="4"/>
      <c r="J212" s="4"/>
      <c r="K212" s="4"/>
      <c r="L212" s="4"/>
      <c r="M212" s="4"/>
      <c r="N212" s="4"/>
      <c r="O212" s="4"/>
      <c r="P212" s="4"/>
      <c r="Q212" s="4"/>
      <c r="R212" s="4"/>
      <c r="S212" s="4"/>
      <c r="T212" s="4"/>
      <c r="U212" s="4"/>
      <c r="V212" s="4"/>
      <c r="W212" s="4"/>
      <c r="X212" s="4"/>
      <c r="Y212" s="4"/>
      <c r="Z212" s="4"/>
      <c r="AA212" s="4"/>
      <c r="AB212" s="4"/>
    </row>
    <row r="213" spans="1:28" ht="12.75" hidden="1">
      <c r="A213" s="4"/>
      <c r="B213" s="4"/>
      <c r="C213" s="4"/>
      <c r="D213" s="15"/>
      <c r="E213" s="4"/>
      <c r="F213" s="4"/>
      <c r="G213" s="4"/>
      <c r="H213" s="4"/>
      <c r="I213" s="4"/>
      <c r="J213" s="4"/>
      <c r="K213" s="4"/>
      <c r="L213" s="4"/>
      <c r="M213" s="4"/>
      <c r="N213" s="4"/>
      <c r="O213" s="4"/>
      <c r="P213" s="4"/>
      <c r="Q213" s="4"/>
      <c r="R213" s="4"/>
      <c r="S213" s="4"/>
      <c r="T213" s="4"/>
      <c r="U213" s="4"/>
      <c r="V213" s="4"/>
      <c r="W213" s="4"/>
      <c r="X213" s="4"/>
      <c r="Y213" s="4"/>
      <c r="Z213" s="4"/>
      <c r="AA213" s="4"/>
      <c r="AB213" s="4"/>
    </row>
    <row r="214" spans="1:28" ht="12.75" hidden="1">
      <c r="A214" s="4"/>
      <c r="B214" s="4"/>
      <c r="C214" s="4"/>
      <c r="D214" s="15"/>
      <c r="E214" s="4"/>
      <c r="F214" s="4"/>
      <c r="G214" s="4"/>
      <c r="H214" s="4"/>
      <c r="I214" s="4"/>
      <c r="J214" s="4"/>
      <c r="K214" s="4"/>
      <c r="L214" s="4"/>
      <c r="M214" s="4"/>
      <c r="N214" s="4"/>
      <c r="O214" s="4"/>
      <c r="P214" s="4"/>
      <c r="Q214" s="4"/>
      <c r="R214" s="4"/>
      <c r="S214" s="4"/>
      <c r="T214" s="4"/>
      <c r="U214" s="4"/>
      <c r="V214" s="4"/>
      <c r="W214" s="4"/>
      <c r="X214" s="4"/>
      <c r="Y214" s="4"/>
      <c r="Z214" s="4"/>
      <c r="AA214" s="4"/>
      <c r="AB214" s="4"/>
    </row>
    <row r="215" spans="1:28" ht="12.75" hidden="1">
      <c r="A215" s="4"/>
      <c r="B215" s="4"/>
      <c r="C215" s="4"/>
      <c r="D215" s="15"/>
      <c r="E215" s="4"/>
      <c r="F215" s="4"/>
      <c r="G215" s="4"/>
      <c r="H215" s="4"/>
      <c r="I215" s="4"/>
      <c r="J215" s="4"/>
      <c r="K215" s="4"/>
      <c r="L215" s="4"/>
      <c r="M215" s="4"/>
      <c r="N215" s="4"/>
      <c r="O215" s="4"/>
      <c r="P215" s="4"/>
      <c r="Q215" s="4"/>
      <c r="R215" s="4"/>
      <c r="S215" s="4"/>
      <c r="T215" s="4"/>
      <c r="U215" s="4"/>
      <c r="V215" s="4"/>
      <c r="W215" s="4"/>
      <c r="X215" s="4"/>
      <c r="Y215" s="4"/>
      <c r="Z215" s="4"/>
      <c r="AA215" s="4"/>
      <c r="AB215" s="4"/>
    </row>
    <row r="216" spans="1:28" ht="12.75" hidden="1">
      <c r="A216" s="4"/>
      <c r="B216" s="4"/>
      <c r="C216" s="4"/>
      <c r="D216" s="15"/>
      <c r="E216" s="4"/>
      <c r="F216" s="4"/>
      <c r="G216" s="4"/>
      <c r="H216" s="4"/>
      <c r="I216" s="4"/>
      <c r="J216" s="4"/>
      <c r="K216" s="4"/>
      <c r="L216" s="4"/>
      <c r="M216" s="4"/>
      <c r="N216" s="4"/>
      <c r="O216" s="4"/>
      <c r="P216" s="4"/>
      <c r="Q216" s="4"/>
      <c r="R216" s="4"/>
      <c r="S216" s="4"/>
      <c r="T216" s="4"/>
      <c r="U216" s="4"/>
      <c r="V216" s="4"/>
      <c r="W216" s="4"/>
      <c r="X216" s="4"/>
      <c r="Y216" s="4"/>
      <c r="Z216" s="4"/>
      <c r="AA216" s="4"/>
      <c r="AB216" s="4"/>
    </row>
    <row r="217" spans="1:28" ht="12.75" hidden="1">
      <c r="A217" s="4"/>
      <c r="B217" s="4"/>
      <c r="C217" s="4"/>
      <c r="D217" s="15"/>
      <c r="E217" s="4"/>
      <c r="F217" s="4"/>
      <c r="G217" s="4"/>
      <c r="H217" s="4"/>
      <c r="I217" s="4"/>
      <c r="J217" s="4"/>
      <c r="K217" s="4"/>
      <c r="L217" s="4"/>
      <c r="M217" s="4"/>
      <c r="N217" s="4"/>
      <c r="O217" s="4"/>
      <c r="P217" s="4"/>
      <c r="Q217" s="4"/>
      <c r="R217" s="4"/>
      <c r="S217" s="4"/>
      <c r="T217" s="4"/>
      <c r="U217" s="4"/>
      <c r="V217" s="4"/>
      <c r="W217" s="4"/>
      <c r="X217" s="4"/>
      <c r="Y217" s="4"/>
      <c r="Z217" s="4"/>
      <c r="AA217" s="4"/>
      <c r="AB217" s="4"/>
    </row>
    <row r="218" spans="1:28" ht="12.75" hidden="1">
      <c r="A218" s="4"/>
      <c r="B218" s="4"/>
      <c r="C218" s="4"/>
      <c r="D218" s="15"/>
      <c r="E218" s="4"/>
      <c r="F218" s="4"/>
      <c r="G218" s="4"/>
      <c r="H218" s="4"/>
      <c r="I218" s="4"/>
      <c r="J218" s="4"/>
      <c r="K218" s="4"/>
      <c r="L218" s="4"/>
      <c r="M218" s="4"/>
      <c r="N218" s="4"/>
      <c r="O218" s="4"/>
      <c r="P218" s="4"/>
      <c r="Q218" s="4"/>
      <c r="R218" s="4"/>
      <c r="S218" s="4"/>
      <c r="T218" s="4"/>
      <c r="U218" s="4"/>
      <c r="V218" s="4"/>
      <c r="W218" s="4"/>
      <c r="X218" s="4"/>
      <c r="Y218" s="4"/>
      <c r="Z218" s="4"/>
      <c r="AA218" s="4"/>
      <c r="AB218" s="4"/>
    </row>
    <row r="219" spans="1:28" ht="12.75" hidden="1">
      <c r="A219" s="4"/>
      <c r="B219" s="4"/>
      <c r="C219" s="4"/>
      <c r="D219" s="15"/>
      <c r="E219" s="4"/>
      <c r="F219" s="4"/>
      <c r="G219" s="4"/>
      <c r="H219" s="4"/>
      <c r="I219" s="4"/>
      <c r="J219" s="4"/>
      <c r="K219" s="4"/>
      <c r="L219" s="4"/>
      <c r="M219" s="4"/>
      <c r="N219" s="4"/>
      <c r="O219" s="4"/>
      <c r="P219" s="4"/>
      <c r="Q219" s="4"/>
      <c r="R219" s="4"/>
      <c r="S219" s="4"/>
      <c r="T219" s="4"/>
      <c r="U219" s="4"/>
      <c r="V219" s="4"/>
      <c r="W219" s="4"/>
      <c r="X219" s="4"/>
      <c r="Y219" s="4"/>
      <c r="Z219" s="4"/>
      <c r="AA219" s="4"/>
      <c r="AB219" s="4"/>
    </row>
    <row r="220" spans="1:28" ht="12.75" hidden="1">
      <c r="A220" s="4"/>
      <c r="B220" s="4"/>
      <c r="C220" s="4"/>
      <c r="D220" s="15"/>
      <c r="E220" s="4"/>
      <c r="F220" s="4"/>
      <c r="G220" s="4"/>
      <c r="H220" s="4"/>
      <c r="I220" s="4"/>
      <c r="J220" s="4"/>
      <c r="K220" s="4"/>
      <c r="L220" s="4"/>
      <c r="M220" s="4"/>
      <c r="N220" s="4"/>
      <c r="O220" s="4"/>
      <c r="P220" s="4"/>
      <c r="Q220" s="4"/>
      <c r="R220" s="4"/>
      <c r="S220" s="4"/>
      <c r="T220" s="4"/>
      <c r="U220" s="4"/>
      <c r="V220" s="4"/>
      <c r="W220" s="4"/>
      <c r="X220" s="4"/>
      <c r="Y220" s="4"/>
      <c r="Z220" s="4"/>
      <c r="AA220" s="4"/>
      <c r="AB220" s="4"/>
    </row>
    <row r="221" spans="1:28" ht="12.75" hidden="1">
      <c r="A221" s="4"/>
      <c r="B221" s="4"/>
      <c r="C221" s="4"/>
      <c r="D221" s="15"/>
      <c r="E221" s="4"/>
      <c r="F221" s="4"/>
      <c r="G221" s="4"/>
      <c r="H221" s="4"/>
      <c r="I221" s="4"/>
      <c r="J221" s="4"/>
      <c r="K221" s="4"/>
      <c r="L221" s="4"/>
      <c r="M221" s="4"/>
      <c r="N221" s="4"/>
      <c r="O221" s="4"/>
      <c r="P221" s="4"/>
      <c r="Q221" s="4"/>
      <c r="R221" s="4"/>
      <c r="S221" s="4"/>
      <c r="T221" s="4"/>
      <c r="U221" s="4"/>
      <c r="V221" s="4"/>
      <c r="W221" s="4"/>
      <c r="X221" s="4"/>
      <c r="Y221" s="4"/>
      <c r="Z221" s="4"/>
      <c r="AA221" s="4"/>
      <c r="AB221" s="4"/>
    </row>
    <row r="222" spans="1:28" ht="12.75" hidden="1">
      <c r="A222" s="4"/>
      <c r="B222" s="4"/>
      <c r="C222" s="4"/>
      <c r="D222" s="15"/>
      <c r="E222" s="4"/>
      <c r="F222" s="4"/>
      <c r="G222" s="4"/>
      <c r="H222" s="4"/>
      <c r="I222" s="4"/>
      <c r="J222" s="4"/>
      <c r="K222" s="4"/>
      <c r="L222" s="4"/>
      <c r="M222" s="4"/>
      <c r="N222" s="4"/>
      <c r="O222" s="4"/>
      <c r="P222" s="4"/>
      <c r="Q222" s="4"/>
      <c r="R222" s="4"/>
      <c r="S222" s="4"/>
      <c r="T222" s="4"/>
      <c r="U222" s="4"/>
      <c r="V222" s="4"/>
      <c r="W222" s="4"/>
      <c r="X222" s="4"/>
      <c r="Y222" s="4"/>
      <c r="Z222" s="4"/>
      <c r="AA222" s="4"/>
      <c r="AB222" s="4"/>
    </row>
    <row r="223" spans="1:28" ht="12.75" hidden="1">
      <c r="A223" s="4"/>
      <c r="B223" s="4"/>
      <c r="C223" s="4"/>
      <c r="D223" s="15"/>
      <c r="E223" s="4"/>
      <c r="F223" s="4"/>
      <c r="G223" s="4"/>
      <c r="H223" s="4"/>
      <c r="I223" s="4"/>
      <c r="J223" s="4"/>
      <c r="K223" s="4"/>
      <c r="L223" s="4"/>
      <c r="M223" s="4"/>
      <c r="N223" s="4"/>
      <c r="O223" s="4"/>
      <c r="P223" s="4"/>
      <c r="Q223" s="4"/>
      <c r="R223" s="4"/>
      <c r="S223" s="4"/>
      <c r="T223" s="4"/>
      <c r="U223" s="4"/>
      <c r="V223" s="4"/>
      <c r="W223" s="4"/>
      <c r="X223" s="4"/>
      <c r="Y223" s="4"/>
      <c r="Z223" s="4"/>
      <c r="AA223" s="4"/>
      <c r="AB223" s="4"/>
    </row>
    <row r="224" spans="1:28" ht="12.75" hidden="1">
      <c r="A224" s="4"/>
      <c r="B224" s="4"/>
      <c r="C224" s="4"/>
      <c r="D224" s="15"/>
      <c r="E224" s="4"/>
      <c r="F224" s="4"/>
      <c r="G224" s="4"/>
      <c r="H224" s="4"/>
      <c r="I224" s="4"/>
      <c r="J224" s="4"/>
      <c r="K224" s="4"/>
      <c r="L224" s="4"/>
      <c r="M224" s="4"/>
      <c r="N224" s="4"/>
      <c r="O224" s="4"/>
      <c r="P224" s="4"/>
      <c r="Q224" s="4"/>
      <c r="R224" s="4"/>
      <c r="S224" s="4"/>
      <c r="T224" s="4"/>
      <c r="U224" s="4"/>
      <c r="V224" s="4"/>
      <c r="W224" s="4"/>
      <c r="X224" s="4"/>
      <c r="Y224" s="4"/>
      <c r="Z224" s="4"/>
      <c r="AA224" s="4"/>
      <c r="AB224" s="4"/>
    </row>
    <row r="225" spans="1:28" ht="12.75" hidden="1">
      <c r="A225" s="4"/>
      <c r="B225" s="4"/>
      <c r="C225" s="4"/>
      <c r="D225" s="15"/>
      <c r="E225" s="4"/>
      <c r="F225" s="4"/>
      <c r="G225" s="4"/>
      <c r="H225" s="4"/>
      <c r="I225" s="4"/>
      <c r="J225" s="4"/>
      <c r="K225" s="4"/>
      <c r="L225" s="4"/>
      <c r="M225" s="4"/>
      <c r="N225" s="4"/>
      <c r="O225" s="4"/>
      <c r="P225" s="4"/>
      <c r="Q225" s="4"/>
      <c r="R225" s="4"/>
      <c r="S225" s="4"/>
      <c r="T225" s="4"/>
      <c r="U225" s="4"/>
      <c r="V225" s="4"/>
      <c r="W225" s="4"/>
      <c r="X225" s="4"/>
      <c r="Y225" s="4"/>
      <c r="Z225" s="4"/>
      <c r="AA225" s="4"/>
      <c r="AB225" s="4"/>
    </row>
    <row r="226" spans="1:28" ht="12.75" hidden="1">
      <c r="A226" s="4"/>
      <c r="B226" s="4"/>
      <c r="C226" s="4"/>
      <c r="D226" s="15"/>
      <c r="E226" s="4"/>
      <c r="F226" s="4"/>
      <c r="G226" s="4"/>
      <c r="H226" s="4"/>
      <c r="I226" s="4"/>
      <c r="J226" s="4"/>
      <c r="K226" s="4"/>
      <c r="L226" s="4"/>
      <c r="M226" s="4"/>
      <c r="N226" s="4"/>
      <c r="O226" s="4"/>
      <c r="P226" s="4"/>
      <c r="Q226" s="4"/>
      <c r="R226" s="4"/>
      <c r="S226" s="4"/>
      <c r="T226" s="4"/>
      <c r="U226" s="4"/>
      <c r="V226" s="4"/>
      <c r="W226" s="4"/>
      <c r="X226" s="4"/>
      <c r="Y226" s="4"/>
      <c r="Z226" s="4"/>
      <c r="AA226" s="4"/>
      <c r="AB226" s="4"/>
    </row>
    <row r="227" spans="1:28" ht="12.75" hidden="1">
      <c r="A227" s="4"/>
      <c r="B227" s="4"/>
      <c r="C227" s="4"/>
      <c r="D227" s="15"/>
      <c r="E227" s="4"/>
      <c r="F227" s="4"/>
      <c r="G227" s="4"/>
      <c r="H227" s="4"/>
      <c r="I227" s="4"/>
      <c r="J227" s="4"/>
      <c r="K227" s="4"/>
      <c r="L227" s="4"/>
      <c r="M227" s="4"/>
      <c r="N227" s="4"/>
      <c r="O227" s="4"/>
      <c r="P227" s="4"/>
      <c r="Q227" s="4"/>
      <c r="R227" s="4"/>
      <c r="S227" s="4"/>
      <c r="T227" s="4"/>
      <c r="U227" s="4"/>
      <c r="V227" s="4"/>
      <c r="W227" s="4"/>
      <c r="X227" s="4"/>
      <c r="Y227" s="4"/>
      <c r="Z227" s="4"/>
      <c r="AA227" s="4"/>
      <c r="AB227" s="4"/>
    </row>
    <row r="228" spans="1:28" ht="12.75" hidden="1">
      <c r="A228" s="4"/>
      <c r="B228" s="4"/>
      <c r="C228" s="4"/>
      <c r="D228" s="15"/>
      <c r="E228" s="4"/>
      <c r="F228" s="4"/>
      <c r="G228" s="4"/>
      <c r="H228" s="4"/>
      <c r="I228" s="4"/>
      <c r="J228" s="4"/>
      <c r="K228" s="4"/>
      <c r="L228" s="4"/>
      <c r="M228" s="4"/>
      <c r="N228" s="4"/>
      <c r="O228" s="4"/>
      <c r="P228" s="4"/>
      <c r="Q228" s="4"/>
      <c r="R228" s="4"/>
      <c r="S228" s="4"/>
      <c r="T228" s="4"/>
      <c r="U228" s="4"/>
      <c r="V228" s="4"/>
      <c r="W228" s="4"/>
      <c r="X228" s="4"/>
      <c r="Y228" s="4"/>
      <c r="Z228" s="4"/>
      <c r="AA228" s="4"/>
      <c r="AB228" s="4"/>
    </row>
    <row r="229" spans="1:28" ht="12.75" hidden="1">
      <c r="A229" s="4"/>
      <c r="B229" s="4"/>
      <c r="C229" s="4"/>
      <c r="D229" s="15"/>
      <c r="E229" s="4"/>
      <c r="F229" s="4"/>
      <c r="G229" s="4"/>
      <c r="H229" s="4"/>
      <c r="I229" s="4"/>
      <c r="J229" s="4"/>
      <c r="K229" s="4"/>
      <c r="L229" s="4"/>
      <c r="M229" s="4"/>
      <c r="N229" s="4"/>
      <c r="O229" s="4"/>
      <c r="P229" s="4"/>
      <c r="Q229" s="4"/>
      <c r="R229" s="4"/>
      <c r="S229" s="4"/>
      <c r="T229" s="4"/>
      <c r="U229" s="4"/>
      <c r="V229" s="4"/>
      <c r="W229" s="4"/>
      <c r="X229" s="4"/>
      <c r="Y229" s="4"/>
      <c r="Z229" s="4"/>
      <c r="AA229" s="4"/>
      <c r="AB229" s="4"/>
    </row>
    <row r="230" spans="1:28" ht="12.75" hidden="1">
      <c r="A230" s="4"/>
      <c r="B230" s="4"/>
      <c r="C230" s="4"/>
      <c r="D230" s="15"/>
      <c r="E230" s="4"/>
      <c r="F230" s="4"/>
      <c r="G230" s="4"/>
      <c r="H230" s="4"/>
      <c r="I230" s="4"/>
      <c r="J230" s="4"/>
      <c r="K230" s="4"/>
      <c r="L230" s="4"/>
      <c r="M230" s="4"/>
      <c r="N230" s="4"/>
      <c r="O230" s="4"/>
      <c r="P230" s="4"/>
      <c r="Q230" s="4"/>
      <c r="R230" s="4"/>
      <c r="S230" s="4"/>
      <c r="T230" s="4"/>
      <c r="U230" s="4"/>
      <c r="V230" s="4"/>
      <c r="W230" s="4"/>
      <c r="X230" s="4"/>
      <c r="Y230" s="4"/>
      <c r="Z230" s="4"/>
      <c r="AA230" s="4"/>
      <c r="AB230" s="4"/>
    </row>
    <row r="231" spans="1:28" ht="12.75" hidden="1">
      <c r="A231" s="4"/>
      <c r="B231" s="4"/>
      <c r="C231" s="4"/>
      <c r="D231" s="15"/>
      <c r="E231" s="4"/>
      <c r="F231" s="4"/>
      <c r="G231" s="4"/>
      <c r="H231" s="4"/>
      <c r="I231" s="4"/>
      <c r="J231" s="4"/>
      <c r="K231" s="4"/>
      <c r="L231" s="4"/>
      <c r="M231" s="4"/>
      <c r="N231" s="4"/>
      <c r="O231" s="4"/>
      <c r="P231" s="4"/>
      <c r="Q231" s="4"/>
      <c r="R231" s="4"/>
      <c r="S231" s="4"/>
      <c r="T231" s="4"/>
      <c r="U231" s="4"/>
      <c r="V231" s="4"/>
      <c r="W231" s="4"/>
      <c r="X231" s="4"/>
      <c r="Y231" s="4"/>
      <c r="Z231" s="4"/>
      <c r="AA231" s="4"/>
      <c r="AB231" s="4"/>
    </row>
    <row r="232" spans="1:28" ht="12.75" hidden="1">
      <c r="A232" s="4"/>
      <c r="B232" s="4"/>
      <c r="C232" s="4"/>
      <c r="D232" s="15"/>
      <c r="E232" s="4"/>
      <c r="F232" s="4"/>
      <c r="G232" s="4"/>
      <c r="H232" s="4"/>
      <c r="I232" s="4"/>
      <c r="J232" s="4"/>
      <c r="K232" s="4"/>
      <c r="L232" s="4"/>
      <c r="M232" s="4"/>
      <c r="N232" s="4"/>
      <c r="O232" s="4"/>
      <c r="P232" s="4"/>
      <c r="Q232" s="4"/>
      <c r="R232" s="4"/>
      <c r="S232" s="4"/>
      <c r="T232" s="4"/>
      <c r="U232" s="4"/>
      <c r="V232" s="4"/>
      <c r="W232" s="4"/>
      <c r="X232" s="4"/>
      <c r="Y232" s="4"/>
      <c r="Z232" s="4"/>
      <c r="AA232" s="4"/>
      <c r="AB232" s="4"/>
    </row>
    <row r="233" spans="1:28" ht="12.75" hidden="1">
      <c r="A233" s="4"/>
      <c r="B233" s="4"/>
      <c r="C233" s="4"/>
      <c r="D233" s="15"/>
      <c r="E233" s="4"/>
      <c r="F233" s="4"/>
      <c r="G233" s="4"/>
      <c r="H233" s="4"/>
      <c r="I233" s="4"/>
      <c r="J233" s="4"/>
      <c r="K233" s="4"/>
      <c r="L233" s="4"/>
      <c r="M233" s="4"/>
      <c r="N233" s="4"/>
      <c r="O233" s="4"/>
      <c r="P233" s="4"/>
      <c r="Q233" s="4"/>
      <c r="R233" s="4"/>
      <c r="S233" s="4"/>
      <c r="T233" s="4"/>
      <c r="U233" s="4"/>
      <c r="V233" s="4"/>
      <c r="W233" s="4"/>
      <c r="X233" s="4"/>
      <c r="Y233" s="4"/>
      <c r="Z233" s="4"/>
      <c r="AA233" s="4"/>
      <c r="AB233" s="4"/>
    </row>
    <row r="234" spans="1:28" ht="12.75" hidden="1">
      <c r="A234" s="4"/>
      <c r="B234" s="4"/>
      <c r="C234" s="4"/>
      <c r="D234" s="15"/>
      <c r="E234" s="4"/>
      <c r="F234" s="4"/>
      <c r="G234" s="4"/>
      <c r="H234" s="4"/>
      <c r="I234" s="4"/>
      <c r="J234" s="4"/>
      <c r="K234" s="4"/>
      <c r="L234" s="4"/>
      <c r="M234" s="4"/>
      <c r="N234" s="4"/>
      <c r="O234" s="4"/>
      <c r="P234" s="4"/>
      <c r="Q234" s="4"/>
      <c r="R234" s="4"/>
      <c r="S234" s="4"/>
      <c r="T234" s="4"/>
      <c r="U234" s="4"/>
      <c r="V234" s="4"/>
      <c r="W234" s="4"/>
      <c r="X234" s="4"/>
      <c r="Y234" s="4"/>
      <c r="Z234" s="4"/>
      <c r="AA234" s="4"/>
      <c r="AB234" s="4"/>
    </row>
    <row r="235" spans="1:28" ht="12.75" hidden="1">
      <c r="A235" s="4"/>
      <c r="B235" s="4"/>
      <c r="C235" s="4"/>
      <c r="D235" s="15"/>
      <c r="E235" s="4"/>
      <c r="F235" s="4"/>
      <c r="G235" s="4"/>
      <c r="H235" s="4"/>
      <c r="I235" s="4"/>
      <c r="J235" s="4"/>
      <c r="K235" s="4"/>
      <c r="L235" s="4"/>
      <c r="M235" s="4"/>
      <c r="N235" s="4"/>
      <c r="O235" s="4"/>
      <c r="P235" s="4"/>
      <c r="Q235" s="4"/>
      <c r="R235" s="4"/>
      <c r="S235" s="4"/>
      <c r="T235" s="4"/>
      <c r="U235" s="4"/>
      <c r="V235" s="4"/>
      <c r="W235" s="4"/>
      <c r="X235" s="4"/>
      <c r="Y235" s="4"/>
      <c r="Z235" s="4"/>
      <c r="AA235" s="4"/>
      <c r="AB235" s="4"/>
    </row>
    <row r="236" spans="1:28" ht="12.75" hidden="1">
      <c r="A236" s="4"/>
      <c r="B236" s="4"/>
      <c r="C236" s="4"/>
      <c r="D236" s="15"/>
      <c r="E236" s="4"/>
      <c r="F236" s="4"/>
      <c r="G236" s="4"/>
      <c r="H236" s="4"/>
      <c r="I236" s="4"/>
      <c r="J236" s="4"/>
      <c r="K236" s="4"/>
      <c r="L236" s="4"/>
      <c r="M236" s="4"/>
      <c r="N236" s="4"/>
      <c r="O236" s="4"/>
      <c r="P236" s="4"/>
      <c r="Q236" s="4"/>
      <c r="R236" s="4"/>
      <c r="S236" s="4"/>
      <c r="T236" s="4"/>
      <c r="U236" s="4"/>
      <c r="V236" s="4"/>
      <c r="W236" s="4"/>
      <c r="X236" s="4"/>
      <c r="Y236" s="4"/>
      <c r="Z236" s="4"/>
      <c r="AA236" s="4"/>
      <c r="AB236" s="4"/>
    </row>
    <row r="237" spans="1:28" ht="12.75" hidden="1">
      <c r="A237" s="4"/>
      <c r="B237" s="4"/>
      <c r="C237" s="4"/>
      <c r="D237" s="15"/>
      <c r="E237" s="4"/>
      <c r="F237" s="4"/>
      <c r="G237" s="4"/>
      <c r="H237" s="4"/>
      <c r="I237" s="4"/>
      <c r="J237" s="4"/>
      <c r="K237" s="4"/>
      <c r="L237" s="4"/>
      <c r="M237" s="4"/>
      <c r="N237" s="4"/>
      <c r="O237" s="4"/>
      <c r="P237" s="4"/>
      <c r="Q237" s="4"/>
      <c r="R237" s="4"/>
      <c r="S237" s="4"/>
      <c r="T237" s="4"/>
      <c r="U237" s="4"/>
      <c r="V237" s="4"/>
      <c r="W237" s="4"/>
      <c r="X237" s="4"/>
      <c r="Y237" s="4"/>
      <c r="Z237" s="4"/>
      <c r="AA237" s="4"/>
      <c r="AB237" s="4"/>
    </row>
    <row r="238" spans="1:28" ht="12.75" hidden="1">
      <c r="A238" s="4"/>
      <c r="B238" s="4"/>
      <c r="C238" s="4"/>
      <c r="D238" s="15"/>
      <c r="E238" s="4"/>
      <c r="F238" s="4"/>
      <c r="G238" s="4"/>
      <c r="H238" s="4"/>
      <c r="I238" s="4"/>
      <c r="J238" s="4"/>
      <c r="K238" s="4"/>
      <c r="L238" s="4"/>
      <c r="M238" s="4"/>
      <c r="N238" s="4"/>
      <c r="O238" s="4"/>
      <c r="P238" s="4"/>
      <c r="Q238" s="4"/>
      <c r="R238" s="4"/>
      <c r="S238" s="4"/>
      <c r="T238" s="4"/>
      <c r="U238" s="4"/>
      <c r="V238" s="4"/>
      <c r="W238" s="4"/>
      <c r="X238" s="4"/>
      <c r="Y238" s="4"/>
      <c r="Z238" s="4"/>
      <c r="AA238" s="4"/>
      <c r="AB238" s="4"/>
    </row>
    <row r="239" spans="1:28" ht="12.75" hidden="1">
      <c r="A239" s="4"/>
      <c r="B239" s="4"/>
      <c r="C239" s="4"/>
      <c r="D239" s="15"/>
      <c r="E239" s="4"/>
      <c r="F239" s="4"/>
      <c r="G239" s="4"/>
      <c r="H239" s="4"/>
      <c r="I239" s="4"/>
      <c r="J239" s="4"/>
      <c r="K239" s="4"/>
      <c r="L239" s="4"/>
      <c r="M239" s="4"/>
      <c r="N239" s="4"/>
      <c r="O239" s="4"/>
      <c r="P239" s="4"/>
      <c r="Q239" s="4"/>
      <c r="R239" s="4"/>
      <c r="S239" s="4"/>
      <c r="T239" s="4"/>
      <c r="U239" s="4"/>
      <c r="V239" s="4"/>
      <c r="W239" s="4"/>
      <c r="X239" s="4"/>
      <c r="Y239" s="4"/>
      <c r="Z239" s="4"/>
      <c r="AA239" s="4"/>
      <c r="AB239" s="4"/>
    </row>
    <row r="240" spans="1:28" ht="12.75" hidden="1">
      <c r="A240" s="4"/>
      <c r="B240" s="4"/>
      <c r="C240" s="4"/>
      <c r="D240" s="15"/>
      <c r="E240" s="4"/>
      <c r="F240" s="4"/>
      <c r="G240" s="4"/>
      <c r="H240" s="4"/>
      <c r="I240" s="4"/>
      <c r="J240" s="4"/>
      <c r="K240" s="4"/>
      <c r="L240" s="4"/>
      <c r="M240" s="4"/>
      <c r="N240" s="4"/>
      <c r="O240" s="4"/>
      <c r="P240" s="4"/>
      <c r="Q240" s="4"/>
      <c r="R240" s="4"/>
      <c r="S240" s="4"/>
      <c r="T240" s="4"/>
      <c r="U240" s="4"/>
      <c r="V240" s="4"/>
      <c r="W240" s="4"/>
      <c r="X240" s="4"/>
      <c r="Y240" s="4"/>
      <c r="Z240" s="4"/>
      <c r="AA240" s="4"/>
      <c r="AB240" s="4"/>
    </row>
    <row r="241" spans="1:28" ht="12.75" hidden="1">
      <c r="A241" s="4"/>
      <c r="B241" s="4"/>
      <c r="C241" s="4"/>
      <c r="D241" s="15"/>
      <c r="E241" s="4"/>
      <c r="F241" s="4"/>
      <c r="G241" s="4"/>
      <c r="H241" s="4"/>
      <c r="I241" s="4"/>
      <c r="J241" s="4"/>
      <c r="K241" s="4"/>
      <c r="L241" s="4"/>
      <c r="M241" s="4"/>
      <c r="N241" s="4"/>
      <c r="O241" s="4"/>
      <c r="P241" s="4"/>
      <c r="Q241" s="4"/>
      <c r="R241" s="4"/>
      <c r="S241" s="4"/>
      <c r="T241" s="4"/>
      <c r="U241" s="4"/>
      <c r="V241" s="4"/>
      <c r="W241" s="4"/>
      <c r="X241" s="4"/>
      <c r="Y241" s="4"/>
      <c r="Z241" s="4"/>
      <c r="AA241" s="4"/>
      <c r="AB241" s="4"/>
    </row>
    <row r="242" spans="1:28" ht="12.75" hidden="1">
      <c r="A242" s="4"/>
      <c r="B242" s="4"/>
      <c r="C242" s="4"/>
      <c r="D242" s="15"/>
      <c r="E242" s="4"/>
      <c r="F242" s="4"/>
      <c r="G242" s="4"/>
      <c r="H242" s="4"/>
      <c r="I242" s="4"/>
      <c r="J242" s="4"/>
      <c r="K242" s="4"/>
      <c r="L242" s="4"/>
      <c r="M242" s="4"/>
      <c r="N242" s="4"/>
      <c r="O242" s="4"/>
      <c r="P242" s="4"/>
      <c r="Q242" s="4"/>
      <c r="R242" s="4"/>
      <c r="S242" s="4"/>
      <c r="T242" s="4"/>
      <c r="U242" s="4"/>
      <c r="V242" s="4"/>
      <c r="W242" s="4"/>
      <c r="X242" s="4"/>
      <c r="Y242" s="4"/>
      <c r="Z242" s="4"/>
      <c r="AA242" s="4"/>
      <c r="AB242" s="4"/>
    </row>
    <row r="243" spans="1:28" ht="12.75" hidden="1">
      <c r="A243" s="4"/>
      <c r="B243" s="4"/>
      <c r="C243" s="4"/>
      <c r="D243" s="15"/>
      <c r="E243" s="4"/>
      <c r="F243" s="4"/>
      <c r="G243" s="4"/>
      <c r="H243" s="4"/>
      <c r="I243" s="4"/>
      <c r="J243" s="4"/>
      <c r="K243" s="4"/>
      <c r="L243" s="4"/>
      <c r="M243" s="4"/>
      <c r="N243" s="4"/>
      <c r="O243" s="4"/>
      <c r="P243" s="4"/>
      <c r="Q243" s="4"/>
      <c r="R243" s="4"/>
      <c r="S243" s="4"/>
      <c r="T243" s="4"/>
      <c r="U243" s="4"/>
      <c r="V243" s="4"/>
      <c r="W243" s="4"/>
      <c r="X243" s="4"/>
      <c r="Y243" s="4"/>
      <c r="Z243" s="4"/>
      <c r="AA243" s="4"/>
      <c r="AB243" s="4"/>
    </row>
    <row r="244" spans="1:28" ht="12.75" hidden="1">
      <c r="A244" s="4"/>
      <c r="B244" s="4"/>
      <c r="C244" s="4"/>
      <c r="D244" s="15"/>
      <c r="E244" s="4"/>
      <c r="F244" s="4"/>
      <c r="G244" s="4"/>
      <c r="H244" s="4"/>
      <c r="I244" s="4"/>
      <c r="J244" s="4"/>
      <c r="K244" s="4"/>
      <c r="L244" s="4"/>
      <c r="M244" s="4"/>
      <c r="N244" s="4"/>
      <c r="O244" s="4"/>
      <c r="P244" s="4"/>
      <c r="Q244" s="4"/>
      <c r="R244" s="4"/>
      <c r="S244" s="4"/>
      <c r="T244" s="4"/>
      <c r="U244" s="4"/>
      <c r="V244" s="4"/>
      <c r="W244" s="4"/>
      <c r="X244" s="4"/>
      <c r="Y244" s="4"/>
      <c r="Z244" s="4"/>
      <c r="AA244" s="4"/>
      <c r="AB244" s="4"/>
    </row>
    <row r="245" spans="1:28" ht="12.75" hidden="1">
      <c r="A245" s="4"/>
      <c r="B245" s="4"/>
      <c r="C245" s="4"/>
      <c r="D245" s="15"/>
      <c r="E245" s="4"/>
      <c r="F245" s="4"/>
      <c r="G245" s="4"/>
      <c r="H245" s="4"/>
      <c r="I245" s="4"/>
      <c r="J245" s="4"/>
      <c r="K245" s="4"/>
      <c r="L245" s="4"/>
      <c r="M245" s="4"/>
      <c r="N245" s="4"/>
      <c r="O245" s="4"/>
      <c r="P245" s="4"/>
      <c r="Q245" s="4"/>
      <c r="R245" s="4"/>
      <c r="S245" s="4"/>
      <c r="T245" s="4"/>
      <c r="U245" s="4"/>
      <c r="V245" s="4"/>
      <c r="W245" s="4"/>
      <c r="X245" s="4"/>
      <c r="Y245" s="4"/>
      <c r="Z245" s="4"/>
      <c r="AA245" s="4"/>
      <c r="AB245" s="4"/>
    </row>
    <row r="246" spans="1:28" ht="12.75" hidden="1">
      <c r="A246" s="4"/>
      <c r="B246" s="4"/>
      <c r="C246" s="4"/>
      <c r="D246" s="15"/>
      <c r="E246" s="4"/>
      <c r="F246" s="4"/>
      <c r="G246" s="4"/>
      <c r="H246" s="4"/>
      <c r="I246" s="4"/>
      <c r="J246" s="4"/>
      <c r="K246" s="4"/>
      <c r="L246" s="4"/>
      <c r="M246" s="4"/>
      <c r="N246" s="4"/>
      <c r="O246" s="4"/>
      <c r="P246" s="4"/>
      <c r="Q246" s="4"/>
      <c r="R246" s="4"/>
      <c r="S246" s="4"/>
      <c r="T246" s="4"/>
      <c r="U246" s="4"/>
      <c r="V246" s="4"/>
      <c r="W246" s="4"/>
      <c r="X246" s="4"/>
      <c r="Y246" s="4"/>
      <c r="Z246" s="4"/>
      <c r="AA246" s="4"/>
      <c r="AB246" s="4"/>
    </row>
    <row r="247" spans="1:28" ht="12.75" hidden="1">
      <c r="A247" s="4"/>
      <c r="B247" s="4"/>
      <c r="C247" s="4"/>
      <c r="D247" s="15"/>
      <c r="E247" s="4"/>
      <c r="F247" s="4"/>
      <c r="G247" s="4"/>
      <c r="H247" s="4"/>
      <c r="I247" s="4"/>
      <c r="J247" s="4"/>
      <c r="K247" s="4"/>
      <c r="L247" s="4"/>
      <c r="M247" s="4"/>
      <c r="N247" s="4"/>
      <c r="O247" s="4"/>
      <c r="P247" s="4"/>
      <c r="Q247" s="4"/>
      <c r="R247" s="4"/>
      <c r="S247" s="4"/>
      <c r="T247" s="4"/>
      <c r="U247" s="4"/>
      <c r="V247" s="4"/>
      <c r="W247" s="4"/>
      <c r="X247" s="4"/>
      <c r="Y247" s="4"/>
      <c r="Z247" s="4"/>
      <c r="AA247" s="4"/>
      <c r="AB247" s="4"/>
    </row>
    <row r="248" spans="1:28" ht="12.75" hidden="1">
      <c r="A248" s="4"/>
      <c r="B248" s="4"/>
      <c r="C248" s="4"/>
      <c r="D248" s="15"/>
      <c r="E248" s="4"/>
      <c r="F248" s="4"/>
      <c r="G248" s="4"/>
      <c r="H248" s="4"/>
      <c r="I248" s="4"/>
      <c r="J248" s="4"/>
      <c r="K248" s="4"/>
      <c r="L248" s="4"/>
      <c r="M248" s="4"/>
      <c r="N248" s="4"/>
      <c r="O248" s="4"/>
      <c r="P248" s="4"/>
      <c r="Q248" s="4"/>
      <c r="R248" s="4"/>
      <c r="S248" s="4"/>
      <c r="T248" s="4"/>
      <c r="U248" s="4"/>
      <c r="V248" s="4"/>
      <c r="W248" s="4"/>
      <c r="X248" s="4"/>
      <c r="Y248" s="4"/>
      <c r="Z248" s="4"/>
      <c r="AA248" s="4"/>
      <c r="AB248" s="4"/>
    </row>
    <row r="249" spans="1:28" ht="12.75" hidden="1">
      <c r="A249" s="4"/>
      <c r="B249" s="4"/>
      <c r="C249" s="4"/>
      <c r="D249" s="15"/>
      <c r="E249" s="4"/>
      <c r="F249" s="4"/>
      <c r="G249" s="4"/>
      <c r="H249" s="4"/>
      <c r="I249" s="4"/>
      <c r="J249" s="4"/>
      <c r="K249" s="4"/>
      <c r="L249" s="4"/>
      <c r="M249" s="4"/>
      <c r="N249" s="4"/>
      <c r="O249" s="4"/>
      <c r="P249" s="4"/>
      <c r="Q249" s="4"/>
      <c r="R249" s="4"/>
      <c r="S249" s="4"/>
      <c r="T249" s="4"/>
      <c r="U249" s="4"/>
      <c r="V249" s="4"/>
      <c r="W249" s="4"/>
      <c r="X249" s="4"/>
      <c r="Y249" s="4"/>
      <c r="Z249" s="4"/>
      <c r="AA249" s="4"/>
      <c r="AB249" s="4"/>
    </row>
    <row r="250" spans="1:28" ht="12.75" hidden="1">
      <c r="A250" s="4"/>
      <c r="B250" s="4"/>
      <c r="C250" s="4"/>
      <c r="D250" s="15"/>
      <c r="E250" s="4"/>
      <c r="F250" s="4"/>
      <c r="G250" s="4"/>
      <c r="H250" s="4"/>
      <c r="I250" s="4"/>
      <c r="J250" s="4"/>
      <c r="K250" s="4"/>
      <c r="L250" s="4"/>
      <c r="M250" s="4"/>
      <c r="N250" s="4"/>
      <c r="O250" s="4"/>
      <c r="P250" s="4"/>
      <c r="Q250" s="4"/>
      <c r="R250" s="4"/>
      <c r="S250" s="4"/>
      <c r="T250" s="4"/>
      <c r="U250" s="4"/>
      <c r="V250" s="4"/>
      <c r="W250" s="4"/>
      <c r="X250" s="4"/>
      <c r="Y250" s="4"/>
      <c r="Z250" s="4"/>
      <c r="AA250" s="4"/>
      <c r="AB250" s="4"/>
    </row>
    <row r="251" spans="1:28" ht="12.75" hidden="1">
      <c r="A251" s="4"/>
      <c r="B251" s="4"/>
      <c r="C251" s="4"/>
      <c r="D251" s="15"/>
      <c r="E251" s="4"/>
      <c r="F251" s="4"/>
      <c r="G251" s="4"/>
      <c r="H251" s="4"/>
      <c r="I251" s="4"/>
      <c r="J251" s="4"/>
      <c r="K251" s="4"/>
      <c r="L251" s="4"/>
      <c r="M251" s="4"/>
      <c r="N251" s="4"/>
      <c r="O251" s="4"/>
      <c r="P251" s="4"/>
      <c r="Q251" s="4"/>
      <c r="R251" s="4"/>
      <c r="S251" s="4"/>
      <c r="T251" s="4"/>
      <c r="U251" s="4"/>
      <c r="V251" s="4"/>
      <c r="W251" s="4"/>
      <c r="X251" s="4"/>
      <c r="Y251" s="4"/>
      <c r="Z251" s="4"/>
      <c r="AA251" s="4"/>
      <c r="AB251" s="4"/>
    </row>
    <row r="252" spans="1:28" ht="12.75" hidden="1">
      <c r="A252" s="4"/>
      <c r="B252" s="4"/>
      <c r="C252" s="4"/>
      <c r="D252" s="15"/>
      <c r="E252" s="4"/>
      <c r="F252" s="4"/>
      <c r="G252" s="4"/>
      <c r="H252" s="4"/>
      <c r="I252" s="4"/>
      <c r="J252" s="4"/>
      <c r="K252" s="4"/>
      <c r="L252" s="4"/>
      <c r="M252" s="4"/>
      <c r="N252" s="4"/>
      <c r="O252" s="4"/>
      <c r="P252" s="4"/>
      <c r="Q252" s="4"/>
      <c r="R252" s="4"/>
      <c r="S252" s="4"/>
      <c r="T252" s="4"/>
      <c r="U252" s="4"/>
      <c r="V252" s="4"/>
      <c r="W252" s="4"/>
      <c r="X252" s="4"/>
      <c r="Y252" s="4"/>
      <c r="Z252" s="4"/>
      <c r="AA252" s="4"/>
      <c r="AB252" s="4"/>
    </row>
    <row r="253" spans="1:28" ht="12.75" hidden="1">
      <c r="A253" s="4"/>
      <c r="B253" s="4"/>
      <c r="C253" s="4"/>
      <c r="D253" s="15"/>
      <c r="E253" s="4"/>
      <c r="F253" s="4"/>
      <c r="G253" s="4"/>
      <c r="H253" s="4"/>
      <c r="I253" s="4"/>
      <c r="J253" s="4"/>
      <c r="K253" s="4"/>
      <c r="L253" s="4"/>
      <c r="M253" s="4"/>
      <c r="N253" s="4"/>
      <c r="O253" s="4"/>
      <c r="P253" s="4"/>
      <c r="Q253" s="4"/>
      <c r="R253" s="4"/>
      <c r="S253" s="4"/>
      <c r="T253" s="4"/>
      <c r="U253" s="4"/>
      <c r="V253" s="4"/>
      <c r="W253" s="4"/>
      <c r="X253" s="4"/>
      <c r="Y253" s="4"/>
      <c r="Z253" s="4"/>
      <c r="AA253" s="4"/>
      <c r="AB253" s="4"/>
    </row>
    <row r="254" spans="1:28" ht="12.75" hidden="1">
      <c r="A254" s="4"/>
      <c r="B254" s="4"/>
      <c r="C254" s="4"/>
      <c r="D254" s="15"/>
      <c r="E254" s="4"/>
      <c r="F254" s="4"/>
      <c r="G254" s="4"/>
      <c r="H254" s="4"/>
      <c r="I254" s="4"/>
      <c r="J254" s="4"/>
      <c r="K254" s="4"/>
      <c r="L254" s="4"/>
      <c r="M254" s="4"/>
      <c r="N254" s="4"/>
      <c r="O254" s="4"/>
      <c r="P254" s="4"/>
      <c r="Q254" s="4"/>
      <c r="R254" s="4"/>
      <c r="S254" s="4"/>
      <c r="T254" s="4"/>
      <c r="U254" s="4"/>
      <c r="V254" s="4"/>
      <c r="W254" s="4"/>
      <c r="X254" s="4"/>
      <c r="Y254" s="4"/>
      <c r="Z254" s="4"/>
      <c r="AA254" s="4"/>
      <c r="AB254" s="4"/>
    </row>
    <row r="255" spans="1:28" ht="12.75" hidden="1">
      <c r="A255" s="4"/>
      <c r="B255" s="4"/>
      <c r="C255" s="4"/>
      <c r="D255" s="15"/>
      <c r="E255" s="4"/>
      <c r="F255" s="4"/>
      <c r="G255" s="4"/>
      <c r="H255" s="4"/>
      <c r="I255" s="4"/>
      <c r="J255" s="4"/>
      <c r="K255" s="4"/>
      <c r="L255" s="4"/>
      <c r="M255" s="4"/>
      <c r="N255" s="4"/>
      <c r="O255" s="4"/>
      <c r="P255" s="4"/>
      <c r="Q255" s="4"/>
      <c r="R255" s="4"/>
      <c r="S255" s="4"/>
      <c r="T255" s="4"/>
      <c r="U255" s="4"/>
      <c r="V255" s="4"/>
      <c r="W255" s="4"/>
      <c r="X255" s="4"/>
      <c r="Y255" s="4"/>
      <c r="Z255" s="4"/>
      <c r="AA255" s="4"/>
      <c r="AB255" s="4"/>
    </row>
    <row r="256" spans="1:28" ht="12.75" hidden="1">
      <c r="A256" s="4"/>
      <c r="B256" s="4"/>
      <c r="C256" s="4"/>
      <c r="D256" s="15"/>
      <c r="E256" s="4"/>
      <c r="F256" s="4"/>
      <c r="G256" s="4"/>
      <c r="H256" s="4"/>
      <c r="I256" s="4"/>
      <c r="J256" s="4"/>
      <c r="K256" s="4"/>
      <c r="L256" s="4"/>
      <c r="M256" s="4"/>
      <c r="N256" s="4"/>
      <c r="O256" s="4"/>
      <c r="P256" s="4"/>
      <c r="Q256" s="4"/>
      <c r="R256" s="4"/>
      <c r="S256" s="4"/>
      <c r="T256" s="4"/>
      <c r="U256" s="4"/>
      <c r="V256" s="4"/>
      <c r="W256" s="4"/>
      <c r="X256" s="4"/>
      <c r="Y256" s="4"/>
      <c r="Z256" s="4"/>
      <c r="AA256" s="4"/>
      <c r="AB256" s="4"/>
    </row>
    <row r="257" spans="1:28" ht="12.75" hidden="1">
      <c r="A257" s="4"/>
      <c r="B257" s="4"/>
      <c r="C257" s="4"/>
      <c r="D257" s="15"/>
      <c r="E257" s="4"/>
      <c r="F257" s="4"/>
      <c r="G257" s="4"/>
      <c r="H257" s="4"/>
      <c r="I257" s="4"/>
      <c r="J257" s="4"/>
      <c r="K257" s="4"/>
      <c r="L257" s="4"/>
      <c r="M257" s="4"/>
      <c r="N257" s="4"/>
      <c r="O257" s="4"/>
      <c r="P257" s="4"/>
      <c r="Q257" s="4"/>
      <c r="R257" s="4"/>
      <c r="S257" s="4"/>
      <c r="T257" s="4"/>
      <c r="U257" s="4"/>
      <c r="V257" s="4"/>
      <c r="W257" s="4"/>
      <c r="X257" s="4"/>
      <c r="Y257" s="4"/>
      <c r="Z257" s="4"/>
      <c r="AA257" s="4"/>
      <c r="AB257" s="4"/>
    </row>
    <row r="258" spans="1:28" ht="12.75" hidden="1">
      <c r="A258" s="4"/>
      <c r="B258" s="4"/>
      <c r="C258" s="4"/>
      <c r="D258" s="15"/>
      <c r="E258" s="4"/>
      <c r="F258" s="4"/>
      <c r="G258" s="4"/>
      <c r="H258" s="4"/>
      <c r="I258" s="4"/>
      <c r="J258" s="4"/>
      <c r="K258" s="4"/>
      <c r="L258" s="4"/>
      <c r="M258" s="4"/>
      <c r="N258" s="4"/>
      <c r="O258" s="4"/>
      <c r="P258" s="4"/>
      <c r="Q258" s="4"/>
      <c r="R258" s="4"/>
      <c r="S258" s="4"/>
      <c r="T258" s="4"/>
      <c r="U258" s="4"/>
      <c r="V258" s="4"/>
      <c r="W258" s="4"/>
      <c r="X258" s="4"/>
      <c r="Y258" s="4"/>
      <c r="Z258" s="4"/>
      <c r="AA258" s="4"/>
      <c r="AB258" s="4"/>
    </row>
    <row r="259" spans="1:28" ht="12.75" hidden="1">
      <c r="A259" s="4"/>
      <c r="B259" s="4"/>
      <c r="C259" s="4"/>
      <c r="D259" s="15"/>
      <c r="E259" s="4"/>
      <c r="F259" s="4"/>
      <c r="G259" s="4"/>
      <c r="H259" s="4"/>
      <c r="I259" s="4"/>
      <c r="J259" s="4"/>
      <c r="K259" s="4"/>
      <c r="L259" s="4"/>
      <c r="M259" s="4"/>
      <c r="N259" s="4"/>
      <c r="O259" s="4"/>
      <c r="P259" s="4"/>
      <c r="Q259" s="4"/>
      <c r="R259" s="4"/>
      <c r="S259" s="4"/>
      <c r="T259" s="4"/>
      <c r="U259" s="4"/>
      <c r="V259" s="4"/>
      <c r="W259" s="4"/>
      <c r="X259" s="4"/>
      <c r="Y259" s="4"/>
      <c r="Z259" s="4"/>
      <c r="AA259" s="4"/>
      <c r="AB259" s="4"/>
    </row>
    <row r="260" spans="1:28" ht="12.75" hidden="1">
      <c r="A260" s="4"/>
      <c r="B260" s="4"/>
      <c r="C260" s="4"/>
      <c r="D260" s="15"/>
      <c r="E260" s="4"/>
      <c r="F260" s="4"/>
      <c r="G260" s="4"/>
      <c r="H260" s="4"/>
      <c r="I260" s="4"/>
      <c r="J260" s="4"/>
      <c r="K260" s="4"/>
      <c r="L260" s="4"/>
      <c r="M260" s="4"/>
      <c r="N260" s="4"/>
      <c r="O260" s="4"/>
      <c r="P260" s="4"/>
      <c r="Q260" s="4"/>
      <c r="R260" s="4"/>
      <c r="S260" s="4"/>
      <c r="T260" s="4"/>
      <c r="U260" s="4"/>
      <c r="V260" s="4"/>
      <c r="W260" s="4"/>
      <c r="X260" s="4"/>
      <c r="Y260" s="4"/>
      <c r="Z260" s="4"/>
      <c r="AA260" s="4"/>
      <c r="AB260" s="4"/>
    </row>
    <row r="261" spans="1:28" ht="12.75" hidden="1">
      <c r="A261" s="4"/>
      <c r="B261" s="4"/>
      <c r="C261" s="4"/>
      <c r="D261" s="15"/>
      <c r="E261" s="4"/>
      <c r="F261" s="4"/>
      <c r="G261" s="4"/>
      <c r="H261" s="4"/>
      <c r="I261" s="4"/>
      <c r="J261" s="4"/>
      <c r="K261" s="4"/>
      <c r="L261" s="4"/>
      <c r="M261" s="4"/>
      <c r="N261" s="4"/>
      <c r="O261" s="4"/>
      <c r="P261" s="4"/>
      <c r="Q261" s="4"/>
      <c r="R261" s="4"/>
      <c r="S261" s="4"/>
      <c r="T261" s="4"/>
      <c r="U261" s="4"/>
      <c r="V261" s="4"/>
      <c r="W261" s="4"/>
      <c r="X261" s="4"/>
      <c r="Y261" s="4"/>
      <c r="Z261" s="4"/>
      <c r="AA261" s="4"/>
      <c r="AB261" s="4"/>
    </row>
    <row r="262" spans="1:28" ht="12.75" hidden="1">
      <c r="A262" s="4"/>
      <c r="B262" s="4"/>
      <c r="C262" s="4"/>
      <c r="D262" s="15"/>
      <c r="E262" s="4"/>
      <c r="F262" s="4"/>
      <c r="G262" s="4"/>
      <c r="H262" s="4"/>
      <c r="I262" s="4"/>
      <c r="J262" s="4"/>
      <c r="K262" s="4"/>
      <c r="L262" s="4"/>
      <c r="M262" s="4"/>
      <c r="N262" s="4"/>
      <c r="O262" s="4"/>
      <c r="P262" s="4"/>
      <c r="Q262" s="4"/>
      <c r="R262" s="4"/>
      <c r="S262" s="4"/>
      <c r="T262" s="4"/>
      <c r="U262" s="4"/>
      <c r="V262" s="4"/>
      <c r="W262" s="4"/>
      <c r="X262" s="4"/>
      <c r="Y262" s="4"/>
      <c r="Z262" s="4"/>
      <c r="AA262" s="4"/>
      <c r="AB262" s="4"/>
    </row>
    <row r="263" spans="1:28" ht="12.75" hidden="1">
      <c r="A263" s="4"/>
      <c r="B263" s="4"/>
      <c r="C263" s="4"/>
      <c r="D263" s="15"/>
      <c r="E263" s="4"/>
      <c r="F263" s="4"/>
      <c r="G263" s="4"/>
      <c r="H263" s="4"/>
      <c r="I263" s="4"/>
      <c r="J263" s="4"/>
      <c r="K263" s="4"/>
      <c r="L263" s="4"/>
      <c r="M263" s="4"/>
      <c r="N263" s="4"/>
      <c r="O263" s="4"/>
      <c r="P263" s="4"/>
      <c r="Q263" s="4"/>
      <c r="R263" s="4"/>
      <c r="S263" s="4"/>
      <c r="T263" s="4"/>
      <c r="U263" s="4"/>
      <c r="V263" s="4"/>
      <c r="W263" s="4"/>
      <c r="X263" s="4"/>
      <c r="Y263" s="4"/>
      <c r="Z263" s="4"/>
      <c r="AA263" s="4"/>
      <c r="AB263" s="4"/>
    </row>
    <row r="264" spans="1:28" ht="12.75" hidden="1">
      <c r="A264" s="4"/>
      <c r="B264" s="4"/>
      <c r="C264" s="4"/>
      <c r="D264" s="15"/>
      <c r="E264" s="4"/>
      <c r="F264" s="4"/>
      <c r="G264" s="4"/>
      <c r="H264" s="4"/>
      <c r="I264" s="4"/>
      <c r="J264" s="4"/>
      <c r="K264" s="4"/>
      <c r="L264" s="4"/>
      <c r="M264" s="4"/>
      <c r="N264" s="4"/>
      <c r="O264" s="4"/>
      <c r="P264" s="4"/>
      <c r="Q264" s="4"/>
      <c r="R264" s="4"/>
      <c r="S264" s="4"/>
      <c r="T264" s="4"/>
      <c r="U264" s="4"/>
      <c r="V264" s="4"/>
      <c r="W264" s="4"/>
      <c r="X264" s="4"/>
      <c r="Y264" s="4"/>
      <c r="Z264" s="4"/>
      <c r="AA264" s="4"/>
      <c r="AB264" s="4"/>
    </row>
    <row r="265" spans="1:28" ht="12.75" hidden="1">
      <c r="A265" s="4"/>
      <c r="B265" s="4"/>
      <c r="C265" s="4"/>
      <c r="D265" s="15"/>
      <c r="E265" s="4"/>
      <c r="F265" s="4"/>
      <c r="G265" s="4"/>
      <c r="H265" s="4"/>
      <c r="I265" s="4"/>
      <c r="J265" s="4"/>
      <c r="K265" s="4"/>
      <c r="L265" s="4"/>
      <c r="M265" s="4"/>
      <c r="N265" s="4"/>
      <c r="O265" s="4"/>
      <c r="P265" s="4"/>
      <c r="Q265" s="4"/>
      <c r="R265" s="4"/>
      <c r="S265" s="4"/>
      <c r="T265" s="4"/>
      <c r="U265" s="4"/>
      <c r="V265" s="4"/>
      <c r="W265" s="4"/>
      <c r="X265" s="4"/>
      <c r="Y265" s="4"/>
      <c r="Z265" s="4"/>
      <c r="AA265" s="4"/>
      <c r="AB265" s="4"/>
    </row>
    <row r="266" spans="1:28" ht="12.75" hidden="1">
      <c r="A266" s="4"/>
      <c r="B266" s="4"/>
      <c r="C266" s="4"/>
      <c r="D266" s="15"/>
      <c r="E266" s="4"/>
      <c r="F266" s="4"/>
      <c r="G266" s="4"/>
      <c r="H266" s="4"/>
      <c r="I266" s="4"/>
      <c r="J266" s="4"/>
      <c r="K266" s="4"/>
      <c r="L266" s="4"/>
      <c r="M266" s="4"/>
      <c r="N266" s="4"/>
      <c r="O266" s="4"/>
      <c r="P266" s="4"/>
      <c r="Q266" s="4"/>
      <c r="R266" s="4"/>
      <c r="S266" s="4"/>
      <c r="T266" s="4"/>
      <c r="U266" s="4"/>
      <c r="V266" s="4"/>
      <c r="W266" s="4"/>
      <c r="X266" s="4"/>
      <c r="Y266" s="4"/>
      <c r="Z266" s="4"/>
      <c r="AA266" s="4"/>
      <c r="AB266" s="4"/>
    </row>
    <row r="267" spans="1:28" ht="12.75" hidden="1">
      <c r="A267" s="4"/>
      <c r="B267" s="4"/>
      <c r="C267" s="4"/>
      <c r="D267" s="15"/>
      <c r="E267" s="4"/>
      <c r="F267" s="4"/>
      <c r="G267" s="4"/>
      <c r="H267" s="4"/>
      <c r="I267" s="4"/>
      <c r="J267" s="4"/>
      <c r="K267" s="4"/>
      <c r="L267" s="4"/>
      <c r="M267" s="4"/>
      <c r="N267" s="4"/>
      <c r="O267" s="4"/>
      <c r="P267" s="4"/>
      <c r="Q267" s="4"/>
      <c r="R267" s="4"/>
      <c r="S267" s="4"/>
      <c r="T267" s="4"/>
      <c r="U267" s="4"/>
      <c r="V267" s="4"/>
      <c r="W267" s="4"/>
      <c r="X267" s="4"/>
      <c r="Y267" s="4"/>
      <c r="Z267" s="4"/>
      <c r="AA267" s="4"/>
      <c r="AB267" s="4"/>
    </row>
    <row r="268" spans="1:28" ht="12.75" hidden="1">
      <c r="A268" s="4"/>
      <c r="B268" s="4"/>
      <c r="C268" s="4"/>
      <c r="D268" s="15"/>
      <c r="E268" s="4"/>
      <c r="F268" s="4"/>
      <c r="G268" s="4"/>
      <c r="H268" s="4"/>
      <c r="I268" s="4"/>
      <c r="J268" s="4"/>
      <c r="K268" s="4"/>
      <c r="L268" s="4"/>
      <c r="M268" s="4"/>
      <c r="N268" s="4"/>
      <c r="O268" s="4"/>
      <c r="P268" s="4"/>
      <c r="Q268" s="4"/>
      <c r="R268" s="4"/>
      <c r="S268" s="4"/>
      <c r="T268" s="4"/>
      <c r="U268" s="4"/>
      <c r="V268" s="4"/>
      <c r="W268" s="4"/>
      <c r="X268" s="4"/>
      <c r="Y268" s="4"/>
      <c r="Z268" s="4"/>
      <c r="AA268" s="4"/>
      <c r="AB268" s="4"/>
    </row>
    <row r="269" spans="1:28" ht="12.75" hidden="1">
      <c r="A269" s="4"/>
      <c r="B269" s="4"/>
      <c r="C269" s="4"/>
      <c r="D269" s="15"/>
      <c r="E269" s="4"/>
      <c r="F269" s="4"/>
      <c r="G269" s="4"/>
      <c r="H269" s="4"/>
      <c r="I269" s="4"/>
      <c r="J269" s="4"/>
      <c r="K269" s="4"/>
      <c r="L269" s="4"/>
      <c r="M269" s="4"/>
      <c r="N269" s="4"/>
      <c r="O269" s="4"/>
      <c r="P269" s="4"/>
      <c r="Q269" s="4"/>
      <c r="R269" s="4"/>
      <c r="S269" s="4"/>
      <c r="T269" s="4"/>
      <c r="U269" s="4"/>
      <c r="V269" s="4"/>
      <c r="W269" s="4"/>
      <c r="X269" s="4"/>
      <c r="Y269" s="4"/>
      <c r="Z269" s="4"/>
      <c r="AA269" s="4"/>
      <c r="AB269" s="4"/>
    </row>
    <row r="270" spans="1:28" ht="12.75" hidden="1">
      <c r="A270" s="4"/>
      <c r="B270" s="4"/>
      <c r="C270" s="4"/>
      <c r="D270" s="15"/>
      <c r="E270" s="4"/>
      <c r="F270" s="4"/>
      <c r="G270" s="4"/>
      <c r="H270" s="4"/>
      <c r="I270" s="4"/>
      <c r="J270" s="4"/>
      <c r="K270" s="4"/>
      <c r="L270" s="4"/>
      <c r="M270" s="4"/>
      <c r="N270" s="4"/>
      <c r="O270" s="4"/>
      <c r="P270" s="4"/>
      <c r="Q270" s="4"/>
      <c r="R270" s="4"/>
      <c r="S270" s="4"/>
      <c r="T270" s="4"/>
      <c r="U270" s="4"/>
      <c r="V270" s="4"/>
      <c r="W270" s="4"/>
      <c r="X270" s="4"/>
      <c r="Y270" s="4"/>
      <c r="Z270" s="4"/>
      <c r="AA270" s="4"/>
      <c r="AB270" s="4"/>
    </row>
    <row r="271" spans="1:28" ht="12.75" hidden="1">
      <c r="A271" s="4"/>
      <c r="B271" s="4"/>
      <c r="C271" s="4"/>
      <c r="D271" s="15"/>
      <c r="E271" s="4"/>
      <c r="F271" s="4"/>
      <c r="G271" s="4"/>
      <c r="H271" s="4"/>
      <c r="I271" s="4"/>
      <c r="J271" s="4"/>
      <c r="K271" s="4"/>
      <c r="L271" s="4"/>
      <c r="M271" s="4"/>
      <c r="N271" s="4"/>
      <c r="O271" s="4"/>
      <c r="P271" s="4"/>
      <c r="Q271" s="4"/>
      <c r="R271" s="4"/>
      <c r="S271" s="4"/>
      <c r="T271" s="4"/>
      <c r="U271" s="4"/>
      <c r="V271" s="4"/>
      <c r="W271" s="4"/>
      <c r="X271" s="4"/>
      <c r="Y271" s="4"/>
      <c r="Z271" s="4"/>
      <c r="AA271" s="4"/>
      <c r="AB271" s="4"/>
    </row>
    <row r="272" spans="1:28" ht="12.75" hidden="1">
      <c r="A272" s="4"/>
      <c r="B272" s="4"/>
      <c r="C272" s="4"/>
      <c r="D272" s="15"/>
      <c r="E272" s="4"/>
      <c r="F272" s="4"/>
      <c r="G272" s="4"/>
      <c r="H272" s="4"/>
      <c r="I272" s="4"/>
      <c r="J272" s="4"/>
      <c r="K272" s="4"/>
      <c r="L272" s="4"/>
      <c r="M272" s="4"/>
      <c r="N272" s="4"/>
      <c r="O272" s="4"/>
      <c r="P272" s="4"/>
      <c r="Q272" s="4"/>
      <c r="R272" s="4"/>
      <c r="S272" s="4"/>
      <c r="T272" s="4"/>
      <c r="U272" s="4"/>
      <c r="V272" s="4"/>
      <c r="W272" s="4"/>
      <c r="X272" s="4"/>
      <c r="Y272" s="4"/>
      <c r="Z272" s="4"/>
      <c r="AA272" s="4"/>
      <c r="AB272" s="4"/>
    </row>
    <row r="273" spans="1:28" ht="12.75" hidden="1">
      <c r="A273" s="4"/>
      <c r="B273" s="4"/>
      <c r="C273" s="4"/>
      <c r="D273" s="15"/>
      <c r="E273" s="4"/>
      <c r="F273" s="4"/>
      <c r="G273" s="4"/>
      <c r="H273" s="4"/>
      <c r="I273" s="4"/>
      <c r="J273" s="4"/>
      <c r="K273" s="4"/>
      <c r="L273" s="4"/>
      <c r="M273" s="4"/>
      <c r="N273" s="4"/>
      <c r="O273" s="4"/>
      <c r="P273" s="4"/>
      <c r="Q273" s="4"/>
      <c r="R273" s="4"/>
      <c r="S273" s="4"/>
      <c r="T273" s="4"/>
      <c r="U273" s="4"/>
      <c r="V273" s="4"/>
      <c r="W273" s="4"/>
      <c r="X273" s="4"/>
      <c r="Y273" s="4"/>
      <c r="Z273" s="4"/>
      <c r="AA273" s="4"/>
      <c r="AB273" s="4"/>
    </row>
    <row r="274" spans="1:28" ht="12.75" hidden="1">
      <c r="A274" s="4"/>
      <c r="B274" s="4"/>
      <c r="C274" s="4"/>
      <c r="D274" s="15"/>
      <c r="E274" s="4"/>
      <c r="F274" s="4"/>
      <c r="G274" s="4"/>
      <c r="H274" s="4"/>
      <c r="I274" s="4"/>
      <c r="J274" s="4"/>
      <c r="K274" s="4"/>
      <c r="L274" s="4"/>
      <c r="M274" s="4"/>
      <c r="N274" s="4"/>
      <c r="O274" s="4"/>
      <c r="P274" s="4"/>
      <c r="Q274" s="4"/>
      <c r="R274" s="4"/>
      <c r="S274" s="4"/>
      <c r="T274" s="4"/>
      <c r="U274" s="4"/>
      <c r="V274" s="4"/>
      <c r="W274" s="4"/>
      <c r="X274" s="4"/>
      <c r="Y274" s="4"/>
      <c r="Z274" s="4"/>
      <c r="AA274" s="4"/>
      <c r="AB274" s="4"/>
    </row>
    <row r="275" spans="1:28" ht="12.75" hidden="1">
      <c r="A275" s="4"/>
      <c r="B275" s="4"/>
      <c r="C275" s="4"/>
      <c r="D275" s="15"/>
      <c r="E275" s="4"/>
      <c r="F275" s="4"/>
      <c r="G275" s="4"/>
      <c r="H275" s="4"/>
      <c r="I275" s="4"/>
      <c r="J275" s="4"/>
      <c r="K275" s="4"/>
      <c r="L275" s="4"/>
      <c r="M275" s="4"/>
      <c r="N275" s="4"/>
      <c r="O275" s="4"/>
      <c r="P275" s="4"/>
      <c r="Q275" s="4"/>
      <c r="R275" s="4"/>
      <c r="S275" s="4"/>
      <c r="T275" s="4"/>
      <c r="U275" s="4"/>
      <c r="V275" s="4"/>
      <c r="W275" s="4"/>
      <c r="X275" s="4"/>
      <c r="Y275" s="4"/>
      <c r="Z275" s="4"/>
      <c r="AA275" s="4"/>
      <c r="AB275" s="4"/>
    </row>
    <row r="276" spans="1:28" ht="12.75" hidden="1">
      <c r="A276" s="4"/>
      <c r="B276" s="4"/>
      <c r="C276" s="4"/>
      <c r="D276" s="15"/>
      <c r="E276" s="4"/>
      <c r="F276" s="4"/>
      <c r="G276" s="4"/>
      <c r="H276" s="4"/>
      <c r="I276" s="4"/>
      <c r="J276" s="4"/>
      <c r="K276" s="4"/>
      <c r="L276" s="4"/>
      <c r="M276" s="4"/>
      <c r="N276" s="4"/>
      <c r="O276" s="4"/>
      <c r="P276" s="4"/>
      <c r="Q276" s="4"/>
      <c r="R276" s="4"/>
      <c r="S276" s="4"/>
      <c r="T276" s="4"/>
      <c r="U276" s="4"/>
      <c r="V276" s="4"/>
      <c r="W276" s="4"/>
      <c r="X276" s="4"/>
      <c r="Y276" s="4"/>
      <c r="Z276" s="4"/>
      <c r="AA276" s="4"/>
      <c r="AB276" s="4"/>
    </row>
    <row r="277" spans="1:28" ht="12.75" hidden="1">
      <c r="A277" s="4"/>
      <c r="B277" s="4"/>
      <c r="C277" s="4"/>
      <c r="D277" s="15"/>
      <c r="E277" s="4"/>
      <c r="F277" s="4"/>
      <c r="G277" s="4"/>
      <c r="H277" s="4"/>
      <c r="I277" s="4"/>
      <c r="J277" s="4"/>
      <c r="K277" s="4"/>
      <c r="L277" s="4"/>
      <c r="M277" s="4"/>
      <c r="N277" s="4"/>
      <c r="O277" s="4"/>
      <c r="P277" s="4"/>
      <c r="Q277" s="4"/>
      <c r="R277" s="4"/>
      <c r="S277" s="4"/>
      <c r="T277" s="4"/>
      <c r="U277" s="4"/>
      <c r="V277" s="4"/>
      <c r="W277" s="4"/>
      <c r="X277" s="4"/>
      <c r="Y277" s="4"/>
      <c r="Z277" s="4"/>
      <c r="AA277" s="4"/>
      <c r="AB277" s="4"/>
    </row>
    <row r="278" spans="1:28" ht="12.75" hidden="1">
      <c r="A278" s="4"/>
      <c r="B278" s="4"/>
      <c r="C278" s="4"/>
      <c r="D278" s="15"/>
      <c r="E278" s="4"/>
      <c r="F278" s="4"/>
      <c r="G278" s="4"/>
      <c r="H278" s="4"/>
      <c r="I278" s="4"/>
      <c r="J278" s="4"/>
      <c r="K278" s="4"/>
      <c r="L278" s="4"/>
      <c r="M278" s="4"/>
      <c r="N278" s="4"/>
      <c r="O278" s="4"/>
      <c r="P278" s="4"/>
      <c r="Q278" s="4"/>
      <c r="R278" s="4"/>
      <c r="S278" s="4"/>
      <c r="T278" s="4"/>
      <c r="U278" s="4"/>
      <c r="V278" s="4"/>
      <c r="W278" s="4"/>
      <c r="X278" s="4"/>
      <c r="Y278" s="4"/>
      <c r="Z278" s="4"/>
      <c r="AA278" s="4"/>
      <c r="AB278" s="4"/>
    </row>
    <row r="279" spans="1:28" ht="12.75" hidden="1">
      <c r="A279" s="4"/>
      <c r="B279" s="4"/>
      <c r="C279" s="4"/>
      <c r="D279" s="15"/>
      <c r="E279" s="4"/>
      <c r="F279" s="4"/>
      <c r="G279" s="4"/>
      <c r="H279" s="4"/>
      <c r="I279" s="4"/>
      <c r="J279" s="4"/>
      <c r="K279" s="4"/>
      <c r="L279" s="4"/>
      <c r="M279" s="4"/>
      <c r="N279" s="4"/>
      <c r="O279" s="4"/>
      <c r="P279" s="4"/>
      <c r="Q279" s="4"/>
      <c r="R279" s="4"/>
      <c r="S279" s="4"/>
      <c r="T279" s="4"/>
      <c r="U279" s="4"/>
      <c r="V279" s="4"/>
      <c r="W279" s="4"/>
      <c r="X279" s="4"/>
      <c r="Y279" s="4"/>
      <c r="Z279" s="4"/>
      <c r="AA279" s="4"/>
      <c r="AB279" s="4"/>
    </row>
    <row r="280" spans="1:28" ht="12.75" hidden="1">
      <c r="A280" s="4"/>
      <c r="B280" s="4"/>
      <c r="C280" s="4"/>
      <c r="D280" s="15"/>
      <c r="E280" s="4"/>
      <c r="F280" s="4"/>
      <c r="G280" s="4"/>
      <c r="H280" s="4"/>
      <c r="I280" s="4"/>
      <c r="J280" s="4"/>
      <c r="K280" s="4"/>
      <c r="L280" s="4"/>
      <c r="M280" s="4"/>
      <c r="N280" s="4"/>
      <c r="O280" s="4"/>
      <c r="P280" s="4"/>
      <c r="Q280" s="4"/>
      <c r="R280" s="4"/>
      <c r="S280" s="4"/>
      <c r="T280" s="4"/>
      <c r="U280" s="4"/>
      <c r="V280" s="4"/>
      <c r="W280" s="4"/>
      <c r="X280" s="4"/>
      <c r="Y280" s="4"/>
      <c r="Z280" s="4"/>
      <c r="AA280" s="4"/>
      <c r="AB280" s="4"/>
    </row>
    <row r="281" spans="1:28" ht="12.75" hidden="1">
      <c r="A281" s="4"/>
      <c r="B281" s="4"/>
      <c r="C281" s="4"/>
      <c r="D281" s="15"/>
      <c r="E281" s="4"/>
      <c r="F281" s="4"/>
      <c r="G281" s="4"/>
      <c r="H281" s="4"/>
      <c r="I281" s="4"/>
      <c r="J281" s="4"/>
      <c r="K281" s="4"/>
      <c r="L281" s="4"/>
      <c r="M281" s="4"/>
      <c r="N281" s="4"/>
      <c r="O281" s="4"/>
      <c r="P281" s="4"/>
      <c r="Q281" s="4"/>
      <c r="R281" s="4"/>
      <c r="S281" s="4"/>
      <c r="T281" s="4"/>
      <c r="U281" s="4"/>
      <c r="V281" s="4"/>
      <c r="W281" s="4"/>
      <c r="X281" s="4"/>
      <c r="Y281" s="4"/>
      <c r="Z281" s="4"/>
      <c r="AA281" s="4"/>
      <c r="AB281" s="4"/>
    </row>
    <row r="282" spans="1:28" ht="12.75" hidden="1">
      <c r="A282" s="4"/>
      <c r="B282" s="4"/>
      <c r="C282" s="4"/>
      <c r="D282" s="15"/>
      <c r="E282" s="4"/>
      <c r="F282" s="4"/>
      <c r="G282" s="4"/>
      <c r="H282" s="4"/>
      <c r="I282" s="4"/>
      <c r="J282" s="4"/>
      <c r="K282" s="4"/>
      <c r="L282" s="4"/>
      <c r="M282" s="4"/>
      <c r="N282" s="4"/>
      <c r="O282" s="4"/>
      <c r="P282" s="4"/>
      <c r="Q282" s="4"/>
      <c r="R282" s="4"/>
      <c r="S282" s="4"/>
      <c r="T282" s="4"/>
      <c r="U282" s="4"/>
      <c r="V282" s="4"/>
      <c r="W282" s="4"/>
      <c r="X282" s="4"/>
      <c r="Y282" s="4"/>
      <c r="Z282" s="4"/>
      <c r="AA282" s="4"/>
      <c r="AB282" s="4"/>
    </row>
    <row r="283" spans="1:28" ht="12.75" hidden="1">
      <c r="A283" s="4"/>
      <c r="B283" s="4"/>
      <c r="C283" s="4"/>
      <c r="D283" s="15"/>
      <c r="E283" s="4"/>
      <c r="F283" s="4"/>
      <c r="G283" s="4"/>
      <c r="H283" s="4"/>
      <c r="I283" s="4"/>
      <c r="J283" s="4"/>
      <c r="K283" s="4"/>
      <c r="L283" s="4"/>
      <c r="M283" s="4"/>
      <c r="N283" s="4"/>
      <c r="O283" s="4"/>
      <c r="P283" s="4"/>
      <c r="Q283" s="4"/>
      <c r="R283" s="4"/>
      <c r="S283" s="4"/>
      <c r="T283" s="4"/>
      <c r="U283" s="4"/>
      <c r="V283" s="4"/>
      <c r="W283" s="4"/>
      <c r="X283" s="4"/>
      <c r="Y283" s="4"/>
      <c r="Z283" s="4"/>
      <c r="AA283" s="4"/>
      <c r="AB283" s="4"/>
    </row>
    <row r="284" spans="1:28" ht="12.75" hidden="1">
      <c r="A284" s="4"/>
      <c r="B284" s="4"/>
      <c r="C284" s="4"/>
      <c r="D284" s="15"/>
      <c r="E284" s="4"/>
      <c r="F284" s="4"/>
      <c r="G284" s="4"/>
      <c r="H284" s="4"/>
      <c r="I284" s="4"/>
      <c r="J284" s="4"/>
      <c r="K284" s="4"/>
      <c r="L284" s="4"/>
      <c r="M284" s="4"/>
      <c r="N284" s="4"/>
      <c r="O284" s="4"/>
      <c r="P284" s="4"/>
      <c r="Q284" s="4"/>
      <c r="R284" s="4"/>
      <c r="S284" s="4"/>
      <c r="T284" s="4"/>
      <c r="U284" s="4"/>
      <c r="V284" s="4"/>
      <c r="W284" s="4"/>
      <c r="X284" s="4"/>
      <c r="Y284" s="4"/>
      <c r="Z284" s="4"/>
      <c r="AA284" s="4"/>
      <c r="AB284" s="4"/>
    </row>
    <row r="285" spans="1:28" ht="12.75" hidden="1">
      <c r="A285" s="4"/>
      <c r="B285" s="4"/>
      <c r="C285" s="4"/>
      <c r="D285" s="15"/>
      <c r="E285" s="4"/>
      <c r="F285" s="4"/>
      <c r="G285" s="4"/>
      <c r="H285" s="4"/>
      <c r="I285" s="4"/>
      <c r="J285" s="4"/>
      <c r="K285" s="4"/>
      <c r="L285" s="4"/>
      <c r="M285" s="4"/>
      <c r="N285" s="4"/>
      <c r="O285" s="4"/>
      <c r="P285" s="4"/>
      <c r="Q285" s="4"/>
      <c r="R285" s="4"/>
      <c r="S285" s="4"/>
      <c r="T285" s="4"/>
      <c r="U285" s="4"/>
      <c r="V285" s="4"/>
      <c r="W285" s="4"/>
      <c r="X285" s="4"/>
      <c r="Y285" s="4"/>
      <c r="Z285" s="4"/>
      <c r="AA285" s="4"/>
      <c r="AB285" s="4"/>
    </row>
    <row r="286" spans="1:28" ht="12.75" hidden="1">
      <c r="A286" s="4"/>
      <c r="B286" s="4"/>
      <c r="C286" s="4"/>
      <c r="D286" s="15"/>
      <c r="E286" s="4"/>
      <c r="F286" s="4"/>
      <c r="G286" s="4"/>
      <c r="H286" s="4"/>
      <c r="I286" s="4"/>
      <c r="J286" s="4"/>
      <c r="K286" s="4"/>
      <c r="L286" s="4"/>
      <c r="M286" s="4"/>
      <c r="N286" s="4"/>
      <c r="O286" s="4"/>
      <c r="P286" s="4"/>
      <c r="Q286" s="4"/>
      <c r="R286" s="4"/>
      <c r="S286" s="4"/>
      <c r="T286" s="4"/>
      <c r="U286" s="4"/>
      <c r="V286" s="4"/>
      <c r="W286" s="4"/>
      <c r="X286" s="4"/>
      <c r="Y286" s="4"/>
      <c r="Z286" s="4"/>
      <c r="AA286" s="4"/>
      <c r="AB286" s="4"/>
    </row>
    <row r="287" spans="1:28" ht="12.75" hidden="1">
      <c r="A287" s="4"/>
      <c r="B287" s="4"/>
      <c r="C287" s="4"/>
      <c r="D287" s="15"/>
      <c r="E287" s="4"/>
      <c r="F287" s="4"/>
      <c r="G287" s="4"/>
      <c r="H287" s="4"/>
      <c r="I287" s="4"/>
      <c r="J287" s="4"/>
      <c r="K287" s="4"/>
      <c r="L287" s="4"/>
      <c r="M287" s="4"/>
      <c r="N287" s="4"/>
      <c r="O287" s="4"/>
      <c r="P287" s="4"/>
      <c r="Q287" s="4"/>
      <c r="R287" s="4"/>
      <c r="S287" s="4"/>
      <c r="T287" s="4"/>
      <c r="U287" s="4"/>
      <c r="V287" s="4"/>
      <c r="W287" s="4"/>
      <c r="X287" s="4"/>
      <c r="Y287" s="4"/>
      <c r="Z287" s="4"/>
      <c r="AA287" s="4"/>
      <c r="AB287" s="4"/>
    </row>
    <row r="288" spans="1:28" ht="12.75" hidden="1">
      <c r="A288" s="4"/>
      <c r="B288" s="4"/>
      <c r="C288" s="4"/>
      <c r="D288" s="15"/>
      <c r="E288" s="4"/>
      <c r="F288" s="4"/>
      <c r="G288" s="4"/>
      <c r="H288" s="4"/>
      <c r="I288" s="4"/>
      <c r="J288" s="4"/>
      <c r="K288" s="4"/>
      <c r="L288" s="4"/>
      <c r="M288" s="4"/>
      <c r="N288" s="4"/>
      <c r="O288" s="4"/>
      <c r="P288" s="4"/>
      <c r="Q288" s="4"/>
      <c r="R288" s="4"/>
      <c r="S288" s="4"/>
      <c r="T288" s="4"/>
      <c r="U288" s="4"/>
      <c r="V288" s="4"/>
      <c r="W288" s="4"/>
      <c r="X288" s="4"/>
      <c r="Y288" s="4"/>
      <c r="Z288" s="4"/>
      <c r="AA288" s="4"/>
      <c r="AB288" s="4"/>
    </row>
    <row r="289" spans="1:28" ht="12.75" hidden="1">
      <c r="A289" s="4"/>
      <c r="B289" s="4"/>
      <c r="C289" s="4"/>
      <c r="D289" s="15"/>
      <c r="E289" s="4"/>
      <c r="F289" s="4"/>
      <c r="G289" s="4"/>
      <c r="H289" s="4"/>
      <c r="I289" s="4"/>
      <c r="J289" s="4"/>
      <c r="K289" s="4"/>
      <c r="L289" s="4"/>
      <c r="M289" s="4"/>
      <c r="N289" s="4"/>
      <c r="O289" s="4"/>
      <c r="P289" s="4"/>
      <c r="Q289" s="4"/>
      <c r="R289" s="4"/>
      <c r="S289" s="4"/>
      <c r="T289" s="4"/>
      <c r="U289" s="4"/>
      <c r="V289" s="4"/>
      <c r="W289" s="4"/>
      <c r="X289" s="4"/>
      <c r="Y289" s="4"/>
      <c r="Z289" s="4"/>
      <c r="AA289" s="4"/>
      <c r="AB289" s="4"/>
    </row>
    <row r="290" spans="1:28" ht="12.75" hidden="1">
      <c r="A290" s="4"/>
      <c r="B290" s="4"/>
      <c r="C290" s="4"/>
      <c r="D290" s="15"/>
      <c r="E290" s="4"/>
      <c r="F290" s="4"/>
      <c r="G290" s="4"/>
      <c r="H290" s="4"/>
      <c r="I290" s="4"/>
      <c r="J290" s="4"/>
      <c r="K290" s="4"/>
      <c r="L290" s="4"/>
      <c r="M290" s="4"/>
      <c r="N290" s="4"/>
      <c r="O290" s="4"/>
      <c r="P290" s="4"/>
      <c r="Q290" s="4"/>
      <c r="R290" s="4"/>
      <c r="S290" s="4"/>
      <c r="T290" s="4"/>
      <c r="U290" s="4"/>
      <c r="V290" s="4"/>
      <c r="W290" s="4"/>
      <c r="X290" s="4"/>
      <c r="Y290" s="4"/>
      <c r="Z290" s="4"/>
      <c r="AA290" s="4"/>
      <c r="AB290" s="4"/>
    </row>
    <row r="291" spans="1:28" ht="12.75" hidden="1">
      <c r="A291" s="4"/>
      <c r="B291" s="4"/>
      <c r="C291" s="4"/>
      <c r="D291" s="15"/>
      <c r="E291" s="4"/>
      <c r="F291" s="4"/>
      <c r="G291" s="4"/>
      <c r="H291" s="4"/>
      <c r="I291" s="4"/>
      <c r="J291" s="4"/>
      <c r="K291" s="4"/>
      <c r="L291" s="4"/>
      <c r="M291" s="4"/>
      <c r="N291" s="4"/>
      <c r="O291" s="4"/>
      <c r="P291" s="4"/>
      <c r="Q291" s="4"/>
      <c r="R291" s="4"/>
      <c r="S291" s="4"/>
      <c r="T291" s="4"/>
      <c r="U291" s="4"/>
      <c r="V291" s="4"/>
      <c r="W291" s="4"/>
      <c r="X291" s="4"/>
      <c r="Y291" s="4"/>
      <c r="Z291" s="4"/>
      <c r="AA291" s="4"/>
      <c r="AB291" s="4"/>
    </row>
    <row r="292" spans="1:28" ht="12.75" hidden="1">
      <c r="A292" s="4"/>
      <c r="B292" s="4"/>
      <c r="C292" s="4"/>
      <c r="D292" s="15"/>
      <c r="E292" s="4"/>
      <c r="F292" s="4"/>
      <c r="G292" s="4"/>
      <c r="H292" s="4"/>
      <c r="I292" s="4"/>
      <c r="J292" s="4"/>
      <c r="K292" s="4"/>
      <c r="L292" s="4"/>
      <c r="M292" s="4"/>
      <c r="N292" s="4"/>
      <c r="O292" s="4"/>
      <c r="P292" s="4"/>
      <c r="Q292" s="4"/>
      <c r="R292" s="4"/>
      <c r="S292" s="4"/>
      <c r="T292" s="4"/>
      <c r="U292" s="4"/>
      <c r="V292" s="4"/>
      <c r="W292" s="4"/>
      <c r="X292" s="4"/>
      <c r="Y292" s="4"/>
      <c r="Z292" s="4"/>
      <c r="AA292" s="4"/>
      <c r="AB292" s="4"/>
    </row>
    <row r="293" spans="1:28" ht="12.75" hidden="1">
      <c r="A293" s="4"/>
      <c r="B293" s="4"/>
      <c r="C293" s="4"/>
      <c r="D293" s="15"/>
      <c r="E293" s="4"/>
      <c r="F293" s="4"/>
      <c r="G293" s="4"/>
      <c r="H293" s="4"/>
      <c r="I293" s="4"/>
      <c r="J293" s="4"/>
      <c r="K293" s="4"/>
      <c r="L293" s="4"/>
      <c r="M293" s="4"/>
      <c r="N293" s="4"/>
      <c r="O293" s="4"/>
      <c r="P293" s="4"/>
      <c r="Q293" s="4"/>
      <c r="R293" s="4"/>
      <c r="S293" s="4"/>
      <c r="T293" s="4"/>
      <c r="U293" s="4"/>
      <c r="V293" s="4"/>
      <c r="W293" s="4"/>
      <c r="X293" s="4"/>
      <c r="Y293" s="4"/>
      <c r="Z293" s="4"/>
      <c r="AA293" s="4"/>
      <c r="AB293" s="4"/>
    </row>
    <row r="294" spans="1:28" ht="12.75" hidden="1">
      <c r="A294" s="4"/>
      <c r="B294" s="4"/>
      <c r="C294" s="4"/>
      <c r="D294" s="15"/>
      <c r="E294" s="4"/>
      <c r="F294" s="4"/>
      <c r="G294" s="4"/>
      <c r="H294" s="4"/>
      <c r="I294" s="4"/>
      <c r="J294" s="4"/>
      <c r="K294" s="4"/>
      <c r="L294" s="4"/>
      <c r="M294" s="4"/>
      <c r="N294" s="4"/>
      <c r="O294" s="4"/>
      <c r="P294" s="4"/>
      <c r="Q294" s="4"/>
      <c r="R294" s="4"/>
      <c r="S294" s="4"/>
      <c r="T294" s="4"/>
      <c r="U294" s="4"/>
      <c r="V294" s="4"/>
      <c r="W294" s="4"/>
      <c r="X294" s="4"/>
      <c r="Y294" s="4"/>
      <c r="Z294" s="4"/>
      <c r="AA294" s="4"/>
      <c r="AB294" s="4"/>
    </row>
    <row r="295" spans="1:28" ht="12.75" hidden="1">
      <c r="A295" s="4"/>
      <c r="B295" s="4"/>
      <c r="C295" s="4"/>
      <c r="D295" s="15"/>
      <c r="E295" s="4"/>
      <c r="F295" s="4"/>
      <c r="G295" s="4"/>
      <c r="H295" s="4"/>
      <c r="I295" s="4"/>
      <c r="J295" s="4"/>
      <c r="K295" s="4"/>
      <c r="L295" s="4"/>
      <c r="M295" s="4"/>
      <c r="N295" s="4"/>
      <c r="O295" s="4"/>
      <c r="P295" s="4"/>
      <c r="Q295" s="4"/>
      <c r="R295" s="4"/>
      <c r="S295" s="4"/>
      <c r="T295" s="4"/>
      <c r="U295" s="4"/>
      <c r="V295" s="4"/>
      <c r="W295" s="4"/>
      <c r="X295" s="4"/>
      <c r="Y295" s="4"/>
      <c r="Z295" s="4"/>
      <c r="AA295" s="4"/>
      <c r="AB295" s="4"/>
    </row>
    <row r="296" spans="1:28" ht="12.75" hidden="1">
      <c r="A296" s="4"/>
      <c r="B296" s="4"/>
      <c r="C296" s="4"/>
      <c r="D296" s="15"/>
      <c r="E296" s="4"/>
      <c r="F296" s="4"/>
      <c r="G296" s="4"/>
      <c r="H296" s="4"/>
      <c r="I296" s="4"/>
      <c r="J296" s="4"/>
      <c r="K296" s="4"/>
      <c r="L296" s="4"/>
      <c r="M296" s="4"/>
      <c r="N296" s="4"/>
      <c r="O296" s="4"/>
      <c r="P296" s="4"/>
      <c r="Q296" s="4"/>
      <c r="R296" s="4"/>
      <c r="S296" s="4"/>
      <c r="T296" s="4"/>
      <c r="U296" s="4"/>
      <c r="V296" s="4"/>
      <c r="W296" s="4"/>
      <c r="X296" s="4"/>
      <c r="Y296" s="4"/>
      <c r="Z296" s="4"/>
      <c r="AA296" s="4"/>
      <c r="AB296" s="4"/>
    </row>
    <row r="297" spans="1:28" ht="12.75" hidden="1">
      <c r="A297" s="4"/>
      <c r="B297" s="4"/>
      <c r="C297" s="4"/>
      <c r="D297" s="15"/>
      <c r="E297" s="4"/>
      <c r="F297" s="4"/>
      <c r="G297" s="4"/>
      <c r="H297" s="4"/>
      <c r="I297" s="4"/>
      <c r="J297" s="4"/>
      <c r="K297" s="4"/>
      <c r="L297" s="4"/>
      <c r="M297" s="4"/>
      <c r="N297" s="4"/>
      <c r="O297" s="4"/>
      <c r="P297" s="4"/>
      <c r="Q297" s="4"/>
      <c r="R297" s="4"/>
      <c r="S297" s="4"/>
      <c r="T297" s="4"/>
      <c r="U297" s="4"/>
      <c r="V297" s="4"/>
      <c r="W297" s="4"/>
      <c r="X297" s="4"/>
      <c r="Y297" s="4"/>
      <c r="Z297" s="4"/>
      <c r="AA297" s="4"/>
      <c r="AB297" s="4"/>
    </row>
    <row r="298" spans="1:28" ht="12.75" hidden="1">
      <c r="A298" s="4"/>
      <c r="B298" s="4"/>
      <c r="C298" s="4"/>
      <c r="D298" s="15"/>
      <c r="E298" s="4"/>
      <c r="F298" s="4"/>
      <c r="G298" s="4"/>
      <c r="H298" s="4"/>
      <c r="I298" s="4"/>
      <c r="J298" s="4"/>
      <c r="K298" s="4"/>
      <c r="L298" s="4"/>
      <c r="M298" s="4"/>
      <c r="N298" s="4"/>
      <c r="O298" s="4"/>
      <c r="P298" s="4"/>
      <c r="Q298" s="4"/>
      <c r="R298" s="4"/>
      <c r="S298" s="4"/>
      <c r="T298" s="4"/>
      <c r="U298" s="4"/>
      <c r="V298" s="4"/>
      <c r="W298" s="4"/>
      <c r="X298" s="4"/>
      <c r="Y298" s="4"/>
      <c r="Z298" s="4"/>
      <c r="AA298" s="4"/>
      <c r="AB298" s="4"/>
    </row>
    <row r="299" spans="1:28" ht="12.75" hidden="1">
      <c r="A299" s="4"/>
      <c r="B299" s="4"/>
      <c r="C299" s="4"/>
      <c r="D299" s="15"/>
      <c r="E299" s="4"/>
      <c r="F299" s="4"/>
      <c r="G299" s="4"/>
      <c r="H299" s="4"/>
      <c r="I299" s="4"/>
      <c r="J299" s="4"/>
      <c r="K299" s="4"/>
      <c r="L299" s="4"/>
      <c r="M299" s="4"/>
      <c r="N299" s="4"/>
      <c r="O299" s="4"/>
      <c r="P299" s="4"/>
      <c r="Q299" s="4"/>
      <c r="R299" s="4"/>
      <c r="S299" s="4"/>
      <c r="T299" s="4"/>
      <c r="U299" s="4"/>
      <c r="V299" s="4"/>
      <c r="W299" s="4"/>
      <c r="X299" s="4"/>
      <c r="Y299" s="4"/>
      <c r="Z299" s="4"/>
      <c r="AA299" s="4"/>
      <c r="AB299" s="4"/>
    </row>
    <row r="300" spans="1:28" ht="12.75" hidden="1">
      <c r="A300" s="4"/>
      <c r="B300" s="4"/>
      <c r="C300" s="4"/>
      <c r="D300" s="15"/>
      <c r="E300" s="4"/>
      <c r="F300" s="4"/>
      <c r="G300" s="4"/>
      <c r="H300" s="4"/>
      <c r="I300" s="4"/>
      <c r="J300" s="4"/>
      <c r="K300" s="4"/>
      <c r="L300" s="4"/>
      <c r="M300" s="4"/>
      <c r="N300" s="4"/>
      <c r="O300" s="4"/>
      <c r="P300" s="4"/>
      <c r="Q300" s="4"/>
      <c r="R300" s="4"/>
      <c r="S300" s="4"/>
      <c r="T300" s="4"/>
      <c r="U300" s="4"/>
      <c r="V300" s="4"/>
      <c r="W300" s="4"/>
      <c r="X300" s="4"/>
      <c r="Y300" s="4"/>
      <c r="Z300" s="4"/>
      <c r="AA300" s="4"/>
      <c r="AB300" s="4"/>
    </row>
    <row r="301" spans="1:28" ht="12.75" hidden="1">
      <c r="A301" s="4"/>
      <c r="B301" s="4"/>
      <c r="C301" s="4"/>
      <c r="D301" s="15"/>
      <c r="E301" s="4"/>
      <c r="F301" s="4"/>
      <c r="G301" s="4"/>
      <c r="H301" s="4"/>
      <c r="I301" s="4"/>
      <c r="J301" s="4"/>
      <c r="K301" s="4"/>
      <c r="L301" s="4"/>
      <c r="M301" s="4"/>
      <c r="N301" s="4"/>
      <c r="O301" s="4"/>
      <c r="P301" s="4"/>
      <c r="Q301" s="4"/>
      <c r="R301" s="4"/>
      <c r="S301" s="4"/>
      <c r="T301" s="4"/>
      <c r="U301" s="4"/>
      <c r="V301" s="4"/>
      <c r="W301" s="4"/>
      <c r="X301" s="4"/>
      <c r="Y301" s="4"/>
      <c r="Z301" s="4"/>
      <c r="AA301" s="4"/>
      <c r="AB301" s="4"/>
    </row>
    <row r="302" spans="1:28" ht="12.75" hidden="1">
      <c r="A302" s="4"/>
      <c r="B302" s="4"/>
      <c r="C302" s="4"/>
      <c r="D302" s="15"/>
      <c r="E302" s="4"/>
      <c r="F302" s="4"/>
      <c r="G302" s="4"/>
      <c r="H302" s="4"/>
      <c r="I302" s="4"/>
      <c r="J302" s="4"/>
      <c r="K302" s="4"/>
      <c r="L302" s="4"/>
      <c r="M302" s="4"/>
      <c r="N302" s="4"/>
      <c r="O302" s="4"/>
      <c r="P302" s="4"/>
      <c r="Q302" s="4"/>
      <c r="R302" s="4"/>
      <c r="S302" s="4"/>
      <c r="T302" s="4"/>
      <c r="U302" s="4"/>
      <c r="V302" s="4"/>
      <c r="W302" s="4"/>
      <c r="X302" s="4"/>
      <c r="Y302" s="4"/>
      <c r="Z302" s="4"/>
      <c r="AA302" s="4"/>
      <c r="AB302" s="4"/>
    </row>
    <row r="303" spans="1:28" ht="12.75" hidden="1">
      <c r="A303" s="4"/>
      <c r="B303" s="4"/>
      <c r="C303" s="4"/>
      <c r="D303" s="15"/>
      <c r="E303" s="4"/>
      <c r="F303" s="4"/>
      <c r="G303" s="4"/>
      <c r="H303" s="4"/>
      <c r="I303" s="4"/>
      <c r="J303" s="4"/>
      <c r="K303" s="4"/>
      <c r="L303" s="4"/>
      <c r="M303" s="4"/>
      <c r="N303" s="4"/>
      <c r="O303" s="4"/>
      <c r="P303" s="4"/>
      <c r="Q303" s="4"/>
      <c r="R303" s="4"/>
      <c r="S303" s="4"/>
      <c r="T303" s="4"/>
      <c r="U303" s="4"/>
      <c r="V303" s="4"/>
      <c r="W303" s="4"/>
      <c r="X303" s="4"/>
      <c r="Y303" s="4"/>
      <c r="Z303" s="4"/>
      <c r="AA303" s="4"/>
      <c r="AB303" s="4"/>
    </row>
    <row r="304" spans="1:28" ht="12.75" hidden="1">
      <c r="A304" s="4"/>
      <c r="B304" s="4"/>
      <c r="C304" s="4"/>
      <c r="D304" s="15"/>
      <c r="E304" s="4"/>
      <c r="F304" s="4"/>
      <c r="G304" s="4"/>
      <c r="H304" s="4"/>
      <c r="I304" s="4"/>
      <c r="J304" s="4"/>
      <c r="K304" s="4"/>
      <c r="L304" s="4"/>
      <c r="M304" s="4"/>
      <c r="N304" s="4"/>
      <c r="O304" s="4"/>
      <c r="P304" s="4"/>
      <c r="Q304" s="4"/>
      <c r="R304" s="4"/>
      <c r="S304" s="4"/>
      <c r="T304" s="4"/>
      <c r="U304" s="4"/>
      <c r="V304" s="4"/>
      <c r="W304" s="4"/>
      <c r="X304" s="4"/>
      <c r="Y304" s="4"/>
      <c r="Z304" s="4"/>
      <c r="AA304" s="4"/>
      <c r="AB304" s="4"/>
    </row>
    <row r="305" spans="1:28" ht="12.75" hidden="1">
      <c r="A305" s="4"/>
      <c r="B305" s="4"/>
      <c r="C305" s="4"/>
      <c r="D305" s="15"/>
      <c r="E305" s="4"/>
      <c r="F305" s="4"/>
      <c r="G305" s="4"/>
      <c r="H305" s="4"/>
      <c r="I305" s="4"/>
      <c r="J305" s="4"/>
      <c r="K305" s="4"/>
      <c r="L305" s="4"/>
      <c r="M305" s="4"/>
      <c r="N305" s="4"/>
      <c r="O305" s="4"/>
      <c r="P305" s="4"/>
      <c r="Q305" s="4"/>
      <c r="R305" s="4"/>
      <c r="S305" s="4"/>
      <c r="T305" s="4"/>
      <c r="U305" s="4"/>
      <c r="V305" s="4"/>
      <c r="W305" s="4"/>
      <c r="X305" s="4"/>
      <c r="Y305" s="4"/>
      <c r="Z305" s="4"/>
      <c r="AA305" s="4"/>
      <c r="AB305" s="4"/>
    </row>
    <row r="306" spans="1:28" ht="12.75" hidden="1">
      <c r="A306" s="4"/>
      <c r="B306" s="4"/>
      <c r="C306" s="4"/>
      <c r="D306" s="15"/>
      <c r="E306" s="4"/>
      <c r="F306" s="4"/>
      <c r="G306" s="4"/>
      <c r="H306" s="4"/>
      <c r="I306" s="4"/>
      <c r="J306" s="4"/>
      <c r="K306" s="4"/>
      <c r="L306" s="4"/>
      <c r="M306" s="4"/>
      <c r="N306" s="4"/>
      <c r="O306" s="4"/>
      <c r="P306" s="4"/>
      <c r="Q306" s="4"/>
      <c r="R306" s="4"/>
      <c r="S306" s="4"/>
      <c r="T306" s="4"/>
      <c r="U306" s="4"/>
      <c r="V306" s="4"/>
      <c r="W306" s="4"/>
      <c r="X306" s="4"/>
      <c r="Y306" s="4"/>
      <c r="Z306" s="4"/>
      <c r="AA306" s="4"/>
      <c r="AB306" s="4"/>
    </row>
    <row r="307" spans="1:28" ht="12.75" hidden="1">
      <c r="A307" s="4"/>
      <c r="B307" s="4"/>
      <c r="C307" s="4"/>
      <c r="D307" s="15"/>
      <c r="E307" s="4"/>
      <c r="F307" s="4"/>
      <c r="G307" s="4"/>
      <c r="H307" s="4"/>
      <c r="I307" s="4"/>
      <c r="J307" s="4"/>
      <c r="K307" s="4"/>
      <c r="L307" s="4"/>
      <c r="M307" s="4"/>
      <c r="N307" s="4"/>
      <c r="O307" s="4"/>
      <c r="P307" s="4"/>
      <c r="Q307" s="4"/>
      <c r="R307" s="4"/>
      <c r="S307" s="4"/>
      <c r="T307" s="4"/>
      <c r="U307" s="4"/>
      <c r="V307" s="4"/>
      <c r="W307" s="4"/>
      <c r="X307" s="4"/>
      <c r="Y307" s="4"/>
      <c r="Z307" s="4"/>
      <c r="AA307" s="4"/>
      <c r="AB307" s="4"/>
    </row>
    <row r="308" spans="1:28" ht="12.75" hidden="1">
      <c r="A308" s="4"/>
      <c r="B308" s="4"/>
      <c r="C308" s="4"/>
      <c r="D308" s="15"/>
      <c r="E308" s="4"/>
      <c r="F308" s="4"/>
      <c r="G308" s="4"/>
      <c r="H308" s="4"/>
      <c r="I308" s="4"/>
      <c r="J308" s="4"/>
      <c r="K308" s="4"/>
      <c r="L308" s="4"/>
      <c r="M308" s="4"/>
      <c r="N308" s="4"/>
      <c r="O308" s="4"/>
      <c r="P308" s="4"/>
      <c r="Q308" s="4"/>
      <c r="R308" s="4"/>
      <c r="S308" s="4"/>
      <c r="T308" s="4"/>
      <c r="U308" s="4"/>
      <c r="V308" s="4"/>
      <c r="W308" s="4"/>
      <c r="X308" s="4"/>
      <c r="Y308" s="4"/>
      <c r="Z308" s="4"/>
      <c r="AA308" s="4"/>
      <c r="AB308" s="4"/>
    </row>
    <row r="309" spans="1:28" ht="12.75" hidden="1">
      <c r="A309" s="4"/>
      <c r="B309" s="4"/>
      <c r="C309" s="4"/>
      <c r="D309" s="15"/>
      <c r="E309" s="4"/>
      <c r="F309" s="4"/>
      <c r="G309" s="4"/>
      <c r="H309" s="4"/>
      <c r="I309" s="4"/>
      <c r="J309" s="4"/>
      <c r="K309" s="4"/>
      <c r="L309" s="4"/>
      <c r="M309" s="4"/>
      <c r="N309" s="4"/>
      <c r="O309" s="4"/>
      <c r="P309" s="4"/>
      <c r="Q309" s="4"/>
      <c r="R309" s="4"/>
      <c r="S309" s="4"/>
      <c r="T309" s="4"/>
      <c r="U309" s="4"/>
      <c r="V309" s="4"/>
      <c r="W309" s="4"/>
      <c r="X309" s="4"/>
      <c r="Y309" s="4"/>
      <c r="Z309" s="4"/>
      <c r="AA309" s="4"/>
      <c r="AB309" s="4"/>
    </row>
    <row r="310" spans="1:28" ht="12.75" hidden="1">
      <c r="A310" s="4"/>
      <c r="B310" s="4"/>
      <c r="C310" s="4"/>
      <c r="D310" s="15"/>
      <c r="E310" s="4"/>
      <c r="F310" s="4"/>
      <c r="G310" s="4"/>
      <c r="H310" s="4"/>
      <c r="I310" s="4"/>
      <c r="J310" s="4"/>
      <c r="K310" s="4"/>
      <c r="L310" s="4"/>
      <c r="M310" s="4"/>
      <c r="N310" s="4"/>
      <c r="O310" s="4"/>
      <c r="P310" s="4"/>
      <c r="Q310" s="4"/>
      <c r="R310" s="4"/>
      <c r="S310" s="4"/>
      <c r="T310" s="4"/>
      <c r="U310" s="4"/>
      <c r="V310" s="4"/>
      <c r="W310" s="4"/>
      <c r="X310" s="4"/>
      <c r="Y310" s="4"/>
      <c r="Z310" s="4"/>
      <c r="AA310" s="4"/>
      <c r="AB310" s="4"/>
    </row>
    <row r="311" spans="1:28" ht="12.75" hidden="1">
      <c r="A311" s="4"/>
      <c r="B311" s="4"/>
      <c r="C311" s="4"/>
      <c r="D311" s="15"/>
      <c r="E311" s="4"/>
      <c r="F311" s="4"/>
      <c r="G311" s="4"/>
      <c r="H311" s="4"/>
      <c r="I311" s="4"/>
      <c r="J311" s="4"/>
      <c r="K311" s="4"/>
      <c r="L311" s="4"/>
      <c r="M311" s="4"/>
      <c r="N311" s="4"/>
      <c r="O311" s="4"/>
      <c r="P311" s="4"/>
      <c r="Q311" s="4"/>
      <c r="R311" s="4"/>
      <c r="S311" s="4"/>
      <c r="T311" s="4"/>
      <c r="U311" s="4"/>
      <c r="V311" s="4"/>
      <c r="W311" s="4"/>
      <c r="X311" s="4"/>
      <c r="Y311" s="4"/>
      <c r="Z311" s="4"/>
      <c r="AA311" s="4"/>
      <c r="AB311" s="4"/>
    </row>
    <row r="312" spans="1:28" ht="12.75" hidden="1">
      <c r="A312" s="4"/>
      <c r="B312" s="4"/>
      <c r="C312" s="4"/>
      <c r="D312" s="15"/>
      <c r="E312" s="4"/>
      <c r="F312" s="4"/>
      <c r="G312" s="4"/>
      <c r="H312" s="4"/>
      <c r="I312" s="4"/>
      <c r="J312" s="4"/>
      <c r="K312" s="4"/>
      <c r="L312" s="4"/>
      <c r="M312" s="4"/>
      <c r="N312" s="4"/>
      <c r="O312" s="4"/>
      <c r="P312" s="4"/>
      <c r="Q312" s="4"/>
      <c r="R312" s="4"/>
      <c r="S312" s="4"/>
      <c r="T312" s="4"/>
      <c r="U312" s="4"/>
      <c r="V312" s="4"/>
      <c r="W312" s="4"/>
      <c r="X312" s="4"/>
      <c r="Y312" s="4"/>
      <c r="Z312" s="4"/>
      <c r="AA312" s="4"/>
      <c r="AB312" s="4"/>
    </row>
    <row r="313" spans="1:28" ht="12.75" hidden="1">
      <c r="A313" s="4"/>
      <c r="B313" s="4"/>
      <c r="C313" s="4"/>
      <c r="D313" s="15"/>
      <c r="E313" s="4"/>
      <c r="F313" s="4"/>
      <c r="G313" s="4"/>
      <c r="H313" s="4"/>
      <c r="I313" s="4"/>
      <c r="J313" s="4"/>
      <c r="K313" s="4"/>
      <c r="L313" s="4"/>
      <c r="M313" s="4"/>
      <c r="N313" s="4"/>
      <c r="O313" s="4"/>
      <c r="P313" s="4"/>
      <c r="Q313" s="4"/>
      <c r="R313" s="4"/>
      <c r="S313" s="4"/>
      <c r="T313" s="4"/>
      <c r="U313" s="4"/>
      <c r="V313" s="4"/>
      <c r="W313" s="4"/>
      <c r="X313" s="4"/>
      <c r="Y313" s="4"/>
      <c r="Z313" s="4"/>
      <c r="AA313" s="4"/>
      <c r="AB313" s="4"/>
    </row>
    <row r="314" spans="1:28" ht="12.75" hidden="1">
      <c r="A314" s="4"/>
      <c r="B314" s="4"/>
      <c r="C314" s="4"/>
      <c r="D314" s="15"/>
      <c r="E314" s="4"/>
      <c r="F314" s="4"/>
      <c r="G314" s="4"/>
      <c r="H314" s="4"/>
      <c r="I314" s="4"/>
      <c r="J314" s="4"/>
      <c r="K314" s="4"/>
      <c r="L314" s="4"/>
      <c r="M314" s="4"/>
      <c r="N314" s="4"/>
      <c r="O314" s="4"/>
      <c r="P314" s="4"/>
      <c r="Q314" s="4"/>
      <c r="R314" s="4"/>
      <c r="S314" s="4"/>
      <c r="T314" s="4"/>
      <c r="U314" s="4"/>
      <c r="V314" s="4"/>
      <c r="W314" s="4"/>
      <c r="X314" s="4"/>
      <c r="Y314" s="4"/>
      <c r="Z314" s="4"/>
      <c r="AA314" s="4"/>
      <c r="AB314" s="4"/>
    </row>
    <row r="315" spans="1:28" ht="12.75" hidden="1">
      <c r="A315" s="4"/>
      <c r="B315" s="4"/>
      <c r="C315" s="4"/>
      <c r="D315" s="15"/>
      <c r="E315" s="4"/>
      <c r="F315" s="4"/>
      <c r="G315" s="4"/>
      <c r="H315" s="4"/>
      <c r="I315" s="4"/>
      <c r="J315" s="4"/>
      <c r="K315" s="4"/>
      <c r="L315" s="4"/>
      <c r="M315" s="4"/>
      <c r="N315" s="4"/>
      <c r="O315" s="4"/>
      <c r="P315" s="4"/>
      <c r="Q315" s="4"/>
      <c r="R315" s="4"/>
      <c r="S315" s="4"/>
      <c r="T315" s="4"/>
      <c r="U315" s="4"/>
      <c r="V315" s="4"/>
      <c r="W315" s="4"/>
      <c r="X315" s="4"/>
      <c r="Y315" s="4"/>
      <c r="Z315" s="4"/>
      <c r="AA315" s="4"/>
      <c r="AB315" s="4"/>
    </row>
    <row r="316" spans="1:28" ht="12.75" hidden="1">
      <c r="A316" s="4"/>
      <c r="B316" s="4"/>
      <c r="C316" s="4"/>
      <c r="D316" s="15"/>
      <c r="E316" s="4"/>
      <c r="F316" s="4"/>
      <c r="G316" s="4"/>
      <c r="H316" s="4"/>
      <c r="I316" s="4"/>
      <c r="J316" s="4"/>
      <c r="K316" s="4"/>
      <c r="L316" s="4"/>
      <c r="M316" s="4"/>
      <c r="N316" s="4"/>
      <c r="O316" s="4"/>
      <c r="P316" s="4"/>
      <c r="Q316" s="4"/>
      <c r="R316" s="4"/>
      <c r="S316" s="4"/>
      <c r="T316" s="4"/>
      <c r="U316" s="4"/>
      <c r="V316" s="4"/>
      <c r="W316" s="4"/>
      <c r="X316" s="4"/>
      <c r="Y316" s="4"/>
      <c r="Z316" s="4"/>
      <c r="AA316" s="4"/>
      <c r="AB316" s="4"/>
    </row>
    <row r="317" spans="1:28" ht="12.75" hidden="1">
      <c r="A317" s="4"/>
      <c r="B317" s="4"/>
      <c r="C317" s="4"/>
      <c r="D317" s="15"/>
      <c r="E317" s="4"/>
      <c r="F317" s="4"/>
      <c r="G317" s="4"/>
      <c r="H317" s="4"/>
      <c r="I317" s="4"/>
      <c r="J317" s="4"/>
      <c r="K317" s="4"/>
      <c r="L317" s="4"/>
      <c r="M317" s="4"/>
      <c r="N317" s="4"/>
      <c r="O317" s="4"/>
      <c r="P317" s="4"/>
      <c r="Q317" s="4"/>
      <c r="R317" s="4"/>
      <c r="S317" s="4"/>
      <c r="T317" s="4"/>
      <c r="U317" s="4"/>
      <c r="V317" s="4"/>
      <c r="W317" s="4"/>
      <c r="X317" s="4"/>
      <c r="Y317" s="4"/>
      <c r="Z317" s="4"/>
      <c r="AA317" s="4"/>
      <c r="AB317" s="4"/>
    </row>
    <row r="318" spans="1:28" ht="12.75" hidden="1">
      <c r="A318" s="4"/>
      <c r="B318" s="4"/>
      <c r="C318" s="4"/>
      <c r="D318" s="15"/>
      <c r="E318" s="4"/>
      <c r="F318" s="4"/>
      <c r="G318" s="4"/>
      <c r="H318" s="4"/>
      <c r="I318" s="4"/>
      <c r="J318" s="4"/>
      <c r="K318" s="4"/>
      <c r="L318" s="4"/>
      <c r="M318" s="4"/>
      <c r="N318" s="4"/>
      <c r="O318" s="4"/>
      <c r="P318" s="4"/>
      <c r="Q318" s="4"/>
      <c r="R318" s="4"/>
      <c r="S318" s="4"/>
      <c r="T318" s="4"/>
      <c r="U318" s="4"/>
      <c r="V318" s="4"/>
      <c r="W318" s="4"/>
      <c r="X318" s="4"/>
      <c r="Y318" s="4"/>
      <c r="Z318" s="4"/>
      <c r="AA318" s="4"/>
      <c r="AB318" s="4"/>
    </row>
    <row r="319" spans="1:28" ht="12.75" hidden="1">
      <c r="A319" s="4"/>
      <c r="B319" s="4"/>
      <c r="C319" s="4"/>
      <c r="D319" s="15"/>
      <c r="E319" s="4"/>
      <c r="F319" s="4"/>
      <c r="G319" s="4"/>
      <c r="H319" s="4"/>
      <c r="I319" s="4"/>
      <c r="J319" s="4"/>
      <c r="K319" s="4"/>
      <c r="L319" s="4"/>
      <c r="M319" s="4"/>
      <c r="N319" s="4"/>
      <c r="O319" s="4"/>
      <c r="P319" s="4"/>
      <c r="Q319" s="4"/>
      <c r="R319" s="4"/>
      <c r="S319" s="4"/>
      <c r="T319" s="4"/>
      <c r="U319" s="4"/>
      <c r="V319" s="4"/>
      <c r="W319" s="4"/>
      <c r="X319" s="4"/>
      <c r="Y319" s="4"/>
      <c r="Z319" s="4"/>
      <c r="AA319" s="4"/>
      <c r="AB319" s="4"/>
    </row>
    <row r="320" spans="1:28" ht="12.75" hidden="1">
      <c r="A320" s="4"/>
      <c r="B320" s="4"/>
      <c r="C320" s="4"/>
      <c r="D320" s="15"/>
      <c r="E320" s="4"/>
      <c r="F320" s="4"/>
      <c r="G320" s="4"/>
      <c r="H320" s="4"/>
      <c r="I320" s="4"/>
      <c r="J320" s="4"/>
      <c r="K320" s="4"/>
      <c r="L320" s="4"/>
      <c r="M320" s="4"/>
      <c r="N320" s="4"/>
      <c r="O320" s="4"/>
      <c r="P320" s="4"/>
      <c r="Q320" s="4"/>
      <c r="R320" s="4"/>
      <c r="S320" s="4"/>
      <c r="T320" s="4"/>
      <c r="U320" s="4"/>
      <c r="V320" s="4"/>
      <c r="W320" s="4"/>
      <c r="X320" s="4"/>
      <c r="Y320" s="4"/>
      <c r="Z320" s="4"/>
      <c r="AA320" s="4"/>
      <c r="AB320" s="4"/>
    </row>
    <row r="321" spans="1:28" ht="12.75" hidden="1">
      <c r="A321" s="4"/>
      <c r="B321" s="4"/>
      <c r="C321" s="4"/>
      <c r="D321" s="15"/>
      <c r="E321" s="4"/>
      <c r="F321" s="4"/>
      <c r="G321" s="4"/>
      <c r="H321" s="4"/>
      <c r="I321" s="4"/>
      <c r="J321" s="4"/>
      <c r="K321" s="4"/>
      <c r="L321" s="4"/>
      <c r="M321" s="4"/>
      <c r="N321" s="4"/>
      <c r="O321" s="4"/>
      <c r="P321" s="4"/>
      <c r="Q321" s="4"/>
      <c r="R321" s="4"/>
      <c r="S321" s="4"/>
      <c r="T321" s="4"/>
      <c r="U321" s="4"/>
      <c r="V321" s="4"/>
      <c r="W321" s="4"/>
      <c r="X321" s="4"/>
      <c r="Y321" s="4"/>
      <c r="Z321" s="4"/>
      <c r="AA321" s="4"/>
      <c r="AB321" s="4"/>
    </row>
    <row r="322" spans="1:28" ht="12.75" hidden="1">
      <c r="A322" s="4"/>
      <c r="B322" s="4"/>
      <c r="C322" s="4"/>
      <c r="D322" s="15"/>
      <c r="E322" s="4"/>
      <c r="F322" s="4"/>
      <c r="G322" s="4"/>
      <c r="H322" s="4"/>
      <c r="I322" s="4"/>
      <c r="J322" s="4"/>
      <c r="K322" s="4"/>
      <c r="L322" s="4"/>
      <c r="M322" s="4"/>
      <c r="N322" s="4"/>
      <c r="O322" s="4"/>
      <c r="P322" s="4"/>
      <c r="Q322" s="4"/>
      <c r="R322" s="4"/>
      <c r="S322" s="4"/>
      <c r="T322" s="4"/>
      <c r="U322" s="4"/>
      <c r="V322" s="4"/>
      <c r="W322" s="4"/>
      <c r="X322" s="4"/>
      <c r="Y322" s="4"/>
      <c r="Z322" s="4"/>
      <c r="AA322" s="4"/>
      <c r="AB322" s="4"/>
    </row>
    <row r="323" spans="1:28" ht="12.75" hidden="1">
      <c r="A323" s="4"/>
      <c r="B323" s="4"/>
      <c r="C323" s="4"/>
      <c r="D323" s="15"/>
      <c r="E323" s="4"/>
      <c r="F323" s="4"/>
      <c r="G323" s="4"/>
      <c r="H323" s="4"/>
      <c r="I323" s="4"/>
      <c r="J323" s="4"/>
      <c r="K323" s="4"/>
      <c r="L323" s="4"/>
      <c r="M323" s="4"/>
      <c r="N323" s="4"/>
      <c r="O323" s="4"/>
      <c r="P323" s="4"/>
      <c r="Q323" s="4"/>
      <c r="R323" s="4"/>
      <c r="S323" s="4"/>
      <c r="T323" s="4"/>
      <c r="U323" s="4"/>
      <c r="V323" s="4"/>
      <c r="W323" s="4"/>
      <c r="X323" s="4"/>
      <c r="Y323" s="4"/>
      <c r="Z323" s="4"/>
      <c r="AA323" s="4"/>
      <c r="AB323" s="4"/>
    </row>
    <row r="324" spans="1:28" ht="12.75" hidden="1">
      <c r="A324" s="4"/>
      <c r="B324" s="4"/>
      <c r="C324" s="4"/>
      <c r="D324" s="15"/>
      <c r="E324" s="4"/>
      <c r="F324" s="4"/>
      <c r="G324" s="4"/>
      <c r="H324" s="4"/>
      <c r="I324" s="4"/>
      <c r="J324" s="4"/>
      <c r="K324" s="4"/>
      <c r="L324" s="4"/>
      <c r="M324" s="4"/>
      <c r="N324" s="4"/>
      <c r="O324" s="4"/>
      <c r="P324" s="4"/>
      <c r="Q324" s="4"/>
      <c r="R324" s="4"/>
      <c r="S324" s="4"/>
      <c r="T324" s="4"/>
      <c r="U324" s="4"/>
      <c r="V324" s="4"/>
      <c r="W324" s="4"/>
      <c r="X324" s="4"/>
      <c r="Y324" s="4"/>
      <c r="Z324" s="4"/>
      <c r="AA324" s="4"/>
      <c r="AB324" s="4"/>
    </row>
    <row r="325" spans="1:28" ht="12.75" hidden="1">
      <c r="A325" s="4"/>
      <c r="B325" s="4"/>
      <c r="C325" s="4"/>
      <c r="D325" s="15"/>
      <c r="E325" s="4"/>
      <c r="F325" s="4"/>
      <c r="G325" s="4"/>
      <c r="H325" s="4"/>
      <c r="I325" s="4"/>
      <c r="J325" s="4"/>
      <c r="K325" s="4"/>
      <c r="L325" s="4"/>
      <c r="M325" s="4"/>
      <c r="N325" s="4"/>
      <c r="O325" s="4"/>
      <c r="P325" s="4"/>
      <c r="Q325" s="4"/>
      <c r="R325" s="4"/>
      <c r="S325" s="4"/>
      <c r="T325" s="4"/>
      <c r="U325" s="4"/>
      <c r="V325" s="4"/>
      <c r="W325" s="4"/>
      <c r="X325" s="4"/>
      <c r="Y325" s="4"/>
      <c r="Z325" s="4"/>
      <c r="AA325" s="4"/>
      <c r="AB325" s="4"/>
    </row>
    <row r="326" spans="1:28" ht="12.75" hidden="1">
      <c r="A326" s="4"/>
      <c r="B326" s="4"/>
      <c r="C326" s="4"/>
      <c r="D326" s="15"/>
      <c r="E326" s="4"/>
      <c r="F326" s="4"/>
      <c r="G326" s="4"/>
      <c r="H326" s="4"/>
      <c r="I326" s="4"/>
      <c r="J326" s="4"/>
      <c r="K326" s="4"/>
      <c r="L326" s="4"/>
      <c r="M326" s="4"/>
      <c r="N326" s="4"/>
      <c r="O326" s="4"/>
      <c r="P326" s="4"/>
      <c r="Q326" s="4"/>
      <c r="R326" s="4"/>
      <c r="S326" s="4"/>
      <c r="T326" s="4"/>
      <c r="U326" s="4"/>
      <c r="V326" s="4"/>
      <c r="W326" s="4"/>
      <c r="X326" s="4"/>
      <c r="Y326" s="4"/>
      <c r="Z326" s="4"/>
      <c r="AA326" s="4"/>
      <c r="AB326" s="4"/>
    </row>
    <row r="327" spans="1:28" ht="12.75" hidden="1">
      <c r="A327" s="4"/>
      <c r="B327" s="4"/>
      <c r="C327" s="4"/>
      <c r="D327" s="15"/>
      <c r="E327" s="4"/>
      <c r="F327" s="4"/>
      <c r="G327" s="4"/>
      <c r="H327" s="4"/>
      <c r="I327" s="4"/>
      <c r="J327" s="4"/>
      <c r="K327" s="4"/>
      <c r="L327" s="4"/>
      <c r="M327" s="4"/>
      <c r="N327" s="4"/>
      <c r="O327" s="4"/>
      <c r="P327" s="4"/>
      <c r="Q327" s="4"/>
      <c r="R327" s="4"/>
      <c r="S327" s="4"/>
      <c r="T327" s="4"/>
      <c r="U327" s="4"/>
      <c r="V327" s="4"/>
      <c r="W327" s="4"/>
      <c r="X327" s="4"/>
      <c r="Y327" s="4"/>
      <c r="Z327" s="4"/>
      <c r="AA327" s="4"/>
      <c r="AB327" s="4"/>
    </row>
    <row r="328" spans="1:28" ht="12.75" hidden="1">
      <c r="A328" s="4"/>
      <c r="B328" s="4"/>
      <c r="C328" s="4"/>
      <c r="D328" s="15"/>
      <c r="E328" s="4"/>
      <c r="F328" s="4"/>
      <c r="G328" s="4"/>
      <c r="H328" s="4"/>
      <c r="I328" s="4"/>
      <c r="J328" s="4"/>
      <c r="K328" s="4"/>
      <c r="L328" s="4"/>
      <c r="M328" s="4"/>
      <c r="N328" s="4"/>
      <c r="O328" s="4"/>
      <c r="P328" s="4"/>
      <c r="Q328" s="4"/>
      <c r="R328" s="4"/>
      <c r="S328" s="4"/>
      <c r="T328" s="4"/>
      <c r="U328" s="4"/>
      <c r="V328" s="4"/>
      <c r="W328" s="4"/>
      <c r="X328" s="4"/>
      <c r="Y328" s="4"/>
      <c r="Z328" s="4"/>
      <c r="AA328" s="4"/>
      <c r="AB328" s="4"/>
    </row>
    <row r="329" spans="1:28" ht="12.75" hidden="1">
      <c r="A329" s="4"/>
      <c r="B329" s="4"/>
      <c r="C329" s="4"/>
      <c r="D329" s="15"/>
      <c r="E329" s="4"/>
      <c r="F329" s="4"/>
      <c r="G329" s="4"/>
      <c r="H329" s="4"/>
      <c r="I329" s="4"/>
      <c r="J329" s="4"/>
      <c r="K329" s="4"/>
      <c r="L329" s="4"/>
      <c r="M329" s="4"/>
      <c r="N329" s="4"/>
      <c r="O329" s="4"/>
      <c r="P329" s="4"/>
      <c r="Q329" s="4"/>
      <c r="R329" s="4"/>
      <c r="S329" s="4"/>
      <c r="T329" s="4"/>
      <c r="U329" s="4"/>
      <c r="V329" s="4"/>
      <c r="W329" s="4"/>
      <c r="X329" s="4"/>
      <c r="Y329" s="4"/>
      <c r="Z329" s="4"/>
      <c r="AA329" s="4"/>
      <c r="AB329" s="4"/>
    </row>
    <row r="330" spans="1:28" ht="12.75" hidden="1">
      <c r="A330" s="4"/>
      <c r="B330" s="4"/>
      <c r="C330" s="4"/>
      <c r="D330" s="15"/>
      <c r="E330" s="4"/>
      <c r="F330" s="4"/>
      <c r="G330" s="4"/>
      <c r="H330" s="4"/>
      <c r="I330" s="4"/>
      <c r="J330" s="4"/>
      <c r="K330" s="4"/>
      <c r="L330" s="4"/>
      <c r="M330" s="4"/>
      <c r="N330" s="4"/>
      <c r="O330" s="4"/>
      <c r="P330" s="4"/>
      <c r="Q330" s="4"/>
      <c r="R330" s="4"/>
      <c r="S330" s="4"/>
      <c r="T330" s="4"/>
      <c r="U330" s="4"/>
      <c r="V330" s="4"/>
      <c r="W330" s="4"/>
      <c r="X330" s="4"/>
      <c r="Y330" s="4"/>
      <c r="Z330" s="4"/>
      <c r="AA330" s="4"/>
      <c r="AB330" s="4"/>
    </row>
    <row r="331" spans="1:28" ht="12.75" hidden="1">
      <c r="A331" s="4"/>
      <c r="B331" s="4"/>
      <c r="C331" s="4"/>
      <c r="D331" s="15"/>
      <c r="E331" s="4"/>
      <c r="F331" s="4"/>
      <c r="G331" s="4"/>
      <c r="H331" s="4"/>
      <c r="I331" s="4"/>
      <c r="J331" s="4"/>
      <c r="K331" s="4"/>
      <c r="L331" s="4"/>
      <c r="M331" s="4"/>
      <c r="N331" s="4"/>
      <c r="O331" s="4"/>
      <c r="P331" s="4"/>
      <c r="Q331" s="4"/>
      <c r="R331" s="4"/>
      <c r="S331" s="4"/>
      <c r="T331" s="4"/>
      <c r="U331" s="4"/>
      <c r="V331" s="4"/>
      <c r="W331" s="4"/>
      <c r="X331" s="4"/>
      <c r="Y331" s="4"/>
      <c r="Z331" s="4"/>
      <c r="AA331" s="4"/>
      <c r="AB331" s="4"/>
    </row>
    <row r="332" spans="1:28" ht="12.75" hidden="1">
      <c r="A332" s="4"/>
      <c r="B332" s="4"/>
      <c r="C332" s="4"/>
      <c r="D332" s="15"/>
      <c r="E332" s="4"/>
      <c r="F332" s="4"/>
      <c r="G332" s="4"/>
      <c r="H332" s="4"/>
      <c r="I332" s="4"/>
      <c r="J332" s="4"/>
      <c r="K332" s="4"/>
      <c r="L332" s="4"/>
      <c r="M332" s="4"/>
      <c r="N332" s="4"/>
      <c r="O332" s="4"/>
      <c r="P332" s="4"/>
      <c r="Q332" s="4"/>
      <c r="R332" s="4"/>
      <c r="S332" s="4"/>
      <c r="T332" s="4"/>
      <c r="U332" s="4"/>
      <c r="V332" s="4"/>
      <c r="W332" s="4"/>
      <c r="X332" s="4"/>
      <c r="Y332" s="4"/>
      <c r="Z332" s="4"/>
      <c r="AA332" s="4"/>
      <c r="AB332" s="4"/>
    </row>
    <row r="333" spans="1:28" ht="12.75" hidden="1">
      <c r="A333" s="4"/>
      <c r="B333" s="4"/>
      <c r="C333" s="4"/>
      <c r="D333" s="15"/>
      <c r="E333" s="4"/>
      <c r="F333" s="4"/>
      <c r="G333" s="4"/>
      <c r="H333" s="4"/>
      <c r="I333" s="4"/>
      <c r="J333" s="4"/>
      <c r="K333" s="4"/>
      <c r="L333" s="4"/>
      <c r="M333" s="4"/>
      <c r="N333" s="4"/>
      <c r="O333" s="4"/>
      <c r="P333" s="4"/>
      <c r="Q333" s="4"/>
      <c r="R333" s="4"/>
      <c r="S333" s="4"/>
      <c r="T333" s="4"/>
      <c r="U333" s="4"/>
      <c r="V333" s="4"/>
      <c r="W333" s="4"/>
      <c r="X333" s="4"/>
      <c r="Y333" s="4"/>
      <c r="Z333" s="4"/>
      <c r="AA333" s="4"/>
      <c r="AB333" s="4"/>
    </row>
    <row r="334" spans="1:28" ht="12.75" hidden="1">
      <c r="A334" s="4"/>
      <c r="B334" s="4"/>
      <c r="C334" s="4"/>
      <c r="D334" s="15"/>
      <c r="E334" s="4"/>
      <c r="F334" s="4"/>
      <c r="G334" s="4"/>
      <c r="H334" s="4"/>
      <c r="I334" s="4"/>
      <c r="J334" s="4"/>
      <c r="K334" s="4"/>
      <c r="L334" s="4"/>
      <c r="M334" s="4"/>
      <c r="N334" s="4"/>
      <c r="O334" s="4"/>
      <c r="P334" s="4"/>
      <c r="Q334" s="4"/>
      <c r="R334" s="4"/>
      <c r="S334" s="4"/>
      <c r="T334" s="4"/>
      <c r="U334" s="4"/>
      <c r="V334" s="4"/>
      <c r="W334" s="4"/>
      <c r="X334" s="4"/>
      <c r="Y334" s="4"/>
      <c r="Z334" s="4"/>
      <c r="AA334" s="4"/>
      <c r="AB334" s="4"/>
    </row>
    <row r="335" spans="1:28" ht="12.75" hidden="1">
      <c r="A335" s="4"/>
      <c r="B335" s="4"/>
      <c r="C335" s="4"/>
      <c r="D335" s="15"/>
      <c r="E335" s="4"/>
      <c r="F335" s="4"/>
      <c r="G335" s="4"/>
      <c r="H335" s="4"/>
      <c r="I335" s="4"/>
      <c r="J335" s="4"/>
      <c r="K335" s="4"/>
      <c r="L335" s="4"/>
      <c r="M335" s="4"/>
      <c r="N335" s="4"/>
      <c r="O335" s="4"/>
      <c r="P335" s="4"/>
      <c r="Q335" s="4"/>
      <c r="R335" s="4"/>
      <c r="S335" s="4"/>
      <c r="T335" s="4"/>
      <c r="U335" s="4"/>
      <c r="V335" s="4"/>
      <c r="W335" s="4"/>
      <c r="X335" s="4"/>
      <c r="Y335" s="4"/>
      <c r="Z335" s="4"/>
      <c r="AA335" s="4"/>
      <c r="AB335" s="4"/>
    </row>
    <row r="336" spans="1:28" ht="12.75" hidden="1">
      <c r="A336" s="4"/>
      <c r="B336" s="4"/>
      <c r="C336" s="4"/>
      <c r="D336" s="15"/>
      <c r="E336" s="4"/>
      <c r="F336" s="4"/>
      <c r="G336" s="4"/>
      <c r="H336" s="4"/>
      <c r="I336" s="4"/>
      <c r="J336" s="4"/>
      <c r="K336" s="4"/>
      <c r="L336" s="4"/>
      <c r="M336" s="4"/>
      <c r="N336" s="4"/>
      <c r="O336" s="4"/>
      <c r="P336" s="4"/>
      <c r="Q336" s="4"/>
      <c r="R336" s="4"/>
      <c r="S336" s="4"/>
      <c r="T336" s="4"/>
      <c r="U336" s="4"/>
      <c r="V336" s="4"/>
      <c r="W336" s="4"/>
      <c r="X336" s="4"/>
      <c r="Y336" s="4"/>
      <c r="Z336" s="4"/>
      <c r="AA336" s="4"/>
      <c r="AB336" s="4"/>
    </row>
    <row r="337" spans="1:28" ht="12.75" hidden="1">
      <c r="A337" s="4"/>
      <c r="B337" s="4"/>
      <c r="C337" s="4"/>
      <c r="D337" s="15"/>
      <c r="E337" s="4"/>
      <c r="F337" s="4"/>
      <c r="G337" s="4"/>
      <c r="H337" s="4"/>
      <c r="I337" s="4"/>
      <c r="J337" s="4"/>
      <c r="K337" s="4"/>
      <c r="L337" s="4"/>
      <c r="M337" s="4"/>
      <c r="N337" s="4"/>
      <c r="O337" s="4"/>
      <c r="P337" s="4"/>
      <c r="Q337" s="4"/>
      <c r="R337" s="4"/>
      <c r="S337" s="4"/>
      <c r="T337" s="4"/>
      <c r="U337" s="4"/>
      <c r="V337" s="4"/>
      <c r="W337" s="4"/>
      <c r="X337" s="4"/>
      <c r="Y337" s="4"/>
      <c r="Z337" s="4"/>
      <c r="AA337" s="4"/>
      <c r="AB337" s="4"/>
    </row>
    <row r="338" spans="1:28" ht="12.75" hidden="1">
      <c r="A338" s="4"/>
      <c r="B338" s="4"/>
      <c r="C338" s="4"/>
      <c r="D338" s="15"/>
      <c r="E338" s="4"/>
      <c r="F338" s="4"/>
      <c r="G338" s="4"/>
      <c r="H338" s="4"/>
      <c r="I338" s="4"/>
      <c r="J338" s="4"/>
      <c r="K338" s="4"/>
      <c r="L338" s="4"/>
      <c r="M338" s="4"/>
      <c r="N338" s="4"/>
      <c r="O338" s="4"/>
      <c r="P338" s="4"/>
      <c r="Q338" s="4"/>
      <c r="R338" s="4"/>
      <c r="S338" s="4"/>
      <c r="T338" s="4"/>
      <c r="U338" s="4"/>
      <c r="V338" s="4"/>
      <c r="W338" s="4"/>
      <c r="X338" s="4"/>
      <c r="Y338" s="4"/>
      <c r="Z338" s="4"/>
      <c r="AA338" s="4"/>
      <c r="AB338" s="4"/>
    </row>
    <row r="339" spans="1:28" ht="12.75" hidden="1">
      <c r="A339" s="4"/>
      <c r="B339" s="4"/>
      <c r="C339" s="4"/>
      <c r="D339" s="15"/>
      <c r="E339" s="4"/>
      <c r="F339" s="4"/>
      <c r="G339" s="4"/>
      <c r="H339" s="4"/>
      <c r="I339" s="4"/>
      <c r="J339" s="4"/>
      <c r="K339" s="4"/>
      <c r="L339" s="4"/>
      <c r="M339" s="4"/>
      <c r="N339" s="4"/>
      <c r="O339" s="4"/>
      <c r="P339" s="4"/>
      <c r="Q339" s="4"/>
      <c r="R339" s="4"/>
      <c r="S339" s="4"/>
      <c r="T339" s="4"/>
      <c r="U339" s="4"/>
      <c r="V339" s="4"/>
      <c r="W339" s="4"/>
      <c r="X339" s="4"/>
      <c r="Y339" s="4"/>
      <c r="Z339" s="4"/>
      <c r="AA339" s="4"/>
      <c r="AB339" s="4"/>
    </row>
    <row r="340" spans="1:28" ht="12.75" hidden="1">
      <c r="A340" s="4"/>
      <c r="B340" s="4"/>
      <c r="C340" s="4"/>
      <c r="D340" s="15"/>
      <c r="E340" s="4"/>
      <c r="F340" s="4"/>
      <c r="G340" s="4"/>
      <c r="H340" s="4"/>
      <c r="I340" s="4"/>
      <c r="J340" s="4"/>
      <c r="K340" s="4"/>
      <c r="L340" s="4"/>
      <c r="M340" s="4"/>
      <c r="N340" s="4"/>
      <c r="O340" s="4"/>
      <c r="P340" s="4"/>
      <c r="Q340" s="4"/>
      <c r="R340" s="4"/>
      <c r="S340" s="4"/>
      <c r="T340" s="4"/>
      <c r="U340" s="4"/>
      <c r="V340" s="4"/>
      <c r="W340" s="4"/>
      <c r="X340" s="4"/>
      <c r="Y340" s="4"/>
      <c r="Z340" s="4"/>
      <c r="AA340" s="4"/>
      <c r="AB340" s="4"/>
    </row>
    <row r="341" spans="1:28" ht="12.75" hidden="1">
      <c r="A341" s="4"/>
      <c r="B341" s="4"/>
      <c r="C341" s="4"/>
      <c r="D341" s="15"/>
      <c r="E341" s="4"/>
      <c r="F341" s="4"/>
      <c r="G341" s="4"/>
      <c r="H341" s="4"/>
      <c r="I341" s="4"/>
      <c r="J341" s="4"/>
      <c r="K341" s="4"/>
      <c r="L341" s="4"/>
      <c r="M341" s="4"/>
      <c r="N341" s="4"/>
      <c r="O341" s="4"/>
      <c r="P341" s="4"/>
      <c r="Q341" s="4"/>
      <c r="R341" s="4"/>
      <c r="S341" s="4"/>
      <c r="T341" s="4"/>
      <c r="U341" s="4"/>
      <c r="V341" s="4"/>
      <c r="W341" s="4"/>
      <c r="X341" s="4"/>
      <c r="Y341" s="4"/>
      <c r="Z341" s="4"/>
      <c r="AA341" s="4"/>
      <c r="AB341" s="4"/>
    </row>
    <row r="342" spans="1:28" ht="12.75" hidden="1">
      <c r="A342" s="4"/>
      <c r="B342" s="4"/>
      <c r="C342" s="4"/>
      <c r="D342" s="15"/>
      <c r="E342" s="4"/>
      <c r="F342" s="4"/>
      <c r="G342" s="4"/>
      <c r="H342" s="4"/>
      <c r="I342" s="4"/>
      <c r="J342" s="4"/>
      <c r="K342" s="4"/>
      <c r="L342" s="4"/>
      <c r="M342" s="4"/>
      <c r="N342" s="4"/>
      <c r="O342" s="4"/>
      <c r="P342" s="4"/>
      <c r="Q342" s="4"/>
      <c r="R342" s="4"/>
      <c r="S342" s="4"/>
      <c r="T342" s="4"/>
      <c r="U342" s="4"/>
      <c r="V342" s="4"/>
      <c r="W342" s="4"/>
      <c r="X342" s="4"/>
      <c r="Y342" s="4"/>
      <c r="Z342" s="4"/>
      <c r="AA342" s="4"/>
      <c r="AB342" s="4"/>
    </row>
    <row r="343" spans="1:28" ht="12.75" hidden="1">
      <c r="A343" s="4"/>
      <c r="B343" s="4"/>
      <c r="C343" s="4"/>
      <c r="D343" s="15"/>
      <c r="E343" s="4"/>
      <c r="F343" s="4"/>
      <c r="G343" s="4"/>
      <c r="H343" s="4"/>
      <c r="I343" s="4"/>
      <c r="J343" s="4"/>
      <c r="K343" s="4"/>
      <c r="L343" s="4"/>
      <c r="M343" s="4"/>
      <c r="N343" s="4"/>
      <c r="O343" s="4"/>
      <c r="P343" s="4"/>
      <c r="Q343" s="4"/>
      <c r="R343" s="4"/>
      <c r="S343" s="4"/>
      <c r="T343" s="4"/>
      <c r="U343" s="4"/>
      <c r="V343" s="4"/>
      <c r="W343" s="4"/>
      <c r="X343" s="4"/>
      <c r="Y343" s="4"/>
      <c r="Z343" s="4"/>
      <c r="AA343" s="4"/>
      <c r="AB343" s="4"/>
    </row>
    <row r="344" spans="1:28" ht="12.75" hidden="1">
      <c r="A344" s="4"/>
      <c r="B344" s="4"/>
      <c r="C344" s="4"/>
      <c r="D344" s="15"/>
      <c r="E344" s="4"/>
      <c r="F344" s="4"/>
      <c r="G344" s="4"/>
      <c r="H344" s="4"/>
      <c r="I344" s="4"/>
      <c r="J344" s="4"/>
      <c r="K344" s="4"/>
      <c r="L344" s="4"/>
      <c r="M344" s="4"/>
      <c r="N344" s="4"/>
      <c r="O344" s="4"/>
      <c r="P344" s="4"/>
      <c r="Q344" s="4"/>
      <c r="R344" s="4"/>
      <c r="S344" s="4"/>
      <c r="T344" s="4"/>
      <c r="U344" s="4"/>
      <c r="V344" s="4"/>
      <c r="W344" s="4"/>
      <c r="X344" s="4"/>
      <c r="Y344" s="4"/>
      <c r="Z344" s="4"/>
      <c r="AA344" s="4"/>
      <c r="AB344" s="4"/>
    </row>
    <row r="345" spans="1:28" ht="12.75" hidden="1">
      <c r="A345" s="4"/>
      <c r="B345" s="4"/>
      <c r="C345" s="4"/>
      <c r="D345" s="15"/>
      <c r="E345" s="4"/>
      <c r="F345" s="4"/>
      <c r="G345" s="4"/>
      <c r="H345" s="4"/>
      <c r="I345" s="4"/>
      <c r="J345" s="4"/>
      <c r="K345" s="4"/>
      <c r="L345" s="4"/>
      <c r="M345" s="4"/>
      <c r="N345" s="4"/>
      <c r="O345" s="4"/>
      <c r="P345" s="4"/>
      <c r="Q345" s="4"/>
      <c r="R345" s="4"/>
      <c r="S345" s="4"/>
      <c r="T345" s="4"/>
      <c r="U345" s="4"/>
      <c r="V345" s="4"/>
      <c r="W345" s="4"/>
      <c r="X345" s="4"/>
      <c r="Y345" s="4"/>
      <c r="Z345" s="4"/>
      <c r="AA345" s="4"/>
      <c r="AB345" s="4"/>
    </row>
    <row r="346" spans="1:28" ht="12.75" hidden="1">
      <c r="A346" s="4"/>
      <c r="B346" s="4"/>
      <c r="C346" s="4"/>
      <c r="D346" s="15"/>
      <c r="E346" s="4"/>
      <c r="F346" s="4"/>
      <c r="G346" s="4"/>
      <c r="H346" s="4"/>
      <c r="I346" s="4"/>
      <c r="J346" s="4"/>
      <c r="K346" s="4"/>
      <c r="L346" s="4"/>
      <c r="M346" s="4"/>
      <c r="N346" s="4"/>
      <c r="O346" s="4"/>
      <c r="P346" s="4"/>
      <c r="Q346" s="4"/>
      <c r="R346" s="4"/>
      <c r="S346" s="4"/>
      <c r="T346" s="4"/>
      <c r="U346" s="4"/>
      <c r="V346" s="4"/>
      <c r="W346" s="4"/>
      <c r="X346" s="4"/>
      <c r="Y346" s="4"/>
      <c r="Z346" s="4"/>
      <c r="AA346" s="4"/>
      <c r="AB346" s="4"/>
    </row>
    <row r="347" spans="1:28" ht="12.75" hidden="1">
      <c r="A347" s="4"/>
      <c r="B347" s="4"/>
      <c r="C347" s="4"/>
      <c r="D347" s="15"/>
      <c r="E347" s="4"/>
      <c r="F347" s="4"/>
      <c r="G347" s="4"/>
      <c r="H347" s="4"/>
      <c r="I347" s="4"/>
      <c r="J347" s="4"/>
      <c r="K347" s="4"/>
      <c r="L347" s="4"/>
      <c r="M347" s="4"/>
      <c r="N347" s="4"/>
      <c r="O347" s="4"/>
      <c r="P347" s="4"/>
      <c r="Q347" s="4"/>
      <c r="R347" s="4"/>
      <c r="S347" s="4"/>
      <c r="T347" s="4"/>
      <c r="U347" s="4"/>
      <c r="V347" s="4"/>
      <c r="W347" s="4"/>
      <c r="X347" s="4"/>
      <c r="Y347" s="4"/>
      <c r="Z347" s="4"/>
      <c r="AA347" s="4"/>
      <c r="AB347" s="4"/>
    </row>
    <row r="348" spans="1:28" ht="12.75" hidden="1">
      <c r="A348" s="4"/>
      <c r="B348" s="4"/>
      <c r="C348" s="4"/>
      <c r="D348" s="15"/>
      <c r="E348" s="4"/>
      <c r="F348" s="4"/>
      <c r="G348" s="4"/>
      <c r="H348" s="4"/>
      <c r="I348" s="4"/>
      <c r="J348" s="4"/>
      <c r="K348" s="4"/>
      <c r="L348" s="4"/>
      <c r="M348" s="4"/>
      <c r="N348" s="4"/>
      <c r="O348" s="4"/>
      <c r="P348" s="4"/>
      <c r="Q348" s="4"/>
      <c r="R348" s="4"/>
      <c r="S348" s="4"/>
      <c r="T348" s="4"/>
      <c r="U348" s="4"/>
      <c r="V348" s="4"/>
      <c r="W348" s="4"/>
      <c r="X348" s="4"/>
      <c r="Y348" s="4"/>
      <c r="Z348" s="4"/>
      <c r="AA348" s="4"/>
      <c r="AB348" s="4"/>
    </row>
    <row r="349" spans="1:28" ht="12.75" hidden="1">
      <c r="A349" s="4"/>
      <c r="B349" s="4"/>
      <c r="C349" s="4"/>
      <c r="D349" s="15"/>
      <c r="E349" s="4"/>
      <c r="F349" s="4"/>
      <c r="G349" s="4"/>
      <c r="H349" s="4"/>
      <c r="I349" s="4"/>
      <c r="J349" s="4"/>
      <c r="K349" s="4"/>
      <c r="L349" s="4"/>
      <c r="M349" s="4"/>
      <c r="N349" s="4"/>
      <c r="O349" s="4"/>
      <c r="P349" s="4"/>
      <c r="Q349" s="4"/>
      <c r="R349" s="4"/>
      <c r="S349" s="4"/>
      <c r="T349" s="4"/>
      <c r="U349" s="4"/>
      <c r="V349" s="4"/>
      <c r="W349" s="4"/>
      <c r="X349" s="4"/>
      <c r="Y349" s="4"/>
      <c r="Z349" s="4"/>
      <c r="AA349" s="4"/>
      <c r="AB349" s="4"/>
    </row>
    <row r="350" spans="1:28" ht="12.75" hidden="1">
      <c r="A350" s="4"/>
      <c r="B350" s="4"/>
      <c r="C350" s="4"/>
      <c r="D350" s="15"/>
      <c r="E350" s="4"/>
      <c r="F350" s="4"/>
      <c r="G350" s="4"/>
      <c r="H350" s="4"/>
      <c r="I350" s="4"/>
      <c r="J350" s="4"/>
      <c r="K350" s="4"/>
      <c r="L350" s="4"/>
      <c r="M350" s="4"/>
      <c r="N350" s="4"/>
      <c r="O350" s="4"/>
      <c r="P350" s="4"/>
      <c r="Q350" s="4"/>
      <c r="R350" s="4"/>
      <c r="S350" s="4"/>
      <c r="T350" s="4"/>
      <c r="U350" s="4"/>
      <c r="V350" s="4"/>
      <c r="W350" s="4"/>
      <c r="X350" s="4"/>
      <c r="Y350" s="4"/>
      <c r="Z350" s="4"/>
      <c r="AA350" s="4"/>
      <c r="AB350" s="4"/>
    </row>
    <row r="351" spans="1:28" ht="12.75" hidden="1">
      <c r="A351" s="4"/>
      <c r="B351" s="4"/>
      <c r="C351" s="4"/>
      <c r="D351" s="15"/>
      <c r="E351" s="4"/>
      <c r="F351" s="4"/>
      <c r="G351" s="4"/>
      <c r="H351" s="4"/>
      <c r="I351" s="4"/>
      <c r="J351" s="4"/>
      <c r="K351" s="4"/>
      <c r="L351" s="4"/>
      <c r="M351" s="4"/>
      <c r="N351" s="4"/>
      <c r="O351" s="4"/>
      <c r="P351" s="4"/>
      <c r="Q351" s="4"/>
      <c r="R351" s="4"/>
      <c r="S351" s="4"/>
      <c r="T351" s="4"/>
      <c r="U351" s="4"/>
      <c r="V351" s="4"/>
      <c r="W351" s="4"/>
      <c r="X351" s="4"/>
      <c r="Y351" s="4"/>
      <c r="Z351" s="4"/>
      <c r="AA351" s="4"/>
      <c r="AB351" s="4"/>
    </row>
    <row r="352" spans="1:28" ht="12.75" hidden="1">
      <c r="A352" s="4"/>
      <c r="B352" s="4"/>
      <c r="C352" s="4"/>
      <c r="D352" s="15"/>
      <c r="E352" s="4"/>
      <c r="F352" s="4"/>
      <c r="G352" s="4"/>
      <c r="H352" s="4"/>
      <c r="I352" s="4"/>
      <c r="J352" s="4"/>
      <c r="K352" s="4"/>
      <c r="L352" s="4"/>
      <c r="M352" s="4"/>
      <c r="N352" s="4"/>
      <c r="O352" s="4"/>
      <c r="P352" s="4"/>
      <c r="Q352" s="4"/>
      <c r="R352" s="4"/>
      <c r="S352" s="4"/>
      <c r="T352" s="4"/>
      <c r="U352" s="4"/>
      <c r="V352" s="4"/>
      <c r="W352" s="4"/>
      <c r="X352" s="4"/>
      <c r="Y352" s="4"/>
      <c r="Z352" s="4"/>
      <c r="AA352" s="4"/>
      <c r="AB352" s="4"/>
    </row>
    <row r="353" spans="1:28" ht="12.75" hidden="1">
      <c r="A353" s="4"/>
      <c r="B353" s="4"/>
      <c r="C353" s="4"/>
      <c r="D353" s="15"/>
      <c r="E353" s="4"/>
      <c r="F353" s="4"/>
      <c r="G353" s="4"/>
      <c r="H353" s="4"/>
      <c r="I353" s="4"/>
      <c r="J353" s="4"/>
      <c r="K353" s="4"/>
      <c r="L353" s="4"/>
      <c r="M353" s="4"/>
      <c r="N353" s="4"/>
      <c r="O353" s="4"/>
      <c r="P353" s="4"/>
      <c r="Q353" s="4"/>
      <c r="R353" s="4"/>
      <c r="S353" s="4"/>
      <c r="T353" s="4"/>
      <c r="U353" s="4"/>
      <c r="V353" s="4"/>
      <c r="W353" s="4"/>
      <c r="X353" s="4"/>
      <c r="Y353" s="4"/>
      <c r="Z353" s="4"/>
      <c r="AA353" s="4"/>
      <c r="AB353" s="4"/>
    </row>
    <row r="354" spans="1:28" ht="12.75" hidden="1">
      <c r="A354" s="4"/>
      <c r="B354" s="4"/>
      <c r="C354" s="4"/>
      <c r="D354" s="15"/>
      <c r="E354" s="4"/>
      <c r="F354" s="4"/>
      <c r="G354" s="4"/>
      <c r="H354" s="4"/>
      <c r="I354" s="4"/>
      <c r="J354" s="4"/>
      <c r="K354" s="4"/>
      <c r="L354" s="4"/>
      <c r="M354" s="4"/>
      <c r="N354" s="4"/>
      <c r="O354" s="4"/>
      <c r="P354" s="4"/>
      <c r="Q354" s="4"/>
      <c r="R354" s="4"/>
      <c r="S354" s="4"/>
      <c r="T354" s="4"/>
      <c r="U354" s="4"/>
      <c r="V354" s="4"/>
      <c r="W354" s="4"/>
      <c r="X354" s="4"/>
      <c r="Y354" s="4"/>
      <c r="Z354" s="4"/>
      <c r="AA354" s="4"/>
      <c r="AB354" s="4"/>
    </row>
    <row r="355" spans="1:28" ht="12.75" hidden="1">
      <c r="A355" s="4"/>
      <c r="B355" s="4"/>
      <c r="C355" s="4"/>
      <c r="D355" s="15"/>
      <c r="E355" s="4"/>
      <c r="F355" s="4"/>
      <c r="G355" s="4"/>
      <c r="H355" s="4"/>
      <c r="I355" s="4"/>
      <c r="J355" s="4"/>
      <c r="K355" s="4"/>
      <c r="L355" s="4"/>
      <c r="M355" s="4"/>
      <c r="N355" s="4"/>
      <c r="O355" s="4"/>
      <c r="P355" s="4"/>
      <c r="Q355" s="4"/>
      <c r="R355" s="4"/>
      <c r="S355" s="4"/>
      <c r="T355" s="4"/>
      <c r="U355" s="4"/>
      <c r="V355" s="4"/>
      <c r="W355" s="4"/>
      <c r="X355" s="4"/>
      <c r="Y355" s="4"/>
      <c r="Z355" s="4"/>
      <c r="AA355" s="4"/>
      <c r="AB355" s="4"/>
    </row>
    <row r="356" spans="1:28" ht="12.75" hidden="1">
      <c r="A356" s="4"/>
      <c r="B356" s="4"/>
      <c r="C356" s="4"/>
      <c r="D356" s="15"/>
      <c r="E356" s="4"/>
      <c r="F356" s="4"/>
      <c r="G356" s="4"/>
      <c r="H356" s="4"/>
      <c r="I356" s="4"/>
      <c r="J356" s="4"/>
      <c r="K356" s="4"/>
      <c r="L356" s="4"/>
      <c r="M356" s="4"/>
      <c r="N356" s="4"/>
      <c r="O356" s="4"/>
      <c r="P356" s="4"/>
      <c r="Q356" s="4"/>
      <c r="R356" s="4"/>
      <c r="S356" s="4"/>
      <c r="T356" s="4"/>
      <c r="U356" s="4"/>
      <c r="V356" s="4"/>
      <c r="W356" s="4"/>
      <c r="X356" s="4"/>
      <c r="Y356" s="4"/>
      <c r="Z356" s="4"/>
      <c r="AA356" s="4"/>
      <c r="AB356" s="4"/>
    </row>
    <row r="357" spans="1:28" ht="12.75" hidden="1">
      <c r="A357" s="4"/>
      <c r="B357" s="4"/>
      <c r="C357" s="4"/>
      <c r="D357" s="15"/>
      <c r="E357" s="4"/>
      <c r="F357" s="4"/>
      <c r="G357" s="4"/>
      <c r="H357" s="4"/>
      <c r="I357" s="4"/>
      <c r="J357" s="4"/>
      <c r="K357" s="4"/>
      <c r="L357" s="4"/>
      <c r="M357" s="4"/>
      <c r="N357" s="4"/>
      <c r="O357" s="4"/>
      <c r="P357" s="4"/>
      <c r="Q357" s="4"/>
      <c r="R357" s="4"/>
      <c r="S357" s="4"/>
      <c r="T357" s="4"/>
      <c r="U357" s="4"/>
      <c r="V357" s="4"/>
      <c r="W357" s="4"/>
      <c r="X357" s="4"/>
      <c r="Y357" s="4"/>
      <c r="Z357" s="4"/>
      <c r="AA357" s="4"/>
      <c r="AB357" s="4"/>
    </row>
    <row r="358" spans="1:28" ht="12.75" hidden="1">
      <c r="A358" s="4"/>
      <c r="B358" s="4"/>
      <c r="C358" s="4"/>
      <c r="D358" s="15"/>
      <c r="E358" s="4"/>
      <c r="F358" s="4"/>
      <c r="G358" s="4"/>
      <c r="H358" s="4"/>
      <c r="I358" s="4"/>
      <c r="J358" s="4"/>
      <c r="K358" s="4"/>
      <c r="L358" s="4"/>
      <c r="M358" s="4"/>
      <c r="N358" s="4"/>
      <c r="O358" s="4"/>
      <c r="P358" s="4"/>
      <c r="Q358" s="4"/>
      <c r="R358" s="4"/>
      <c r="S358" s="4"/>
      <c r="T358" s="4"/>
      <c r="U358" s="4"/>
      <c r="V358" s="4"/>
      <c r="W358" s="4"/>
      <c r="X358" s="4"/>
      <c r="Y358" s="4"/>
      <c r="Z358" s="4"/>
      <c r="AA358" s="4"/>
      <c r="AB358" s="4"/>
    </row>
    <row r="359" spans="1:28" ht="12.75" hidden="1">
      <c r="A359" s="4"/>
      <c r="B359" s="4"/>
      <c r="C359" s="4"/>
      <c r="D359" s="15"/>
      <c r="E359" s="4"/>
      <c r="F359" s="4"/>
      <c r="G359" s="4"/>
      <c r="H359" s="4"/>
      <c r="I359" s="4"/>
      <c r="J359" s="4"/>
      <c r="K359" s="4"/>
      <c r="L359" s="4"/>
      <c r="M359" s="4"/>
      <c r="N359" s="4"/>
      <c r="O359" s="4"/>
      <c r="P359" s="4"/>
      <c r="Q359" s="4"/>
      <c r="R359" s="4"/>
      <c r="S359" s="4"/>
      <c r="T359" s="4"/>
      <c r="U359" s="4"/>
      <c r="V359" s="4"/>
      <c r="W359" s="4"/>
      <c r="X359" s="4"/>
      <c r="Y359" s="4"/>
      <c r="Z359" s="4"/>
      <c r="AA359" s="4"/>
      <c r="AB359" s="4"/>
    </row>
    <row r="360" spans="1:28" ht="12.75" hidden="1">
      <c r="A360" s="4"/>
      <c r="B360" s="4"/>
      <c r="C360" s="4"/>
      <c r="D360" s="15"/>
      <c r="E360" s="4"/>
      <c r="F360" s="4"/>
      <c r="G360" s="4"/>
      <c r="H360" s="4"/>
      <c r="I360" s="4"/>
      <c r="J360" s="4"/>
      <c r="K360" s="4"/>
      <c r="L360" s="4"/>
      <c r="M360" s="4"/>
      <c r="N360" s="4"/>
      <c r="O360" s="4"/>
      <c r="P360" s="4"/>
      <c r="Q360" s="4"/>
      <c r="R360" s="4"/>
      <c r="S360" s="4"/>
      <c r="T360" s="4"/>
      <c r="U360" s="4"/>
      <c r="V360" s="4"/>
      <c r="W360" s="4"/>
      <c r="X360" s="4"/>
      <c r="Y360" s="4"/>
      <c r="Z360" s="4"/>
      <c r="AA360" s="4"/>
      <c r="AB360" s="4"/>
    </row>
    <row r="361" spans="1:28" ht="12.75" hidden="1">
      <c r="A361" s="4"/>
      <c r="B361" s="4"/>
      <c r="C361" s="4"/>
      <c r="D361" s="15"/>
      <c r="E361" s="4"/>
      <c r="F361" s="4"/>
      <c r="G361" s="4"/>
      <c r="H361" s="4"/>
      <c r="I361" s="4"/>
      <c r="J361" s="4"/>
      <c r="K361" s="4"/>
      <c r="L361" s="4"/>
      <c r="M361" s="4"/>
      <c r="N361" s="4"/>
      <c r="O361" s="4"/>
      <c r="P361" s="4"/>
      <c r="Q361" s="4"/>
      <c r="R361" s="4"/>
      <c r="S361" s="4"/>
      <c r="T361" s="4"/>
      <c r="U361" s="4"/>
      <c r="V361" s="4"/>
      <c r="W361" s="4"/>
      <c r="X361" s="4"/>
      <c r="Y361" s="4"/>
      <c r="Z361" s="4"/>
      <c r="AA361" s="4"/>
      <c r="AB361" s="4"/>
    </row>
    <row r="362" spans="1:28" ht="12.75" hidden="1">
      <c r="A362" s="4"/>
      <c r="B362" s="4"/>
      <c r="C362" s="4"/>
      <c r="D362" s="15"/>
      <c r="E362" s="4"/>
      <c r="F362" s="4"/>
      <c r="G362" s="4"/>
      <c r="H362" s="4"/>
      <c r="I362" s="4"/>
      <c r="J362" s="4"/>
      <c r="K362" s="4"/>
      <c r="L362" s="4"/>
      <c r="M362" s="4"/>
      <c r="N362" s="4"/>
      <c r="O362" s="4"/>
      <c r="P362" s="4"/>
      <c r="Q362" s="4"/>
      <c r="R362" s="4"/>
      <c r="S362" s="4"/>
      <c r="T362" s="4"/>
      <c r="U362" s="4"/>
      <c r="V362" s="4"/>
      <c r="W362" s="4"/>
      <c r="X362" s="4"/>
      <c r="Y362" s="4"/>
      <c r="Z362" s="4"/>
      <c r="AA362" s="4"/>
      <c r="AB362" s="4"/>
    </row>
    <row r="363" spans="1:28" ht="12.75" hidden="1">
      <c r="A363" s="4"/>
      <c r="B363" s="4"/>
      <c r="C363" s="4"/>
      <c r="D363" s="15"/>
      <c r="E363" s="4"/>
      <c r="F363" s="4"/>
      <c r="G363" s="4"/>
      <c r="H363" s="4"/>
      <c r="I363" s="4"/>
      <c r="J363" s="4"/>
      <c r="K363" s="4"/>
      <c r="L363" s="4"/>
      <c r="M363" s="4"/>
      <c r="N363" s="4"/>
      <c r="O363" s="4"/>
      <c r="P363" s="4"/>
      <c r="Q363" s="4"/>
      <c r="R363" s="4"/>
      <c r="S363" s="4"/>
      <c r="T363" s="4"/>
      <c r="U363" s="4"/>
      <c r="V363" s="4"/>
      <c r="W363" s="4"/>
      <c r="X363" s="4"/>
      <c r="Y363" s="4"/>
      <c r="Z363" s="4"/>
      <c r="AA363" s="4"/>
      <c r="AB363" s="4"/>
    </row>
    <row r="364" spans="1:28" ht="12.75" hidden="1">
      <c r="A364" s="4"/>
      <c r="B364" s="4"/>
      <c r="C364" s="4"/>
      <c r="D364" s="15"/>
      <c r="E364" s="4"/>
      <c r="F364" s="4"/>
      <c r="G364" s="4"/>
      <c r="H364" s="4"/>
      <c r="I364" s="4"/>
      <c r="J364" s="4"/>
      <c r="K364" s="4"/>
      <c r="L364" s="4"/>
      <c r="M364" s="4"/>
      <c r="N364" s="4"/>
      <c r="O364" s="4"/>
      <c r="P364" s="4"/>
      <c r="Q364" s="4"/>
      <c r="R364" s="4"/>
      <c r="S364" s="4"/>
      <c r="T364" s="4"/>
      <c r="U364" s="4"/>
      <c r="V364" s="4"/>
      <c r="W364" s="4"/>
      <c r="X364" s="4"/>
      <c r="Y364" s="4"/>
      <c r="Z364" s="4"/>
      <c r="AA364" s="4"/>
      <c r="AB364" s="4"/>
    </row>
    <row r="365" spans="1:28" ht="12.75" hidden="1">
      <c r="A365" s="4"/>
      <c r="B365" s="4"/>
      <c r="C365" s="4"/>
      <c r="D365" s="15"/>
      <c r="E365" s="4"/>
      <c r="F365" s="4"/>
      <c r="G365" s="4"/>
      <c r="H365" s="4"/>
      <c r="I365" s="4"/>
      <c r="J365" s="4"/>
      <c r="K365" s="4"/>
      <c r="L365" s="4"/>
      <c r="M365" s="4"/>
      <c r="N365" s="4"/>
      <c r="O365" s="4"/>
      <c r="P365" s="4"/>
      <c r="Q365" s="4"/>
      <c r="R365" s="4"/>
      <c r="S365" s="4"/>
      <c r="T365" s="4"/>
      <c r="U365" s="4"/>
      <c r="V365" s="4"/>
      <c r="W365" s="4"/>
      <c r="X365" s="4"/>
      <c r="Y365" s="4"/>
      <c r="Z365" s="4"/>
      <c r="AA365" s="4"/>
      <c r="AB365" s="4"/>
    </row>
    <row r="366" spans="1:28" ht="12.75" hidden="1">
      <c r="A366" s="4"/>
      <c r="B366" s="4"/>
      <c r="C366" s="4"/>
      <c r="D366" s="15"/>
      <c r="E366" s="4"/>
      <c r="F366" s="4"/>
      <c r="G366" s="4"/>
      <c r="H366" s="4"/>
      <c r="I366" s="4"/>
      <c r="J366" s="4"/>
      <c r="K366" s="4"/>
      <c r="L366" s="4"/>
      <c r="M366" s="4"/>
      <c r="N366" s="4"/>
      <c r="O366" s="4"/>
      <c r="P366" s="4"/>
      <c r="Q366" s="4"/>
      <c r="R366" s="4"/>
      <c r="S366" s="4"/>
      <c r="T366" s="4"/>
      <c r="U366" s="4"/>
      <c r="V366" s="4"/>
      <c r="W366" s="4"/>
      <c r="X366" s="4"/>
      <c r="Y366" s="4"/>
      <c r="Z366" s="4"/>
      <c r="AA366" s="4"/>
      <c r="AB366" s="4"/>
    </row>
    <row r="367" spans="1:28" ht="12.75" hidden="1">
      <c r="A367" s="4"/>
      <c r="B367" s="4"/>
      <c r="C367" s="4"/>
      <c r="D367" s="15"/>
      <c r="E367" s="4"/>
      <c r="F367" s="4"/>
      <c r="G367" s="4"/>
      <c r="H367" s="4"/>
      <c r="I367" s="4"/>
      <c r="J367" s="4"/>
      <c r="K367" s="4"/>
      <c r="L367" s="4"/>
      <c r="M367" s="4"/>
      <c r="N367" s="4"/>
      <c r="O367" s="4"/>
      <c r="P367" s="4"/>
      <c r="Q367" s="4"/>
      <c r="R367" s="4"/>
      <c r="S367" s="4"/>
      <c r="T367" s="4"/>
      <c r="U367" s="4"/>
      <c r="V367" s="4"/>
      <c r="W367" s="4"/>
      <c r="X367" s="4"/>
      <c r="Y367" s="4"/>
      <c r="Z367" s="4"/>
      <c r="AA367" s="4"/>
      <c r="AB367" s="4"/>
    </row>
    <row r="368" spans="1:28" ht="12.75" hidden="1">
      <c r="A368" s="4"/>
      <c r="B368" s="4"/>
      <c r="C368" s="4"/>
      <c r="D368" s="15"/>
      <c r="E368" s="4"/>
      <c r="F368" s="4"/>
      <c r="G368" s="4"/>
      <c r="H368" s="4"/>
      <c r="I368" s="4"/>
      <c r="J368" s="4"/>
      <c r="K368" s="4"/>
      <c r="L368" s="4"/>
      <c r="M368" s="4"/>
      <c r="N368" s="4"/>
      <c r="O368" s="4"/>
      <c r="P368" s="4"/>
      <c r="Q368" s="4"/>
      <c r="R368" s="4"/>
      <c r="S368" s="4"/>
      <c r="T368" s="4"/>
      <c r="U368" s="4"/>
      <c r="V368" s="4"/>
      <c r="W368" s="4"/>
      <c r="X368" s="4"/>
      <c r="Y368" s="4"/>
      <c r="Z368" s="4"/>
      <c r="AA368" s="4"/>
      <c r="AB368" s="4"/>
    </row>
    <row r="369" spans="1:28" ht="12.75" hidden="1">
      <c r="A369" s="4"/>
      <c r="B369" s="4"/>
      <c r="C369" s="4"/>
      <c r="D369" s="15"/>
      <c r="E369" s="4"/>
      <c r="F369" s="4"/>
      <c r="G369" s="4"/>
      <c r="H369" s="4"/>
      <c r="I369" s="4"/>
      <c r="J369" s="4"/>
      <c r="K369" s="4"/>
      <c r="L369" s="4"/>
      <c r="M369" s="4"/>
      <c r="N369" s="4"/>
      <c r="O369" s="4"/>
      <c r="P369" s="4"/>
      <c r="Q369" s="4"/>
      <c r="R369" s="4"/>
      <c r="S369" s="4"/>
      <c r="T369" s="4"/>
      <c r="U369" s="4"/>
      <c r="V369" s="4"/>
      <c r="W369" s="4"/>
      <c r="X369" s="4"/>
      <c r="Y369" s="4"/>
      <c r="Z369" s="4"/>
      <c r="AA369" s="4"/>
      <c r="AB369" s="4"/>
    </row>
    <row r="370" spans="1:28" ht="12.75" hidden="1">
      <c r="A370" s="4"/>
      <c r="B370" s="4"/>
      <c r="C370" s="4"/>
      <c r="D370" s="15"/>
      <c r="E370" s="4"/>
      <c r="F370" s="4"/>
      <c r="G370" s="4"/>
      <c r="H370" s="4"/>
      <c r="I370" s="4"/>
      <c r="J370" s="4"/>
      <c r="K370" s="4"/>
      <c r="L370" s="4"/>
      <c r="M370" s="4"/>
      <c r="N370" s="4"/>
      <c r="O370" s="4"/>
      <c r="P370" s="4"/>
      <c r="Q370" s="4"/>
      <c r="R370" s="4"/>
      <c r="S370" s="4"/>
      <c r="T370" s="4"/>
      <c r="U370" s="4"/>
      <c r="V370" s="4"/>
      <c r="W370" s="4"/>
      <c r="X370" s="4"/>
      <c r="Y370" s="4"/>
      <c r="Z370" s="4"/>
      <c r="AA370" s="4"/>
      <c r="AB370" s="4"/>
    </row>
    <row r="371" spans="1:28" ht="12.75" hidden="1">
      <c r="A371" s="4"/>
      <c r="B371" s="4"/>
      <c r="C371" s="4"/>
      <c r="D371" s="15"/>
      <c r="E371" s="4"/>
      <c r="F371" s="4"/>
      <c r="G371" s="4"/>
      <c r="H371" s="4"/>
      <c r="I371" s="4"/>
      <c r="J371" s="4"/>
      <c r="K371" s="4"/>
      <c r="L371" s="4"/>
      <c r="M371" s="4"/>
      <c r="N371" s="4"/>
      <c r="O371" s="4"/>
      <c r="P371" s="4"/>
      <c r="Q371" s="4"/>
      <c r="R371" s="4"/>
      <c r="S371" s="4"/>
      <c r="T371" s="4"/>
      <c r="U371" s="4"/>
      <c r="V371" s="4"/>
      <c r="W371" s="4"/>
      <c r="X371" s="4"/>
      <c r="Y371" s="4"/>
      <c r="Z371" s="4"/>
      <c r="AA371" s="4"/>
      <c r="AB371" s="4"/>
    </row>
    <row r="372" spans="1:28" ht="12.75" hidden="1">
      <c r="A372" s="4"/>
      <c r="B372" s="4"/>
      <c r="C372" s="4"/>
      <c r="D372" s="15"/>
      <c r="E372" s="4"/>
      <c r="F372" s="4"/>
      <c r="G372" s="4"/>
      <c r="H372" s="4"/>
      <c r="I372" s="4"/>
      <c r="J372" s="4"/>
      <c r="K372" s="4"/>
      <c r="L372" s="4"/>
      <c r="M372" s="4"/>
      <c r="N372" s="4"/>
      <c r="O372" s="4"/>
      <c r="P372" s="4"/>
      <c r="Q372" s="4"/>
      <c r="R372" s="4"/>
      <c r="S372" s="4"/>
      <c r="T372" s="4"/>
      <c r="U372" s="4"/>
      <c r="V372" s="4"/>
      <c r="W372" s="4"/>
      <c r="X372" s="4"/>
      <c r="Y372" s="4"/>
      <c r="Z372" s="4"/>
      <c r="AA372" s="4"/>
      <c r="AB372" s="4"/>
    </row>
    <row r="373" spans="1:28" ht="12.75" hidden="1">
      <c r="A373" s="4"/>
      <c r="B373" s="4"/>
      <c r="C373" s="4"/>
      <c r="D373" s="15"/>
      <c r="E373" s="4"/>
      <c r="F373" s="4"/>
      <c r="G373" s="4"/>
      <c r="H373" s="4"/>
      <c r="I373" s="4"/>
      <c r="J373" s="4"/>
      <c r="K373" s="4"/>
      <c r="L373" s="4"/>
      <c r="M373" s="4"/>
      <c r="N373" s="4"/>
      <c r="O373" s="4"/>
      <c r="P373" s="4"/>
      <c r="Q373" s="4"/>
      <c r="R373" s="4"/>
      <c r="S373" s="4"/>
      <c r="T373" s="4"/>
      <c r="U373" s="4"/>
      <c r="V373" s="4"/>
      <c r="W373" s="4"/>
      <c r="X373" s="4"/>
      <c r="Y373" s="4"/>
      <c r="Z373" s="4"/>
      <c r="AA373" s="4"/>
      <c r="AB373" s="4"/>
    </row>
    <row r="374" spans="1:28" ht="12.75" hidden="1">
      <c r="A374" s="4"/>
      <c r="B374" s="4"/>
      <c r="C374" s="4"/>
      <c r="D374" s="15"/>
      <c r="E374" s="4"/>
      <c r="F374" s="4"/>
      <c r="G374" s="4"/>
      <c r="H374" s="4"/>
      <c r="I374" s="4"/>
      <c r="J374" s="4"/>
      <c r="K374" s="4"/>
      <c r="L374" s="4"/>
      <c r="M374" s="4"/>
      <c r="N374" s="4"/>
      <c r="O374" s="4"/>
      <c r="P374" s="4"/>
      <c r="Q374" s="4"/>
      <c r="R374" s="4"/>
      <c r="S374" s="4"/>
      <c r="T374" s="4"/>
      <c r="U374" s="4"/>
      <c r="V374" s="4"/>
      <c r="W374" s="4"/>
      <c r="X374" s="4"/>
      <c r="Y374" s="4"/>
      <c r="Z374" s="4"/>
      <c r="AA374" s="4"/>
      <c r="AB374" s="4"/>
    </row>
    <row r="375" spans="1:28" ht="12.75" hidden="1">
      <c r="A375" s="4"/>
      <c r="B375" s="4"/>
      <c r="C375" s="4"/>
      <c r="D375" s="15"/>
      <c r="E375" s="4"/>
      <c r="F375" s="4"/>
      <c r="G375" s="4"/>
      <c r="H375" s="4"/>
      <c r="I375" s="4"/>
      <c r="J375" s="4"/>
      <c r="K375" s="4"/>
      <c r="L375" s="4"/>
      <c r="M375" s="4"/>
      <c r="N375" s="4"/>
      <c r="O375" s="4"/>
      <c r="P375" s="4"/>
      <c r="Q375" s="4"/>
      <c r="R375" s="4"/>
      <c r="S375" s="4"/>
      <c r="T375" s="4"/>
      <c r="U375" s="4"/>
      <c r="V375" s="4"/>
      <c r="W375" s="4"/>
      <c r="X375" s="4"/>
      <c r="Y375" s="4"/>
      <c r="Z375" s="4"/>
      <c r="AA375" s="4"/>
      <c r="AB375" s="4"/>
    </row>
    <row r="376" spans="1:28" ht="12.75" hidden="1">
      <c r="A376" s="4"/>
      <c r="B376" s="4"/>
      <c r="C376" s="4"/>
      <c r="D376" s="15"/>
      <c r="E376" s="4"/>
      <c r="F376" s="4"/>
      <c r="G376" s="4"/>
      <c r="H376" s="4"/>
      <c r="I376" s="4"/>
      <c r="J376" s="4"/>
      <c r="K376" s="4"/>
      <c r="L376" s="4"/>
      <c r="M376" s="4"/>
      <c r="N376" s="4"/>
      <c r="O376" s="4"/>
      <c r="P376" s="4"/>
      <c r="Q376" s="4"/>
      <c r="R376" s="4"/>
      <c r="S376" s="4"/>
      <c r="T376" s="4"/>
      <c r="U376" s="4"/>
      <c r="V376" s="4"/>
      <c r="W376" s="4"/>
      <c r="X376" s="4"/>
      <c r="Y376" s="4"/>
      <c r="Z376" s="4"/>
      <c r="AA376" s="4"/>
      <c r="AB376" s="4"/>
    </row>
    <row r="377" spans="1:28" ht="12.75" hidden="1">
      <c r="A377" s="4"/>
      <c r="B377" s="4"/>
      <c r="C377" s="4"/>
      <c r="D377" s="15"/>
      <c r="E377" s="4"/>
      <c r="F377" s="4"/>
      <c r="G377" s="4"/>
      <c r="H377" s="4"/>
      <c r="I377" s="4"/>
      <c r="J377" s="4"/>
      <c r="K377" s="4"/>
      <c r="L377" s="4"/>
      <c r="M377" s="4"/>
      <c r="N377" s="4"/>
      <c r="O377" s="4"/>
      <c r="P377" s="4"/>
      <c r="Q377" s="4"/>
      <c r="R377" s="4"/>
      <c r="S377" s="4"/>
      <c r="T377" s="4"/>
      <c r="U377" s="4"/>
      <c r="V377" s="4"/>
      <c r="W377" s="4"/>
      <c r="X377" s="4"/>
      <c r="Y377" s="4"/>
      <c r="Z377" s="4"/>
      <c r="AA377" s="4"/>
      <c r="AB377" s="4"/>
    </row>
    <row r="378" spans="1:28" ht="12.75" hidden="1">
      <c r="A378" s="4"/>
      <c r="B378" s="4"/>
      <c r="C378" s="4"/>
      <c r="D378" s="15"/>
      <c r="E378" s="4"/>
      <c r="F378" s="4"/>
      <c r="G378" s="4"/>
      <c r="H378" s="4"/>
      <c r="I378" s="4"/>
      <c r="J378" s="4"/>
      <c r="K378" s="4"/>
      <c r="L378" s="4"/>
      <c r="M378" s="4"/>
      <c r="N378" s="4"/>
      <c r="O378" s="4"/>
      <c r="P378" s="4"/>
      <c r="Q378" s="4"/>
      <c r="R378" s="4"/>
      <c r="S378" s="4"/>
      <c r="T378" s="4"/>
      <c r="U378" s="4"/>
      <c r="V378" s="4"/>
      <c r="W378" s="4"/>
      <c r="X378" s="4"/>
      <c r="Y378" s="4"/>
      <c r="Z378" s="4"/>
      <c r="AA378" s="4"/>
      <c r="AB378" s="4"/>
    </row>
    <row r="379" spans="1:28" ht="12.75" hidden="1">
      <c r="A379" s="4"/>
      <c r="B379" s="4"/>
      <c r="C379" s="4"/>
      <c r="D379" s="15"/>
      <c r="E379" s="4"/>
      <c r="F379" s="4"/>
      <c r="G379" s="4"/>
      <c r="H379" s="4"/>
      <c r="I379" s="4"/>
      <c r="J379" s="4"/>
      <c r="K379" s="4"/>
      <c r="L379" s="4"/>
      <c r="M379" s="4"/>
      <c r="N379" s="4"/>
      <c r="O379" s="4"/>
      <c r="P379" s="4"/>
      <c r="Q379" s="4"/>
      <c r="R379" s="4"/>
      <c r="S379" s="4"/>
      <c r="T379" s="4"/>
      <c r="U379" s="4"/>
      <c r="V379" s="4"/>
      <c r="W379" s="4"/>
      <c r="X379" s="4"/>
      <c r="Y379" s="4"/>
      <c r="Z379" s="4"/>
      <c r="AA379" s="4"/>
      <c r="AB379" s="4"/>
    </row>
    <row r="380" spans="1:28" ht="12.75" hidden="1">
      <c r="A380" s="4"/>
      <c r="B380" s="4"/>
      <c r="C380" s="4"/>
      <c r="D380" s="15"/>
      <c r="E380" s="4"/>
      <c r="F380" s="4"/>
      <c r="G380" s="4"/>
      <c r="H380" s="4"/>
      <c r="I380" s="4"/>
      <c r="J380" s="4"/>
      <c r="K380" s="4"/>
      <c r="L380" s="4"/>
      <c r="M380" s="4"/>
      <c r="N380" s="4"/>
      <c r="O380" s="4"/>
      <c r="P380" s="4"/>
      <c r="Q380" s="4"/>
      <c r="R380" s="4"/>
      <c r="S380" s="4"/>
      <c r="T380" s="4"/>
      <c r="U380" s="4"/>
      <c r="V380" s="4"/>
      <c r="W380" s="4"/>
      <c r="X380" s="4"/>
      <c r="Y380" s="4"/>
      <c r="Z380" s="4"/>
      <c r="AA380" s="4"/>
      <c r="AB380" s="4"/>
    </row>
    <row r="381" spans="1:28" ht="12.75" hidden="1">
      <c r="A381" s="4"/>
      <c r="B381" s="4"/>
      <c r="C381" s="4"/>
      <c r="D381" s="15"/>
      <c r="E381" s="4"/>
      <c r="F381" s="4"/>
      <c r="G381" s="4"/>
      <c r="H381" s="4"/>
      <c r="I381" s="4"/>
      <c r="J381" s="4"/>
      <c r="K381" s="4"/>
      <c r="L381" s="4"/>
      <c r="M381" s="4"/>
      <c r="N381" s="4"/>
      <c r="O381" s="4"/>
      <c r="P381" s="4"/>
      <c r="Q381" s="4"/>
      <c r="R381" s="4"/>
      <c r="S381" s="4"/>
      <c r="T381" s="4"/>
      <c r="U381" s="4"/>
      <c r="V381" s="4"/>
      <c r="W381" s="4"/>
      <c r="X381" s="4"/>
      <c r="Y381" s="4"/>
      <c r="Z381" s="4"/>
      <c r="AA381" s="4"/>
      <c r="AB381" s="4"/>
    </row>
    <row r="382" spans="1:28" ht="12.75" hidden="1">
      <c r="A382" s="4"/>
      <c r="B382" s="4"/>
      <c r="C382" s="4"/>
      <c r="D382" s="15"/>
      <c r="E382" s="4"/>
      <c r="F382" s="4"/>
      <c r="G382" s="4"/>
      <c r="H382" s="4"/>
      <c r="I382" s="4"/>
      <c r="J382" s="4"/>
      <c r="K382" s="4"/>
      <c r="L382" s="4"/>
      <c r="M382" s="4"/>
      <c r="N382" s="4"/>
      <c r="O382" s="4"/>
      <c r="P382" s="4"/>
      <c r="Q382" s="4"/>
      <c r="R382" s="4"/>
      <c r="S382" s="4"/>
      <c r="T382" s="4"/>
      <c r="U382" s="4"/>
      <c r="V382" s="4"/>
      <c r="W382" s="4"/>
      <c r="X382" s="4"/>
      <c r="Y382" s="4"/>
      <c r="Z382" s="4"/>
      <c r="AA382" s="4"/>
      <c r="AB382" s="4"/>
    </row>
    <row r="383" spans="1:28" ht="12.75" hidden="1">
      <c r="A383" s="4"/>
      <c r="B383" s="4"/>
      <c r="C383" s="4"/>
      <c r="D383" s="15"/>
      <c r="E383" s="4"/>
      <c r="F383" s="4"/>
      <c r="G383" s="4"/>
      <c r="H383" s="4"/>
      <c r="I383" s="4"/>
      <c r="J383" s="4"/>
      <c r="K383" s="4"/>
      <c r="L383" s="4"/>
      <c r="M383" s="4"/>
      <c r="N383" s="4"/>
      <c r="O383" s="4"/>
      <c r="P383" s="4"/>
      <c r="Q383" s="4"/>
      <c r="R383" s="4"/>
      <c r="S383" s="4"/>
      <c r="T383" s="4"/>
      <c r="U383" s="4"/>
      <c r="V383" s="4"/>
      <c r="W383" s="4"/>
      <c r="X383" s="4"/>
      <c r="Y383" s="4"/>
      <c r="Z383" s="4"/>
      <c r="AA383" s="4"/>
      <c r="AB383" s="4"/>
    </row>
    <row r="384" spans="1:28" ht="12.75" hidden="1">
      <c r="A384" s="4"/>
      <c r="B384" s="4"/>
      <c r="C384" s="4"/>
      <c r="D384" s="15"/>
      <c r="E384" s="4"/>
      <c r="F384" s="4"/>
      <c r="G384" s="4"/>
      <c r="H384" s="4"/>
      <c r="I384" s="4"/>
      <c r="J384" s="4"/>
      <c r="K384" s="4"/>
      <c r="L384" s="4"/>
      <c r="M384" s="4"/>
      <c r="N384" s="4"/>
      <c r="O384" s="4"/>
      <c r="P384" s="4"/>
      <c r="Q384" s="4"/>
      <c r="R384" s="4"/>
      <c r="S384" s="4"/>
      <c r="T384" s="4"/>
      <c r="U384" s="4"/>
      <c r="V384" s="4"/>
      <c r="W384" s="4"/>
      <c r="X384" s="4"/>
      <c r="Y384" s="4"/>
      <c r="Z384" s="4"/>
      <c r="AA384" s="4"/>
      <c r="AB384" s="4"/>
    </row>
    <row r="385" spans="1:28" ht="12.75" hidden="1">
      <c r="A385" s="4"/>
      <c r="B385" s="4"/>
      <c r="C385" s="4"/>
      <c r="D385" s="15"/>
      <c r="E385" s="4"/>
      <c r="F385" s="4"/>
      <c r="G385" s="4"/>
      <c r="H385" s="4"/>
      <c r="I385" s="4"/>
      <c r="J385" s="4"/>
      <c r="K385" s="4"/>
      <c r="L385" s="4"/>
      <c r="M385" s="4"/>
      <c r="N385" s="4"/>
      <c r="O385" s="4"/>
      <c r="P385" s="4"/>
      <c r="Q385" s="4"/>
      <c r="R385" s="4"/>
      <c r="S385" s="4"/>
      <c r="T385" s="4"/>
      <c r="U385" s="4"/>
      <c r="V385" s="4"/>
      <c r="W385" s="4"/>
      <c r="X385" s="4"/>
      <c r="Y385" s="4"/>
      <c r="Z385" s="4"/>
      <c r="AA385" s="4"/>
      <c r="AB385" s="4"/>
    </row>
    <row r="386" spans="1:28" ht="12.75" hidden="1">
      <c r="A386" s="4"/>
      <c r="B386" s="4"/>
      <c r="C386" s="4"/>
      <c r="D386" s="15"/>
      <c r="E386" s="4"/>
      <c r="F386" s="4"/>
      <c r="G386" s="4"/>
      <c r="H386" s="4"/>
      <c r="I386" s="4"/>
      <c r="J386" s="4"/>
      <c r="K386" s="4"/>
      <c r="L386" s="4"/>
      <c r="M386" s="4"/>
      <c r="N386" s="4"/>
      <c r="O386" s="4"/>
      <c r="P386" s="4"/>
      <c r="Q386" s="4"/>
      <c r="R386" s="4"/>
      <c r="S386" s="4"/>
      <c r="T386" s="4"/>
      <c r="U386" s="4"/>
      <c r="V386" s="4"/>
      <c r="W386" s="4"/>
      <c r="X386" s="4"/>
      <c r="Y386" s="4"/>
      <c r="Z386" s="4"/>
      <c r="AA386" s="4"/>
      <c r="AB386" s="4"/>
    </row>
    <row r="387" spans="1:28" ht="12.75" hidden="1">
      <c r="A387" s="4"/>
      <c r="B387" s="4"/>
      <c r="C387" s="4"/>
      <c r="D387" s="15"/>
      <c r="E387" s="4"/>
      <c r="F387" s="4"/>
      <c r="G387" s="4"/>
      <c r="H387" s="4"/>
      <c r="I387" s="4"/>
      <c r="J387" s="4"/>
      <c r="K387" s="4"/>
      <c r="L387" s="4"/>
      <c r="M387" s="4"/>
      <c r="N387" s="4"/>
      <c r="O387" s="4"/>
      <c r="P387" s="4"/>
      <c r="Q387" s="4"/>
      <c r="R387" s="4"/>
      <c r="S387" s="4"/>
      <c r="T387" s="4"/>
      <c r="U387" s="4"/>
      <c r="V387" s="4"/>
      <c r="W387" s="4"/>
      <c r="X387" s="4"/>
      <c r="Y387" s="4"/>
      <c r="Z387" s="4"/>
      <c r="AA387" s="4"/>
      <c r="AB387" s="4"/>
    </row>
    <row r="388" spans="1:28" ht="12.75" hidden="1">
      <c r="A388" s="4"/>
      <c r="B388" s="4"/>
      <c r="C388" s="4"/>
      <c r="D388" s="15"/>
      <c r="E388" s="4"/>
      <c r="F388" s="4"/>
      <c r="G388" s="4"/>
      <c r="H388" s="4"/>
      <c r="I388" s="4"/>
      <c r="J388" s="4"/>
      <c r="K388" s="4"/>
      <c r="L388" s="4"/>
      <c r="M388" s="4"/>
      <c r="N388" s="4"/>
      <c r="O388" s="4"/>
      <c r="P388" s="4"/>
      <c r="Q388" s="4"/>
      <c r="R388" s="4"/>
      <c r="S388" s="4"/>
      <c r="T388" s="4"/>
      <c r="U388" s="4"/>
      <c r="V388" s="4"/>
      <c r="W388" s="4"/>
      <c r="X388" s="4"/>
      <c r="Y388" s="4"/>
      <c r="Z388" s="4"/>
      <c r="AA388" s="4"/>
      <c r="AB388" s="4"/>
    </row>
    <row r="389" spans="1:28" ht="12.75" hidden="1">
      <c r="A389" s="4"/>
      <c r="B389" s="4"/>
      <c r="C389" s="4"/>
      <c r="D389" s="15"/>
      <c r="E389" s="4"/>
      <c r="F389" s="4"/>
      <c r="G389" s="4"/>
      <c r="H389" s="4"/>
      <c r="I389" s="4"/>
      <c r="J389" s="4"/>
      <c r="K389" s="4"/>
      <c r="L389" s="4"/>
      <c r="M389" s="4"/>
      <c r="N389" s="4"/>
      <c r="O389" s="4"/>
      <c r="P389" s="4"/>
      <c r="Q389" s="4"/>
      <c r="R389" s="4"/>
      <c r="S389" s="4"/>
      <c r="T389" s="4"/>
      <c r="U389" s="4"/>
      <c r="V389" s="4"/>
      <c r="W389" s="4"/>
      <c r="X389" s="4"/>
      <c r="Y389" s="4"/>
      <c r="Z389" s="4"/>
      <c r="AA389" s="4"/>
      <c r="AB389" s="4"/>
    </row>
    <row r="390" spans="1:28" ht="12.75" hidden="1">
      <c r="A390" s="4"/>
      <c r="B390" s="4"/>
      <c r="C390" s="4"/>
      <c r="D390" s="15"/>
      <c r="E390" s="4"/>
      <c r="F390" s="4"/>
      <c r="G390" s="4"/>
      <c r="H390" s="4"/>
      <c r="I390" s="4"/>
      <c r="J390" s="4"/>
      <c r="K390" s="4"/>
      <c r="L390" s="4"/>
      <c r="M390" s="4"/>
      <c r="N390" s="4"/>
      <c r="O390" s="4"/>
      <c r="P390" s="4"/>
      <c r="Q390" s="4"/>
      <c r="R390" s="4"/>
      <c r="S390" s="4"/>
      <c r="T390" s="4"/>
      <c r="U390" s="4"/>
      <c r="V390" s="4"/>
      <c r="W390" s="4"/>
      <c r="X390" s="4"/>
      <c r="Y390" s="4"/>
      <c r="Z390" s="4"/>
      <c r="AA390" s="4"/>
      <c r="AB390" s="4"/>
    </row>
    <row r="391" spans="1:28" ht="12.75" hidden="1">
      <c r="A391" s="4"/>
      <c r="B391" s="4"/>
      <c r="C391" s="4"/>
      <c r="D391" s="15"/>
      <c r="E391" s="4"/>
      <c r="F391" s="4"/>
      <c r="G391" s="4"/>
      <c r="H391" s="4"/>
      <c r="I391" s="4"/>
      <c r="J391" s="4"/>
      <c r="K391" s="4"/>
      <c r="L391" s="4"/>
      <c r="M391" s="4"/>
      <c r="N391" s="4"/>
      <c r="O391" s="4"/>
      <c r="P391" s="4"/>
      <c r="Q391" s="4"/>
      <c r="R391" s="4"/>
      <c r="S391" s="4"/>
      <c r="T391" s="4"/>
      <c r="U391" s="4"/>
      <c r="V391" s="4"/>
      <c r="W391" s="4"/>
      <c r="X391" s="4"/>
      <c r="Y391" s="4"/>
      <c r="Z391" s="4"/>
      <c r="AA391" s="4"/>
      <c r="AB391" s="4"/>
    </row>
    <row r="392" spans="1:28" ht="12.75" hidden="1">
      <c r="A392" s="4"/>
      <c r="B392" s="4"/>
      <c r="C392" s="4"/>
      <c r="D392" s="15"/>
      <c r="E392" s="4"/>
      <c r="F392" s="4"/>
      <c r="G392" s="4"/>
      <c r="H392" s="4"/>
      <c r="I392" s="4"/>
      <c r="J392" s="4"/>
      <c r="K392" s="4"/>
      <c r="L392" s="4"/>
      <c r="M392" s="4"/>
      <c r="N392" s="4"/>
      <c r="O392" s="4"/>
      <c r="P392" s="4"/>
      <c r="Q392" s="4"/>
      <c r="R392" s="4"/>
      <c r="S392" s="4"/>
      <c r="T392" s="4"/>
      <c r="U392" s="4"/>
      <c r="V392" s="4"/>
      <c r="W392" s="4"/>
      <c r="X392" s="4"/>
      <c r="Y392" s="4"/>
      <c r="Z392" s="4"/>
      <c r="AA392" s="4"/>
      <c r="AB392" s="4"/>
    </row>
    <row r="393" spans="1:28" ht="12.75" hidden="1">
      <c r="A393" s="4"/>
      <c r="B393" s="4"/>
      <c r="C393" s="4"/>
      <c r="D393" s="15"/>
      <c r="E393" s="4"/>
      <c r="F393" s="4"/>
      <c r="G393" s="4"/>
      <c r="H393" s="4"/>
      <c r="I393" s="4"/>
      <c r="J393" s="4"/>
      <c r="K393" s="4"/>
      <c r="L393" s="4"/>
      <c r="M393" s="4"/>
      <c r="N393" s="4"/>
      <c r="O393" s="4"/>
      <c r="P393" s="4"/>
      <c r="Q393" s="4"/>
      <c r="R393" s="4"/>
      <c r="S393" s="4"/>
      <c r="T393" s="4"/>
      <c r="U393" s="4"/>
      <c r="V393" s="4"/>
      <c r="W393" s="4"/>
      <c r="X393" s="4"/>
      <c r="Y393" s="4"/>
      <c r="Z393" s="4"/>
      <c r="AA393" s="4"/>
      <c r="AB393" s="4"/>
    </row>
    <row r="394" spans="1:28" ht="12.75" hidden="1">
      <c r="A394" s="4"/>
      <c r="B394" s="4"/>
      <c r="C394" s="4"/>
      <c r="D394" s="15"/>
      <c r="E394" s="4"/>
      <c r="F394" s="4"/>
      <c r="G394" s="4"/>
      <c r="H394" s="4"/>
      <c r="I394" s="4"/>
      <c r="J394" s="4"/>
      <c r="K394" s="4"/>
      <c r="L394" s="4"/>
      <c r="M394" s="4"/>
      <c r="N394" s="4"/>
      <c r="O394" s="4"/>
      <c r="P394" s="4"/>
      <c r="Q394" s="4"/>
      <c r="R394" s="4"/>
      <c r="S394" s="4"/>
      <c r="T394" s="4"/>
      <c r="U394" s="4"/>
      <c r="V394" s="4"/>
      <c r="W394" s="4"/>
      <c r="X394" s="4"/>
      <c r="Y394" s="4"/>
      <c r="Z394" s="4"/>
      <c r="AA394" s="4"/>
      <c r="AB394" s="4"/>
    </row>
    <row r="395" spans="1:28" ht="12.75" hidden="1">
      <c r="A395" s="4"/>
      <c r="B395" s="4"/>
      <c r="C395" s="4"/>
      <c r="D395" s="15"/>
      <c r="E395" s="4"/>
      <c r="F395" s="4"/>
      <c r="G395" s="4"/>
      <c r="H395" s="4"/>
      <c r="I395" s="4"/>
      <c r="J395" s="4"/>
      <c r="K395" s="4"/>
      <c r="L395" s="4"/>
      <c r="M395" s="4"/>
      <c r="N395" s="4"/>
      <c r="O395" s="4"/>
      <c r="P395" s="4"/>
      <c r="Q395" s="4"/>
      <c r="R395" s="4"/>
      <c r="S395" s="4"/>
      <c r="T395" s="4"/>
      <c r="U395" s="4"/>
      <c r="V395" s="4"/>
      <c r="W395" s="4"/>
      <c r="X395" s="4"/>
      <c r="Y395" s="4"/>
      <c r="Z395" s="4"/>
      <c r="AA395" s="4"/>
      <c r="AB395" s="4"/>
    </row>
    <row r="396" spans="1:28" ht="12.75" hidden="1">
      <c r="A396" s="4"/>
      <c r="B396" s="4"/>
      <c r="C396" s="4"/>
      <c r="D396" s="15"/>
      <c r="E396" s="4"/>
      <c r="F396" s="4"/>
      <c r="G396" s="4"/>
      <c r="H396" s="4"/>
      <c r="I396" s="4"/>
      <c r="J396" s="4"/>
      <c r="K396" s="4"/>
      <c r="L396" s="4"/>
      <c r="M396" s="4"/>
      <c r="N396" s="4"/>
      <c r="O396" s="4"/>
      <c r="P396" s="4"/>
      <c r="Q396" s="4"/>
      <c r="R396" s="4"/>
      <c r="S396" s="4"/>
      <c r="T396" s="4"/>
      <c r="U396" s="4"/>
      <c r="V396" s="4"/>
      <c r="W396" s="4"/>
      <c r="X396" s="4"/>
      <c r="Y396" s="4"/>
      <c r="Z396" s="4"/>
      <c r="AA396" s="4"/>
      <c r="AB396" s="4"/>
    </row>
    <row r="397" spans="1:28" ht="12.75" hidden="1">
      <c r="A397" s="4"/>
      <c r="B397" s="4"/>
      <c r="C397" s="4"/>
      <c r="D397" s="15"/>
      <c r="E397" s="4"/>
      <c r="F397" s="4"/>
      <c r="G397" s="4"/>
      <c r="H397" s="4"/>
      <c r="I397" s="4"/>
      <c r="J397" s="4"/>
      <c r="K397" s="4"/>
      <c r="L397" s="4"/>
      <c r="M397" s="4"/>
      <c r="N397" s="4"/>
      <c r="O397" s="4"/>
      <c r="P397" s="4"/>
      <c r="Q397" s="4"/>
      <c r="R397" s="4"/>
      <c r="S397" s="4"/>
      <c r="T397" s="4"/>
      <c r="U397" s="4"/>
      <c r="V397" s="4"/>
      <c r="W397" s="4"/>
      <c r="X397" s="4"/>
      <c r="Y397" s="4"/>
      <c r="Z397" s="4"/>
      <c r="AA397" s="4"/>
      <c r="AB397" s="4"/>
    </row>
    <row r="398" spans="1:28" ht="12.75" hidden="1">
      <c r="A398" s="4"/>
      <c r="B398" s="4"/>
      <c r="C398" s="4"/>
      <c r="D398" s="15"/>
      <c r="E398" s="4"/>
      <c r="F398" s="4"/>
      <c r="G398" s="4"/>
      <c r="H398" s="4"/>
      <c r="I398" s="4"/>
      <c r="J398" s="4"/>
      <c r="K398" s="4"/>
      <c r="L398" s="4"/>
      <c r="M398" s="4"/>
      <c r="N398" s="4"/>
      <c r="O398" s="4"/>
      <c r="P398" s="4"/>
      <c r="Q398" s="4"/>
      <c r="R398" s="4"/>
      <c r="S398" s="4"/>
      <c r="T398" s="4"/>
      <c r="U398" s="4"/>
      <c r="V398" s="4"/>
      <c r="W398" s="4"/>
      <c r="X398" s="4"/>
      <c r="Y398" s="4"/>
      <c r="Z398" s="4"/>
      <c r="AA398" s="4"/>
      <c r="AB398" s="4"/>
    </row>
    <row r="399" spans="1:28" ht="12.75" hidden="1">
      <c r="A399" s="4"/>
      <c r="B399" s="4"/>
      <c r="C399" s="4"/>
      <c r="D399" s="15"/>
      <c r="E399" s="4"/>
      <c r="F399" s="4"/>
      <c r="G399" s="4"/>
      <c r="H399" s="4"/>
      <c r="I399" s="4"/>
      <c r="J399" s="4"/>
      <c r="K399" s="4"/>
      <c r="L399" s="4"/>
      <c r="M399" s="4"/>
      <c r="N399" s="4"/>
      <c r="O399" s="4"/>
      <c r="P399" s="4"/>
      <c r="Q399" s="4"/>
      <c r="R399" s="4"/>
      <c r="S399" s="4"/>
      <c r="T399" s="4"/>
      <c r="U399" s="4"/>
      <c r="V399" s="4"/>
      <c r="W399" s="4"/>
      <c r="X399" s="4"/>
      <c r="Y399" s="4"/>
      <c r="Z399" s="4"/>
      <c r="AA399" s="4"/>
      <c r="AB399" s="4"/>
    </row>
    <row r="400" spans="1:28" ht="12.75" hidden="1">
      <c r="A400" s="4"/>
      <c r="B400" s="4"/>
      <c r="C400" s="4"/>
      <c r="D400" s="15"/>
      <c r="E400" s="4"/>
      <c r="F400" s="4"/>
      <c r="G400" s="4"/>
      <c r="H400" s="4"/>
      <c r="I400" s="4"/>
      <c r="J400" s="4"/>
      <c r="K400" s="4"/>
      <c r="L400" s="4"/>
      <c r="M400" s="4"/>
      <c r="N400" s="4"/>
      <c r="O400" s="4"/>
      <c r="P400" s="4"/>
      <c r="Q400" s="4"/>
      <c r="R400" s="4"/>
      <c r="S400" s="4"/>
      <c r="T400" s="4"/>
      <c r="U400" s="4"/>
      <c r="V400" s="4"/>
      <c r="W400" s="4"/>
      <c r="X400" s="4"/>
      <c r="Y400" s="4"/>
      <c r="Z400" s="4"/>
      <c r="AA400" s="4"/>
      <c r="AB400" s="4"/>
    </row>
    <row r="401" spans="1:28" ht="12.75" hidden="1">
      <c r="A401" s="4"/>
      <c r="B401" s="4"/>
      <c r="C401" s="4"/>
      <c r="D401" s="15"/>
      <c r="E401" s="4"/>
      <c r="F401" s="4"/>
      <c r="G401" s="4"/>
      <c r="H401" s="4"/>
      <c r="I401" s="4"/>
      <c r="J401" s="4"/>
      <c r="K401" s="4"/>
      <c r="L401" s="4"/>
      <c r="M401" s="4"/>
      <c r="N401" s="4"/>
      <c r="O401" s="4"/>
      <c r="P401" s="4"/>
      <c r="Q401" s="4"/>
      <c r="R401" s="4"/>
      <c r="S401" s="4"/>
      <c r="T401" s="4"/>
      <c r="U401" s="4"/>
      <c r="V401" s="4"/>
      <c r="W401" s="4"/>
      <c r="X401" s="4"/>
      <c r="Y401" s="4"/>
      <c r="Z401" s="4"/>
      <c r="AA401" s="4"/>
      <c r="AB401" s="4"/>
    </row>
    <row r="402" spans="1:28" ht="12.75" hidden="1">
      <c r="A402" s="4"/>
      <c r="B402" s="4"/>
      <c r="C402" s="4"/>
      <c r="D402" s="15"/>
      <c r="E402" s="4"/>
      <c r="F402" s="4"/>
      <c r="G402" s="4"/>
      <c r="H402" s="4"/>
      <c r="I402" s="4"/>
      <c r="J402" s="4"/>
      <c r="K402" s="4"/>
      <c r="L402" s="4"/>
      <c r="M402" s="4"/>
      <c r="N402" s="4"/>
      <c r="O402" s="4"/>
      <c r="P402" s="4"/>
      <c r="Q402" s="4"/>
      <c r="R402" s="4"/>
      <c r="S402" s="4"/>
      <c r="T402" s="4"/>
      <c r="U402" s="4"/>
      <c r="V402" s="4"/>
      <c r="W402" s="4"/>
      <c r="X402" s="4"/>
      <c r="Y402" s="4"/>
      <c r="Z402" s="4"/>
      <c r="AA402" s="4"/>
      <c r="AB402" s="4"/>
    </row>
    <row r="403" spans="1:28" ht="12.75" hidden="1">
      <c r="A403" s="4"/>
      <c r="B403" s="4"/>
      <c r="C403" s="4"/>
      <c r="D403" s="15"/>
      <c r="E403" s="4"/>
      <c r="F403" s="4"/>
      <c r="G403" s="4"/>
      <c r="H403" s="4"/>
      <c r="I403" s="4"/>
      <c r="J403" s="4"/>
      <c r="K403" s="4"/>
      <c r="L403" s="4"/>
      <c r="M403" s="4"/>
      <c r="N403" s="4"/>
      <c r="O403" s="4"/>
      <c r="P403" s="4"/>
      <c r="Q403" s="4"/>
      <c r="R403" s="4"/>
      <c r="S403" s="4"/>
      <c r="T403" s="4"/>
      <c r="U403" s="4"/>
      <c r="V403" s="4"/>
      <c r="W403" s="4"/>
      <c r="X403" s="4"/>
      <c r="Y403" s="4"/>
      <c r="Z403" s="4"/>
      <c r="AA403" s="4"/>
      <c r="AB403" s="4"/>
    </row>
    <row r="404" spans="1:28" ht="12.75" hidden="1">
      <c r="A404" s="4"/>
      <c r="B404" s="4"/>
      <c r="C404" s="4"/>
      <c r="D404" s="15"/>
      <c r="E404" s="4"/>
      <c r="F404" s="4"/>
      <c r="G404" s="4"/>
      <c r="H404" s="4"/>
      <c r="I404" s="4"/>
      <c r="J404" s="4"/>
      <c r="K404" s="4"/>
      <c r="L404" s="4"/>
      <c r="M404" s="4"/>
      <c r="N404" s="4"/>
      <c r="O404" s="4"/>
      <c r="P404" s="4"/>
      <c r="Q404" s="4"/>
      <c r="R404" s="4"/>
      <c r="S404" s="4"/>
      <c r="T404" s="4"/>
      <c r="U404" s="4"/>
      <c r="V404" s="4"/>
      <c r="W404" s="4"/>
      <c r="X404" s="4"/>
      <c r="Y404" s="4"/>
      <c r="Z404" s="4"/>
      <c r="AA404" s="4"/>
      <c r="AB404" s="4"/>
    </row>
    <row r="405" spans="1:28" ht="12.75" hidden="1">
      <c r="A405" s="4"/>
      <c r="B405" s="4"/>
      <c r="C405" s="4"/>
      <c r="D405" s="15"/>
      <c r="E405" s="4"/>
      <c r="F405" s="4"/>
      <c r="G405" s="4"/>
      <c r="H405" s="4"/>
      <c r="I405" s="4"/>
      <c r="J405" s="4"/>
      <c r="K405" s="4"/>
      <c r="L405" s="4"/>
      <c r="M405" s="4"/>
      <c r="N405" s="4"/>
      <c r="O405" s="4"/>
      <c r="P405" s="4"/>
      <c r="Q405" s="4"/>
      <c r="R405" s="4"/>
      <c r="S405" s="4"/>
      <c r="T405" s="4"/>
      <c r="U405" s="4"/>
      <c r="V405" s="4"/>
      <c r="W405" s="4"/>
      <c r="X405" s="4"/>
      <c r="Y405" s="4"/>
      <c r="Z405" s="4"/>
      <c r="AA405" s="4"/>
      <c r="AB405" s="4"/>
    </row>
    <row r="406" spans="1:28" ht="12.75" hidden="1">
      <c r="A406" s="4"/>
      <c r="B406" s="4"/>
      <c r="C406" s="4"/>
      <c r="D406" s="15"/>
      <c r="E406" s="4"/>
      <c r="F406" s="4"/>
      <c r="G406" s="4"/>
      <c r="H406" s="4"/>
      <c r="I406" s="4"/>
      <c r="J406" s="4"/>
      <c r="K406" s="4"/>
      <c r="L406" s="4"/>
      <c r="M406" s="4"/>
      <c r="N406" s="4"/>
      <c r="O406" s="4"/>
      <c r="P406" s="4"/>
      <c r="Q406" s="4"/>
      <c r="R406" s="4"/>
      <c r="S406" s="4"/>
      <c r="T406" s="4"/>
      <c r="U406" s="4"/>
      <c r="V406" s="4"/>
      <c r="W406" s="4"/>
      <c r="X406" s="4"/>
      <c r="Y406" s="4"/>
      <c r="Z406" s="4"/>
      <c r="AA406" s="4"/>
      <c r="AB406" s="4"/>
    </row>
    <row r="407" spans="1:28" ht="12.75" hidden="1">
      <c r="A407" s="4"/>
      <c r="B407" s="4"/>
      <c r="C407" s="4"/>
      <c r="D407" s="15"/>
      <c r="E407" s="4"/>
      <c r="F407" s="4"/>
      <c r="G407" s="4"/>
      <c r="H407" s="4"/>
      <c r="I407" s="4"/>
      <c r="J407" s="4"/>
      <c r="K407" s="4"/>
      <c r="L407" s="4"/>
      <c r="M407" s="4"/>
      <c r="N407" s="4"/>
      <c r="O407" s="4"/>
      <c r="P407" s="4"/>
      <c r="Q407" s="4"/>
      <c r="R407" s="4"/>
      <c r="S407" s="4"/>
      <c r="T407" s="4"/>
      <c r="U407" s="4"/>
      <c r="V407" s="4"/>
      <c r="W407" s="4"/>
      <c r="X407" s="4"/>
      <c r="Y407" s="4"/>
      <c r="Z407" s="4"/>
      <c r="AA407" s="4"/>
      <c r="AB407" s="4"/>
    </row>
    <row r="408" spans="1:28" ht="12.75" hidden="1">
      <c r="A408" s="4"/>
      <c r="B408" s="4"/>
      <c r="C408" s="4"/>
      <c r="D408" s="15"/>
      <c r="E408" s="4"/>
      <c r="F408" s="4"/>
      <c r="G408" s="4"/>
      <c r="H408" s="4"/>
      <c r="I408" s="4"/>
      <c r="J408" s="4"/>
      <c r="K408" s="4"/>
      <c r="L408" s="4"/>
      <c r="M408" s="4"/>
      <c r="N408" s="4"/>
      <c r="O408" s="4"/>
      <c r="P408" s="4"/>
      <c r="Q408" s="4"/>
      <c r="R408" s="4"/>
      <c r="S408" s="4"/>
      <c r="T408" s="4"/>
      <c r="U408" s="4"/>
      <c r="V408" s="4"/>
      <c r="W408" s="4"/>
      <c r="X408" s="4"/>
      <c r="Y408" s="4"/>
      <c r="Z408" s="4"/>
      <c r="AA408" s="4"/>
      <c r="AB408" s="4"/>
    </row>
    <row r="409" spans="1:28" ht="12.75" hidden="1">
      <c r="A409" s="4"/>
      <c r="B409" s="4"/>
      <c r="C409" s="4"/>
      <c r="D409" s="15"/>
      <c r="E409" s="4"/>
      <c r="F409" s="4"/>
      <c r="G409" s="4"/>
      <c r="H409" s="4"/>
      <c r="I409" s="4"/>
      <c r="J409" s="4"/>
      <c r="K409" s="4"/>
      <c r="L409" s="4"/>
      <c r="M409" s="4"/>
      <c r="N409" s="4"/>
      <c r="O409" s="4"/>
      <c r="P409" s="4"/>
      <c r="Q409" s="4"/>
      <c r="R409" s="4"/>
      <c r="S409" s="4"/>
      <c r="T409" s="4"/>
      <c r="U409" s="4"/>
      <c r="V409" s="4"/>
      <c r="W409" s="4"/>
      <c r="X409" s="4"/>
      <c r="Y409" s="4"/>
      <c r="Z409" s="4"/>
      <c r="AA409" s="4"/>
      <c r="AB409" s="4"/>
    </row>
    <row r="410" spans="1:28" ht="12.75" hidden="1">
      <c r="A410" s="4"/>
      <c r="B410" s="4"/>
      <c r="C410" s="4"/>
      <c r="D410" s="15"/>
      <c r="E410" s="4"/>
      <c r="F410" s="4"/>
      <c r="G410" s="4"/>
      <c r="H410" s="4"/>
      <c r="I410" s="4"/>
      <c r="J410" s="4"/>
      <c r="K410" s="4"/>
      <c r="L410" s="4"/>
      <c r="M410" s="4"/>
      <c r="N410" s="4"/>
      <c r="O410" s="4"/>
      <c r="P410" s="4"/>
      <c r="Q410" s="4"/>
      <c r="R410" s="4"/>
      <c r="S410" s="4"/>
      <c r="T410" s="4"/>
      <c r="U410" s="4"/>
      <c r="V410" s="4"/>
      <c r="W410" s="4"/>
      <c r="X410" s="4"/>
      <c r="Y410" s="4"/>
      <c r="Z410" s="4"/>
      <c r="AA410" s="4"/>
      <c r="AB410" s="4"/>
    </row>
    <row r="411" spans="1:28" ht="12.75" hidden="1">
      <c r="A411" s="4"/>
      <c r="B411" s="4"/>
      <c r="C411" s="4"/>
      <c r="D411" s="15"/>
      <c r="E411" s="4"/>
      <c r="F411" s="4"/>
      <c r="G411" s="4"/>
      <c r="H411" s="4"/>
      <c r="I411" s="4"/>
      <c r="J411" s="4"/>
      <c r="K411" s="4"/>
      <c r="L411" s="4"/>
      <c r="M411" s="4"/>
      <c r="N411" s="4"/>
      <c r="O411" s="4"/>
      <c r="P411" s="4"/>
      <c r="Q411" s="4"/>
      <c r="R411" s="4"/>
      <c r="S411" s="4"/>
      <c r="T411" s="4"/>
      <c r="U411" s="4"/>
      <c r="V411" s="4"/>
      <c r="W411" s="4"/>
      <c r="X411" s="4"/>
      <c r="Y411" s="4"/>
      <c r="Z411" s="4"/>
      <c r="AA411" s="4"/>
      <c r="AB411" s="4"/>
    </row>
    <row r="412" spans="1:28" ht="12.75" hidden="1">
      <c r="A412" s="4"/>
      <c r="B412" s="4"/>
      <c r="C412" s="4"/>
      <c r="D412" s="15"/>
      <c r="E412" s="4"/>
      <c r="F412" s="4"/>
      <c r="G412" s="4"/>
      <c r="H412" s="4"/>
      <c r="I412" s="4"/>
      <c r="J412" s="4"/>
      <c r="K412" s="4"/>
      <c r="L412" s="4"/>
      <c r="M412" s="4"/>
      <c r="N412" s="4"/>
      <c r="O412" s="4"/>
      <c r="P412" s="4"/>
      <c r="Q412" s="4"/>
      <c r="R412" s="4"/>
      <c r="S412" s="4"/>
      <c r="T412" s="4"/>
      <c r="U412" s="4"/>
      <c r="V412" s="4"/>
      <c r="W412" s="4"/>
      <c r="X412" s="4"/>
      <c r="Y412" s="4"/>
      <c r="Z412" s="4"/>
      <c r="AA412" s="4"/>
      <c r="AB412" s="4"/>
    </row>
    <row r="413" spans="1:28" ht="12.75" hidden="1">
      <c r="A413" s="4"/>
      <c r="B413" s="4"/>
      <c r="C413" s="4"/>
      <c r="D413" s="15"/>
      <c r="E413" s="4"/>
      <c r="F413" s="4"/>
      <c r="G413" s="4"/>
      <c r="H413" s="4"/>
      <c r="I413" s="4"/>
      <c r="J413" s="4"/>
      <c r="K413" s="4"/>
      <c r="L413" s="4"/>
      <c r="M413" s="4"/>
      <c r="N413" s="4"/>
      <c r="O413" s="4"/>
      <c r="P413" s="4"/>
      <c r="Q413" s="4"/>
      <c r="R413" s="4"/>
      <c r="S413" s="4"/>
      <c r="T413" s="4"/>
      <c r="U413" s="4"/>
      <c r="V413" s="4"/>
      <c r="W413" s="4"/>
      <c r="X413" s="4"/>
      <c r="Y413" s="4"/>
      <c r="Z413" s="4"/>
      <c r="AA413" s="4"/>
      <c r="AB413" s="4"/>
    </row>
    <row r="414" spans="1:28" ht="12.75" hidden="1">
      <c r="A414" s="4"/>
      <c r="B414" s="4"/>
      <c r="C414" s="4"/>
      <c r="D414" s="15"/>
      <c r="E414" s="4"/>
      <c r="F414" s="4"/>
      <c r="G414" s="4"/>
      <c r="H414" s="4"/>
      <c r="I414" s="4"/>
      <c r="J414" s="4"/>
      <c r="K414" s="4"/>
      <c r="L414" s="4"/>
      <c r="M414" s="4"/>
      <c r="N414" s="4"/>
      <c r="O414" s="4"/>
      <c r="P414" s="4"/>
      <c r="Q414" s="4"/>
      <c r="R414" s="4"/>
      <c r="S414" s="4"/>
      <c r="T414" s="4"/>
      <c r="U414" s="4"/>
      <c r="V414" s="4"/>
      <c r="W414" s="4"/>
      <c r="X414" s="4"/>
      <c r="Y414" s="4"/>
      <c r="Z414" s="4"/>
      <c r="AA414" s="4"/>
      <c r="AB414" s="4"/>
    </row>
    <row r="415" spans="1:28" ht="12.75" hidden="1">
      <c r="A415" s="4"/>
      <c r="B415" s="4"/>
      <c r="C415" s="4"/>
      <c r="D415" s="15"/>
      <c r="E415" s="4"/>
      <c r="F415" s="4"/>
      <c r="G415" s="4"/>
      <c r="H415" s="4"/>
      <c r="I415" s="4"/>
      <c r="J415" s="4"/>
      <c r="K415" s="4"/>
      <c r="L415" s="4"/>
      <c r="M415" s="4"/>
      <c r="N415" s="4"/>
      <c r="O415" s="4"/>
      <c r="P415" s="4"/>
      <c r="Q415" s="4"/>
      <c r="R415" s="4"/>
      <c r="S415" s="4"/>
      <c r="T415" s="4"/>
      <c r="U415" s="4"/>
      <c r="V415" s="4"/>
      <c r="W415" s="4"/>
      <c r="X415" s="4"/>
      <c r="Y415" s="4"/>
      <c r="Z415" s="4"/>
      <c r="AA415" s="4"/>
      <c r="AB415" s="4"/>
    </row>
    <row r="416" spans="1:28" ht="12.75" hidden="1">
      <c r="A416" s="4"/>
      <c r="B416" s="4"/>
      <c r="C416" s="4"/>
      <c r="D416" s="15"/>
      <c r="E416" s="4"/>
      <c r="F416" s="4"/>
      <c r="G416" s="4"/>
      <c r="H416" s="4"/>
      <c r="I416" s="4"/>
      <c r="J416" s="4"/>
      <c r="K416" s="4"/>
      <c r="L416" s="4"/>
      <c r="M416" s="4"/>
      <c r="N416" s="4"/>
      <c r="O416" s="4"/>
      <c r="P416" s="4"/>
      <c r="Q416" s="4"/>
      <c r="R416" s="4"/>
      <c r="S416" s="4"/>
      <c r="T416" s="4"/>
      <c r="U416" s="4"/>
      <c r="V416" s="4"/>
      <c r="W416" s="4"/>
      <c r="X416" s="4"/>
      <c r="Y416" s="4"/>
      <c r="Z416" s="4"/>
      <c r="AA416" s="4"/>
      <c r="AB416" s="4"/>
    </row>
    <row r="417" spans="1:28" ht="12.75" hidden="1">
      <c r="A417" s="4"/>
      <c r="B417" s="4"/>
      <c r="C417" s="4"/>
      <c r="D417" s="15"/>
      <c r="E417" s="4"/>
      <c r="F417" s="4"/>
      <c r="G417" s="4"/>
      <c r="H417" s="4"/>
      <c r="I417" s="4"/>
      <c r="J417" s="4"/>
      <c r="K417" s="4"/>
      <c r="L417" s="4"/>
      <c r="M417" s="4"/>
      <c r="N417" s="4"/>
      <c r="O417" s="4"/>
      <c r="P417" s="4"/>
      <c r="Q417" s="4"/>
      <c r="R417" s="4"/>
      <c r="S417" s="4"/>
      <c r="T417" s="4"/>
      <c r="U417" s="4"/>
      <c r="V417" s="4"/>
      <c r="W417" s="4"/>
      <c r="X417" s="4"/>
      <c r="Y417" s="4"/>
      <c r="Z417" s="4"/>
      <c r="AA417" s="4"/>
      <c r="AB417" s="4"/>
    </row>
    <row r="418" spans="1:28" ht="12.75" hidden="1">
      <c r="A418" s="4"/>
      <c r="B418" s="4"/>
      <c r="C418" s="4"/>
      <c r="D418" s="15"/>
      <c r="E418" s="4"/>
      <c r="F418" s="4"/>
      <c r="G418" s="4"/>
      <c r="H418" s="4"/>
      <c r="I418" s="4"/>
      <c r="J418" s="4"/>
      <c r="K418" s="4"/>
      <c r="L418" s="4"/>
      <c r="M418" s="4"/>
      <c r="N418" s="4"/>
      <c r="O418" s="4"/>
      <c r="P418" s="4"/>
      <c r="Q418" s="4"/>
      <c r="R418" s="4"/>
      <c r="S418" s="4"/>
      <c r="T418" s="4"/>
      <c r="U418" s="4"/>
      <c r="V418" s="4"/>
      <c r="W418" s="4"/>
      <c r="X418" s="4"/>
      <c r="Y418" s="4"/>
      <c r="Z418" s="4"/>
      <c r="AA418" s="4"/>
      <c r="AB418" s="4"/>
    </row>
    <row r="419" spans="1:28" ht="12.75" hidden="1">
      <c r="A419" s="4"/>
      <c r="B419" s="4"/>
      <c r="C419" s="4"/>
      <c r="D419" s="15"/>
      <c r="E419" s="4"/>
      <c r="F419" s="4"/>
      <c r="G419" s="4"/>
      <c r="H419" s="4"/>
      <c r="I419" s="4"/>
      <c r="J419" s="4"/>
      <c r="K419" s="4"/>
      <c r="L419" s="4"/>
      <c r="M419" s="4"/>
      <c r="N419" s="4"/>
      <c r="O419" s="4"/>
      <c r="P419" s="4"/>
      <c r="Q419" s="4"/>
      <c r="R419" s="4"/>
      <c r="S419" s="4"/>
      <c r="T419" s="4"/>
      <c r="U419" s="4"/>
      <c r="V419" s="4"/>
      <c r="W419" s="4"/>
      <c r="X419" s="4"/>
      <c r="Y419" s="4"/>
      <c r="Z419" s="4"/>
      <c r="AA419" s="4"/>
      <c r="AB419" s="4"/>
    </row>
    <row r="420" spans="1:28" ht="12.75" hidden="1">
      <c r="A420" s="4"/>
      <c r="B420" s="4"/>
      <c r="C420" s="4"/>
      <c r="D420" s="15"/>
      <c r="E420" s="4"/>
      <c r="F420" s="4"/>
      <c r="G420" s="4"/>
      <c r="H420" s="4"/>
      <c r="I420" s="4"/>
      <c r="J420" s="4"/>
      <c r="K420" s="4"/>
      <c r="L420" s="4"/>
      <c r="M420" s="4"/>
      <c r="N420" s="4"/>
      <c r="O420" s="4"/>
      <c r="P420" s="4"/>
      <c r="Q420" s="4"/>
      <c r="R420" s="4"/>
      <c r="S420" s="4"/>
      <c r="T420" s="4"/>
      <c r="U420" s="4"/>
      <c r="V420" s="4"/>
      <c r="W420" s="4"/>
      <c r="X420" s="4"/>
      <c r="Y420" s="4"/>
      <c r="Z420" s="4"/>
      <c r="AA420" s="4"/>
      <c r="AB420" s="4"/>
    </row>
    <row r="421" spans="1:28" ht="12.75" hidden="1">
      <c r="A421" s="4"/>
      <c r="B421" s="4"/>
      <c r="C421" s="4"/>
      <c r="D421" s="15"/>
      <c r="E421" s="4"/>
      <c r="F421" s="4"/>
      <c r="G421" s="4"/>
      <c r="H421" s="4"/>
      <c r="I421" s="4"/>
      <c r="J421" s="4"/>
      <c r="K421" s="4"/>
      <c r="L421" s="4"/>
      <c r="M421" s="4"/>
      <c r="N421" s="4"/>
      <c r="O421" s="4"/>
      <c r="P421" s="4"/>
      <c r="Q421" s="4"/>
      <c r="R421" s="4"/>
      <c r="S421" s="4"/>
      <c r="T421" s="4"/>
      <c r="U421" s="4"/>
      <c r="V421" s="4"/>
      <c r="W421" s="4"/>
      <c r="X421" s="4"/>
      <c r="Y421" s="4"/>
      <c r="Z421" s="4"/>
      <c r="AA421" s="4"/>
      <c r="AB421" s="4"/>
    </row>
    <row r="422" spans="1:28" ht="12.75" hidden="1">
      <c r="A422" s="4"/>
      <c r="B422" s="4"/>
      <c r="C422" s="4"/>
      <c r="D422" s="15"/>
      <c r="E422" s="4"/>
      <c r="F422" s="4"/>
      <c r="G422" s="4"/>
      <c r="H422" s="4"/>
      <c r="I422" s="4"/>
      <c r="J422" s="4"/>
      <c r="K422" s="4"/>
      <c r="L422" s="4"/>
      <c r="M422" s="4"/>
      <c r="N422" s="4"/>
      <c r="O422" s="4"/>
      <c r="P422" s="4"/>
      <c r="Q422" s="4"/>
      <c r="R422" s="4"/>
      <c r="S422" s="4"/>
      <c r="T422" s="4"/>
      <c r="U422" s="4"/>
      <c r="V422" s="4"/>
      <c r="W422" s="4"/>
      <c r="X422" s="4"/>
      <c r="Y422" s="4"/>
      <c r="Z422" s="4"/>
      <c r="AA422" s="4"/>
      <c r="AB422" s="4"/>
    </row>
    <row r="423" spans="1:28" ht="12.75" hidden="1">
      <c r="A423" s="4"/>
      <c r="B423" s="4"/>
      <c r="C423" s="4"/>
      <c r="D423" s="15"/>
      <c r="E423" s="4"/>
      <c r="F423" s="4"/>
      <c r="G423" s="4"/>
      <c r="H423" s="4"/>
      <c r="I423" s="4"/>
      <c r="J423" s="4"/>
      <c r="K423" s="4"/>
      <c r="L423" s="4"/>
      <c r="M423" s="4"/>
      <c r="N423" s="4"/>
      <c r="O423" s="4"/>
      <c r="P423" s="4"/>
      <c r="Q423" s="4"/>
      <c r="R423" s="4"/>
      <c r="S423" s="4"/>
      <c r="T423" s="4"/>
      <c r="U423" s="4"/>
      <c r="V423" s="4"/>
      <c r="W423" s="4"/>
      <c r="X423" s="4"/>
      <c r="Y423" s="4"/>
      <c r="Z423" s="4"/>
      <c r="AA423" s="4"/>
      <c r="AB423" s="4"/>
    </row>
    <row r="424" spans="1:28" ht="12.75" hidden="1">
      <c r="A424" s="4"/>
      <c r="B424" s="4"/>
      <c r="C424" s="4"/>
      <c r="D424" s="15"/>
      <c r="E424" s="4"/>
      <c r="F424" s="4"/>
      <c r="G424" s="4"/>
      <c r="H424" s="4"/>
      <c r="I424" s="4"/>
      <c r="J424" s="4"/>
      <c r="K424" s="4"/>
      <c r="L424" s="4"/>
      <c r="M424" s="4"/>
      <c r="N424" s="4"/>
      <c r="O424" s="4"/>
      <c r="P424" s="4"/>
      <c r="Q424" s="4"/>
      <c r="R424" s="4"/>
      <c r="S424" s="4"/>
      <c r="T424" s="4"/>
      <c r="U424" s="4"/>
      <c r="V424" s="4"/>
      <c r="W424" s="4"/>
      <c r="X424" s="4"/>
      <c r="Y424" s="4"/>
      <c r="Z424" s="4"/>
      <c r="AA424" s="4"/>
      <c r="AB424" s="4"/>
    </row>
    <row r="425" spans="1:28" ht="12.75" hidden="1">
      <c r="A425" s="4"/>
      <c r="B425" s="4"/>
      <c r="C425" s="4"/>
      <c r="D425" s="15"/>
      <c r="E425" s="4"/>
      <c r="F425" s="4"/>
      <c r="G425" s="4"/>
      <c r="H425" s="4"/>
      <c r="I425" s="4"/>
      <c r="J425" s="4"/>
      <c r="K425" s="4"/>
      <c r="L425" s="4"/>
      <c r="M425" s="4"/>
      <c r="N425" s="4"/>
      <c r="O425" s="4"/>
      <c r="P425" s="4"/>
      <c r="Q425" s="4"/>
      <c r="R425" s="4"/>
      <c r="S425" s="4"/>
      <c r="T425" s="4"/>
      <c r="U425" s="4"/>
      <c r="V425" s="4"/>
      <c r="W425" s="4"/>
      <c r="X425" s="4"/>
      <c r="Y425" s="4"/>
      <c r="Z425" s="4"/>
      <c r="AA425" s="4"/>
      <c r="AB425" s="4"/>
    </row>
    <row r="426" spans="1:28" ht="12.75" hidden="1">
      <c r="A426" s="4"/>
      <c r="B426" s="4"/>
      <c r="C426" s="4"/>
      <c r="D426" s="15"/>
      <c r="E426" s="4"/>
      <c r="F426" s="4"/>
      <c r="G426" s="4"/>
      <c r="H426" s="4"/>
      <c r="I426" s="4"/>
      <c r="J426" s="4"/>
      <c r="K426" s="4"/>
      <c r="L426" s="4"/>
      <c r="M426" s="4"/>
      <c r="N426" s="4"/>
      <c r="O426" s="4"/>
      <c r="P426" s="4"/>
      <c r="Q426" s="4"/>
      <c r="R426" s="4"/>
      <c r="S426" s="4"/>
      <c r="T426" s="4"/>
      <c r="U426" s="4"/>
      <c r="V426" s="4"/>
      <c r="W426" s="4"/>
      <c r="X426" s="4"/>
      <c r="Y426" s="4"/>
      <c r="Z426" s="4"/>
      <c r="AA426" s="4"/>
      <c r="AB426" s="4"/>
    </row>
    <row r="427" spans="1:28" ht="12.75" hidden="1">
      <c r="A427" s="4"/>
      <c r="B427" s="4"/>
      <c r="C427" s="4"/>
      <c r="D427" s="15"/>
      <c r="E427" s="4"/>
      <c r="F427" s="4"/>
      <c r="G427" s="4"/>
      <c r="H427" s="4"/>
      <c r="I427" s="4"/>
      <c r="J427" s="4"/>
      <c r="K427" s="4"/>
      <c r="L427" s="4"/>
      <c r="M427" s="4"/>
      <c r="N427" s="4"/>
      <c r="O427" s="4"/>
      <c r="P427" s="4"/>
      <c r="Q427" s="4"/>
      <c r="R427" s="4"/>
      <c r="S427" s="4"/>
      <c r="T427" s="4"/>
      <c r="U427" s="4"/>
      <c r="V427" s="4"/>
      <c r="W427" s="4"/>
      <c r="X427" s="4"/>
      <c r="Y427" s="4"/>
      <c r="Z427" s="4"/>
      <c r="AA427" s="4"/>
      <c r="AB427" s="4"/>
    </row>
    <row r="428" spans="1:28" ht="12.75" hidden="1">
      <c r="A428" s="4"/>
      <c r="B428" s="4"/>
      <c r="C428" s="4"/>
      <c r="D428" s="15"/>
      <c r="E428" s="4"/>
      <c r="F428" s="4"/>
      <c r="G428" s="4"/>
      <c r="H428" s="4"/>
      <c r="I428" s="4"/>
      <c r="J428" s="4"/>
      <c r="K428" s="4"/>
      <c r="L428" s="4"/>
      <c r="M428" s="4"/>
      <c r="N428" s="4"/>
      <c r="O428" s="4"/>
      <c r="P428" s="4"/>
      <c r="Q428" s="4"/>
      <c r="R428" s="4"/>
      <c r="S428" s="4"/>
      <c r="T428" s="4"/>
      <c r="U428" s="4"/>
      <c r="V428" s="4"/>
      <c r="W428" s="4"/>
      <c r="X428" s="4"/>
      <c r="Y428" s="4"/>
      <c r="Z428" s="4"/>
      <c r="AA428" s="4"/>
      <c r="AB428" s="4"/>
    </row>
    <row r="429" spans="1:28" ht="12.75" hidden="1">
      <c r="A429" s="4"/>
      <c r="B429" s="4"/>
      <c r="C429" s="4"/>
      <c r="D429" s="15"/>
      <c r="E429" s="4"/>
      <c r="F429" s="4"/>
      <c r="G429" s="4"/>
      <c r="H429" s="4"/>
      <c r="I429" s="4"/>
      <c r="J429" s="4"/>
      <c r="K429" s="4"/>
      <c r="L429" s="4"/>
      <c r="M429" s="4"/>
      <c r="N429" s="4"/>
      <c r="O429" s="4"/>
      <c r="P429" s="4"/>
      <c r="Q429" s="4"/>
      <c r="R429" s="4"/>
      <c r="S429" s="4"/>
      <c r="T429" s="4"/>
      <c r="U429" s="4"/>
      <c r="V429" s="4"/>
      <c r="W429" s="4"/>
      <c r="X429" s="4"/>
      <c r="Y429" s="4"/>
      <c r="Z429" s="4"/>
      <c r="AA429" s="4"/>
      <c r="AB429" s="4"/>
    </row>
    <row r="430" spans="1:28" ht="12.75" hidden="1">
      <c r="A430" s="4"/>
      <c r="B430" s="4"/>
      <c r="C430" s="4"/>
      <c r="D430" s="15"/>
      <c r="E430" s="4"/>
      <c r="F430" s="4"/>
      <c r="G430" s="4"/>
      <c r="H430" s="4"/>
      <c r="I430" s="4"/>
      <c r="J430" s="4"/>
      <c r="K430" s="4"/>
      <c r="L430" s="4"/>
      <c r="M430" s="4"/>
      <c r="N430" s="4"/>
      <c r="O430" s="4"/>
      <c r="P430" s="4"/>
      <c r="Q430" s="4"/>
      <c r="R430" s="4"/>
      <c r="S430" s="4"/>
      <c r="T430" s="4"/>
      <c r="U430" s="4"/>
      <c r="V430" s="4"/>
      <c r="W430" s="4"/>
      <c r="X430" s="4"/>
      <c r="Y430" s="4"/>
      <c r="Z430" s="4"/>
      <c r="AA430" s="4"/>
      <c r="AB430" s="4"/>
    </row>
    <row r="431" spans="1:28" ht="12.75" hidden="1">
      <c r="A431" s="4"/>
      <c r="B431" s="4"/>
      <c r="C431" s="4"/>
      <c r="D431" s="15"/>
      <c r="E431" s="4"/>
      <c r="F431" s="4"/>
      <c r="G431" s="4"/>
      <c r="H431" s="4"/>
      <c r="I431" s="4"/>
      <c r="J431" s="4"/>
      <c r="K431" s="4"/>
      <c r="L431" s="4"/>
      <c r="M431" s="4"/>
      <c r="N431" s="4"/>
      <c r="O431" s="4"/>
      <c r="P431" s="4"/>
      <c r="Q431" s="4"/>
      <c r="R431" s="4"/>
      <c r="S431" s="4"/>
      <c r="T431" s="4"/>
      <c r="U431" s="4"/>
      <c r="V431" s="4"/>
      <c r="W431" s="4"/>
      <c r="X431" s="4"/>
      <c r="Y431" s="4"/>
      <c r="Z431" s="4"/>
      <c r="AA431" s="4"/>
      <c r="AB431" s="4"/>
    </row>
    <row r="432" spans="1:28" ht="12.75" hidden="1">
      <c r="A432" s="4"/>
      <c r="B432" s="4"/>
      <c r="C432" s="4"/>
      <c r="D432" s="15"/>
      <c r="E432" s="4"/>
      <c r="F432" s="4"/>
      <c r="G432" s="4"/>
      <c r="H432" s="4"/>
      <c r="I432" s="4"/>
      <c r="J432" s="4"/>
      <c r="K432" s="4"/>
      <c r="L432" s="4"/>
      <c r="M432" s="4"/>
      <c r="N432" s="4"/>
      <c r="O432" s="4"/>
      <c r="P432" s="4"/>
      <c r="Q432" s="4"/>
      <c r="R432" s="4"/>
      <c r="S432" s="4"/>
      <c r="T432" s="4"/>
      <c r="U432" s="4"/>
      <c r="V432" s="4"/>
      <c r="W432" s="4"/>
      <c r="X432" s="4"/>
      <c r="Y432" s="4"/>
      <c r="Z432" s="4"/>
      <c r="AA432" s="4"/>
      <c r="AB432" s="4"/>
    </row>
    <row r="433" spans="1:28" ht="12.75" hidden="1">
      <c r="A433" s="4"/>
      <c r="B433" s="4"/>
      <c r="C433" s="4"/>
      <c r="D433" s="15"/>
      <c r="E433" s="4"/>
      <c r="F433" s="4"/>
      <c r="G433" s="4"/>
      <c r="H433" s="4"/>
      <c r="I433" s="4"/>
      <c r="J433" s="4"/>
      <c r="K433" s="4"/>
      <c r="L433" s="4"/>
      <c r="M433" s="4"/>
      <c r="N433" s="4"/>
      <c r="O433" s="4"/>
      <c r="P433" s="4"/>
      <c r="Q433" s="4"/>
      <c r="R433" s="4"/>
      <c r="S433" s="4"/>
      <c r="T433" s="4"/>
      <c r="U433" s="4"/>
      <c r="V433" s="4"/>
      <c r="W433" s="4"/>
      <c r="X433" s="4"/>
      <c r="Y433" s="4"/>
      <c r="Z433" s="4"/>
      <c r="AA433" s="4"/>
      <c r="AB433" s="4"/>
    </row>
    <row r="434" spans="1:28" ht="12.75" hidden="1">
      <c r="A434" s="4"/>
      <c r="B434" s="4"/>
      <c r="C434" s="4"/>
      <c r="D434" s="15"/>
      <c r="E434" s="4"/>
      <c r="F434" s="4"/>
      <c r="G434" s="4"/>
      <c r="H434" s="4"/>
      <c r="I434" s="4"/>
      <c r="J434" s="4"/>
      <c r="K434" s="4"/>
      <c r="L434" s="4"/>
      <c r="M434" s="4"/>
      <c r="N434" s="4"/>
      <c r="O434" s="4"/>
      <c r="P434" s="4"/>
      <c r="Q434" s="4"/>
      <c r="R434" s="4"/>
      <c r="S434" s="4"/>
      <c r="T434" s="4"/>
      <c r="U434" s="4"/>
      <c r="V434" s="4"/>
      <c r="W434" s="4"/>
      <c r="X434" s="4"/>
      <c r="Y434" s="4"/>
      <c r="Z434" s="4"/>
      <c r="AA434" s="4"/>
      <c r="AB434" s="4"/>
    </row>
    <row r="435" spans="1:28" ht="12.75" hidden="1">
      <c r="A435" s="4"/>
      <c r="B435" s="4"/>
      <c r="C435" s="4"/>
      <c r="D435" s="15"/>
      <c r="E435" s="4"/>
      <c r="F435" s="4"/>
      <c r="G435" s="4"/>
      <c r="H435" s="4"/>
      <c r="I435" s="4"/>
      <c r="J435" s="4"/>
      <c r="K435" s="4"/>
      <c r="L435" s="4"/>
      <c r="M435" s="4"/>
      <c r="N435" s="4"/>
      <c r="O435" s="4"/>
      <c r="P435" s="4"/>
      <c r="Q435" s="4"/>
      <c r="R435" s="4"/>
      <c r="S435" s="4"/>
      <c r="T435" s="4"/>
      <c r="U435" s="4"/>
      <c r="V435" s="4"/>
      <c r="W435" s="4"/>
      <c r="X435" s="4"/>
      <c r="Y435" s="4"/>
      <c r="Z435" s="4"/>
      <c r="AA435" s="4"/>
      <c r="AB435" s="4"/>
    </row>
    <row r="436" spans="1:28" ht="12.75" hidden="1">
      <c r="A436" s="4"/>
      <c r="B436" s="4"/>
      <c r="C436" s="4"/>
      <c r="D436" s="15"/>
      <c r="E436" s="4"/>
      <c r="F436" s="4"/>
      <c r="G436" s="4"/>
      <c r="H436" s="4"/>
      <c r="I436" s="4"/>
      <c r="J436" s="4"/>
      <c r="K436" s="4"/>
      <c r="L436" s="4"/>
      <c r="M436" s="4"/>
      <c r="N436" s="4"/>
      <c r="O436" s="4"/>
      <c r="P436" s="4"/>
      <c r="Q436" s="4"/>
      <c r="R436" s="4"/>
      <c r="S436" s="4"/>
      <c r="T436" s="4"/>
      <c r="U436" s="4"/>
      <c r="V436" s="4"/>
      <c r="W436" s="4"/>
      <c r="X436" s="4"/>
      <c r="Y436" s="4"/>
      <c r="Z436" s="4"/>
      <c r="AA436" s="4"/>
      <c r="AB436" s="4"/>
    </row>
    <row r="437" spans="1:28" ht="12.75" hidden="1">
      <c r="A437" s="4"/>
      <c r="B437" s="4"/>
      <c r="C437" s="4"/>
      <c r="D437" s="15"/>
      <c r="E437" s="4"/>
      <c r="F437" s="4"/>
      <c r="G437" s="4"/>
      <c r="H437" s="4"/>
      <c r="I437" s="4"/>
      <c r="J437" s="4"/>
      <c r="K437" s="4"/>
      <c r="L437" s="4"/>
      <c r="M437" s="4"/>
      <c r="N437" s="4"/>
      <c r="O437" s="4"/>
      <c r="P437" s="4"/>
      <c r="Q437" s="4"/>
      <c r="R437" s="4"/>
      <c r="S437" s="4"/>
      <c r="T437" s="4"/>
      <c r="U437" s="4"/>
      <c r="V437" s="4"/>
      <c r="W437" s="4"/>
      <c r="X437" s="4"/>
      <c r="Y437" s="4"/>
      <c r="Z437" s="4"/>
      <c r="AA437" s="4"/>
      <c r="AB437" s="4"/>
    </row>
    <row r="438" spans="1:28" ht="12.75" hidden="1">
      <c r="A438" s="4"/>
      <c r="B438" s="4"/>
      <c r="C438" s="4"/>
      <c r="D438" s="15"/>
      <c r="E438" s="4"/>
      <c r="F438" s="4"/>
      <c r="G438" s="4"/>
      <c r="H438" s="4"/>
      <c r="I438" s="4"/>
      <c r="J438" s="4"/>
      <c r="K438" s="4"/>
      <c r="L438" s="4"/>
      <c r="M438" s="4"/>
      <c r="N438" s="4"/>
      <c r="O438" s="4"/>
      <c r="P438" s="4"/>
      <c r="Q438" s="4"/>
      <c r="R438" s="4"/>
      <c r="S438" s="4"/>
      <c r="T438" s="4"/>
      <c r="U438" s="4"/>
      <c r="V438" s="4"/>
      <c r="W438" s="4"/>
      <c r="X438" s="4"/>
      <c r="Y438" s="4"/>
      <c r="Z438" s="4"/>
      <c r="AA438" s="4"/>
      <c r="AB438" s="4"/>
    </row>
    <row r="439" spans="1:28" ht="12.75" hidden="1">
      <c r="A439" s="4"/>
      <c r="B439" s="4"/>
      <c r="C439" s="4"/>
      <c r="D439" s="15"/>
      <c r="E439" s="4"/>
      <c r="F439" s="4"/>
      <c r="G439" s="4"/>
      <c r="H439" s="4"/>
      <c r="I439" s="4"/>
      <c r="J439" s="4"/>
      <c r="K439" s="4"/>
      <c r="L439" s="4"/>
      <c r="M439" s="4"/>
      <c r="N439" s="4"/>
      <c r="O439" s="4"/>
      <c r="P439" s="4"/>
      <c r="Q439" s="4"/>
      <c r="R439" s="4"/>
      <c r="S439" s="4"/>
      <c r="T439" s="4"/>
      <c r="U439" s="4"/>
      <c r="V439" s="4"/>
      <c r="W439" s="4"/>
      <c r="X439" s="4"/>
      <c r="Y439" s="4"/>
      <c r="Z439" s="4"/>
      <c r="AA439" s="4"/>
      <c r="AB439" s="4"/>
    </row>
    <row r="440" spans="1:28" ht="12.75" hidden="1">
      <c r="A440" s="4"/>
      <c r="B440" s="4"/>
      <c r="C440" s="4"/>
      <c r="D440" s="15"/>
      <c r="E440" s="4"/>
      <c r="F440" s="4"/>
      <c r="G440" s="4"/>
      <c r="H440" s="4"/>
      <c r="I440" s="4"/>
      <c r="J440" s="4"/>
      <c r="K440" s="4"/>
      <c r="L440" s="4"/>
      <c r="M440" s="4"/>
      <c r="N440" s="4"/>
      <c r="O440" s="4"/>
      <c r="P440" s="4"/>
      <c r="Q440" s="4"/>
      <c r="R440" s="4"/>
      <c r="S440" s="4"/>
      <c r="T440" s="4"/>
      <c r="U440" s="4"/>
      <c r="V440" s="4"/>
      <c r="W440" s="4"/>
      <c r="X440" s="4"/>
      <c r="Y440" s="4"/>
      <c r="Z440" s="4"/>
      <c r="AA440" s="4"/>
      <c r="AB440" s="4"/>
    </row>
    <row r="441" spans="1:28" ht="12.75" hidden="1">
      <c r="A441" s="4"/>
      <c r="B441" s="4"/>
      <c r="C441" s="4"/>
      <c r="D441" s="15"/>
      <c r="E441" s="4"/>
      <c r="F441" s="4"/>
      <c r="G441" s="4"/>
      <c r="H441" s="4"/>
      <c r="I441" s="4"/>
      <c r="J441" s="4"/>
      <c r="K441" s="4"/>
      <c r="L441" s="4"/>
      <c r="M441" s="4"/>
      <c r="N441" s="4"/>
      <c r="O441" s="4"/>
      <c r="P441" s="4"/>
      <c r="Q441" s="4"/>
      <c r="R441" s="4"/>
      <c r="S441" s="4"/>
      <c r="T441" s="4"/>
      <c r="U441" s="4"/>
      <c r="V441" s="4"/>
      <c r="W441" s="4"/>
      <c r="X441" s="4"/>
      <c r="Y441" s="4"/>
      <c r="Z441" s="4"/>
      <c r="AA441" s="4"/>
      <c r="AB441" s="4"/>
    </row>
    <row r="442" spans="1:28" ht="12.75" hidden="1">
      <c r="A442" s="4"/>
      <c r="B442" s="4"/>
      <c r="C442" s="4"/>
      <c r="D442" s="15"/>
      <c r="E442" s="4"/>
      <c r="F442" s="4"/>
      <c r="G442" s="4"/>
      <c r="H442" s="4"/>
      <c r="I442" s="4"/>
      <c r="J442" s="4"/>
      <c r="K442" s="4"/>
      <c r="L442" s="4"/>
      <c r="M442" s="4"/>
      <c r="N442" s="4"/>
      <c r="O442" s="4"/>
      <c r="P442" s="4"/>
      <c r="Q442" s="4"/>
      <c r="R442" s="4"/>
      <c r="S442" s="4"/>
      <c r="T442" s="4"/>
      <c r="U442" s="4"/>
      <c r="V442" s="4"/>
      <c r="W442" s="4"/>
      <c r="X442" s="4"/>
      <c r="Y442" s="4"/>
      <c r="Z442" s="4"/>
      <c r="AA442" s="4"/>
      <c r="AB442" s="4"/>
    </row>
    <row r="443" spans="1:28" ht="12.75" hidden="1">
      <c r="A443" s="4"/>
      <c r="B443" s="4"/>
      <c r="C443" s="4"/>
      <c r="D443" s="15"/>
      <c r="E443" s="4"/>
      <c r="F443" s="4"/>
      <c r="G443" s="4"/>
      <c r="H443" s="4"/>
      <c r="I443" s="4"/>
      <c r="J443" s="4"/>
      <c r="K443" s="4"/>
      <c r="L443" s="4"/>
      <c r="M443" s="4"/>
      <c r="N443" s="4"/>
      <c r="O443" s="4"/>
      <c r="P443" s="4"/>
      <c r="Q443" s="4"/>
      <c r="R443" s="4"/>
      <c r="S443" s="4"/>
      <c r="T443" s="4"/>
      <c r="U443" s="4"/>
      <c r="V443" s="4"/>
      <c r="W443" s="4"/>
      <c r="X443" s="4"/>
      <c r="Y443" s="4"/>
      <c r="Z443" s="4"/>
      <c r="AA443" s="4"/>
      <c r="AB443" s="4"/>
    </row>
    <row r="444" spans="1:28" ht="12.75" hidden="1">
      <c r="A444" s="4"/>
      <c r="B444" s="4"/>
      <c r="C444" s="4"/>
      <c r="D444" s="15"/>
      <c r="E444" s="4"/>
      <c r="F444" s="4"/>
      <c r="G444" s="4"/>
      <c r="H444" s="4"/>
      <c r="I444" s="4"/>
      <c r="J444" s="4"/>
      <c r="K444" s="4"/>
      <c r="L444" s="4"/>
      <c r="M444" s="4"/>
      <c r="N444" s="4"/>
      <c r="O444" s="4"/>
      <c r="P444" s="4"/>
      <c r="Q444" s="4"/>
      <c r="R444" s="4"/>
      <c r="S444" s="4"/>
      <c r="T444" s="4"/>
      <c r="U444" s="4"/>
      <c r="V444" s="4"/>
      <c r="W444" s="4"/>
      <c r="X444" s="4"/>
      <c r="Y444" s="4"/>
      <c r="Z444" s="4"/>
      <c r="AA444" s="4"/>
      <c r="AB444" s="4"/>
    </row>
    <row r="445" spans="1:28" ht="12.75" hidden="1">
      <c r="A445" s="4"/>
      <c r="B445" s="4"/>
      <c r="C445" s="4"/>
      <c r="D445" s="15"/>
      <c r="E445" s="4"/>
      <c r="F445" s="4"/>
      <c r="G445" s="4"/>
      <c r="H445" s="4"/>
      <c r="I445" s="4"/>
      <c r="J445" s="4"/>
      <c r="K445" s="4"/>
      <c r="L445" s="4"/>
      <c r="M445" s="4"/>
      <c r="N445" s="4"/>
      <c r="O445" s="4"/>
      <c r="P445" s="4"/>
      <c r="Q445" s="4"/>
      <c r="R445" s="4"/>
      <c r="S445" s="4"/>
      <c r="T445" s="4"/>
      <c r="U445" s="4"/>
      <c r="V445" s="4"/>
      <c r="W445" s="4"/>
      <c r="X445" s="4"/>
      <c r="Y445" s="4"/>
      <c r="Z445" s="4"/>
      <c r="AA445" s="4"/>
      <c r="AB445" s="4"/>
    </row>
    <row r="446" spans="1:28" ht="12.75" hidden="1">
      <c r="A446" s="4"/>
      <c r="B446" s="4"/>
      <c r="C446" s="4"/>
      <c r="D446" s="15"/>
      <c r="E446" s="4"/>
      <c r="F446" s="4"/>
      <c r="G446" s="4"/>
      <c r="H446" s="4"/>
      <c r="I446" s="4"/>
      <c r="J446" s="4"/>
      <c r="K446" s="4"/>
      <c r="L446" s="4"/>
      <c r="M446" s="4"/>
      <c r="N446" s="4"/>
      <c r="O446" s="4"/>
      <c r="P446" s="4"/>
      <c r="Q446" s="4"/>
      <c r="R446" s="4"/>
      <c r="S446" s="4"/>
      <c r="T446" s="4"/>
      <c r="U446" s="4"/>
      <c r="V446" s="4"/>
      <c r="W446" s="4"/>
      <c r="X446" s="4"/>
      <c r="Y446" s="4"/>
      <c r="Z446" s="4"/>
      <c r="AA446" s="4"/>
      <c r="AB446" s="4"/>
    </row>
    <row r="447" spans="1:28" ht="12.75" hidden="1">
      <c r="A447" s="4"/>
      <c r="B447" s="4"/>
      <c r="C447" s="4"/>
      <c r="D447" s="15"/>
      <c r="E447" s="4"/>
      <c r="F447" s="4"/>
      <c r="G447" s="4"/>
      <c r="H447" s="4"/>
      <c r="I447" s="4"/>
      <c r="J447" s="4"/>
      <c r="K447" s="4"/>
      <c r="L447" s="4"/>
      <c r="M447" s="4"/>
      <c r="N447" s="4"/>
      <c r="O447" s="4"/>
      <c r="P447" s="4"/>
      <c r="Q447" s="4"/>
      <c r="R447" s="4"/>
      <c r="S447" s="4"/>
      <c r="T447" s="4"/>
      <c r="U447" s="4"/>
      <c r="V447" s="4"/>
      <c r="W447" s="4"/>
      <c r="X447" s="4"/>
      <c r="Y447" s="4"/>
      <c r="Z447" s="4"/>
      <c r="AA447" s="4"/>
      <c r="AB447" s="4"/>
    </row>
    <row r="448" spans="1:28" ht="12.75" hidden="1">
      <c r="A448" s="4"/>
      <c r="B448" s="4"/>
      <c r="C448" s="4"/>
      <c r="D448" s="15"/>
      <c r="E448" s="4"/>
      <c r="F448" s="4"/>
      <c r="G448" s="4"/>
      <c r="H448" s="4"/>
      <c r="I448" s="4"/>
      <c r="J448" s="4"/>
      <c r="K448" s="4"/>
      <c r="L448" s="4"/>
      <c r="M448" s="4"/>
      <c r="N448" s="4"/>
      <c r="O448" s="4"/>
      <c r="P448" s="4"/>
      <c r="Q448" s="4"/>
      <c r="R448" s="4"/>
      <c r="S448" s="4"/>
      <c r="T448" s="4"/>
      <c r="U448" s="4"/>
      <c r="V448" s="4"/>
      <c r="W448" s="4"/>
      <c r="X448" s="4"/>
      <c r="Y448" s="4"/>
      <c r="Z448" s="4"/>
      <c r="AA448" s="4"/>
      <c r="AB448" s="4"/>
    </row>
    <row r="449" spans="1:28" ht="12.75" hidden="1">
      <c r="A449" s="4"/>
      <c r="B449" s="4"/>
      <c r="C449" s="4"/>
      <c r="D449" s="15"/>
      <c r="E449" s="4"/>
      <c r="F449" s="4"/>
      <c r="G449" s="4"/>
      <c r="H449" s="4"/>
      <c r="I449" s="4"/>
      <c r="J449" s="4"/>
      <c r="K449" s="4"/>
      <c r="L449" s="4"/>
      <c r="M449" s="4"/>
      <c r="N449" s="4"/>
      <c r="O449" s="4"/>
      <c r="P449" s="4"/>
      <c r="Q449" s="4"/>
      <c r="R449" s="4"/>
      <c r="S449" s="4"/>
      <c r="T449" s="4"/>
      <c r="U449" s="4"/>
      <c r="V449" s="4"/>
      <c r="W449" s="4"/>
      <c r="X449" s="4"/>
      <c r="Y449" s="4"/>
      <c r="Z449" s="4"/>
      <c r="AA449" s="4"/>
      <c r="AB449" s="4"/>
    </row>
    <row r="450" spans="1:28" ht="12.75" hidden="1">
      <c r="A450" s="4"/>
      <c r="B450" s="4"/>
      <c r="C450" s="4"/>
      <c r="D450" s="15"/>
      <c r="E450" s="4"/>
      <c r="F450" s="4"/>
      <c r="G450" s="4"/>
      <c r="H450" s="4"/>
      <c r="I450" s="4"/>
      <c r="J450" s="4"/>
      <c r="K450" s="4"/>
      <c r="L450" s="4"/>
      <c r="M450" s="4"/>
      <c r="N450" s="4"/>
      <c r="O450" s="4"/>
      <c r="P450" s="4"/>
      <c r="Q450" s="4"/>
      <c r="R450" s="4"/>
      <c r="S450" s="4"/>
      <c r="T450" s="4"/>
      <c r="U450" s="4"/>
      <c r="V450" s="4"/>
      <c r="W450" s="4"/>
      <c r="X450" s="4"/>
      <c r="Y450" s="4"/>
      <c r="Z450" s="4"/>
      <c r="AA450" s="4"/>
      <c r="AB450" s="4"/>
    </row>
    <row r="451" spans="1:28" ht="12.75" hidden="1">
      <c r="A451" s="4"/>
      <c r="B451" s="4"/>
      <c r="C451" s="4"/>
      <c r="D451" s="15"/>
      <c r="E451" s="4"/>
      <c r="F451" s="4"/>
      <c r="G451" s="4"/>
      <c r="H451" s="4"/>
      <c r="I451" s="4"/>
      <c r="J451" s="4"/>
      <c r="K451" s="4"/>
      <c r="L451" s="4"/>
      <c r="M451" s="4"/>
      <c r="N451" s="4"/>
      <c r="O451" s="4"/>
      <c r="P451" s="4"/>
      <c r="Q451" s="4"/>
      <c r="R451" s="4"/>
      <c r="S451" s="4"/>
      <c r="T451" s="4"/>
      <c r="U451" s="4"/>
      <c r="V451" s="4"/>
      <c r="W451" s="4"/>
      <c r="X451" s="4"/>
      <c r="Y451" s="4"/>
      <c r="Z451" s="4"/>
      <c r="AA451" s="4"/>
      <c r="AB451" s="4"/>
    </row>
    <row r="452" spans="1:28" ht="12.75" hidden="1">
      <c r="A452" s="4"/>
      <c r="B452" s="4"/>
      <c r="C452" s="4"/>
      <c r="D452" s="15"/>
      <c r="E452" s="4"/>
      <c r="F452" s="4"/>
      <c r="G452" s="4"/>
      <c r="H452" s="4"/>
      <c r="I452" s="4"/>
      <c r="J452" s="4"/>
      <c r="K452" s="4"/>
      <c r="L452" s="4"/>
      <c r="M452" s="4"/>
      <c r="N452" s="4"/>
      <c r="O452" s="4"/>
      <c r="P452" s="4"/>
      <c r="Q452" s="4"/>
      <c r="R452" s="4"/>
      <c r="S452" s="4"/>
      <c r="T452" s="4"/>
      <c r="U452" s="4"/>
      <c r="V452" s="4"/>
      <c r="W452" s="4"/>
      <c r="X452" s="4"/>
      <c r="Y452" s="4"/>
      <c r="Z452" s="4"/>
      <c r="AA452" s="4"/>
      <c r="AB452" s="4"/>
    </row>
    <row r="453" spans="1:28" ht="12.75" hidden="1">
      <c r="A453" s="4"/>
      <c r="B453" s="4"/>
      <c r="C453" s="4"/>
      <c r="D453" s="15"/>
      <c r="E453" s="4"/>
      <c r="F453" s="4"/>
      <c r="G453" s="4"/>
      <c r="H453" s="4"/>
      <c r="I453" s="4"/>
      <c r="J453" s="4"/>
      <c r="K453" s="4"/>
      <c r="L453" s="4"/>
      <c r="M453" s="4"/>
      <c r="N453" s="4"/>
      <c r="O453" s="4"/>
      <c r="P453" s="4"/>
      <c r="Q453" s="4"/>
      <c r="R453" s="4"/>
      <c r="S453" s="4"/>
      <c r="T453" s="4"/>
      <c r="U453" s="4"/>
      <c r="V453" s="4"/>
      <c r="W453" s="4"/>
      <c r="X453" s="4"/>
      <c r="Y453" s="4"/>
      <c r="Z453" s="4"/>
      <c r="AA453" s="4"/>
      <c r="AB453" s="4"/>
    </row>
    <row r="454" spans="1:28" ht="12.75" hidden="1">
      <c r="A454" s="4"/>
      <c r="B454" s="4"/>
      <c r="C454" s="4"/>
      <c r="D454" s="15"/>
      <c r="E454" s="4"/>
      <c r="F454" s="4"/>
      <c r="G454" s="4"/>
      <c r="H454" s="4"/>
      <c r="I454" s="4"/>
      <c r="J454" s="4"/>
      <c r="K454" s="4"/>
      <c r="L454" s="4"/>
      <c r="M454" s="4"/>
      <c r="N454" s="4"/>
      <c r="O454" s="4"/>
      <c r="P454" s="4"/>
      <c r="Q454" s="4"/>
      <c r="R454" s="4"/>
      <c r="S454" s="4"/>
      <c r="T454" s="4"/>
      <c r="U454" s="4"/>
      <c r="V454" s="4"/>
      <c r="W454" s="4"/>
      <c r="X454" s="4"/>
      <c r="Y454" s="4"/>
      <c r="Z454" s="4"/>
      <c r="AA454" s="4"/>
      <c r="AB454" s="4"/>
    </row>
    <row r="455" spans="1:28" ht="12.75" hidden="1">
      <c r="A455" s="4"/>
      <c r="B455" s="4"/>
      <c r="C455" s="4"/>
      <c r="D455" s="15"/>
      <c r="E455" s="4"/>
      <c r="F455" s="4"/>
      <c r="G455" s="4"/>
      <c r="H455" s="4"/>
      <c r="I455" s="4"/>
      <c r="J455" s="4"/>
      <c r="K455" s="4"/>
      <c r="L455" s="4"/>
      <c r="M455" s="4"/>
      <c r="N455" s="4"/>
      <c r="O455" s="4"/>
      <c r="P455" s="4"/>
      <c r="Q455" s="4"/>
      <c r="R455" s="4"/>
      <c r="S455" s="4"/>
      <c r="T455" s="4"/>
      <c r="U455" s="4"/>
      <c r="V455" s="4"/>
      <c r="W455" s="4"/>
      <c r="X455" s="4"/>
      <c r="Y455" s="4"/>
      <c r="Z455" s="4"/>
      <c r="AA455" s="4"/>
      <c r="AB455" s="4"/>
    </row>
    <row r="456" spans="1:28" ht="12.75" hidden="1">
      <c r="A456" s="4"/>
      <c r="B456" s="4"/>
      <c r="C456" s="4"/>
      <c r="D456" s="15"/>
      <c r="E456" s="4"/>
      <c r="F456" s="4"/>
      <c r="G456" s="4"/>
      <c r="H456" s="4"/>
      <c r="I456" s="4"/>
      <c r="J456" s="4"/>
      <c r="K456" s="4"/>
      <c r="L456" s="4"/>
      <c r="M456" s="4"/>
      <c r="N456" s="4"/>
      <c r="O456" s="4"/>
      <c r="P456" s="4"/>
      <c r="Q456" s="4"/>
      <c r="R456" s="4"/>
      <c r="S456" s="4"/>
      <c r="T456" s="4"/>
      <c r="U456" s="4"/>
      <c r="V456" s="4"/>
      <c r="W456" s="4"/>
      <c r="X456" s="4"/>
      <c r="Y456" s="4"/>
      <c r="Z456" s="4"/>
      <c r="AA456" s="4"/>
      <c r="AB456" s="4"/>
    </row>
    <row r="457" spans="1:28" ht="12.75" hidden="1">
      <c r="A457" s="4"/>
      <c r="B457" s="4"/>
      <c r="C457" s="4"/>
      <c r="D457" s="15"/>
      <c r="E457" s="4"/>
      <c r="F457" s="4"/>
      <c r="G457" s="4"/>
      <c r="H457" s="4"/>
      <c r="I457" s="4"/>
      <c r="J457" s="4"/>
      <c r="K457" s="4"/>
      <c r="L457" s="4"/>
      <c r="M457" s="4"/>
      <c r="N457" s="4"/>
      <c r="O457" s="4"/>
      <c r="P457" s="4"/>
      <c r="Q457" s="4"/>
      <c r="R457" s="4"/>
      <c r="S457" s="4"/>
      <c r="T457" s="4"/>
      <c r="U457" s="4"/>
      <c r="V457" s="4"/>
      <c r="W457" s="4"/>
      <c r="X457" s="4"/>
      <c r="Y457" s="4"/>
      <c r="Z457" s="4"/>
      <c r="AA457" s="4"/>
      <c r="AB457" s="4"/>
    </row>
    <row r="458" spans="1:28" ht="12.75" hidden="1">
      <c r="A458" s="4"/>
      <c r="B458" s="4"/>
      <c r="C458" s="4"/>
      <c r="D458" s="15"/>
      <c r="E458" s="4"/>
      <c r="F458" s="4"/>
      <c r="G458" s="4"/>
      <c r="H458" s="4"/>
      <c r="I458" s="4"/>
      <c r="J458" s="4"/>
      <c r="K458" s="4"/>
      <c r="L458" s="4"/>
      <c r="M458" s="4"/>
      <c r="N458" s="4"/>
      <c r="O458" s="4"/>
      <c r="P458" s="4"/>
      <c r="Q458" s="4"/>
      <c r="R458" s="4"/>
      <c r="S458" s="4"/>
      <c r="T458" s="4"/>
      <c r="U458" s="4"/>
      <c r="V458" s="4"/>
      <c r="W458" s="4"/>
      <c r="X458" s="4"/>
      <c r="Y458" s="4"/>
      <c r="Z458" s="4"/>
      <c r="AA458" s="4"/>
      <c r="AB458" s="4"/>
    </row>
    <row r="459" spans="1:28" ht="12.75" hidden="1">
      <c r="A459" s="4"/>
      <c r="B459" s="4"/>
      <c r="C459" s="4"/>
      <c r="D459" s="15"/>
      <c r="E459" s="4"/>
      <c r="F459" s="4"/>
      <c r="G459" s="4"/>
      <c r="H459" s="4"/>
      <c r="I459" s="4"/>
      <c r="J459" s="4"/>
      <c r="K459" s="4"/>
      <c r="L459" s="4"/>
      <c r="M459" s="4"/>
      <c r="N459" s="4"/>
      <c r="O459" s="4"/>
      <c r="P459" s="4"/>
      <c r="Q459" s="4"/>
      <c r="R459" s="4"/>
      <c r="S459" s="4"/>
      <c r="T459" s="4"/>
      <c r="U459" s="4"/>
      <c r="V459" s="4"/>
      <c r="W459" s="4"/>
      <c r="X459" s="4"/>
      <c r="Y459" s="4"/>
      <c r="Z459" s="4"/>
      <c r="AA459" s="4"/>
      <c r="AB459" s="4"/>
    </row>
    <row r="460" spans="1:28" ht="12.75" hidden="1">
      <c r="A460" s="4"/>
      <c r="B460" s="4"/>
      <c r="C460" s="4"/>
      <c r="D460" s="15"/>
      <c r="E460" s="4"/>
      <c r="F460" s="4"/>
      <c r="G460" s="4"/>
      <c r="H460" s="4"/>
      <c r="I460" s="4"/>
      <c r="J460" s="4"/>
      <c r="K460" s="4"/>
      <c r="L460" s="4"/>
      <c r="M460" s="4"/>
      <c r="N460" s="4"/>
      <c r="O460" s="4"/>
      <c r="P460" s="4"/>
      <c r="Q460" s="4"/>
      <c r="R460" s="4"/>
      <c r="S460" s="4"/>
      <c r="T460" s="4"/>
      <c r="U460" s="4"/>
      <c r="V460" s="4"/>
      <c r="W460" s="4"/>
      <c r="X460" s="4"/>
      <c r="Y460" s="4"/>
      <c r="Z460" s="4"/>
      <c r="AA460" s="4"/>
      <c r="AB460" s="4"/>
    </row>
    <row r="461" spans="1:28" ht="12.75" hidden="1">
      <c r="A461" s="4"/>
      <c r="B461" s="4"/>
      <c r="C461" s="4"/>
      <c r="D461" s="15"/>
      <c r="E461" s="4"/>
      <c r="F461" s="4"/>
      <c r="G461" s="4"/>
      <c r="H461" s="4"/>
      <c r="I461" s="4"/>
      <c r="J461" s="4"/>
      <c r="K461" s="4"/>
      <c r="L461" s="4"/>
      <c r="M461" s="4"/>
      <c r="N461" s="4"/>
      <c r="O461" s="4"/>
      <c r="P461" s="4"/>
      <c r="Q461" s="4"/>
      <c r="R461" s="4"/>
      <c r="S461" s="4"/>
      <c r="T461" s="4"/>
      <c r="U461" s="4"/>
      <c r="V461" s="4"/>
      <c r="W461" s="4"/>
      <c r="X461" s="4"/>
      <c r="Y461" s="4"/>
      <c r="Z461" s="4"/>
      <c r="AA461" s="4"/>
      <c r="AB461" s="4"/>
    </row>
    <row r="462" spans="1:28" ht="12.75" hidden="1">
      <c r="A462" s="4"/>
      <c r="B462" s="4"/>
      <c r="C462" s="4"/>
      <c r="D462" s="15"/>
      <c r="E462" s="4"/>
      <c r="F462" s="4"/>
      <c r="G462" s="4"/>
      <c r="H462" s="4"/>
      <c r="I462" s="4"/>
      <c r="J462" s="4"/>
      <c r="K462" s="4"/>
      <c r="L462" s="4"/>
      <c r="M462" s="4"/>
      <c r="N462" s="4"/>
      <c r="O462" s="4"/>
      <c r="P462" s="4"/>
      <c r="Q462" s="4"/>
      <c r="R462" s="4"/>
      <c r="S462" s="4"/>
      <c r="T462" s="4"/>
      <c r="U462" s="4"/>
      <c r="V462" s="4"/>
      <c r="W462" s="4"/>
      <c r="X462" s="4"/>
      <c r="Y462" s="4"/>
      <c r="Z462" s="4"/>
      <c r="AA462" s="4"/>
      <c r="AB462" s="4"/>
    </row>
    <row r="463" spans="1:28" ht="12.75" hidden="1">
      <c r="A463" s="4"/>
      <c r="B463" s="4"/>
      <c r="C463" s="4"/>
      <c r="D463" s="15"/>
      <c r="E463" s="4"/>
      <c r="F463" s="4"/>
      <c r="G463" s="4"/>
      <c r="H463" s="4"/>
      <c r="I463" s="4"/>
      <c r="J463" s="4"/>
      <c r="K463" s="4"/>
      <c r="L463" s="4"/>
      <c r="M463" s="4"/>
      <c r="N463" s="4"/>
      <c r="O463" s="4"/>
      <c r="P463" s="4"/>
      <c r="Q463" s="4"/>
      <c r="R463" s="4"/>
      <c r="S463" s="4"/>
      <c r="T463" s="4"/>
      <c r="U463" s="4"/>
      <c r="V463" s="4"/>
      <c r="W463" s="4"/>
      <c r="X463" s="4"/>
      <c r="Y463" s="4"/>
      <c r="Z463" s="4"/>
      <c r="AA463" s="4"/>
      <c r="AB463" s="4"/>
    </row>
    <row r="464" spans="1:28" ht="12.75" hidden="1">
      <c r="A464" s="4"/>
      <c r="B464" s="4"/>
      <c r="C464" s="4"/>
      <c r="D464" s="15"/>
      <c r="E464" s="4"/>
      <c r="F464" s="4"/>
      <c r="G464" s="4"/>
      <c r="H464" s="4"/>
      <c r="I464" s="4"/>
      <c r="J464" s="4"/>
      <c r="K464" s="4"/>
      <c r="L464" s="4"/>
      <c r="M464" s="4"/>
      <c r="N464" s="4"/>
      <c r="O464" s="4"/>
      <c r="P464" s="4"/>
      <c r="Q464" s="4"/>
      <c r="R464" s="4"/>
      <c r="S464" s="4"/>
      <c r="T464" s="4"/>
      <c r="U464" s="4"/>
      <c r="V464" s="4"/>
      <c r="W464" s="4"/>
      <c r="X464" s="4"/>
      <c r="Y464" s="4"/>
      <c r="Z464" s="4"/>
      <c r="AA464" s="4"/>
      <c r="AB464" s="4"/>
    </row>
    <row r="465" spans="1:28" ht="12.75" hidden="1">
      <c r="A465" s="4"/>
      <c r="B465" s="4"/>
      <c r="C465" s="4"/>
      <c r="D465" s="15"/>
      <c r="E465" s="4"/>
      <c r="F465" s="4"/>
      <c r="G465" s="4"/>
      <c r="H465" s="4"/>
      <c r="I465" s="4"/>
      <c r="J465" s="4"/>
      <c r="K465" s="4"/>
      <c r="L465" s="4"/>
      <c r="M465" s="4"/>
      <c r="N465" s="4"/>
      <c r="O465" s="4"/>
      <c r="P465" s="4"/>
      <c r="Q465" s="4"/>
      <c r="R465" s="4"/>
      <c r="S465" s="4"/>
      <c r="T465" s="4"/>
      <c r="U465" s="4"/>
      <c r="V465" s="4"/>
      <c r="W465" s="4"/>
      <c r="X465" s="4"/>
      <c r="Y465" s="4"/>
      <c r="Z465" s="4"/>
      <c r="AA465" s="4"/>
      <c r="AB465" s="4"/>
    </row>
    <row r="466" spans="1:28" ht="12.75" hidden="1">
      <c r="A466" s="4"/>
      <c r="B466" s="4"/>
      <c r="C466" s="4"/>
      <c r="D466" s="15"/>
      <c r="E466" s="4"/>
      <c r="F466" s="4"/>
      <c r="G466" s="4"/>
      <c r="H466" s="4"/>
      <c r="I466" s="4"/>
      <c r="J466" s="4"/>
      <c r="K466" s="4"/>
      <c r="L466" s="4"/>
      <c r="M466" s="4"/>
      <c r="N466" s="4"/>
      <c r="O466" s="4"/>
      <c r="P466" s="4"/>
      <c r="Q466" s="4"/>
      <c r="R466" s="4"/>
      <c r="S466" s="4"/>
      <c r="T466" s="4"/>
      <c r="U466" s="4"/>
      <c r="V466" s="4"/>
      <c r="W466" s="4"/>
      <c r="X466" s="4"/>
      <c r="Y466" s="4"/>
      <c r="Z466" s="4"/>
      <c r="AA466" s="4"/>
      <c r="AB466" s="4"/>
    </row>
    <row r="467" spans="1:28" ht="12.75" hidden="1">
      <c r="A467" s="4"/>
      <c r="B467" s="4"/>
      <c r="C467" s="4"/>
      <c r="D467" s="15"/>
      <c r="E467" s="4"/>
      <c r="F467" s="4"/>
      <c r="G467" s="4"/>
      <c r="H467" s="4"/>
      <c r="I467" s="4"/>
      <c r="J467" s="4"/>
      <c r="K467" s="4"/>
      <c r="L467" s="4"/>
      <c r="M467" s="4"/>
      <c r="N467" s="4"/>
      <c r="O467" s="4"/>
      <c r="P467" s="4"/>
      <c r="Q467" s="4"/>
      <c r="R467" s="4"/>
      <c r="S467" s="4"/>
      <c r="T467" s="4"/>
      <c r="U467" s="4"/>
      <c r="V467" s="4"/>
      <c r="W467" s="4"/>
      <c r="X467" s="4"/>
      <c r="Y467" s="4"/>
      <c r="Z467" s="4"/>
      <c r="AA467" s="4"/>
      <c r="AB467" s="4"/>
    </row>
    <row r="468" spans="1:28" ht="12.75" hidden="1">
      <c r="A468" s="4"/>
      <c r="B468" s="4"/>
      <c r="C468" s="4"/>
      <c r="D468" s="15"/>
      <c r="E468" s="4"/>
      <c r="F468" s="4"/>
      <c r="G468" s="4"/>
      <c r="H468" s="4"/>
      <c r="I468" s="4"/>
      <c r="J468" s="4"/>
      <c r="K468" s="4"/>
      <c r="L468" s="4"/>
      <c r="M468" s="4"/>
      <c r="N468" s="4"/>
      <c r="O468" s="4"/>
      <c r="P468" s="4"/>
      <c r="Q468" s="4"/>
      <c r="R468" s="4"/>
      <c r="S468" s="4"/>
      <c r="T468" s="4"/>
      <c r="U468" s="4"/>
      <c r="V468" s="4"/>
      <c r="W468" s="4"/>
      <c r="X468" s="4"/>
      <c r="Y468" s="4"/>
      <c r="Z468" s="4"/>
      <c r="AA468" s="4"/>
      <c r="AB468" s="4"/>
    </row>
    <row r="469" spans="1:28" ht="12.75" hidden="1">
      <c r="A469" s="4"/>
      <c r="B469" s="4"/>
      <c r="C469" s="4"/>
      <c r="D469" s="15"/>
      <c r="E469" s="4"/>
      <c r="F469" s="4"/>
      <c r="G469" s="4"/>
      <c r="H469" s="4"/>
      <c r="I469" s="4"/>
      <c r="J469" s="4"/>
      <c r="K469" s="4"/>
      <c r="L469" s="4"/>
      <c r="M469" s="4"/>
      <c r="N469" s="4"/>
      <c r="O469" s="4"/>
      <c r="P469" s="4"/>
      <c r="Q469" s="4"/>
      <c r="R469" s="4"/>
      <c r="S469" s="4"/>
      <c r="T469" s="4"/>
      <c r="U469" s="4"/>
      <c r="V469" s="4"/>
      <c r="W469" s="4"/>
      <c r="X469" s="4"/>
      <c r="Y469" s="4"/>
      <c r="Z469" s="4"/>
      <c r="AA469" s="4"/>
      <c r="AB469" s="4"/>
    </row>
    <row r="470" spans="1:28" ht="12.75" hidden="1">
      <c r="A470" s="4"/>
      <c r="B470" s="4"/>
      <c r="C470" s="4"/>
      <c r="D470" s="15"/>
      <c r="E470" s="4"/>
      <c r="F470" s="4"/>
      <c r="G470" s="4"/>
      <c r="H470" s="4"/>
      <c r="I470" s="4"/>
      <c r="J470" s="4"/>
      <c r="K470" s="4"/>
      <c r="L470" s="4"/>
      <c r="M470" s="4"/>
      <c r="N470" s="4"/>
      <c r="O470" s="4"/>
      <c r="P470" s="4"/>
      <c r="Q470" s="4"/>
      <c r="R470" s="4"/>
      <c r="S470" s="4"/>
      <c r="T470" s="4"/>
      <c r="U470" s="4"/>
      <c r="V470" s="4"/>
      <c r="W470" s="4"/>
      <c r="X470" s="4"/>
      <c r="Y470" s="4"/>
      <c r="Z470" s="4"/>
      <c r="AA470" s="4"/>
      <c r="AB470" s="4"/>
    </row>
    <row r="471" spans="1:28" ht="12.75" hidden="1">
      <c r="A471" s="4"/>
      <c r="B471" s="4"/>
      <c r="C471" s="4"/>
      <c r="D471" s="15"/>
      <c r="E471" s="4"/>
      <c r="F471" s="4"/>
      <c r="G471" s="4"/>
      <c r="H471" s="4"/>
      <c r="I471" s="4"/>
      <c r="J471" s="4"/>
      <c r="K471" s="4"/>
      <c r="L471" s="4"/>
      <c r="M471" s="4"/>
      <c r="N471" s="4"/>
      <c r="O471" s="4"/>
      <c r="P471" s="4"/>
      <c r="Q471" s="4"/>
      <c r="R471" s="4"/>
      <c r="S471" s="4"/>
      <c r="T471" s="4"/>
      <c r="U471" s="4"/>
      <c r="V471" s="4"/>
      <c r="W471" s="4"/>
      <c r="X471" s="4"/>
      <c r="Y471" s="4"/>
      <c r="Z471" s="4"/>
      <c r="AA471" s="4"/>
      <c r="AB471" s="4"/>
    </row>
    <row r="472" spans="1:28" ht="12.75" hidden="1">
      <c r="A472" s="4"/>
      <c r="B472" s="4"/>
      <c r="C472" s="4"/>
      <c r="D472" s="15"/>
      <c r="E472" s="4"/>
      <c r="F472" s="4"/>
      <c r="G472" s="4"/>
      <c r="H472" s="4"/>
      <c r="I472" s="4"/>
      <c r="J472" s="4"/>
      <c r="K472" s="4"/>
      <c r="L472" s="4"/>
      <c r="M472" s="4"/>
      <c r="N472" s="4"/>
      <c r="O472" s="4"/>
      <c r="P472" s="4"/>
      <c r="Q472" s="4"/>
      <c r="R472" s="4"/>
      <c r="S472" s="4"/>
      <c r="T472" s="4"/>
      <c r="U472" s="4"/>
      <c r="V472" s="4"/>
      <c r="W472" s="4"/>
      <c r="X472" s="4"/>
      <c r="Y472" s="4"/>
      <c r="Z472" s="4"/>
      <c r="AA472" s="4"/>
      <c r="AB472" s="4"/>
    </row>
    <row r="473" spans="1:28" ht="12.75" hidden="1">
      <c r="A473" s="4"/>
      <c r="B473" s="4"/>
      <c r="C473" s="4"/>
      <c r="D473" s="15"/>
      <c r="E473" s="4"/>
      <c r="F473" s="4"/>
      <c r="G473" s="4"/>
      <c r="H473" s="4"/>
      <c r="I473" s="4"/>
      <c r="J473" s="4"/>
      <c r="K473" s="4"/>
      <c r="L473" s="4"/>
      <c r="M473" s="4"/>
      <c r="N473" s="4"/>
      <c r="O473" s="4"/>
      <c r="P473" s="4"/>
      <c r="Q473" s="4"/>
      <c r="R473" s="4"/>
      <c r="S473" s="4"/>
      <c r="T473" s="4"/>
      <c r="U473" s="4"/>
      <c r="V473" s="4"/>
      <c r="W473" s="4"/>
      <c r="X473" s="4"/>
      <c r="Y473" s="4"/>
      <c r="Z473" s="4"/>
      <c r="AA473" s="4"/>
      <c r="AB473" s="4"/>
    </row>
    <row r="474" spans="1:28" ht="12.75" hidden="1">
      <c r="A474" s="4"/>
      <c r="B474" s="4"/>
      <c r="C474" s="4"/>
      <c r="D474" s="15"/>
      <c r="E474" s="4"/>
      <c r="F474" s="4"/>
      <c r="G474" s="4"/>
      <c r="H474" s="4"/>
      <c r="I474" s="4"/>
      <c r="J474" s="4"/>
      <c r="K474" s="4"/>
      <c r="L474" s="4"/>
      <c r="M474" s="4"/>
      <c r="N474" s="4"/>
      <c r="O474" s="4"/>
      <c r="P474" s="4"/>
      <c r="Q474" s="4"/>
      <c r="R474" s="4"/>
      <c r="S474" s="4"/>
      <c r="T474" s="4"/>
      <c r="U474" s="4"/>
      <c r="V474" s="4"/>
      <c r="W474" s="4"/>
      <c r="X474" s="4"/>
      <c r="Y474" s="4"/>
      <c r="Z474" s="4"/>
      <c r="AA474" s="4"/>
      <c r="AB474" s="4"/>
    </row>
    <row r="475" spans="1:28" ht="12.75" hidden="1">
      <c r="A475" s="4"/>
      <c r="B475" s="4"/>
      <c r="C475" s="4"/>
      <c r="D475" s="15"/>
      <c r="E475" s="4"/>
      <c r="F475" s="4"/>
      <c r="G475" s="4"/>
      <c r="H475" s="4"/>
      <c r="I475" s="4"/>
      <c r="J475" s="4"/>
      <c r="K475" s="4"/>
      <c r="L475" s="4"/>
      <c r="M475" s="4"/>
      <c r="N475" s="4"/>
      <c r="O475" s="4"/>
      <c r="P475" s="4"/>
      <c r="Q475" s="4"/>
      <c r="R475" s="4"/>
      <c r="S475" s="4"/>
      <c r="T475" s="4"/>
      <c r="U475" s="4"/>
      <c r="V475" s="4"/>
      <c r="W475" s="4"/>
      <c r="X475" s="4"/>
      <c r="Y475" s="4"/>
      <c r="Z475" s="4"/>
      <c r="AA475" s="4"/>
      <c r="AB475" s="4"/>
    </row>
    <row r="476" spans="1:28" ht="12.75" hidden="1">
      <c r="A476" s="4"/>
      <c r="B476" s="4"/>
      <c r="C476" s="4"/>
      <c r="D476" s="15"/>
      <c r="E476" s="4"/>
      <c r="F476" s="4"/>
      <c r="G476" s="4"/>
      <c r="H476" s="4"/>
      <c r="I476" s="4"/>
      <c r="J476" s="4"/>
      <c r="K476" s="4"/>
      <c r="L476" s="4"/>
      <c r="M476" s="4"/>
      <c r="N476" s="4"/>
      <c r="O476" s="4"/>
      <c r="P476" s="4"/>
      <c r="Q476" s="4"/>
      <c r="R476" s="4"/>
      <c r="S476" s="4"/>
      <c r="T476" s="4"/>
      <c r="U476" s="4"/>
      <c r="V476" s="4"/>
      <c r="W476" s="4"/>
      <c r="X476" s="4"/>
      <c r="Y476" s="4"/>
      <c r="Z476" s="4"/>
      <c r="AA476" s="4"/>
      <c r="AB476" s="4"/>
    </row>
    <row r="477" spans="1:28" ht="12.75" hidden="1">
      <c r="A477" s="4"/>
      <c r="B477" s="4"/>
      <c r="C477" s="4"/>
      <c r="D477" s="15"/>
      <c r="E477" s="4"/>
      <c r="F477" s="4"/>
      <c r="G477" s="4"/>
      <c r="H477" s="4"/>
      <c r="I477" s="4"/>
      <c r="J477" s="4"/>
      <c r="K477" s="4"/>
      <c r="L477" s="4"/>
      <c r="M477" s="4"/>
      <c r="N477" s="4"/>
      <c r="O477" s="4"/>
      <c r="P477" s="4"/>
      <c r="Q477" s="4"/>
      <c r="R477" s="4"/>
      <c r="S477" s="4"/>
      <c r="T477" s="4"/>
      <c r="U477" s="4"/>
      <c r="V477" s="4"/>
      <c r="W477" s="4"/>
      <c r="X477" s="4"/>
      <c r="Y477" s="4"/>
      <c r="Z477" s="4"/>
      <c r="AA477" s="4"/>
      <c r="AB477" s="4"/>
    </row>
    <row r="478" spans="1:28" ht="12.75" hidden="1">
      <c r="A478" s="4"/>
      <c r="B478" s="4"/>
      <c r="C478" s="4"/>
      <c r="D478" s="15"/>
      <c r="E478" s="4"/>
      <c r="F478" s="4"/>
      <c r="G478" s="4"/>
      <c r="H478" s="4"/>
      <c r="I478" s="4"/>
      <c r="J478" s="4"/>
      <c r="K478" s="4"/>
      <c r="L478" s="4"/>
      <c r="M478" s="4"/>
      <c r="N478" s="4"/>
      <c r="O478" s="4"/>
      <c r="P478" s="4"/>
      <c r="Q478" s="4"/>
      <c r="R478" s="4"/>
      <c r="S478" s="4"/>
      <c r="T478" s="4"/>
      <c r="U478" s="4"/>
      <c r="V478" s="4"/>
      <c r="W478" s="4"/>
      <c r="X478" s="4"/>
      <c r="Y478" s="4"/>
      <c r="Z478" s="4"/>
      <c r="AA478" s="4"/>
      <c r="AB478" s="4"/>
    </row>
    <row r="479" spans="1:28" ht="12.75" hidden="1">
      <c r="A479" s="4"/>
      <c r="B479" s="4"/>
      <c r="C479" s="4"/>
      <c r="D479" s="15"/>
      <c r="E479" s="4"/>
      <c r="F479" s="4"/>
      <c r="G479" s="4"/>
      <c r="H479" s="4"/>
      <c r="I479" s="4"/>
      <c r="J479" s="4"/>
      <c r="K479" s="4"/>
      <c r="L479" s="4"/>
      <c r="M479" s="4"/>
      <c r="N479" s="4"/>
      <c r="O479" s="4"/>
      <c r="P479" s="4"/>
      <c r="Q479" s="4"/>
      <c r="R479" s="4"/>
      <c r="S479" s="4"/>
      <c r="T479" s="4"/>
      <c r="U479" s="4"/>
      <c r="V479" s="4"/>
      <c r="W479" s="4"/>
      <c r="X479" s="4"/>
      <c r="Y479" s="4"/>
      <c r="Z479" s="4"/>
      <c r="AA479" s="4"/>
      <c r="AB479" s="4"/>
    </row>
    <row r="480" spans="1:28" ht="12.75" hidden="1">
      <c r="A480" s="4"/>
      <c r="B480" s="4"/>
      <c r="C480" s="4"/>
      <c r="D480" s="15"/>
      <c r="E480" s="4"/>
      <c r="F480" s="4"/>
      <c r="G480" s="4"/>
      <c r="H480" s="4"/>
      <c r="I480" s="4"/>
      <c r="J480" s="4"/>
      <c r="K480" s="4"/>
      <c r="L480" s="4"/>
      <c r="M480" s="4"/>
      <c r="N480" s="4"/>
      <c r="O480" s="4"/>
      <c r="P480" s="4"/>
      <c r="Q480" s="4"/>
      <c r="R480" s="4"/>
      <c r="S480" s="4"/>
      <c r="T480" s="4"/>
      <c r="U480" s="4"/>
      <c r="V480" s="4"/>
      <c r="W480" s="4"/>
      <c r="X480" s="4"/>
      <c r="Y480" s="4"/>
      <c r="Z480" s="4"/>
      <c r="AA480" s="4"/>
      <c r="AB480" s="4"/>
    </row>
    <row r="481" spans="1:28" ht="12.75" hidden="1">
      <c r="A481" s="4"/>
      <c r="B481" s="4"/>
      <c r="C481" s="4"/>
      <c r="D481" s="15"/>
      <c r="E481" s="4"/>
      <c r="F481" s="4"/>
      <c r="G481" s="4"/>
      <c r="H481" s="4"/>
      <c r="I481" s="4"/>
      <c r="J481" s="4"/>
      <c r="K481" s="4"/>
      <c r="L481" s="4"/>
      <c r="M481" s="4"/>
      <c r="N481" s="4"/>
      <c r="O481" s="4"/>
      <c r="P481" s="4"/>
      <c r="Q481" s="4"/>
      <c r="R481" s="4"/>
      <c r="S481" s="4"/>
      <c r="T481" s="4"/>
      <c r="U481" s="4"/>
      <c r="V481" s="4"/>
      <c r="W481" s="4"/>
      <c r="X481" s="4"/>
      <c r="Y481" s="4"/>
      <c r="Z481" s="4"/>
      <c r="AA481" s="4"/>
      <c r="AB481" s="4"/>
    </row>
    <row r="482" spans="1:28" ht="12.75" hidden="1">
      <c r="A482" s="4"/>
      <c r="B482" s="4"/>
      <c r="C482" s="4"/>
      <c r="D482" s="15"/>
      <c r="E482" s="4"/>
      <c r="F482" s="4"/>
      <c r="G482" s="4"/>
      <c r="H482" s="4"/>
      <c r="I482" s="4"/>
      <c r="J482" s="4"/>
      <c r="K482" s="4"/>
      <c r="L482" s="4"/>
      <c r="M482" s="4"/>
      <c r="N482" s="4"/>
      <c r="O482" s="4"/>
      <c r="P482" s="4"/>
      <c r="Q482" s="4"/>
      <c r="R482" s="4"/>
      <c r="S482" s="4"/>
      <c r="T482" s="4"/>
      <c r="U482" s="4"/>
      <c r="V482" s="4"/>
      <c r="W482" s="4"/>
      <c r="X482" s="4"/>
      <c r="Y482" s="4"/>
      <c r="Z482" s="4"/>
      <c r="AA482" s="4"/>
      <c r="AB482" s="4"/>
    </row>
    <row r="483" spans="1:28" ht="12.75" hidden="1">
      <c r="A483" s="4"/>
      <c r="B483" s="4"/>
      <c r="C483" s="4"/>
      <c r="D483" s="15"/>
      <c r="E483" s="4"/>
      <c r="F483" s="4"/>
      <c r="G483" s="4"/>
      <c r="H483" s="4"/>
      <c r="I483" s="4"/>
      <c r="J483" s="4"/>
      <c r="K483" s="4"/>
      <c r="L483" s="4"/>
      <c r="M483" s="4"/>
      <c r="N483" s="4"/>
      <c r="O483" s="4"/>
      <c r="P483" s="4"/>
      <c r="Q483" s="4"/>
      <c r="R483" s="4"/>
      <c r="S483" s="4"/>
      <c r="T483" s="4"/>
      <c r="U483" s="4"/>
      <c r="V483" s="4"/>
      <c r="W483" s="4"/>
      <c r="X483" s="4"/>
      <c r="Y483" s="4"/>
      <c r="Z483" s="4"/>
      <c r="AA483" s="4"/>
      <c r="AB483" s="4"/>
    </row>
    <row r="484" spans="1:28" ht="12.75" hidden="1">
      <c r="A484" s="4"/>
      <c r="B484" s="4"/>
      <c r="C484" s="4"/>
      <c r="D484" s="15"/>
      <c r="E484" s="4"/>
      <c r="F484" s="4"/>
      <c r="G484" s="4"/>
      <c r="H484" s="4"/>
      <c r="I484" s="4"/>
      <c r="J484" s="4"/>
      <c r="K484" s="4"/>
      <c r="L484" s="4"/>
      <c r="M484" s="4"/>
      <c r="N484" s="4"/>
      <c r="O484" s="4"/>
      <c r="P484" s="4"/>
      <c r="Q484" s="4"/>
      <c r="R484" s="4"/>
      <c r="S484" s="4"/>
      <c r="T484" s="4"/>
      <c r="U484" s="4"/>
      <c r="V484" s="4"/>
      <c r="W484" s="4"/>
      <c r="X484" s="4"/>
      <c r="Y484" s="4"/>
      <c r="Z484" s="4"/>
      <c r="AA484" s="4"/>
      <c r="AB484" s="4"/>
    </row>
    <row r="485" spans="1:28" ht="12.75" hidden="1">
      <c r="A485" s="4"/>
      <c r="B485" s="4"/>
      <c r="C485" s="4"/>
      <c r="D485" s="15"/>
      <c r="E485" s="4"/>
      <c r="F485" s="4"/>
      <c r="G485" s="4"/>
      <c r="H485" s="4"/>
      <c r="I485" s="4"/>
      <c r="J485" s="4"/>
      <c r="K485" s="4"/>
      <c r="L485" s="4"/>
      <c r="M485" s="4"/>
      <c r="N485" s="4"/>
      <c r="O485" s="4"/>
      <c r="P485" s="4"/>
      <c r="Q485" s="4"/>
      <c r="R485" s="4"/>
      <c r="S485" s="4"/>
      <c r="T485" s="4"/>
      <c r="U485" s="4"/>
      <c r="V485" s="4"/>
      <c r="W485" s="4"/>
      <c r="X485" s="4"/>
      <c r="Y485" s="4"/>
      <c r="Z485" s="4"/>
      <c r="AA485" s="4"/>
      <c r="AB485" s="4"/>
    </row>
    <row r="486" spans="1:28" ht="12.75" hidden="1">
      <c r="A486" s="4"/>
      <c r="B486" s="4"/>
      <c r="C486" s="4"/>
      <c r="D486" s="15"/>
      <c r="E486" s="4"/>
      <c r="F486" s="4"/>
      <c r="G486" s="4"/>
      <c r="H486" s="4"/>
      <c r="I486" s="4"/>
      <c r="J486" s="4"/>
      <c r="K486" s="4"/>
      <c r="L486" s="4"/>
      <c r="M486" s="4"/>
      <c r="N486" s="4"/>
      <c r="O486" s="4"/>
      <c r="P486" s="4"/>
      <c r="Q486" s="4"/>
      <c r="R486" s="4"/>
      <c r="S486" s="4"/>
      <c r="T486" s="4"/>
      <c r="U486" s="4"/>
      <c r="V486" s="4"/>
      <c r="W486" s="4"/>
      <c r="X486" s="4"/>
      <c r="Y486" s="4"/>
      <c r="Z486" s="4"/>
      <c r="AA486" s="4"/>
      <c r="AB486" s="4"/>
    </row>
    <row r="487" spans="1:28" ht="12.75" hidden="1">
      <c r="A487" s="4"/>
      <c r="B487" s="4"/>
      <c r="C487" s="4"/>
      <c r="D487" s="15"/>
      <c r="E487" s="4"/>
      <c r="F487" s="4"/>
      <c r="G487" s="4"/>
      <c r="H487" s="4"/>
      <c r="I487" s="4"/>
      <c r="J487" s="4"/>
      <c r="K487" s="4"/>
      <c r="L487" s="4"/>
      <c r="M487" s="4"/>
      <c r="N487" s="4"/>
      <c r="O487" s="4"/>
      <c r="P487" s="4"/>
      <c r="Q487" s="4"/>
      <c r="R487" s="4"/>
      <c r="S487" s="4"/>
      <c r="T487" s="4"/>
      <c r="U487" s="4"/>
      <c r="V487" s="4"/>
      <c r="W487" s="4"/>
      <c r="X487" s="4"/>
      <c r="Y487" s="4"/>
      <c r="Z487" s="4"/>
      <c r="AA487" s="4"/>
      <c r="AB487" s="4"/>
    </row>
    <row r="488" spans="1:28" ht="12.75" hidden="1">
      <c r="A488" s="4"/>
      <c r="B488" s="4"/>
      <c r="C488" s="4"/>
      <c r="D488" s="15"/>
      <c r="E488" s="4"/>
      <c r="F488" s="4"/>
      <c r="G488" s="4"/>
      <c r="H488" s="4"/>
      <c r="I488" s="4"/>
      <c r="J488" s="4"/>
      <c r="K488" s="4"/>
      <c r="L488" s="4"/>
      <c r="M488" s="4"/>
      <c r="N488" s="4"/>
      <c r="O488" s="4"/>
      <c r="P488" s="4"/>
      <c r="Q488" s="4"/>
      <c r="R488" s="4"/>
      <c r="S488" s="4"/>
      <c r="T488" s="4"/>
      <c r="U488" s="4"/>
      <c r="V488" s="4"/>
      <c r="W488" s="4"/>
      <c r="X488" s="4"/>
      <c r="Y488" s="4"/>
      <c r="Z488" s="4"/>
      <c r="AA488" s="4"/>
      <c r="AB488" s="4"/>
    </row>
    <row r="489" spans="1:28" ht="12.75" hidden="1">
      <c r="A489" s="4"/>
      <c r="B489" s="4"/>
      <c r="C489" s="4"/>
      <c r="D489" s="15"/>
      <c r="E489" s="4"/>
      <c r="F489" s="4"/>
      <c r="G489" s="4"/>
      <c r="H489" s="4"/>
      <c r="I489" s="4"/>
      <c r="J489" s="4"/>
      <c r="K489" s="4"/>
      <c r="L489" s="4"/>
      <c r="M489" s="4"/>
      <c r="N489" s="4"/>
      <c r="O489" s="4"/>
      <c r="P489" s="4"/>
      <c r="Q489" s="4"/>
      <c r="R489" s="4"/>
      <c r="S489" s="4"/>
      <c r="T489" s="4"/>
      <c r="U489" s="4"/>
      <c r="V489" s="4"/>
      <c r="W489" s="4"/>
      <c r="X489" s="4"/>
      <c r="Y489" s="4"/>
      <c r="Z489" s="4"/>
      <c r="AA489" s="4"/>
      <c r="AB489" s="4"/>
    </row>
    <row r="490" spans="1:28" ht="12.75" hidden="1">
      <c r="A490" s="4"/>
      <c r="B490" s="4"/>
      <c r="C490" s="4"/>
      <c r="D490" s="15"/>
      <c r="E490" s="4"/>
      <c r="F490" s="4"/>
      <c r="G490" s="4"/>
      <c r="H490" s="4"/>
      <c r="I490" s="4"/>
      <c r="J490" s="4"/>
      <c r="K490" s="4"/>
      <c r="L490" s="4"/>
      <c r="M490" s="4"/>
      <c r="N490" s="4"/>
      <c r="O490" s="4"/>
      <c r="P490" s="4"/>
      <c r="Q490" s="4"/>
      <c r="R490" s="4"/>
      <c r="S490" s="4"/>
      <c r="T490" s="4"/>
      <c r="U490" s="4"/>
      <c r="V490" s="4"/>
      <c r="W490" s="4"/>
      <c r="X490" s="4"/>
      <c r="Y490" s="4"/>
      <c r="Z490" s="4"/>
      <c r="AA490" s="4"/>
      <c r="AB490" s="4"/>
    </row>
    <row r="491" spans="1:28" ht="12.75" hidden="1">
      <c r="A491" s="4"/>
      <c r="B491" s="4"/>
      <c r="C491" s="4"/>
      <c r="D491" s="15"/>
      <c r="E491" s="4"/>
      <c r="F491" s="4"/>
      <c r="G491" s="4"/>
      <c r="H491" s="4"/>
      <c r="I491" s="4"/>
      <c r="J491" s="4"/>
      <c r="K491" s="4"/>
      <c r="L491" s="4"/>
      <c r="M491" s="4"/>
      <c r="N491" s="4"/>
      <c r="O491" s="4"/>
      <c r="P491" s="4"/>
      <c r="Q491" s="4"/>
      <c r="R491" s="4"/>
      <c r="S491" s="4"/>
      <c r="T491" s="4"/>
      <c r="U491" s="4"/>
      <c r="V491" s="4"/>
      <c r="W491" s="4"/>
      <c r="X491" s="4"/>
      <c r="Y491" s="4"/>
      <c r="Z491" s="4"/>
      <c r="AA491" s="4"/>
      <c r="AB491" s="4"/>
    </row>
    <row r="492" spans="1:28" ht="12.75" hidden="1">
      <c r="A492" s="4"/>
      <c r="B492" s="4"/>
      <c r="C492" s="4"/>
      <c r="D492" s="15"/>
      <c r="E492" s="4"/>
      <c r="F492" s="4"/>
      <c r="G492" s="4"/>
      <c r="H492" s="4"/>
      <c r="I492" s="4"/>
      <c r="J492" s="4"/>
      <c r="K492" s="4"/>
      <c r="L492" s="4"/>
      <c r="M492" s="4"/>
      <c r="N492" s="4"/>
      <c r="O492" s="4"/>
      <c r="P492" s="4"/>
      <c r="Q492" s="4"/>
      <c r="R492" s="4"/>
      <c r="S492" s="4"/>
      <c r="T492" s="4"/>
      <c r="U492" s="4"/>
      <c r="V492" s="4"/>
      <c r="W492" s="4"/>
      <c r="X492" s="4"/>
      <c r="Y492" s="4"/>
      <c r="Z492" s="4"/>
      <c r="AA492" s="4"/>
      <c r="AB492" s="4"/>
    </row>
    <row r="493" spans="1:28" ht="12.75" hidden="1">
      <c r="A493" s="4"/>
      <c r="B493" s="4"/>
      <c r="C493" s="4"/>
      <c r="D493" s="15"/>
      <c r="E493" s="4"/>
      <c r="F493" s="4"/>
      <c r="G493" s="4"/>
      <c r="H493" s="4"/>
      <c r="I493" s="4"/>
      <c r="J493" s="4"/>
      <c r="K493" s="4"/>
      <c r="L493" s="4"/>
      <c r="M493" s="4"/>
      <c r="N493" s="4"/>
      <c r="O493" s="4"/>
      <c r="P493" s="4"/>
      <c r="Q493" s="4"/>
      <c r="R493" s="4"/>
      <c r="S493" s="4"/>
      <c r="T493" s="4"/>
      <c r="U493" s="4"/>
      <c r="V493" s="4"/>
      <c r="W493" s="4"/>
      <c r="X493" s="4"/>
      <c r="Y493" s="4"/>
      <c r="Z493" s="4"/>
      <c r="AA493" s="4"/>
      <c r="AB493" s="4"/>
    </row>
    <row r="494" spans="1:28" ht="12.75" hidden="1">
      <c r="A494" s="4"/>
      <c r="B494" s="4"/>
      <c r="C494" s="4"/>
      <c r="D494" s="15"/>
      <c r="E494" s="4"/>
      <c r="F494" s="4"/>
      <c r="G494" s="4"/>
      <c r="H494" s="4"/>
      <c r="I494" s="4"/>
      <c r="J494" s="4"/>
      <c r="K494" s="4"/>
      <c r="L494" s="4"/>
      <c r="M494" s="4"/>
      <c r="N494" s="4"/>
      <c r="O494" s="4"/>
      <c r="P494" s="4"/>
      <c r="Q494" s="4"/>
      <c r="R494" s="4"/>
      <c r="S494" s="4"/>
      <c r="T494" s="4"/>
      <c r="U494" s="4"/>
      <c r="V494" s="4"/>
      <c r="W494" s="4"/>
      <c r="X494" s="4"/>
      <c r="Y494" s="4"/>
      <c r="Z494" s="4"/>
      <c r="AA494" s="4"/>
      <c r="AB494" s="4"/>
    </row>
    <row r="495" spans="1:28" ht="12.75" hidden="1">
      <c r="A495" s="4"/>
      <c r="B495" s="4"/>
      <c r="C495" s="4"/>
      <c r="D495" s="15"/>
      <c r="E495" s="4"/>
      <c r="F495" s="4"/>
      <c r="G495" s="4"/>
      <c r="H495" s="4"/>
      <c r="I495" s="4"/>
      <c r="J495" s="4"/>
      <c r="K495" s="4"/>
      <c r="L495" s="4"/>
      <c r="M495" s="4"/>
      <c r="N495" s="4"/>
      <c r="O495" s="4"/>
      <c r="P495" s="4"/>
      <c r="Q495" s="4"/>
      <c r="R495" s="4"/>
      <c r="S495" s="4"/>
      <c r="T495" s="4"/>
      <c r="U495" s="4"/>
      <c r="V495" s="4"/>
      <c r="W495" s="4"/>
      <c r="X495" s="4"/>
      <c r="Y495" s="4"/>
      <c r="Z495" s="4"/>
      <c r="AA495" s="4"/>
      <c r="AB495" s="4"/>
    </row>
    <row r="496" spans="1:28" ht="12.75" hidden="1">
      <c r="A496" s="4"/>
      <c r="B496" s="4"/>
      <c r="C496" s="4"/>
      <c r="D496" s="15"/>
      <c r="E496" s="4"/>
      <c r="F496" s="4"/>
      <c r="G496" s="4"/>
      <c r="H496" s="4"/>
      <c r="I496" s="4"/>
      <c r="J496" s="4"/>
      <c r="K496" s="4"/>
      <c r="L496" s="4"/>
      <c r="M496" s="4"/>
      <c r="N496" s="4"/>
      <c r="O496" s="4"/>
      <c r="P496" s="4"/>
      <c r="Q496" s="4"/>
      <c r="R496" s="4"/>
      <c r="S496" s="4"/>
      <c r="T496" s="4"/>
      <c r="U496" s="4"/>
      <c r="V496" s="4"/>
      <c r="W496" s="4"/>
      <c r="X496" s="4"/>
      <c r="Y496" s="4"/>
      <c r="Z496" s="4"/>
      <c r="AA496" s="4"/>
      <c r="AB496" s="4"/>
    </row>
    <row r="497" spans="1:28" ht="12.75" hidden="1">
      <c r="A497" s="4"/>
      <c r="B497" s="4"/>
      <c r="C497" s="4"/>
      <c r="D497" s="15"/>
      <c r="E497" s="4"/>
      <c r="F497" s="4"/>
      <c r="G497" s="4"/>
      <c r="H497" s="4"/>
      <c r="I497" s="4"/>
      <c r="J497" s="4"/>
      <c r="K497" s="4"/>
      <c r="L497" s="4"/>
      <c r="M497" s="4"/>
      <c r="N497" s="4"/>
      <c r="O497" s="4"/>
      <c r="P497" s="4"/>
      <c r="Q497" s="4"/>
      <c r="R497" s="4"/>
      <c r="S497" s="4"/>
      <c r="T497" s="4"/>
      <c r="U497" s="4"/>
      <c r="V497" s="4"/>
      <c r="W497" s="4"/>
      <c r="X497" s="4"/>
      <c r="Y497" s="4"/>
      <c r="Z497" s="4"/>
      <c r="AA497" s="4"/>
      <c r="AB497" s="4"/>
    </row>
    <row r="498" spans="1:28" ht="12.75" hidden="1">
      <c r="A498" s="4"/>
      <c r="B498" s="4"/>
      <c r="C498" s="4"/>
      <c r="D498" s="15"/>
      <c r="E498" s="4"/>
      <c r="F498" s="4"/>
      <c r="G498" s="4"/>
      <c r="H498" s="4"/>
      <c r="I498" s="4"/>
      <c r="J498" s="4"/>
      <c r="K498" s="4"/>
      <c r="L498" s="4"/>
      <c r="M498" s="4"/>
      <c r="N498" s="4"/>
      <c r="O498" s="4"/>
      <c r="P498" s="4"/>
      <c r="Q498" s="4"/>
      <c r="R498" s="4"/>
      <c r="S498" s="4"/>
      <c r="T498" s="4"/>
      <c r="U498" s="4"/>
      <c r="V498" s="4"/>
      <c r="W498" s="4"/>
      <c r="X498" s="4"/>
      <c r="Y498" s="4"/>
      <c r="Z498" s="4"/>
      <c r="AA498" s="4"/>
      <c r="AB498" s="4"/>
    </row>
    <row r="499" spans="1:28" ht="12.75" hidden="1">
      <c r="A499" s="4"/>
      <c r="B499" s="4"/>
      <c r="C499" s="4"/>
      <c r="D499" s="15"/>
      <c r="E499" s="4"/>
      <c r="F499" s="4"/>
      <c r="G499" s="4"/>
      <c r="H499" s="4"/>
      <c r="I499" s="4"/>
      <c r="J499" s="4"/>
      <c r="K499" s="4"/>
      <c r="L499" s="4"/>
      <c r="M499" s="4"/>
      <c r="N499" s="4"/>
      <c r="O499" s="4"/>
      <c r="P499" s="4"/>
      <c r="Q499" s="4"/>
      <c r="R499" s="4"/>
      <c r="S499" s="4"/>
      <c r="T499" s="4"/>
      <c r="U499" s="4"/>
      <c r="V499" s="4"/>
      <c r="W499" s="4"/>
      <c r="X499" s="4"/>
      <c r="Y499" s="4"/>
      <c r="Z499" s="4"/>
      <c r="AA499" s="4"/>
      <c r="AB499" s="4"/>
    </row>
    <row r="500" spans="1:28" ht="12.75" hidden="1">
      <c r="A500" s="4"/>
      <c r="B500" s="4"/>
      <c r="C500" s="4"/>
      <c r="D500" s="15"/>
      <c r="E500" s="4"/>
      <c r="F500" s="4"/>
      <c r="G500" s="4"/>
      <c r="H500" s="4"/>
      <c r="I500" s="4"/>
      <c r="J500" s="4"/>
      <c r="K500" s="4"/>
      <c r="L500" s="4"/>
      <c r="M500" s="4"/>
      <c r="N500" s="4"/>
      <c r="O500" s="4"/>
      <c r="P500" s="4"/>
      <c r="Q500" s="4"/>
      <c r="R500" s="4"/>
      <c r="S500" s="4"/>
      <c r="T500" s="4"/>
      <c r="U500" s="4"/>
      <c r="V500" s="4"/>
      <c r="W500" s="4"/>
      <c r="X500" s="4"/>
      <c r="Y500" s="4"/>
      <c r="Z500" s="4"/>
      <c r="AA500" s="4"/>
      <c r="AB500" s="4"/>
    </row>
    <row r="501" spans="1:28" ht="12.75" hidden="1">
      <c r="A501" s="4"/>
      <c r="B501" s="4"/>
      <c r="C501" s="4"/>
      <c r="D501" s="15"/>
      <c r="E501" s="4"/>
      <c r="F501" s="4"/>
      <c r="G501" s="4"/>
      <c r="H501" s="4"/>
      <c r="I501" s="4"/>
      <c r="J501" s="4"/>
      <c r="K501" s="4"/>
      <c r="L501" s="4"/>
      <c r="M501" s="4"/>
      <c r="N501" s="4"/>
      <c r="O501" s="4"/>
      <c r="P501" s="4"/>
      <c r="Q501" s="4"/>
      <c r="R501" s="4"/>
      <c r="S501" s="4"/>
      <c r="T501" s="4"/>
      <c r="U501" s="4"/>
      <c r="V501" s="4"/>
      <c r="W501" s="4"/>
      <c r="X501" s="4"/>
      <c r="Y501" s="4"/>
      <c r="Z501" s="4"/>
      <c r="AA501" s="4"/>
      <c r="AB501" s="4"/>
    </row>
    <row r="502" spans="1:28" ht="12.75" hidden="1">
      <c r="A502" s="4"/>
      <c r="B502" s="4"/>
      <c r="C502" s="4"/>
      <c r="D502" s="15"/>
      <c r="E502" s="4"/>
      <c r="F502" s="4"/>
      <c r="G502" s="4"/>
      <c r="H502" s="4"/>
      <c r="I502" s="4"/>
      <c r="J502" s="4"/>
      <c r="K502" s="4"/>
      <c r="L502" s="4"/>
      <c r="M502" s="4"/>
      <c r="N502" s="4"/>
      <c r="O502" s="4"/>
      <c r="P502" s="4"/>
      <c r="Q502" s="4"/>
      <c r="R502" s="4"/>
      <c r="S502" s="4"/>
      <c r="T502" s="4"/>
      <c r="U502" s="4"/>
      <c r="V502" s="4"/>
      <c r="W502" s="4"/>
      <c r="X502" s="4"/>
      <c r="Y502" s="4"/>
      <c r="Z502" s="4"/>
      <c r="AA502" s="4"/>
      <c r="AB502" s="4"/>
    </row>
    <row r="503" spans="1:28" ht="12.75" hidden="1">
      <c r="A503" s="4"/>
      <c r="B503" s="4"/>
      <c r="C503" s="4"/>
      <c r="D503" s="15"/>
      <c r="E503" s="4"/>
      <c r="F503" s="4"/>
      <c r="G503" s="4"/>
      <c r="H503" s="4"/>
      <c r="I503" s="4"/>
      <c r="J503" s="4"/>
      <c r="K503" s="4"/>
      <c r="L503" s="4"/>
      <c r="M503" s="4"/>
      <c r="N503" s="4"/>
      <c r="O503" s="4"/>
      <c r="P503" s="4"/>
      <c r="Q503" s="4"/>
      <c r="R503" s="4"/>
      <c r="S503" s="4"/>
      <c r="T503" s="4"/>
      <c r="U503" s="4"/>
      <c r="V503" s="4"/>
      <c r="W503" s="4"/>
      <c r="X503" s="4"/>
      <c r="Y503" s="4"/>
      <c r="Z503" s="4"/>
      <c r="AA503" s="4"/>
      <c r="AB503" s="4"/>
    </row>
    <row r="504" spans="1:28" ht="12.75" hidden="1">
      <c r="A504" s="4"/>
      <c r="B504" s="4"/>
      <c r="C504" s="4"/>
      <c r="D504" s="15"/>
      <c r="E504" s="4"/>
      <c r="F504" s="4"/>
      <c r="G504" s="4"/>
      <c r="H504" s="4"/>
      <c r="I504" s="4"/>
      <c r="J504" s="4"/>
      <c r="K504" s="4"/>
      <c r="L504" s="4"/>
      <c r="M504" s="4"/>
      <c r="N504" s="4"/>
      <c r="O504" s="4"/>
      <c r="P504" s="4"/>
      <c r="Q504" s="4"/>
      <c r="R504" s="4"/>
      <c r="S504" s="4"/>
      <c r="T504" s="4"/>
      <c r="U504" s="4"/>
      <c r="V504" s="4"/>
      <c r="W504" s="4"/>
      <c r="X504" s="4"/>
      <c r="Y504" s="4"/>
      <c r="Z504" s="4"/>
      <c r="AA504" s="4"/>
      <c r="AB504" s="4"/>
    </row>
    <row r="505" spans="1:28" ht="12.75" hidden="1">
      <c r="A505" s="4"/>
      <c r="B505" s="4"/>
      <c r="C505" s="4"/>
      <c r="D505" s="15"/>
      <c r="E505" s="4"/>
      <c r="F505" s="4"/>
      <c r="G505" s="4"/>
      <c r="H505" s="4"/>
      <c r="I505" s="4"/>
      <c r="J505" s="4"/>
      <c r="K505" s="4"/>
      <c r="L505" s="4"/>
      <c r="M505" s="4"/>
      <c r="N505" s="4"/>
      <c r="O505" s="4"/>
      <c r="P505" s="4"/>
      <c r="Q505" s="4"/>
      <c r="R505" s="4"/>
      <c r="S505" s="4"/>
      <c r="T505" s="4"/>
      <c r="U505" s="4"/>
      <c r="V505" s="4"/>
      <c r="W505" s="4"/>
      <c r="X505" s="4"/>
      <c r="Y505" s="4"/>
      <c r="Z505" s="4"/>
      <c r="AA505" s="4"/>
      <c r="AB505" s="4"/>
    </row>
    <row r="506" spans="1:28" ht="12.75" hidden="1">
      <c r="A506" s="4"/>
      <c r="B506" s="4"/>
      <c r="C506" s="4"/>
      <c r="D506" s="15"/>
      <c r="E506" s="4"/>
      <c r="F506" s="4"/>
      <c r="G506" s="4"/>
      <c r="H506" s="4"/>
      <c r="I506" s="4"/>
      <c r="J506" s="4"/>
      <c r="K506" s="4"/>
      <c r="L506" s="4"/>
      <c r="M506" s="4"/>
      <c r="N506" s="4"/>
      <c r="O506" s="4"/>
      <c r="P506" s="4"/>
      <c r="Q506" s="4"/>
      <c r="R506" s="4"/>
      <c r="S506" s="4"/>
      <c r="T506" s="4"/>
      <c r="U506" s="4"/>
      <c r="V506" s="4"/>
      <c r="W506" s="4"/>
      <c r="X506" s="4"/>
      <c r="Y506" s="4"/>
      <c r="Z506" s="4"/>
      <c r="AA506" s="4"/>
      <c r="AB506" s="4"/>
    </row>
    <row r="507" spans="1:28" ht="12.75" hidden="1">
      <c r="A507" s="4"/>
      <c r="B507" s="4"/>
      <c r="C507" s="4"/>
      <c r="D507" s="15"/>
      <c r="E507" s="4"/>
      <c r="F507" s="4"/>
      <c r="G507" s="4"/>
      <c r="H507" s="4"/>
      <c r="I507" s="4"/>
      <c r="J507" s="4"/>
      <c r="K507" s="4"/>
      <c r="L507" s="4"/>
      <c r="M507" s="4"/>
      <c r="N507" s="4"/>
      <c r="O507" s="4"/>
      <c r="P507" s="4"/>
      <c r="Q507" s="4"/>
      <c r="R507" s="4"/>
      <c r="S507" s="4"/>
      <c r="T507" s="4"/>
      <c r="U507" s="4"/>
      <c r="V507" s="4"/>
      <c r="W507" s="4"/>
      <c r="X507" s="4"/>
      <c r="Y507" s="4"/>
      <c r="Z507" s="4"/>
      <c r="AA507" s="4"/>
      <c r="AB507" s="4"/>
    </row>
    <row r="508" spans="1:28" ht="12.75" hidden="1">
      <c r="A508" s="4"/>
      <c r="B508" s="4"/>
      <c r="C508" s="4"/>
      <c r="D508" s="15"/>
      <c r="E508" s="4"/>
      <c r="F508" s="4"/>
      <c r="G508" s="4"/>
      <c r="H508" s="4"/>
      <c r="I508" s="4"/>
      <c r="J508" s="4"/>
      <c r="K508" s="4"/>
      <c r="L508" s="4"/>
      <c r="M508" s="4"/>
      <c r="N508" s="4"/>
      <c r="O508" s="4"/>
      <c r="P508" s="4"/>
      <c r="Q508" s="4"/>
      <c r="R508" s="4"/>
      <c r="S508" s="4"/>
      <c r="T508" s="4"/>
      <c r="U508" s="4"/>
      <c r="V508" s="4"/>
      <c r="W508" s="4"/>
      <c r="X508" s="4"/>
      <c r="Y508" s="4"/>
      <c r="Z508" s="4"/>
      <c r="AA508" s="4"/>
      <c r="AB508" s="4"/>
    </row>
    <row r="509" spans="1:28" ht="12.75" hidden="1">
      <c r="A509" s="4"/>
      <c r="B509" s="4"/>
      <c r="C509" s="4"/>
      <c r="D509" s="15"/>
      <c r="E509" s="4"/>
      <c r="F509" s="4"/>
      <c r="G509" s="4"/>
      <c r="H509" s="4"/>
      <c r="I509" s="4"/>
      <c r="J509" s="4"/>
      <c r="K509" s="4"/>
      <c r="L509" s="4"/>
      <c r="M509" s="4"/>
      <c r="N509" s="4"/>
      <c r="O509" s="4"/>
      <c r="P509" s="4"/>
      <c r="Q509" s="4"/>
      <c r="R509" s="4"/>
      <c r="S509" s="4"/>
      <c r="T509" s="4"/>
      <c r="U509" s="4"/>
      <c r="V509" s="4"/>
      <c r="W509" s="4"/>
      <c r="X509" s="4"/>
      <c r="Y509" s="4"/>
      <c r="Z509" s="4"/>
      <c r="AA509" s="4"/>
      <c r="AB509" s="4"/>
    </row>
    <row r="510" spans="1:28" ht="12.75" hidden="1">
      <c r="A510" s="4"/>
      <c r="B510" s="4"/>
      <c r="C510" s="4"/>
      <c r="D510" s="15"/>
      <c r="E510" s="4"/>
      <c r="F510" s="4"/>
      <c r="G510" s="4"/>
      <c r="H510" s="4"/>
      <c r="I510" s="4"/>
      <c r="J510" s="4"/>
      <c r="K510" s="4"/>
      <c r="L510" s="4"/>
      <c r="M510" s="4"/>
      <c r="N510" s="4"/>
      <c r="O510" s="4"/>
      <c r="P510" s="4"/>
      <c r="Q510" s="4"/>
      <c r="R510" s="4"/>
      <c r="S510" s="4"/>
      <c r="T510" s="4"/>
      <c r="U510" s="4"/>
      <c r="V510" s="4"/>
      <c r="W510" s="4"/>
      <c r="X510" s="4"/>
      <c r="Y510" s="4"/>
      <c r="Z510" s="4"/>
      <c r="AA510" s="4"/>
      <c r="AB510" s="4"/>
    </row>
    <row r="511" spans="1:28" ht="12.75" hidden="1">
      <c r="A511" s="4"/>
      <c r="B511" s="4"/>
      <c r="C511" s="4"/>
      <c r="D511" s="15"/>
      <c r="E511" s="4"/>
      <c r="F511" s="4"/>
      <c r="G511" s="4"/>
      <c r="H511" s="4"/>
      <c r="I511" s="4"/>
      <c r="J511" s="4"/>
      <c r="K511" s="4"/>
      <c r="L511" s="4"/>
      <c r="M511" s="4"/>
      <c r="N511" s="4"/>
      <c r="O511" s="4"/>
      <c r="P511" s="4"/>
      <c r="Q511" s="4"/>
      <c r="R511" s="4"/>
      <c r="S511" s="4"/>
      <c r="T511" s="4"/>
      <c r="U511" s="4"/>
      <c r="V511" s="4"/>
      <c r="W511" s="4"/>
      <c r="X511" s="4"/>
      <c r="Y511" s="4"/>
      <c r="Z511" s="4"/>
      <c r="AA511" s="4"/>
      <c r="AB511" s="4"/>
    </row>
    <row r="512" spans="1:28" ht="12.75" hidden="1">
      <c r="A512" s="4"/>
      <c r="B512" s="4"/>
      <c r="C512" s="4"/>
      <c r="D512" s="15"/>
      <c r="E512" s="4"/>
      <c r="F512" s="4"/>
      <c r="G512" s="4"/>
      <c r="H512" s="4"/>
      <c r="I512" s="4"/>
      <c r="J512" s="4"/>
      <c r="K512" s="4"/>
      <c r="L512" s="4"/>
      <c r="M512" s="4"/>
      <c r="N512" s="4"/>
      <c r="O512" s="4"/>
      <c r="P512" s="4"/>
      <c r="Q512" s="4"/>
      <c r="R512" s="4"/>
      <c r="S512" s="4"/>
      <c r="T512" s="4"/>
      <c r="U512" s="4"/>
      <c r="V512" s="4"/>
      <c r="W512" s="4"/>
      <c r="X512" s="4"/>
      <c r="Y512" s="4"/>
      <c r="Z512" s="4"/>
      <c r="AA512" s="4"/>
      <c r="AB512" s="4"/>
    </row>
    <row r="513" spans="1:28" ht="12.75" hidden="1">
      <c r="A513" s="4"/>
      <c r="B513" s="4"/>
      <c r="C513" s="4"/>
      <c r="D513" s="15"/>
      <c r="E513" s="4"/>
      <c r="F513" s="4"/>
      <c r="G513" s="4"/>
      <c r="H513" s="4"/>
      <c r="I513" s="4"/>
      <c r="J513" s="4"/>
      <c r="K513" s="4"/>
      <c r="L513" s="4"/>
      <c r="M513" s="4"/>
      <c r="N513" s="4"/>
      <c r="O513" s="4"/>
      <c r="P513" s="4"/>
      <c r="Q513" s="4"/>
      <c r="R513" s="4"/>
      <c r="S513" s="4"/>
      <c r="T513" s="4"/>
      <c r="U513" s="4"/>
      <c r="V513" s="4"/>
      <c r="W513" s="4"/>
      <c r="X513" s="4"/>
      <c r="Y513" s="4"/>
      <c r="Z513" s="4"/>
      <c r="AA513" s="4"/>
      <c r="AB513" s="4"/>
    </row>
    <row r="514" spans="1:28" ht="12.75" hidden="1">
      <c r="A514" s="4"/>
      <c r="B514" s="4"/>
      <c r="C514" s="4"/>
      <c r="D514" s="15"/>
      <c r="E514" s="4"/>
      <c r="F514" s="4"/>
      <c r="G514" s="4"/>
      <c r="H514" s="4"/>
      <c r="I514" s="4"/>
      <c r="J514" s="4"/>
      <c r="K514" s="4"/>
      <c r="L514" s="4"/>
      <c r="M514" s="4"/>
      <c r="N514" s="4"/>
      <c r="O514" s="4"/>
      <c r="P514" s="4"/>
      <c r="Q514" s="4"/>
      <c r="R514" s="4"/>
      <c r="S514" s="4"/>
      <c r="T514" s="4"/>
      <c r="U514" s="4"/>
      <c r="V514" s="4"/>
      <c r="W514" s="4"/>
      <c r="X514" s="4"/>
      <c r="Y514" s="4"/>
      <c r="Z514" s="4"/>
      <c r="AA514" s="4"/>
      <c r="AB514" s="4"/>
    </row>
    <row r="515" spans="1:28" ht="12.75" hidden="1">
      <c r="A515" s="4"/>
      <c r="B515" s="4"/>
      <c r="C515" s="4"/>
      <c r="D515" s="15"/>
      <c r="E515" s="4"/>
      <c r="F515" s="4"/>
      <c r="G515" s="4"/>
      <c r="H515" s="4"/>
      <c r="I515" s="4"/>
      <c r="J515" s="4"/>
      <c r="K515" s="4"/>
      <c r="L515" s="4"/>
      <c r="M515" s="4"/>
      <c r="N515" s="4"/>
      <c r="O515" s="4"/>
      <c r="P515" s="4"/>
      <c r="Q515" s="4"/>
      <c r="R515" s="4"/>
      <c r="S515" s="4"/>
      <c r="T515" s="4"/>
      <c r="U515" s="4"/>
      <c r="V515" s="4"/>
      <c r="W515" s="4"/>
      <c r="X515" s="4"/>
      <c r="Y515" s="4"/>
      <c r="Z515" s="4"/>
      <c r="AA515" s="4"/>
      <c r="AB515" s="4"/>
    </row>
    <row r="516" spans="1:28" ht="12.75" hidden="1">
      <c r="A516" s="4"/>
      <c r="B516" s="4"/>
      <c r="C516" s="4"/>
      <c r="D516" s="15"/>
      <c r="E516" s="4"/>
      <c r="F516" s="4"/>
      <c r="G516" s="4"/>
      <c r="H516" s="4"/>
      <c r="I516" s="4"/>
      <c r="J516" s="4"/>
      <c r="K516" s="4"/>
      <c r="L516" s="4"/>
      <c r="M516" s="4"/>
      <c r="N516" s="4"/>
      <c r="O516" s="4"/>
      <c r="P516" s="4"/>
      <c r="Q516" s="4"/>
      <c r="R516" s="4"/>
      <c r="S516" s="4"/>
      <c r="T516" s="4"/>
      <c r="U516" s="4"/>
      <c r="V516" s="4"/>
      <c r="W516" s="4"/>
      <c r="X516" s="4"/>
      <c r="Y516" s="4"/>
      <c r="Z516" s="4"/>
      <c r="AA516" s="4"/>
      <c r="AB516" s="4"/>
    </row>
    <row r="517" spans="1:28" ht="12.75" hidden="1">
      <c r="A517" s="4"/>
      <c r="B517" s="4"/>
      <c r="C517" s="4"/>
      <c r="D517" s="15"/>
      <c r="E517" s="4"/>
      <c r="F517" s="4"/>
      <c r="G517" s="4"/>
      <c r="H517" s="4"/>
      <c r="I517" s="4"/>
      <c r="J517" s="4"/>
      <c r="K517" s="4"/>
      <c r="L517" s="4"/>
      <c r="M517" s="4"/>
      <c r="N517" s="4"/>
      <c r="O517" s="4"/>
      <c r="P517" s="4"/>
      <c r="Q517" s="4"/>
      <c r="R517" s="4"/>
      <c r="S517" s="4"/>
      <c r="T517" s="4"/>
      <c r="U517" s="4"/>
      <c r="V517" s="4"/>
      <c r="W517" s="4"/>
      <c r="X517" s="4"/>
      <c r="Y517" s="4"/>
      <c r="Z517" s="4"/>
      <c r="AA517" s="4"/>
      <c r="AB517" s="4"/>
    </row>
    <row r="518" spans="1:28" ht="12.75" hidden="1">
      <c r="A518" s="4"/>
      <c r="B518" s="4"/>
      <c r="C518" s="4"/>
      <c r="D518" s="15"/>
      <c r="E518" s="4"/>
      <c r="F518" s="4"/>
      <c r="G518" s="4"/>
      <c r="H518" s="4"/>
      <c r="I518" s="4"/>
      <c r="J518" s="4"/>
      <c r="K518" s="4"/>
      <c r="L518" s="4"/>
      <c r="M518" s="4"/>
      <c r="N518" s="4"/>
      <c r="O518" s="4"/>
      <c r="P518" s="4"/>
      <c r="Q518" s="4"/>
      <c r="R518" s="4"/>
      <c r="S518" s="4"/>
      <c r="T518" s="4"/>
      <c r="U518" s="4"/>
      <c r="V518" s="4"/>
      <c r="W518" s="4"/>
      <c r="X518" s="4"/>
      <c r="Y518" s="4"/>
      <c r="Z518" s="4"/>
      <c r="AA518" s="4"/>
      <c r="AB518" s="4"/>
    </row>
    <row r="519" spans="1:28" ht="12.75" hidden="1">
      <c r="A519" s="4"/>
      <c r="B519" s="4"/>
      <c r="C519" s="4"/>
      <c r="D519" s="15"/>
      <c r="E519" s="4"/>
      <c r="F519" s="4"/>
      <c r="G519" s="4"/>
      <c r="H519" s="4"/>
      <c r="I519" s="4"/>
      <c r="J519" s="4"/>
      <c r="K519" s="4"/>
      <c r="L519" s="4"/>
      <c r="M519" s="4"/>
      <c r="N519" s="4"/>
      <c r="O519" s="4"/>
      <c r="P519" s="4"/>
      <c r="Q519" s="4"/>
      <c r="R519" s="4"/>
      <c r="S519" s="4"/>
      <c r="T519" s="4"/>
      <c r="U519" s="4"/>
      <c r="V519" s="4"/>
      <c r="W519" s="4"/>
      <c r="X519" s="4"/>
      <c r="Y519" s="4"/>
      <c r="Z519" s="4"/>
      <c r="AA519" s="4"/>
      <c r="AB519" s="4"/>
    </row>
    <row r="520" spans="1:28" ht="12.75" hidden="1">
      <c r="A520" s="4"/>
      <c r="B520" s="4"/>
      <c r="C520" s="4"/>
      <c r="D520" s="15"/>
      <c r="E520" s="4"/>
      <c r="F520" s="4"/>
      <c r="G520" s="4"/>
      <c r="H520" s="4"/>
      <c r="I520" s="4"/>
      <c r="J520" s="4"/>
      <c r="K520" s="4"/>
      <c r="L520" s="4"/>
      <c r="M520" s="4"/>
      <c r="N520" s="4"/>
      <c r="O520" s="4"/>
      <c r="P520" s="4"/>
      <c r="Q520" s="4"/>
      <c r="R520" s="4"/>
      <c r="S520" s="4"/>
      <c r="T520" s="4"/>
      <c r="U520" s="4"/>
      <c r="V520" s="4"/>
      <c r="W520" s="4"/>
      <c r="X520" s="4"/>
      <c r="Y520" s="4"/>
      <c r="Z520" s="4"/>
      <c r="AA520" s="4"/>
      <c r="AB520" s="4"/>
    </row>
    <row r="521" spans="1:28" ht="12.75" hidden="1">
      <c r="A521" s="4"/>
      <c r="B521" s="4"/>
      <c r="C521" s="4"/>
      <c r="D521" s="15"/>
      <c r="E521" s="4"/>
      <c r="F521" s="4"/>
      <c r="G521" s="4"/>
      <c r="H521" s="4"/>
      <c r="I521" s="4"/>
      <c r="J521" s="4"/>
      <c r="K521" s="4"/>
      <c r="L521" s="4"/>
      <c r="M521" s="4"/>
      <c r="N521" s="4"/>
      <c r="O521" s="4"/>
      <c r="P521" s="4"/>
      <c r="Q521" s="4"/>
      <c r="R521" s="4"/>
      <c r="S521" s="4"/>
      <c r="T521" s="4"/>
      <c r="U521" s="4"/>
      <c r="V521" s="4"/>
      <c r="W521" s="4"/>
      <c r="X521" s="4"/>
      <c r="Y521" s="4"/>
      <c r="Z521" s="4"/>
      <c r="AA521" s="4"/>
      <c r="AB521" s="4"/>
    </row>
    <row r="522" spans="1:28" ht="12.75" hidden="1">
      <c r="A522" s="4"/>
      <c r="B522" s="4"/>
      <c r="C522" s="4"/>
      <c r="D522" s="15"/>
      <c r="E522" s="4"/>
      <c r="F522" s="4"/>
      <c r="G522" s="4"/>
      <c r="H522" s="4"/>
      <c r="I522" s="4"/>
      <c r="J522" s="4"/>
      <c r="K522" s="4"/>
      <c r="L522" s="4"/>
      <c r="M522" s="4"/>
      <c r="N522" s="4"/>
      <c r="O522" s="4"/>
      <c r="P522" s="4"/>
      <c r="Q522" s="4"/>
      <c r="R522" s="4"/>
      <c r="S522" s="4"/>
      <c r="T522" s="4"/>
      <c r="U522" s="4"/>
      <c r="V522" s="4"/>
      <c r="W522" s="4"/>
      <c r="X522" s="4"/>
      <c r="Y522" s="4"/>
      <c r="Z522" s="4"/>
      <c r="AA522" s="4"/>
      <c r="AB522" s="4"/>
    </row>
    <row r="523" spans="1:28" ht="12.75" hidden="1">
      <c r="A523" s="4"/>
      <c r="B523" s="4"/>
      <c r="C523" s="4"/>
      <c r="D523" s="15"/>
      <c r="E523" s="4"/>
      <c r="F523" s="4"/>
      <c r="G523" s="4"/>
      <c r="H523" s="4"/>
      <c r="I523" s="4"/>
      <c r="J523" s="4"/>
      <c r="K523" s="4"/>
      <c r="L523" s="4"/>
      <c r="M523" s="4"/>
      <c r="N523" s="4"/>
      <c r="O523" s="4"/>
      <c r="P523" s="4"/>
      <c r="Q523" s="4"/>
      <c r="R523" s="4"/>
      <c r="S523" s="4"/>
      <c r="T523" s="4"/>
      <c r="U523" s="4"/>
      <c r="V523" s="4"/>
      <c r="W523" s="4"/>
      <c r="X523" s="4"/>
      <c r="Y523" s="4"/>
      <c r="Z523" s="4"/>
      <c r="AA523" s="4"/>
      <c r="AB523" s="4"/>
    </row>
    <row r="524" spans="1:28" ht="12.75" hidden="1">
      <c r="A524" s="4"/>
      <c r="B524" s="4"/>
      <c r="C524" s="4"/>
      <c r="D524" s="15"/>
      <c r="E524" s="4"/>
      <c r="F524" s="4"/>
      <c r="G524" s="4"/>
      <c r="H524" s="4"/>
      <c r="I524" s="4"/>
      <c r="J524" s="4"/>
      <c r="K524" s="4"/>
      <c r="L524" s="4"/>
      <c r="M524" s="4"/>
      <c r="N524" s="4"/>
      <c r="O524" s="4"/>
      <c r="P524" s="4"/>
      <c r="Q524" s="4"/>
      <c r="R524" s="4"/>
      <c r="S524" s="4"/>
      <c r="T524" s="4"/>
      <c r="U524" s="4"/>
      <c r="V524" s="4"/>
      <c r="W524" s="4"/>
      <c r="X524" s="4"/>
      <c r="Y524" s="4"/>
      <c r="Z524" s="4"/>
      <c r="AA524" s="4"/>
      <c r="AB524" s="4"/>
    </row>
    <row r="525" spans="1:28" ht="12.75" hidden="1">
      <c r="A525" s="4"/>
      <c r="B525" s="4"/>
      <c r="C525" s="4"/>
      <c r="D525" s="15"/>
      <c r="E525" s="4"/>
      <c r="F525" s="4"/>
      <c r="G525" s="4"/>
      <c r="H525" s="4"/>
      <c r="I525" s="4"/>
      <c r="J525" s="4"/>
      <c r="K525" s="4"/>
      <c r="L525" s="4"/>
      <c r="M525" s="4"/>
      <c r="N525" s="4"/>
      <c r="O525" s="4"/>
      <c r="P525" s="4"/>
      <c r="Q525" s="4"/>
      <c r="R525" s="4"/>
      <c r="S525" s="4"/>
      <c r="T525" s="4"/>
      <c r="U525" s="4"/>
      <c r="V525" s="4"/>
      <c r="W525" s="4"/>
      <c r="X525" s="4"/>
      <c r="Y525" s="4"/>
      <c r="Z525" s="4"/>
      <c r="AA525" s="4"/>
      <c r="AB525" s="4"/>
    </row>
    <row r="526" spans="1:28" ht="12.75" hidden="1">
      <c r="A526" s="4"/>
      <c r="B526" s="4"/>
      <c r="C526" s="4"/>
      <c r="D526" s="15"/>
      <c r="E526" s="4"/>
      <c r="F526" s="4"/>
      <c r="G526" s="4"/>
      <c r="H526" s="4"/>
      <c r="I526" s="4"/>
      <c r="J526" s="4"/>
      <c r="K526" s="4"/>
      <c r="L526" s="4"/>
      <c r="M526" s="4"/>
      <c r="N526" s="4"/>
      <c r="O526" s="4"/>
      <c r="P526" s="4"/>
      <c r="Q526" s="4"/>
      <c r="R526" s="4"/>
      <c r="S526" s="4"/>
      <c r="T526" s="4"/>
      <c r="U526" s="4"/>
      <c r="V526" s="4"/>
      <c r="W526" s="4"/>
      <c r="X526" s="4"/>
      <c r="Y526" s="4"/>
      <c r="Z526" s="4"/>
      <c r="AA526" s="4"/>
      <c r="AB526" s="4"/>
    </row>
    <row r="527" spans="1:28" ht="12.75" hidden="1">
      <c r="A527" s="4"/>
      <c r="B527" s="4"/>
      <c r="C527" s="4"/>
      <c r="D527" s="15"/>
      <c r="E527" s="4"/>
      <c r="F527" s="4"/>
      <c r="G527" s="4"/>
      <c r="H527" s="4"/>
      <c r="I527" s="4"/>
      <c r="J527" s="4"/>
      <c r="K527" s="4"/>
      <c r="L527" s="4"/>
      <c r="M527" s="4"/>
      <c r="N527" s="4"/>
      <c r="O527" s="4"/>
      <c r="P527" s="4"/>
      <c r="Q527" s="4"/>
      <c r="R527" s="4"/>
      <c r="S527" s="4"/>
      <c r="T527" s="4"/>
      <c r="U527" s="4"/>
      <c r="V527" s="4"/>
      <c r="W527" s="4"/>
      <c r="X527" s="4"/>
      <c r="Y527" s="4"/>
      <c r="Z527" s="4"/>
      <c r="AA527" s="4"/>
      <c r="AB527" s="4"/>
    </row>
    <row r="528" spans="1:28" ht="12.75" hidden="1">
      <c r="A528" s="4"/>
      <c r="B528" s="4"/>
      <c r="C528" s="4"/>
      <c r="D528" s="15"/>
      <c r="E528" s="4"/>
      <c r="F528" s="4"/>
      <c r="G528" s="4"/>
      <c r="H528" s="4"/>
      <c r="I528" s="4"/>
      <c r="J528" s="4"/>
      <c r="K528" s="4"/>
      <c r="L528" s="4"/>
      <c r="M528" s="4"/>
      <c r="N528" s="4"/>
      <c r="O528" s="4"/>
      <c r="P528" s="4"/>
      <c r="Q528" s="4"/>
      <c r="R528" s="4"/>
      <c r="S528" s="4"/>
      <c r="T528" s="4"/>
      <c r="U528" s="4"/>
      <c r="V528" s="4"/>
      <c r="W528" s="4"/>
      <c r="X528" s="4"/>
      <c r="Y528" s="4"/>
      <c r="Z528" s="4"/>
      <c r="AA528" s="4"/>
      <c r="AB528" s="4"/>
    </row>
    <row r="529" spans="1:28" ht="12.75" hidden="1">
      <c r="A529" s="4"/>
      <c r="B529" s="4"/>
      <c r="C529" s="4"/>
      <c r="D529" s="15"/>
      <c r="E529" s="4"/>
      <c r="F529" s="4"/>
      <c r="G529" s="4"/>
      <c r="H529" s="4"/>
      <c r="I529" s="4"/>
      <c r="J529" s="4"/>
      <c r="K529" s="4"/>
      <c r="L529" s="4"/>
      <c r="M529" s="4"/>
      <c r="N529" s="4"/>
      <c r="O529" s="4"/>
      <c r="P529" s="4"/>
      <c r="Q529" s="4"/>
      <c r="R529" s="4"/>
      <c r="S529" s="4"/>
      <c r="T529" s="4"/>
      <c r="U529" s="4"/>
      <c r="V529" s="4"/>
      <c r="W529" s="4"/>
      <c r="X529" s="4"/>
      <c r="Y529" s="4"/>
      <c r="Z529" s="4"/>
      <c r="AA529" s="4"/>
      <c r="AB529" s="4"/>
    </row>
    <row r="530" spans="1:28" ht="12.75" hidden="1">
      <c r="A530" s="4"/>
      <c r="B530" s="4"/>
      <c r="C530" s="4"/>
      <c r="D530" s="15"/>
      <c r="E530" s="4"/>
      <c r="F530" s="4"/>
      <c r="G530" s="4"/>
      <c r="H530" s="4"/>
      <c r="I530" s="4"/>
      <c r="J530" s="4"/>
      <c r="K530" s="4"/>
      <c r="L530" s="4"/>
      <c r="M530" s="4"/>
      <c r="N530" s="4"/>
      <c r="O530" s="4"/>
      <c r="P530" s="4"/>
      <c r="Q530" s="4"/>
      <c r="R530" s="4"/>
      <c r="S530" s="4"/>
      <c r="T530" s="4"/>
      <c r="U530" s="4"/>
      <c r="V530" s="4"/>
      <c r="W530" s="4"/>
      <c r="X530" s="4"/>
      <c r="Y530" s="4"/>
      <c r="Z530" s="4"/>
      <c r="AA530" s="4"/>
      <c r="AB530" s="4"/>
    </row>
    <row r="531" spans="1:28" ht="12.75" hidden="1">
      <c r="A531" s="4"/>
      <c r="B531" s="4"/>
      <c r="C531" s="4"/>
      <c r="D531" s="15"/>
      <c r="E531" s="4"/>
      <c r="F531" s="4"/>
      <c r="G531" s="4"/>
      <c r="H531" s="4"/>
      <c r="I531" s="4"/>
      <c r="J531" s="4"/>
      <c r="K531" s="4"/>
      <c r="L531" s="4"/>
      <c r="M531" s="4"/>
      <c r="N531" s="4"/>
      <c r="O531" s="4"/>
      <c r="P531" s="4"/>
      <c r="Q531" s="4"/>
      <c r="R531" s="4"/>
      <c r="S531" s="4"/>
      <c r="T531" s="4"/>
      <c r="U531" s="4"/>
      <c r="V531" s="4"/>
      <c r="W531" s="4"/>
      <c r="X531" s="4"/>
      <c r="Y531" s="4"/>
      <c r="Z531" s="4"/>
      <c r="AA531" s="4"/>
      <c r="AB531" s="4"/>
    </row>
    <row r="532" spans="1:28" ht="12.75" hidden="1">
      <c r="A532" s="4"/>
      <c r="B532" s="4"/>
      <c r="C532" s="4"/>
      <c r="D532" s="15"/>
      <c r="E532" s="4"/>
      <c r="F532" s="4"/>
      <c r="G532" s="4"/>
      <c r="H532" s="4"/>
      <c r="I532" s="4"/>
      <c r="J532" s="4"/>
      <c r="K532" s="4"/>
      <c r="L532" s="4"/>
      <c r="M532" s="4"/>
      <c r="N532" s="4"/>
      <c r="O532" s="4"/>
      <c r="P532" s="4"/>
      <c r="Q532" s="4"/>
      <c r="R532" s="4"/>
      <c r="S532" s="4"/>
      <c r="T532" s="4"/>
      <c r="U532" s="4"/>
      <c r="V532" s="4"/>
      <c r="W532" s="4"/>
      <c r="X532" s="4"/>
      <c r="Y532" s="4"/>
      <c r="Z532" s="4"/>
      <c r="AA532" s="4"/>
      <c r="AB532" s="4"/>
    </row>
    <row r="533" spans="1:28" ht="12.75" hidden="1">
      <c r="A533" s="4"/>
      <c r="B533" s="4"/>
      <c r="C533" s="4"/>
      <c r="D533" s="15"/>
      <c r="E533" s="4"/>
      <c r="F533" s="4"/>
      <c r="G533" s="4"/>
      <c r="H533" s="4"/>
      <c r="I533" s="4"/>
      <c r="J533" s="4"/>
      <c r="K533" s="4"/>
      <c r="L533" s="4"/>
      <c r="M533" s="4"/>
      <c r="N533" s="4"/>
      <c r="O533" s="4"/>
      <c r="P533" s="4"/>
      <c r="Q533" s="4"/>
      <c r="R533" s="4"/>
      <c r="S533" s="4"/>
      <c r="T533" s="4"/>
      <c r="U533" s="4"/>
      <c r="V533" s="4"/>
      <c r="W533" s="4"/>
      <c r="X533" s="4"/>
      <c r="Y533" s="4"/>
      <c r="Z533" s="4"/>
      <c r="AA533" s="4"/>
      <c r="AB533" s="4"/>
    </row>
    <row r="534" spans="1:28" ht="12.75" hidden="1">
      <c r="A534" s="4"/>
      <c r="B534" s="4"/>
      <c r="C534" s="4"/>
      <c r="D534" s="15"/>
      <c r="E534" s="4"/>
      <c r="F534" s="4"/>
      <c r="G534" s="4"/>
      <c r="H534" s="4"/>
      <c r="I534" s="4"/>
      <c r="J534" s="4"/>
      <c r="K534" s="4"/>
      <c r="L534" s="4"/>
      <c r="M534" s="4"/>
      <c r="N534" s="4"/>
      <c r="O534" s="4"/>
      <c r="P534" s="4"/>
      <c r="Q534" s="4"/>
      <c r="R534" s="4"/>
      <c r="S534" s="4"/>
      <c r="T534" s="4"/>
      <c r="U534" s="4"/>
      <c r="V534" s="4"/>
      <c r="W534" s="4"/>
      <c r="X534" s="4"/>
      <c r="Y534" s="4"/>
      <c r="Z534" s="4"/>
      <c r="AA534" s="4"/>
      <c r="AB534" s="4"/>
    </row>
    <row r="535" spans="1:28" ht="12.75" hidden="1">
      <c r="A535" s="4"/>
      <c r="B535" s="4"/>
      <c r="C535" s="4"/>
      <c r="D535" s="15"/>
      <c r="E535" s="4"/>
      <c r="F535" s="4"/>
      <c r="G535" s="4"/>
      <c r="H535" s="4"/>
      <c r="I535" s="4"/>
      <c r="J535" s="4"/>
      <c r="K535" s="4"/>
      <c r="L535" s="4"/>
      <c r="M535" s="4"/>
      <c r="N535" s="4"/>
      <c r="O535" s="4"/>
      <c r="P535" s="4"/>
      <c r="Q535" s="4"/>
      <c r="R535" s="4"/>
      <c r="S535" s="4"/>
      <c r="T535" s="4"/>
      <c r="U535" s="4"/>
      <c r="V535" s="4"/>
      <c r="W535" s="4"/>
      <c r="X535" s="4"/>
      <c r="Y535" s="4"/>
      <c r="Z535" s="4"/>
      <c r="AA535" s="4"/>
      <c r="AB535" s="4"/>
    </row>
    <row r="536" spans="1:28" ht="12.75" hidden="1">
      <c r="A536" s="4"/>
      <c r="B536" s="4"/>
      <c r="C536" s="4"/>
      <c r="D536" s="15"/>
      <c r="E536" s="4"/>
      <c r="F536" s="4"/>
      <c r="G536" s="4"/>
      <c r="H536" s="4"/>
      <c r="I536" s="4"/>
      <c r="J536" s="4"/>
      <c r="K536" s="4"/>
      <c r="L536" s="4"/>
      <c r="M536" s="4"/>
      <c r="N536" s="4"/>
      <c r="O536" s="4"/>
      <c r="P536" s="4"/>
      <c r="Q536" s="4"/>
      <c r="R536" s="4"/>
      <c r="S536" s="4"/>
      <c r="T536" s="4"/>
      <c r="U536" s="4"/>
      <c r="V536" s="4"/>
      <c r="W536" s="4"/>
      <c r="X536" s="4"/>
      <c r="Y536" s="4"/>
      <c r="Z536" s="4"/>
      <c r="AA536" s="4"/>
      <c r="AB536" s="4"/>
    </row>
    <row r="537" spans="1:28" ht="12.75" hidden="1">
      <c r="A537" s="4"/>
      <c r="B537" s="4"/>
      <c r="C537" s="4"/>
      <c r="D537" s="15"/>
      <c r="E537" s="4"/>
      <c r="F537" s="4"/>
      <c r="G537" s="4"/>
      <c r="H537" s="4"/>
      <c r="I537" s="4"/>
      <c r="J537" s="4"/>
      <c r="K537" s="4"/>
      <c r="L537" s="4"/>
      <c r="M537" s="4"/>
      <c r="N537" s="4"/>
      <c r="O537" s="4"/>
      <c r="P537" s="4"/>
      <c r="Q537" s="4"/>
      <c r="R537" s="4"/>
      <c r="S537" s="4"/>
      <c r="T537" s="4"/>
      <c r="U537" s="4"/>
      <c r="V537" s="4"/>
      <c r="W537" s="4"/>
      <c r="X537" s="4"/>
      <c r="Y537" s="4"/>
      <c r="Z537" s="4"/>
      <c r="AA537" s="4"/>
      <c r="AB537" s="4"/>
    </row>
    <row r="538" spans="1:28" ht="12.75" hidden="1">
      <c r="A538" s="4"/>
      <c r="B538" s="4"/>
      <c r="C538" s="4"/>
      <c r="D538" s="15"/>
      <c r="E538" s="4"/>
      <c r="F538" s="4"/>
      <c r="G538" s="4"/>
      <c r="H538" s="4"/>
      <c r="I538" s="4"/>
      <c r="J538" s="4"/>
      <c r="K538" s="4"/>
      <c r="L538" s="4"/>
      <c r="M538" s="4"/>
      <c r="N538" s="4"/>
      <c r="O538" s="4"/>
      <c r="P538" s="4"/>
      <c r="Q538" s="4"/>
      <c r="R538" s="4"/>
      <c r="S538" s="4"/>
      <c r="T538" s="4"/>
      <c r="U538" s="4"/>
      <c r="V538" s="4"/>
      <c r="W538" s="4"/>
      <c r="X538" s="4"/>
      <c r="Y538" s="4"/>
      <c r="Z538" s="4"/>
      <c r="AA538" s="4"/>
      <c r="AB538" s="4"/>
    </row>
    <row r="539" spans="1:28" ht="12.75" hidden="1">
      <c r="A539" s="4"/>
      <c r="B539" s="4"/>
      <c r="C539" s="4"/>
      <c r="D539" s="15"/>
      <c r="E539" s="4"/>
      <c r="F539" s="4"/>
      <c r="G539" s="4"/>
      <c r="H539" s="4"/>
      <c r="I539" s="4"/>
      <c r="J539" s="4"/>
      <c r="K539" s="4"/>
      <c r="L539" s="4"/>
      <c r="M539" s="4"/>
      <c r="N539" s="4"/>
      <c r="O539" s="4"/>
      <c r="P539" s="4"/>
      <c r="Q539" s="4"/>
      <c r="R539" s="4"/>
      <c r="S539" s="4"/>
      <c r="T539" s="4"/>
      <c r="U539" s="4"/>
      <c r="V539" s="4"/>
      <c r="W539" s="4"/>
      <c r="X539" s="4"/>
      <c r="Y539" s="4"/>
      <c r="Z539" s="4"/>
      <c r="AA539" s="4"/>
      <c r="AB539" s="4"/>
    </row>
    <row r="540" spans="1:28" ht="12.75" hidden="1">
      <c r="A540" s="4"/>
      <c r="B540" s="4"/>
      <c r="C540" s="4"/>
      <c r="D540" s="15"/>
      <c r="E540" s="4"/>
      <c r="F540" s="4"/>
      <c r="G540" s="4"/>
      <c r="H540" s="4"/>
      <c r="I540" s="4"/>
      <c r="J540" s="4"/>
      <c r="K540" s="4"/>
      <c r="L540" s="4"/>
      <c r="M540" s="4"/>
      <c r="N540" s="4"/>
      <c r="O540" s="4"/>
      <c r="P540" s="4"/>
      <c r="Q540" s="4"/>
      <c r="R540" s="4"/>
      <c r="S540" s="4"/>
      <c r="T540" s="4"/>
      <c r="U540" s="4"/>
      <c r="V540" s="4"/>
      <c r="W540" s="4"/>
      <c r="X540" s="4"/>
      <c r="Y540" s="4"/>
      <c r="Z540" s="4"/>
      <c r="AA540" s="4"/>
      <c r="AB540" s="4"/>
    </row>
    <row r="541" spans="1:28" ht="12.75" hidden="1">
      <c r="A541" s="4"/>
      <c r="B541" s="4"/>
      <c r="C541" s="4"/>
      <c r="D541" s="15"/>
      <c r="E541" s="4"/>
      <c r="F541" s="4"/>
      <c r="G541" s="4"/>
      <c r="H541" s="4"/>
      <c r="I541" s="4"/>
      <c r="J541" s="4"/>
      <c r="K541" s="4"/>
      <c r="L541" s="4"/>
      <c r="M541" s="4"/>
      <c r="N541" s="4"/>
      <c r="O541" s="4"/>
      <c r="P541" s="4"/>
      <c r="Q541" s="4"/>
      <c r="R541" s="4"/>
      <c r="S541" s="4"/>
      <c r="T541" s="4"/>
      <c r="U541" s="4"/>
      <c r="V541" s="4"/>
      <c r="W541" s="4"/>
      <c r="X541" s="4"/>
      <c r="Y541" s="4"/>
      <c r="Z541" s="4"/>
      <c r="AA541" s="4"/>
      <c r="AB541" s="4"/>
    </row>
    <row r="542" spans="1:28" ht="12.75" hidden="1">
      <c r="A542" s="4"/>
      <c r="B542" s="4"/>
      <c r="C542" s="4"/>
      <c r="D542" s="15"/>
      <c r="E542" s="4"/>
      <c r="F542" s="4"/>
      <c r="G542" s="4"/>
      <c r="H542" s="4"/>
      <c r="I542" s="4"/>
      <c r="J542" s="4"/>
      <c r="K542" s="4"/>
      <c r="L542" s="4"/>
      <c r="M542" s="4"/>
      <c r="N542" s="4"/>
      <c r="O542" s="4"/>
      <c r="P542" s="4"/>
      <c r="Q542" s="4"/>
      <c r="R542" s="4"/>
      <c r="S542" s="4"/>
      <c r="T542" s="4"/>
      <c r="U542" s="4"/>
      <c r="V542" s="4"/>
      <c r="W542" s="4"/>
      <c r="X542" s="4"/>
      <c r="Y542" s="4"/>
      <c r="Z542" s="4"/>
      <c r="AA542" s="4"/>
      <c r="AB542" s="4"/>
    </row>
    <row r="543" spans="1:28" ht="12.75" hidden="1">
      <c r="A543" s="4"/>
      <c r="B543" s="4"/>
      <c r="C543" s="4"/>
      <c r="D543" s="15"/>
      <c r="E543" s="4"/>
      <c r="F543" s="4"/>
      <c r="G543" s="4"/>
      <c r="H543" s="4"/>
      <c r="I543" s="4"/>
      <c r="J543" s="4"/>
      <c r="K543" s="4"/>
      <c r="L543" s="4"/>
      <c r="M543" s="4"/>
      <c r="N543" s="4"/>
      <c r="O543" s="4"/>
      <c r="P543" s="4"/>
      <c r="Q543" s="4"/>
      <c r="R543" s="4"/>
      <c r="S543" s="4"/>
      <c r="T543" s="4"/>
      <c r="U543" s="4"/>
      <c r="V543" s="4"/>
      <c r="W543" s="4"/>
      <c r="X543" s="4"/>
      <c r="Y543" s="4"/>
      <c r="Z543" s="4"/>
      <c r="AA543" s="4"/>
      <c r="AB543" s="4"/>
    </row>
    <row r="544" spans="1:28" ht="12.75" hidden="1">
      <c r="A544" s="4"/>
      <c r="B544" s="4"/>
      <c r="C544" s="4"/>
      <c r="D544" s="15"/>
      <c r="E544" s="4"/>
      <c r="F544" s="4"/>
      <c r="G544" s="4"/>
      <c r="H544" s="4"/>
      <c r="I544" s="4"/>
      <c r="J544" s="4"/>
      <c r="K544" s="4"/>
      <c r="L544" s="4"/>
      <c r="M544" s="4"/>
      <c r="N544" s="4"/>
      <c r="O544" s="4"/>
      <c r="P544" s="4"/>
      <c r="Q544" s="4"/>
      <c r="R544" s="4"/>
      <c r="S544" s="4"/>
      <c r="T544" s="4"/>
      <c r="U544" s="4"/>
      <c r="V544" s="4"/>
      <c r="W544" s="4"/>
      <c r="X544" s="4"/>
      <c r="Y544" s="4"/>
      <c r="Z544" s="4"/>
      <c r="AA544" s="4"/>
      <c r="AB544" s="4"/>
    </row>
    <row r="545" spans="1:28" ht="12.75" hidden="1">
      <c r="A545" s="4"/>
      <c r="B545" s="4"/>
      <c r="C545" s="4"/>
      <c r="D545" s="15"/>
      <c r="E545" s="4"/>
      <c r="F545" s="4"/>
      <c r="G545" s="4"/>
      <c r="H545" s="4"/>
      <c r="I545" s="4"/>
      <c r="J545" s="4"/>
      <c r="K545" s="4"/>
      <c r="L545" s="4"/>
      <c r="M545" s="4"/>
      <c r="N545" s="4"/>
      <c r="O545" s="4"/>
      <c r="P545" s="4"/>
      <c r="Q545" s="4"/>
      <c r="R545" s="4"/>
      <c r="S545" s="4"/>
      <c r="T545" s="4"/>
      <c r="U545" s="4"/>
      <c r="V545" s="4"/>
      <c r="W545" s="4"/>
      <c r="X545" s="4"/>
      <c r="Y545" s="4"/>
      <c r="Z545" s="4"/>
      <c r="AA545" s="4"/>
      <c r="AB545" s="4"/>
    </row>
    <row r="546" spans="1:28" ht="12.75" hidden="1">
      <c r="A546" s="4"/>
      <c r="B546" s="4"/>
      <c r="C546" s="4"/>
      <c r="D546" s="15"/>
      <c r="E546" s="4"/>
      <c r="F546" s="4"/>
      <c r="G546" s="4"/>
      <c r="H546" s="4"/>
      <c r="I546" s="4"/>
      <c r="J546" s="4"/>
      <c r="K546" s="4"/>
      <c r="L546" s="4"/>
      <c r="M546" s="4"/>
      <c r="N546" s="4"/>
      <c r="O546" s="4"/>
      <c r="P546" s="4"/>
      <c r="Q546" s="4"/>
      <c r="R546" s="4"/>
      <c r="S546" s="4"/>
      <c r="T546" s="4"/>
      <c r="U546" s="4"/>
      <c r="V546" s="4"/>
      <c r="W546" s="4"/>
      <c r="X546" s="4"/>
      <c r="Y546" s="4"/>
      <c r="Z546" s="4"/>
      <c r="AA546" s="4"/>
      <c r="AB546" s="4"/>
    </row>
    <row r="547" spans="1:28" ht="12.75" hidden="1">
      <c r="A547" s="4"/>
      <c r="B547" s="4"/>
      <c r="C547" s="4"/>
      <c r="D547" s="15"/>
      <c r="E547" s="4"/>
      <c r="F547" s="4"/>
      <c r="G547" s="4"/>
      <c r="H547" s="4"/>
      <c r="I547" s="4"/>
      <c r="J547" s="4"/>
      <c r="K547" s="4"/>
      <c r="L547" s="4"/>
      <c r="M547" s="4"/>
      <c r="N547" s="4"/>
      <c r="O547" s="4"/>
      <c r="P547" s="4"/>
      <c r="Q547" s="4"/>
      <c r="R547" s="4"/>
      <c r="S547" s="4"/>
      <c r="T547" s="4"/>
      <c r="U547" s="4"/>
      <c r="V547" s="4"/>
      <c r="W547" s="4"/>
      <c r="X547" s="4"/>
      <c r="Y547" s="4"/>
      <c r="Z547" s="4"/>
      <c r="AA547" s="4"/>
      <c r="AB547" s="4"/>
    </row>
    <row r="548" spans="1:28" ht="12.75" hidden="1">
      <c r="A548" s="4"/>
      <c r="B548" s="4"/>
      <c r="C548" s="4"/>
      <c r="D548" s="15"/>
      <c r="E548" s="4"/>
      <c r="F548" s="4"/>
      <c r="G548" s="4"/>
      <c r="H548" s="4"/>
      <c r="I548" s="4"/>
      <c r="J548" s="4"/>
      <c r="K548" s="4"/>
      <c r="L548" s="4"/>
      <c r="M548" s="4"/>
      <c r="N548" s="4"/>
      <c r="O548" s="4"/>
      <c r="P548" s="4"/>
      <c r="Q548" s="4"/>
      <c r="R548" s="4"/>
      <c r="S548" s="4"/>
      <c r="T548" s="4"/>
      <c r="U548" s="4"/>
      <c r="V548" s="4"/>
      <c r="W548" s="4"/>
      <c r="X548" s="4"/>
      <c r="Y548" s="4"/>
      <c r="Z548" s="4"/>
      <c r="AA548" s="4"/>
      <c r="AB548" s="4"/>
    </row>
    <row r="549" spans="1:28" ht="12.75" hidden="1">
      <c r="A549" s="4"/>
      <c r="B549" s="4"/>
      <c r="C549" s="4"/>
      <c r="D549" s="15"/>
      <c r="E549" s="4"/>
      <c r="F549" s="4"/>
      <c r="G549" s="4"/>
      <c r="H549" s="4"/>
      <c r="I549" s="4"/>
      <c r="J549" s="4"/>
      <c r="K549" s="4"/>
      <c r="L549" s="4"/>
      <c r="M549" s="4"/>
      <c r="N549" s="4"/>
      <c r="O549" s="4"/>
      <c r="P549" s="4"/>
      <c r="Q549" s="4"/>
      <c r="R549" s="4"/>
      <c r="S549" s="4"/>
      <c r="T549" s="4"/>
      <c r="U549" s="4"/>
      <c r="V549" s="4"/>
      <c r="W549" s="4"/>
      <c r="X549" s="4"/>
      <c r="Y549" s="4"/>
      <c r="Z549" s="4"/>
      <c r="AA549" s="4"/>
      <c r="AB549" s="4"/>
    </row>
    <row r="550" spans="1:28" ht="12.75" hidden="1">
      <c r="A550" s="4"/>
      <c r="B550" s="4"/>
      <c r="C550" s="4"/>
      <c r="D550" s="15"/>
      <c r="E550" s="4"/>
      <c r="F550" s="4"/>
      <c r="G550" s="4"/>
      <c r="H550" s="4"/>
      <c r="I550" s="4"/>
      <c r="J550" s="4"/>
      <c r="K550" s="4"/>
      <c r="L550" s="4"/>
      <c r="M550" s="4"/>
      <c r="N550" s="4"/>
      <c r="O550" s="4"/>
      <c r="P550" s="4"/>
      <c r="Q550" s="4"/>
      <c r="R550" s="4"/>
      <c r="S550" s="4"/>
      <c r="T550" s="4"/>
      <c r="U550" s="4"/>
      <c r="V550" s="4"/>
      <c r="W550" s="4"/>
      <c r="X550" s="4"/>
      <c r="Y550" s="4"/>
      <c r="Z550" s="4"/>
      <c r="AA550" s="4"/>
      <c r="AB550" s="4"/>
    </row>
    <row r="551" spans="1:28" ht="12.75" hidden="1">
      <c r="A551" s="4"/>
      <c r="B551" s="4"/>
      <c r="C551" s="4"/>
      <c r="D551" s="15"/>
      <c r="E551" s="4"/>
      <c r="F551" s="4"/>
      <c r="G551" s="4"/>
      <c r="H551" s="4"/>
      <c r="I551" s="4"/>
      <c r="J551" s="4"/>
      <c r="K551" s="4"/>
      <c r="L551" s="4"/>
      <c r="M551" s="4"/>
      <c r="N551" s="4"/>
      <c r="O551" s="4"/>
      <c r="P551" s="4"/>
      <c r="Q551" s="4"/>
      <c r="R551" s="4"/>
      <c r="S551" s="4"/>
      <c r="T551" s="4"/>
      <c r="U551" s="4"/>
      <c r="V551" s="4"/>
      <c r="W551" s="4"/>
      <c r="X551" s="4"/>
      <c r="Y551" s="4"/>
      <c r="Z551" s="4"/>
      <c r="AA551" s="4"/>
      <c r="AB551" s="4"/>
    </row>
    <row r="552" spans="1:28" ht="12.75" hidden="1">
      <c r="A552" s="4"/>
      <c r="B552" s="4"/>
      <c r="C552" s="4"/>
      <c r="D552" s="15"/>
      <c r="E552" s="4"/>
      <c r="F552" s="4"/>
      <c r="G552" s="4"/>
      <c r="H552" s="4"/>
      <c r="I552" s="4"/>
      <c r="J552" s="4"/>
      <c r="K552" s="4"/>
      <c r="L552" s="4"/>
      <c r="M552" s="4"/>
      <c r="N552" s="4"/>
      <c r="O552" s="4"/>
      <c r="P552" s="4"/>
      <c r="Q552" s="4"/>
      <c r="R552" s="4"/>
      <c r="S552" s="4"/>
      <c r="T552" s="4"/>
      <c r="U552" s="4"/>
      <c r="V552" s="4"/>
      <c r="W552" s="4"/>
      <c r="X552" s="4"/>
      <c r="Y552" s="4"/>
      <c r="Z552" s="4"/>
      <c r="AA552" s="4"/>
      <c r="AB552" s="4"/>
    </row>
    <row r="553" spans="1:28" ht="12.75" hidden="1">
      <c r="A553" s="4"/>
      <c r="B553" s="4"/>
      <c r="C553" s="4"/>
      <c r="D553" s="15"/>
      <c r="E553" s="4"/>
      <c r="F553" s="4"/>
      <c r="G553" s="4"/>
      <c r="H553" s="4"/>
      <c r="I553" s="4"/>
      <c r="J553" s="4"/>
      <c r="K553" s="4"/>
      <c r="L553" s="4"/>
      <c r="M553" s="4"/>
      <c r="N553" s="4"/>
      <c r="O553" s="4"/>
      <c r="P553" s="4"/>
      <c r="Q553" s="4"/>
      <c r="R553" s="4"/>
      <c r="S553" s="4"/>
      <c r="T553" s="4"/>
      <c r="U553" s="4"/>
      <c r="V553" s="4"/>
      <c r="W553" s="4"/>
      <c r="X553" s="4"/>
      <c r="Y553" s="4"/>
      <c r="Z553" s="4"/>
      <c r="AA553" s="4"/>
      <c r="AB553" s="4"/>
    </row>
    <row r="554" spans="1:28" ht="12.75" hidden="1">
      <c r="A554" s="4"/>
      <c r="B554" s="4"/>
      <c r="C554" s="4"/>
      <c r="D554" s="15"/>
      <c r="E554" s="4"/>
      <c r="F554" s="4"/>
      <c r="G554" s="4"/>
      <c r="H554" s="4"/>
      <c r="I554" s="4"/>
      <c r="J554" s="4"/>
      <c r="K554" s="4"/>
      <c r="L554" s="4"/>
      <c r="M554" s="4"/>
      <c r="N554" s="4"/>
      <c r="O554" s="4"/>
      <c r="P554" s="4"/>
      <c r="Q554" s="4"/>
      <c r="R554" s="4"/>
      <c r="S554" s="4"/>
      <c r="T554" s="4"/>
      <c r="U554" s="4"/>
      <c r="V554" s="4"/>
      <c r="W554" s="4"/>
      <c r="X554" s="4"/>
      <c r="Y554" s="4"/>
      <c r="Z554" s="4"/>
      <c r="AA554" s="4"/>
      <c r="AB554" s="4"/>
    </row>
    <row r="555" spans="1:28" ht="12.75" hidden="1">
      <c r="A555" s="4"/>
      <c r="B555" s="4"/>
      <c r="C555" s="4"/>
      <c r="D555" s="15"/>
      <c r="E555" s="4"/>
      <c r="F555" s="4"/>
      <c r="G555" s="4"/>
      <c r="H555" s="4"/>
      <c r="I555" s="4"/>
      <c r="J555" s="4"/>
      <c r="K555" s="4"/>
      <c r="L555" s="4"/>
      <c r="M555" s="4"/>
      <c r="N555" s="4"/>
      <c r="O555" s="4"/>
      <c r="P555" s="4"/>
      <c r="Q555" s="4"/>
      <c r="R555" s="4"/>
      <c r="S555" s="4"/>
      <c r="T555" s="4"/>
      <c r="U555" s="4"/>
      <c r="V555" s="4"/>
      <c r="W555" s="4"/>
      <c r="X555" s="4"/>
      <c r="Y555" s="4"/>
      <c r="Z555" s="4"/>
      <c r="AA555" s="4"/>
      <c r="AB555" s="4"/>
    </row>
    <row r="556" spans="1:28" ht="12.75" hidden="1">
      <c r="A556" s="4"/>
      <c r="B556" s="4"/>
      <c r="C556" s="4"/>
      <c r="D556" s="15"/>
      <c r="E556" s="4"/>
      <c r="F556" s="4"/>
      <c r="G556" s="4"/>
      <c r="H556" s="4"/>
      <c r="I556" s="4"/>
      <c r="J556" s="4"/>
      <c r="K556" s="4"/>
      <c r="L556" s="4"/>
      <c r="M556" s="4"/>
      <c r="N556" s="4"/>
      <c r="O556" s="4"/>
      <c r="P556" s="4"/>
      <c r="Q556" s="4"/>
      <c r="R556" s="4"/>
      <c r="S556" s="4"/>
      <c r="T556" s="4"/>
      <c r="U556" s="4"/>
      <c r="V556" s="4"/>
      <c r="W556" s="4"/>
      <c r="X556" s="4"/>
      <c r="Y556" s="4"/>
      <c r="Z556" s="4"/>
      <c r="AA556" s="4"/>
      <c r="AB556" s="4"/>
    </row>
    <row r="557" spans="1:28" ht="12.75" hidden="1">
      <c r="A557" s="4"/>
      <c r="B557" s="4"/>
      <c r="C557" s="4"/>
      <c r="D557" s="15"/>
      <c r="E557" s="4"/>
      <c r="F557" s="4"/>
      <c r="G557" s="4"/>
      <c r="H557" s="4"/>
      <c r="I557" s="4"/>
      <c r="J557" s="4"/>
      <c r="K557" s="4"/>
      <c r="L557" s="4"/>
      <c r="M557" s="4"/>
      <c r="N557" s="4"/>
      <c r="O557" s="4"/>
      <c r="P557" s="4"/>
      <c r="Q557" s="4"/>
      <c r="R557" s="4"/>
      <c r="S557" s="4"/>
      <c r="T557" s="4"/>
      <c r="U557" s="4"/>
      <c r="V557" s="4"/>
      <c r="W557" s="4"/>
      <c r="X557" s="4"/>
      <c r="Y557" s="4"/>
      <c r="Z557" s="4"/>
      <c r="AA557" s="4"/>
      <c r="AB557" s="4"/>
    </row>
    <row r="558" spans="1:28" ht="12.75" hidden="1">
      <c r="A558" s="4"/>
      <c r="B558" s="4"/>
      <c r="C558" s="4"/>
      <c r="D558" s="15"/>
      <c r="E558" s="4"/>
      <c r="F558" s="4"/>
      <c r="G558" s="4"/>
      <c r="H558" s="4"/>
      <c r="I558" s="4"/>
      <c r="J558" s="4"/>
      <c r="K558" s="4"/>
      <c r="L558" s="4"/>
      <c r="M558" s="4"/>
      <c r="N558" s="4"/>
      <c r="O558" s="4"/>
      <c r="P558" s="4"/>
      <c r="Q558" s="4"/>
      <c r="R558" s="4"/>
      <c r="S558" s="4"/>
      <c r="T558" s="4"/>
      <c r="U558" s="4"/>
      <c r="V558" s="4"/>
      <c r="W558" s="4"/>
      <c r="X558" s="4"/>
      <c r="Y558" s="4"/>
      <c r="Z558" s="4"/>
      <c r="AA558" s="4"/>
      <c r="AB558" s="4"/>
    </row>
    <row r="559" spans="1:28" ht="12.75" hidden="1">
      <c r="A559" s="4"/>
      <c r="B559" s="4"/>
      <c r="C559" s="4"/>
      <c r="D559" s="15"/>
      <c r="E559" s="4"/>
      <c r="F559" s="4"/>
      <c r="G559" s="4"/>
      <c r="H559" s="4"/>
      <c r="I559" s="4"/>
      <c r="J559" s="4"/>
      <c r="K559" s="4"/>
      <c r="L559" s="4"/>
      <c r="M559" s="4"/>
      <c r="N559" s="4"/>
      <c r="O559" s="4"/>
      <c r="P559" s="4"/>
      <c r="Q559" s="4"/>
      <c r="R559" s="4"/>
      <c r="S559" s="4"/>
      <c r="T559" s="4"/>
      <c r="U559" s="4"/>
      <c r="V559" s="4"/>
      <c r="W559" s="4"/>
      <c r="X559" s="4"/>
      <c r="Y559" s="4"/>
      <c r="Z559" s="4"/>
      <c r="AA559" s="4"/>
      <c r="AB559" s="4"/>
    </row>
    <row r="560" spans="1:28" ht="12.75" hidden="1">
      <c r="A560" s="4"/>
      <c r="B560" s="4"/>
      <c r="C560" s="4"/>
      <c r="D560" s="15"/>
      <c r="E560" s="4"/>
      <c r="F560" s="4"/>
      <c r="G560" s="4"/>
      <c r="H560" s="4"/>
      <c r="I560" s="4"/>
      <c r="J560" s="4"/>
      <c r="K560" s="4"/>
      <c r="L560" s="4"/>
      <c r="M560" s="4"/>
      <c r="N560" s="4"/>
      <c r="O560" s="4"/>
      <c r="P560" s="4"/>
      <c r="Q560" s="4"/>
      <c r="R560" s="4"/>
      <c r="S560" s="4"/>
      <c r="T560" s="4"/>
      <c r="U560" s="4"/>
      <c r="V560" s="4"/>
      <c r="W560" s="4"/>
      <c r="X560" s="4"/>
      <c r="Y560" s="4"/>
      <c r="Z560" s="4"/>
      <c r="AA560" s="4"/>
      <c r="AB560" s="4"/>
    </row>
    <row r="561" spans="1:28" ht="12.75" hidden="1">
      <c r="A561" s="4"/>
      <c r="B561" s="4"/>
      <c r="C561" s="4"/>
      <c r="D561" s="15"/>
      <c r="E561" s="4"/>
      <c r="F561" s="4"/>
      <c r="G561" s="4"/>
      <c r="H561" s="4"/>
      <c r="I561" s="4"/>
      <c r="J561" s="4"/>
      <c r="K561" s="4"/>
      <c r="L561" s="4"/>
      <c r="M561" s="4"/>
      <c r="N561" s="4"/>
      <c r="O561" s="4"/>
      <c r="P561" s="4"/>
      <c r="Q561" s="4"/>
      <c r="R561" s="4"/>
      <c r="S561" s="4"/>
      <c r="T561" s="4"/>
      <c r="U561" s="4"/>
      <c r="V561" s="4"/>
      <c r="W561" s="4"/>
      <c r="X561" s="4"/>
      <c r="Y561" s="4"/>
      <c r="Z561" s="4"/>
      <c r="AA561" s="4"/>
      <c r="AB561" s="4"/>
    </row>
    <row r="562" spans="1:28" ht="12.75" hidden="1">
      <c r="A562" s="4"/>
      <c r="B562" s="4"/>
      <c r="C562" s="4"/>
      <c r="D562" s="15"/>
      <c r="E562" s="4"/>
      <c r="F562" s="4"/>
      <c r="G562" s="4"/>
      <c r="H562" s="4"/>
      <c r="I562" s="4"/>
      <c r="J562" s="4"/>
      <c r="K562" s="4"/>
      <c r="L562" s="4"/>
      <c r="M562" s="4"/>
      <c r="N562" s="4"/>
      <c r="O562" s="4"/>
      <c r="P562" s="4"/>
      <c r="Q562" s="4"/>
      <c r="R562" s="4"/>
      <c r="S562" s="4"/>
      <c r="T562" s="4"/>
      <c r="U562" s="4"/>
      <c r="V562" s="4"/>
      <c r="W562" s="4"/>
      <c r="X562" s="4"/>
      <c r="Y562" s="4"/>
      <c r="Z562" s="4"/>
      <c r="AA562" s="4"/>
      <c r="AB562" s="4"/>
    </row>
    <row r="563" spans="1:28" ht="12.75" hidden="1">
      <c r="A563" s="4"/>
      <c r="B563" s="4"/>
      <c r="C563" s="4"/>
      <c r="D563" s="15"/>
      <c r="E563" s="4"/>
      <c r="F563" s="4"/>
      <c r="G563" s="4"/>
      <c r="H563" s="4"/>
      <c r="I563" s="4"/>
      <c r="J563" s="4"/>
      <c r="K563" s="4"/>
      <c r="L563" s="4"/>
      <c r="M563" s="4"/>
      <c r="N563" s="4"/>
      <c r="O563" s="4"/>
      <c r="P563" s="4"/>
      <c r="Q563" s="4"/>
      <c r="R563" s="4"/>
      <c r="S563" s="4"/>
      <c r="T563" s="4"/>
      <c r="U563" s="4"/>
      <c r="V563" s="4"/>
      <c r="W563" s="4"/>
      <c r="X563" s="4"/>
      <c r="Y563" s="4"/>
      <c r="Z563" s="4"/>
      <c r="AA563" s="4"/>
      <c r="AB563" s="4"/>
    </row>
    <row r="564" spans="1:28" ht="12.75" hidden="1">
      <c r="A564" s="4"/>
      <c r="B564" s="4"/>
      <c r="C564" s="4"/>
      <c r="D564" s="15"/>
      <c r="E564" s="4"/>
      <c r="F564" s="4"/>
      <c r="G564" s="4"/>
      <c r="H564" s="4"/>
      <c r="I564" s="4"/>
      <c r="J564" s="4"/>
      <c r="K564" s="4"/>
      <c r="L564" s="4"/>
      <c r="M564" s="4"/>
      <c r="N564" s="4"/>
      <c r="O564" s="4"/>
      <c r="P564" s="4"/>
      <c r="Q564" s="4"/>
      <c r="R564" s="4"/>
      <c r="S564" s="4"/>
      <c r="T564" s="4"/>
      <c r="U564" s="4"/>
      <c r="V564" s="4"/>
      <c r="W564" s="4"/>
      <c r="X564" s="4"/>
      <c r="Y564" s="4"/>
      <c r="Z564" s="4"/>
      <c r="AA564" s="4"/>
      <c r="AB564" s="4"/>
    </row>
    <row r="565" spans="1:28" ht="12.75" hidden="1">
      <c r="A565" s="4"/>
      <c r="B565" s="4"/>
      <c r="C565" s="4"/>
      <c r="D565" s="15"/>
      <c r="E565" s="4"/>
      <c r="F565" s="4"/>
      <c r="G565" s="4"/>
      <c r="H565" s="4"/>
      <c r="I565" s="4"/>
      <c r="J565" s="4"/>
      <c r="K565" s="4"/>
      <c r="L565" s="4"/>
      <c r="M565" s="4"/>
      <c r="N565" s="4"/>
      <c r="O565" s="4"/>
      <c r="P565" s="4"/>
      <c r="Q565" s="4"/>
      <c r="R565" s="4"/>
      <c r="S565" s="4"/>
      <c r="T565" s="4"/>
      <c r="U565" s="4"/>
      <c r="V565" s="4"/>
      <c r="W565" s="4"/>
      <c r="X565" s="4"/>
      <c r="Y565" s="4"/>
      <c r="Z565" s="4"/>
      <c r="AA565" s="4"/>
      <c r="AB565" s="4"/>
    </row>
    <row r="566" spans="1:28" ht="12.75" hidden="1">
      <c r="A566" s="4"/>
      <c r="B566" s="4"/>
      <c r="C566" s="4"/>
      <c r="D566" s="15"/>
      <c r="E566" s="4"/>
      <c r="F566" s="4"/>
      <c r="G566" s="4"/>
      <c r="H566" s="4"/>
      <c r="I566" s="4"/>
      <c r="J566" s="4"/>
      <c r="K566" s="4"/>
      <c r="L566" s="4"/>
      <c r="M566" s="4"/>
      <c r="N566" s="4"/>
      <c r="O566" s="4"/>
      <c r="P566" s="4"/>
      <c r="Q566" s="4"/>
      <c r="R566" s="4"/>
      <c r="S566" s="4"/>
      <c r="T566" s="4"/>
      <c r="U566" s="4"/>
      <c r="V566" s="4"/>
      <c r="W566" s="4"/>
      <c r="X566" s="4"/>
      <c r="Y566" s="4"/>
      <c r="Z566" s="4"/>
      <c r="AA566" s="4"/>
      <c r="AB566" s="4"/>
    </row>
    <row r="567" spans="1:28" ht="12.75" hidden="1">
      <c r="A567" s="4"/>
      <c r="B567" s="4"/>
      <c r="C567" s="4"/>
      <c r="D567" s="15"/>
      <c r="E567" s="4"/>
      <c r="F567" s="4"/>
      <c r="G567" s="4"/>
      <c r="H567" s="4"/>
      <c r="I567" s="4"/>
      <c r="J567" s="4"/>
      <c r="K567" s="4"/>
      <c r="L567" s="4"/>
      <c r="M567" s="4"/>
      <c r="N567" s="4"/>
      <c r="O567" s="4"/>
      <c r="P567" s="4"/>
      <c r="Q567" s="4"/>
      <c r="R567" s="4"/>
      <c r="S567" s="4"/>
      <c r="T567" s="4"/>
      <c r="U567" s="4"/>
      <c r="V567" s="4"/>
      <c r="W567" s="4"/>
      <c r="X567" s="4"/>
      <c r="Y567" s="4"/>
      <c r="Z567" s="4"/>
      <c r="AA567" s="4"/>
      <c r="AB567" s="4"/>
    </row>
    <row r="568" spans="1:28" ht="12.75" hidden="1">
      <c r="A568" s="4"/>
      <c r="B568" s="4"/>
      <c r="C568" s="4"/>
      <c r="D568" s="15"/>
      <c r="E568" s="4"/>
      <c r="F568" s="4"/>
      <c r="G568" s="4"/>
      <c r="H568" s="4"/>
      <c r="I568" s="4"/>
      <c r="J568" s="4"/>
      <c r="K568" s="4"/>
      <c r="L568" s="4"/>
      <c r="M568" s="4"/>
      <c r="N568" s="4"/>
      <c r="O568" s="4"/>
      <c r="P568" s="4"/>
      <c r="Q568" s="4"/>
      <c r="R568" s="4"/>
      <c r="S568" s="4"/>
      <c r="T568" s="4"/>
      <c r="U568" s="4"/>
      <c r="V568" s="4"/>
      <c r="W568" s="4"/>
      <c r="X568" s="4"/>
      <c r="Y568" s="4"/>
      <c r="Z568" s="4"/>
      <c r="AA568" s="4"/>
      <c r="AB568" s="4"/>
    </row>
    <row r="569" spans="1:28" ht="12.75" hidden="1">
      <c r="A569" s="4"/>
      <c r="B569" s="4"/>
      <c r="C569" s="4"/>
      <c r="D569" s="15"/>
      <c r="E569" s="4"/>
      <c r="F569" s="4"/>
      <c r="G569" s="4"/>
      <c r="H569" s="4"/>
      <c r="I569" s="4"/>
      <c r="J569" s="4"/>
      <c r="K569" s="4"/>
      <c r="L569" s="4"/>
      <c r="M569" s="4"/>
      <c r="N569" s="4"/>
      <c r="O569" s="4"/>
      <c r="P569" s="4"/>
      <c r="Q569" s="4"/>
      <c r="R569" s="4"/>
      <c r="S569" s="4"/>
      <c r="T569" s="4"/>
      <c r="U569" s="4"/>
      <c r="V569" s="4"/>
      <c r="W569" s="4"/>
      <c r="X569" s="4"/>
      <c r="Y569" s="4"/>
      <c r="Z569" s="4"/>
      <c r="AA569" s="4"/>
      <c r="AB569" s="4"/>
    </row>
    <row r="570" spans="1:28" ht="12.75" hidden="1">
      <c r="A570" s="4"/>
      <c r="B570" s="4"/>
      <c r="C570" s="4"/>
      <c r="D570" s="15"/>
      <c r="E570" s="4"/>
      <c r="F570" s="4"/>
      <c r="G570" s="4"/>
      <c r="H570" s="4"/>
      <c r="I570" s="4"/>
      <c r="J570" s="4"/>
      <c r="K570" s="4"/>
      <c r="L570" s="4"/>
      <c r="M570" s="4"/>
      <c r="N570" s="4"/>
      <c r="O570" s="4"/>
      <c r="P570" s="4"/>
      <c r="Q570" s="4"/>
      <c r="R570" s="4"/>
      <c r="S570" s="4"/>
      <c r="T570" s="4"/>
      <c r="U570" s="4"/>
      <c r="V570" s="4"/>
      <c r="W570" s="4"/>
      <c r="X570" s="4"/>
      <c r="Y570" s="4"/>
      <c r="Z570" s="4"/>
      <c r="AA570" s="4"/>
      <c r="AB570" s="4"/>
    </row>
    <row r="571" spans="1:28" ht="12.75" hidden="1">
      <c r="A571" s="4"/>
      <c r="B571" s="4"/>
      <c r="C571" s="4"/>
      <c r="D571" s="15"/>
      <c r="E571" s="4"/>
      <c r="F571" s="4"/>
      <c r="G571" s="4"/>
      <c r="H571" s="4"/>
      <c r="I571" s="4"/>
      <c r="J571" s="4"/>
      <c r="K571" s="4"/>
      <c r="L571" s="4"/>
      <c r="M571" s="4"/>
      <c r="N571" s="4"/>
      <c r="O571" s="4"/>
      <c r="P571" s="4"/>
      <c r="Q571" s="4"/>
      <c r="R571" s="4"/>
      <c r="S571" s="4"/>
      <c r="T571" s="4"/>
      <c r="U571" s="4"/>
      <c r="V571" s="4"/>
      <c r="W571" s="4"/>
      <c r="X571" s="4"/>
      <c r="Y571" s="4"/>
      <c r="Z571" s="4"/>
      <c r="AA571" s="4"/>
      <c r="AB571" s="4"/>
    </row>
    <row r="572" spans="1:28" ht="12.75" hidden="1">
      <c r="A572" s="4"/>
      <c r="B572" s="4"/>
      <c r="C572" s="4"/>
      <c r="D572" s="15"/>
      <c r="E572" s="4"/>
      <c r="F572" s="4"/>
      <c r="G572" s="4"/>
      <c r="H572" s="4"/>
      <c r="I572" s="4"/>
      <c r="J572" s="4"/>
      <c r="K572" s="4"/>
      <c r="L572" s="4"/>
      <c r="M572" s="4"/>
      <c r="N572" s="4"/>
      <c r="O572" s="4"/>
      <c r="P572" s="4"/>
      <c r="Q572" s="4"/>
      <c r="R572" s="4"/>
      <c r="S572" s="4"/>
      <c r="T572" s="4"/>
      <c r="U572" s="4"/>
      <c r="V572" s="4"/>
      <c r="W572" s="4"/>
      <c r="X572" s="4"/>
      <c r="Y572" s="4"/>
      <c r="Z572" s="4"/>
      <c r="AA572" s="4"/>
      <c r="AB572" s="4"/>
    </row>
    <row r="573" spans="1:28" ht="12.75" hidden="1">
      <c r="A573" s="4"/>
      <c r="B573" s="4"/>
      <c r="C573" s="4"/>
      <c r="D573" s="15"/>
      <c r="E573" s="4"/>
      <c r="F573" s="4"/>
      <c r="G573" s="4"/>
      <c r="H573" s="4"/>
      <c r="I573" s="4"/>
      <c r="J573" s="4"/>
      <c r="K573" s="4"/>
      <c r="L573" s="4"/>
      <c r="M573" s="4"/>
      <c r="N573" s="4"/>
      <c r="O573" s="4"/>
      <c r="P573" s="4"/>
      <c r="Q573" s="4"/>
      <c r="R573" s="4"/>
      <c r="S573" s="4"/>
      <c r="T573" s="4"/>
      <c r="U573" s="4"/>
      <c r="V573" s="4"/>
      <c r="W573" s="4"/>
      <c r="X573" s="4"/>
      <c r="Y573" s="4"/>
      <c r="Z573" s="4"/>
      <c r="AA573" s="4"/>
      <c r="AB573" s="4"/>
    </row>
    <row r="574" spans="1:28" ht="12.75" hidden="1">
      <c r="A574" s="4"/>
      <c r="B574" s="4"/>
      <c r="C574" s="4"/>
      <c r="D574" s="15"/>
      <c r="E574" s="4"/>
      <c r="F574" s="4"/>
      <c r="G574" s="4"/>
      <c r="H574" s="4"/>
      <c r="I574" s="4"/>
      <c r="J574" s="4"/>
      <c r="K574" s="4"/>
      <c r="L574" s="4"/>
      <c r="M574" s="4"/>
      <c r="N574" s="4"/>
      <c r="O574" s="4"/>
      <c r="P574" s="4"/>
      <c r="Q574" s="4"/>
      <c r="R574" s="4"/>
      <c r="S574" s="4"/>
      <c r="T574" s="4"/>
      <c r="U574" s="4"/>
      <c r="V574" s="4"/>
      <c r="W574" s="4"/>
      <c r="X574" s="4"/>
      <c r="Y574" s="4"/>
      <c r="Z574" s="4"/>
      <c r="AA574" s="4"/>
      <c r="AB574" s="4"/>
    </row>
    <row r="575" spans="1:28" ht="12.75" hidden="1">
      <c r="A575" s="4"/>
      <c r="B575" s="4"/>
      <c r="C575" s="4"/>
      <c r="D575" s="15"/>
      <c r="E575" s="4"/>
      <c r="F575" s="4"/>
      <c r="G575" s="4"/>
      <c r="H575" s="4"/>
      <c r="I575" s="4"/>
      <c r="J575" s="4"/>
      <c r="K575" s="4"/>
      <c r="L575" s="4"/>
      <c r="M575" s="4"/>
      <c r="N575" s="4"/>
      <c r="O575" s="4"/>
      <c r="P575" s="4"/>
      <c r="Q575" s="4"/>
      <c r="R575" s="4"/>
      <c r="S575" s="4"/>
      <c r="T575" s="4"/>
      <c r="U575" s="4"/>
      <c r="V575" s="4"/>
      <c r="W575" s="4"/>
      <c r="X575" s="4"/>
      <c r="Y575" s="4"/>
      <c r="Z575" s="4"/>
      <c r="AA575" s="4"/>
      <c r="AB575" s="4"/>
    </row>
    <row r="576" spans="1:28" ht="12.75" hidden="1">
      <c r="A576" s="4"/>
      <c r="B576" s="4"/>
      <c r="C576" s="4"/>
      <c r="D576" s="15"/>
      <c r="E576" s="4"/>
      <c r="F576" s="4"/>
      <c r="G576" s="4"/>
      <c r="H576" s="4"/>
      <c r="I576" s="4"/>
      <c r="J576" s="4"/>
      <c r="K576" s="4"/>
      <c r="L576" s="4"/>
      <c r="M576" s="4"/>
      <c r="N576" s="4"/>
      <c r="O576" s="4"/>
      <c r="P576" s="4"/>
      <c r="Q576" s="4"/>
      <c r="R576" s="4"/>
      <c r="S576" s="4"/>
      <c r="T576" s="4"/>
      <c r="U576" s="4"/>
      <c r="V576" s="4"/>
      <c r="W576" s="4"/>
      <c r="X576" s="4"/>
      <c r="Y576" s="4"/>
      <c r="Z576" s="4"/>
      <c r="AA576" s="4"/>
      <c r="AB576" s="4"/>
    </row>
    <row r="577" spans="1:28" ht="12.75" hidden="1">
      <c r="A577" s="4"/>
      <c r="B577" s="4"/>
      <c r="C577" s="4"/>
      <c r="D577" s="15"/>
      <c r="E577" s="4"/>
      <c r="F577" s="4"/>
      <c r="G577" s="4"/>
      <c r="H577" s="4"/>
      <c r="I577" s="4"/>
      <c r="J577" s="4"/>
      <c r="K577" s="4"/>
      <c r="L577" s="4"/>
      <c r="M577" s="4"/>
      <c r="N577" s="4"/>
      <c r="O577" s="4"/>
      <c r="P577" s="4"/>
      <c r="Q577" s="4"/>
      <c r="R577" s="4"/>
      <c r="S577" s="4"/>
      <c r="T577" s="4"/>
      <c r="U577" s="4"/>
      <c r="V577" s="4"/>
      <c r="W577" s="4"/>
      <c r="X577" s="4"/>
      <c r="Y577" s="4"/>
      <c r="Z577" s="4"/>
      <c r="AA577" s="4"/>
      <c r="AB577" s="4"/>
    </row>
    <row r="578" spans="1:28" ht="12.75" hidden="1">
      <c r="A578" s="4"/>
      <c r="B578" s="4"/>
      <c r="C578" s="4"/>
      <c r="D578" s="15"/>
      <c r="E578" s="4"/>
      <c r="F578" s="4"/>
      <c r="G578" s="4"/>
      <c r="H578" s="4"/>
      <c r="I578" s="4"/>
      <c r="J578" s="4"/>
      <c r="K578" s="4"/>
      <c r="L578" s="4"/>
      <c r="M578" s="4"/>
      <c r="N578" s="4"/>
      <c r="O578" s="4"/>
      <c r="P578" s="4"/>
      <c r="Q578" s="4"/>
      <c r="R578" s="4"/>
      <c r="S578" s="4"/>
      <c r="T578" s="4"/>
      <c r="U578" s="4"/>
      <c r="V578" s="4"/>
      <c r="W578" s="4"/>
      <c r="X578" s="4"/>
      <c r="Y578" s="4"/>
      <c r="Z578" s="4"/>
      <c r="AA578" s="4"/>
      <c r="AB578" s="4"/>
    </row>
    <row r="579" spans="1:28" ht="12.75" hidden="1">
      <c r="A579" s="4"/>
      <c r="B579" s="4"/>
      <c r="C579" s="4"/>
      <c r="D579" s="15"/>
      <c r="E579" s="4"/>
      <c r="F579" s="4"/>
      <c r="G579" s="4"/>
      <c r="H579" s="4"/>
      <c r="I579" s="4"/>
      <c r="J579" s="4"/>
      <c r="K579" s="4"/>
      <c r="L579" s="4"/>
      <c r="M579" s="4"/>
      <c r="N579" s="4"/>
      <c r="O579" s="4"/>
      <c r="P579" s="4"/>
      <c r="Q579" s="4"/>
      <c r="R579" s="4"/>
      <c r="S579" s="4"/>
      <c r="T579" s="4"/>
      <c r="U579" s="4"/>
      <c r="V579" s="4"/>
      <c r="W579" s="4"/>
      <c r="X579" s="4"/>
      <c r="Y579" s="4"/>
      <c r="Z579" s="4"/>
      <c r="AA579" s="4"/>
      <c r="AB579" s="4"/>
    </row>
    <row r="580" spans="1:28" ht="12.75" hidden="1">
      <c r="A580" s="4"/>
      <c r="B580" s="4"/>
      <c r="C580" s="4"/>
      <c r="D580" s="15"/>
      <c r="E580" s="4"/>
      <c r="F580" s="4"/>
      <c r="G580" s="4"/>
      <c r="H580" s="4"/>
      <c r="I580" s="4"/>
      <c r="J580" s="4"/>
      <c r="K580" s="4"/>
      <c r="L580" s="4"/>
      <c r="M580" s="4"/>
      <c r="N580" s="4"/>
      <c r="O580" s="4"/>
      <c r="P580" s="4"/>
      <c r="Q580" s="4"/>
      <c r="R580" s="4"/>
      <c r="S580" s="4"/>
      <c r="T580" s="4"/>
      <c r="U580" s="4"/>
      <c r="V580" s="4"/>
      <c r="W580" s="4"/>
      <c r="X580" s="4"/>
      <c r="Y580" s="4"/>
      <c r="Z580" s="4"/>
      <c r="AA580" s="4"/>
      <c r="AB580" s="4"/>
    </row>
    <row r="581" spans="1:28" ht="12.75" hidden="1">
      <c r="A581" s="4"/>
      <c r="B581" s="4"/>
      <c r="C581" s="4"/>
      <c r="D581" s="15"/>
      <c r="E581" s="4"/>
      <c r="F581" s="4"/>
      <c r="G581" s="4"/>
      <c r="H581" s="4"/>
      <c r="I581" s="4"/>
      <c r="J581" s="4"/>
      <c r="K581" s="4"/>
      <c r="L581" s="4"/>
      <c r="M581" s="4"/>
      <c r="N581" s="4"/>
      <c r="O581" s="4"/>
      <c r="P581" s="4"/>
      <c r="Q581" s="4"/>
      <c r="R581" s="4"/>
      <c r="S581" s="4"/>
      <c r="T581" s="4"/>
      <c r="U581" s="4"/>
      <c r="V581" s="4"/>
      <c r="W581" s="4"/>
      <c r="X581" s="4"/>
      <c r="Y581" s="4"/>
      <c r="Z581" s="4"/>
      <c r="AA581" s="4"/>
      <c r="AB581" s="4"/>
    </row>
    <row r="582" spans="1:28" ht="12.75" hidden="1">
      <c r="A582" s="4"/>
      <c r="B582" s="4"/>
      <c r="C582" s="4"/>
      <c r="D582" s="15"/>
      <c r="E582" s="4"/>
      <c r="F582" s="4"/>
      <c r="G582" s="4"/>
      <c r="H582" s="4"/>
      <c r="I582" s="4"/>
      <c r="J582" s="4"/>
      <c r="K582" s="4"/>
      <c r="L582" s="4"/>
      <c r="M582" s="4"/>
      <c r="N582" s="4"/>
      <c r="O582" s="4"/>
      <c r="P582" s="4"/>
      <c r="Q582" s="4"/>
      <c r="R582" s="4"/>
      <c r="S582" s="4"/>
      <c r="T582" s="4"/>
      <c r="U582" s="4"/>
      <c r="V582" s="4"/>
      <c r="W582" s="4"/>
      <c r="X582" s="4"/>
      <c r="Y582" s="4"/>
      <c r="Z582" s="4"/>
      <c r="AA582" s="4"/>
      <c r="AB582" s="4"/>
    </row>
    <row r="583" spans="1:28" ht="12.75" hidden="1">
      <c r="A583" s="4"/>
      <c r="B583" s="4"/>
      <c r="C583" s="4"/>
      <c r="D583" s="15"/>
      <c r="E583" s="4"/>
      <c r="F583" s="4"/>
      <c r="G583" s="4"/>
      <c r="H583" s="4"/>
      <c r="I583" s="4"/>
      <c r="J583" s="4"/>
      <c r="K583" s="4"/>
      <c r="L583" s="4"/>
      <c r="M583" s="4"/>
      <c r="N583" s="4"/>
      <c r="O583" s="4"/>
      <c r="P583" s="4"/>
      <c r="Q583" s="4"/>
      <c r="R583" s="4"/>
      <c r="S583" s="4"/>
      <c r="T583" s="4"/>
      <c r="U583" s="4"/>
      <c r="V583" s="4"/>
      <c r="W583" s="4"/>
      <c r="X583" s="4"/>
      <c r="Y583" s="4"/>
      <c r="Z583" s="4"/>
      <c r="AA583" s="4"/>
      <c r="AB583" s="4"/>
    </row>
    <row r="584" spans="1:28" ht="12.75" hidden="1">
      <c r="A584" s="4"/>
      <c r="B584" s="4"/>
      <c r="C584" s="4"/>
      <c r="D584" s="15"/>
      <c r="E584" s="4"/>
      <c r="F584" s="4"/>
      <c r="G584" s="4"/>
      <c r="H584" s="4"/>
      <c r="I584" s="4"/>
      <c r="J584" s="4"/>
      <c r="K584" s="4"/>
      <c r="L584" s="4"/>
      <c r="M584" s="4"/>
      <c r="N584" s="4"/>
      <c r="O584" s="4"/>
      <c r="P584" s="4"/>
      <c r="Q584" s="4"/>
      <c r="R584" s="4"/>
      <c r="S584" s="4"/>
      <c r="T584" s="4"/>
      <c r="U584" s="4"/>
      <c r="V584" s="4"/>
      <c r="W584" s="4"/>
      <c r="X584" s="4"/>
      <c r="Y584" s="4"/>
      <c r="Z584" s="4"/>
      <c r="AA584" s="4"/>
      <c r="AB584" s="4"/>
    </row>
    <row r="585" spans="1:28" ht="12.75" hidden="1">
      <c r="A585" s="4"/>
      <c r="B585" s="4"/>
      <c r="C585" s="4"/>
      <c r="D585" s="15"/>
      <c r="E585" s="4"/>
      <c r="F585" s="4"/>
      <c r="G585" s="4"/>
      <c r="H585" s="4"/>
      <c r="I585" s="4"/>
      <c r="J585" s="4"/>
      <c r="K585" s="4"/>
      <c r="L585" s="4"/>
      <c r="M585" s="4"/>
      <c r="N585" s="4"/>
      <c r="O585" s="4"/>
      <c r="P585" s="4"/>
      <c r="Q585" s="4"/>
      <c r="R585" s="4"/>
      <c r="S585" s="4"/>
      <c r="T585" s="4"/>
      <c r="U585" s="4"/>
      <c r="V585" s="4"/>
      <c r="W585" s="4"/>
      <c r="X585" s="4"/>
      <c r="Y585" s="4"/>
      <c r="Z585" s="4"/>
      <c r="AA585" s="4"/>
      <c r="AB585" s="4"/>
    </row>
    <row r="586" spans="1:28" ht="12.75" hidden="1">
      <c r="A586" s="4"/>
      <c r="B586" s="4"/>
      <c r="C586" s="4"/>
      <c r="D586" s="15"/>
      <c r="E586" s="4"/>
      <c r="F586" s="4"/>
      <c r="G586" s="4"/>
      <c r="H586" s="4"/>
      <c r="I586" s="4"/>
      <c r="J586" s="4"/>
      <c r="K586" s="4"/>
      <c r="L586" s="4"/>
      <c r="M586" s="4"/>
      <c r="N586" s="4"/>
      <c r="O586" s="4"/>
      <c r="P586" s="4"/>
      <c r="Q586" s="4"/>
      <c r="R586" s="4"/>
      <c r="S586" s="4"/>
      <c r="T586" s="4"/>
      <c r="U586" s="4"/>
      <c r="V586" s="4"/>
      <c r="W586" s="4"/>
      <c r="X586" s="4"/>
      <c r="Y586" s="4"/>
      <c r="Z586" s="4"/>
      <c r="AA586" s="4"/>
      <c r="AB586" s="4"/>
    </row>
    <row r="587" spans="1:28" ht="12.75" hidden="1">
      <c r="A587" s="4"/>
      <c r="B587" s="4"/>
      <c r="C587" s="4"/>
      <c r="D587" s="15"/>
      <c r="E587" s="4"/>
      <c r="F587" s="4"/>
      <c r="G587" s="4"/>
      <c r="H587" s="4"/>
      <c r="I587" s="4"/>
      <c r="J587" s="4"/>
      <c r="K587" s="4"/>
      <c r="L587" s="4"/>
      <c r="M587" s="4"/>
      <c r="N587" s="4"/>
      <c r="O587" s="4"/>
      <c r="P587" s="4"/>
      <c r="Q587" s="4"/>
      <c r="R587" s="4"/>
      <c r="S587" s="4"/>
      <c r="T587" s="4"/>
      <c r="U587" s="4"/>
      <c r="V587" s="4"/>
      <c r="W587" s="4"/>
      <c r="X587" s="4"/>
      <c r="Y587" s="4"/>
      <c r="Z587" s="4"/>
      <c r="AA587" s="4"/>
      <c r="AB587" s="4"/>
    </row>
    <row r="588" spans="1:28" ht="12.75" hidden="1">
      <c r="A588" s="4"/>
      <c r="B588" s="4"/>
      <c r="C588" s="4"/>
      <c r="D588" s="15"/>
      <c r="E588" s="4"/>
      <c r="F588" s="4"/>
      <c r="G588" s="4"/>
      <c r="H588" s="4"/>
      <c r="I588" s="4"/>
      <c r="J588" s="4"/>
      <c r="K588" s="4"/>
      <c r="L588" s="4"/>
      <c r="M588" s="4"/>
      <c r="N588" s="4"/>
      <c r="O588" s="4"/>
      <c r="P588" s="4"/>
      <c r="Q588" s="4"/>
      <c r="R588" s="4"/>
      <c r="S588" s="4"/>
      <c r="T588" s="4"/>
      <c r="U588" s="4"/>
      <c r="V588" s="4"/>
      <c r="W588" s="4"/>
      <c r="X588" s="4"/>
      <c r="Y588" s="4"/>
      <c r="Z588" s="4"/>
      <c r="AA588" s="4"/>
      <c r="AB588" s="4"/>
    </row>
    <row r="589" spans="1:28" ht="12.75" hidden="1">
      <c r="A589" s="4"/>
      <c r="B589" s="4"/>
      <c r="C589" s="4"/>
      <c r="D589" s="15"/>
      <c r="E589" s="4"/>
      <c r="F589" s="4"/>
      <c r="G589" s="4"/>
      <c r="H589" s="4"/>
      <c r="I589" s="4"/>
      <c r="J589" s="4"/>
      <c r="K589" s="4"/>
      <c r="L589" s="4"/>
      <c r="M589" s="4"/>
      <c r="N589" s="4"/>
      <c r="O589" s="4"/>
      <c r="P589" s="4"/>
      <c r="Q589" s="4"/>
      <c r="R589" s="4"/>
      <c r="S589" s="4"/>
      <c r="T589" s="4"/>
      <c r="U589" s="4"/>
      <c r="V589" s="4"/>
      <c r="W589" s="4"/>
      <c r="X589" s="4"/>
      <c r="Y589" s="4"/>
      <c r="Z589" s="4"/>
      <c r="AA589" s="4"/>
      <c r="AB589" s="4"/>
    </row>
    <row r="590" spans="1:28" ht="12.75" hidden="1">
      <c r="A590" s="4"/>
      <c r="B590" s="4"/>
      <c r="C590" s="4"/>
      <c r="D590" s="15"/>
      <c r="E590" s="4"/>
      <c r="F590" s="4"/>
      <c r="G590" s="4"/>
      <c r="H590" s="4"/>
      <c r="I590" s="4"/>
      <c r="J590" s="4"/>
      <c r="K590" s="4"/>
      <c r="L590" s="4"/>
      <c r="M590" s="4"/>
      <c r="N590" s="4"/>
      <c r="O590" s="4"/>
      <c r="P590" s="4"/>
      <c r="Q590" s="4"/>
      <c r="R590" s="4"/>
      <c r="S590" s="4"/>
      <c r="T590" s="4"/>
      <c r="U590" s="4"/>
      <c r="V590" s="4"/>
      <c r="W590" s="4"/>
      <c r="X590" s="4"/>
      <c r="Y590" s="4"/>
      <c r="Z590" s="4"/>
      <c r="AA590" s="4"/>
      <c r="AB590" s="4"/>
    </row>
    <row r="591" spans="1:28" ht="12.75" hidden="1">
      <c r="A591" s="4"/>
      <c r="B591" s="4"/>
      <c r="C591" s="4"/>
      <c r="D591" s="15"/>
      <c r="E591" s="4"/>
      <c r="F591" s="4"/>
      <c r="G591" s="4"/>
      <c r="H591" s="4"/>
      <c r="I591" s="4"/>
      <c r="J591" s="4"/>
      <c r="K591" s="4"/>
      <c r="L591" s="4"/>
      <c r="M591" s="4"/>
      <c r="N591" s="4"/>
      <c r="O591" s="4"/>
      <c r="P591" s="4"/>
      <c r="Q591" s="4"/>
      <c r="R591" s="4"/>
      <c r="S591" s="4"/>
      <c r="T591" s="4"/>
      <c r="U591" s="4"/>
      <c r="V591" s="4"/>
      <c r="W591" s="4"/>
      <c r="X591" s="4"/>
      <c r="Y591" s="4"/>
      <c r="Z591" s="4"/>
      <c r="AA591" s="4"/>
      <c r="AB591" s="4"/>
    </row>
    <row r="592" spans="1:28" ht="12.75" hidden="1">
      <c r="A592" s="4"/>
      <c r="B592" s="4"/>
      <c r="C592" s="4"/>
      <c r="D592" s="15"/>
      <c r="E592" s="4"/>
      <c r="F592" s="4"/>
      <c r="G592" s="4"/>
      <c r="H592" s="4"/>
      <c r="I592" s="4"/>
      <c r="J592" s="4"/>
      <c r="K592" s="4"/>
      <c r="L592" s="4"/>
      <c r="M592" s="4"/>
      <c r="N592" s="4"/>
      <c r="O592" s="4"/>
      <c r="P592" s="4"/>
      <c r="Q592" s="4"/>
      <c r="R592" s="4"/>
      <c r="S592" s="4"/>
      <c r="T592" s="4"/>
      <c r="U592" s="4"/>
      <c r="V592" s="4"/>
      <c r="W592" s="4"/>
      <c r="X592" s="4"/>
      <c r="Y592" s="4"/>
      <c r="Z592" s="4"/>
      <c r="AA592" s="4"/>
      <c r="AB592" s="4"/>
    </row>
    <row r="593" spans="1:28" ht="12.75" hidden="1">
      <c r="A593" s="4"/>
      <c r="B593" s="4"/>
      <c r="C593" s="4"/>
      <c r="D593" s="15"/>
      <c r="E593" s="4"/>
      <c r="F593" s="4"/>
      <c r="G593" s="4"/>
      <c r="H593" s="4"/>
      <c r="I593" s="4"/>
      <c r="J593" s="4"/>
      <c r="K593" s="4"/>
      <c r="L593" s="4"/>
      <c r="M593" s="4"/>
      <c r="N593" s="4"/>
      <c r="O593" s="4"/>
      <c r="P593" s="4"/>
      <c r="Q593" s="4"/>
      <c r="R593" s="4"/>
      <c r="S593" s="4"/>
      <c r="T593" s="4"/>
      <c r="U593" s="4"/>
      <c r="V593" s="4"/>
      <c r="W593" s="4"/>
      <c r="X593" s="4"/>
      <c r="Y593" s="4"/>
      <c r="Z593" s="4"/>
      <c r="AA593" s="4"/>
      <c r="AB593" s="4"/>
    </row>
    <row r="594" spans="1:28" ht="12.75" hidden="1">
      <c r="A594" s="4"/>
      <c r="B594" s="4"/>
      <c r="C594" s="4"/>
      <c r="D594" s="15"/>
      <c r="E594" s="4"/>
      <c r="F594" s="4"/>
      <c r="G594" s="4"/>
      <c r="H594" s="4"/>
      <c r="I594" s="4"/>
      <c r="J594" s="4"/>
      <c r="K594" s="4"/>
      <c r="L594" s="4"/>
      <c r="M594" s="4"/>
      <c r="N594" s="4"/>
      <c r="O594" s="4"/>
      <c r="P594" s="4"/>
      <c r="Q594" s="4"/>
      <c r="R594" s="4"/>
      <c r="S594" s="4"/>
      <c r="T594" s="4"/>
      <c r="U594" s="4"/>
      <c r="V594" s="4"/>
      <c r="W594" s="4"/>
      <c r="X594" s="4"/>
      <c r="Y594" s="4"/>
      <c r="Z594" s="4"/>
      <c r="AA594" s="4"/>
      <c r="AB594" s="4"/>
    </row>
    <row r="595" spans="1:28" ht="12.75" hidden="1">
      <c r="A595" s="4"/>
      <c r="B595" s="4"/>
      <c r="C595" s="4"/>
      <c r="D595" s="15"/>
      <c r="E595" s="4"/>
      <c r="F595" s="4"/>
      <c r="G595" s="4"/>
      <c r="H595" s="4"/>
      <c r="I595" s="4"/>
      <c r="J595" s="4"/>
      <c r="K595" s="4"/>
      <c r="L595" s="4"/>
      <c r="M595" s="4"/>
      <c r="N595" s="4"/>
      <c r="O595" s="4"/>
      <c r="P595" s="4"/>
      <c r="Q595" s="4"/>
      <c r="R595" s="4"/>
      <c r="S595" s="4"/>
      <c r="T595" s="4"/>
      <c r="U595" s="4"/>
      <c r="V595" s="4"/>
      <c r="W595" s="4"/>
      <c r="X595" s="4"/>
      <c r="Y595" s="4"/>
      <c r="Z595" s="4"/>
      <c r="AA595" s="4"/>
      <c r="AB595" s="4"/>
    </row>
    <row r="596" spans="1:28" ht="12.75" hidden="1">
      <c r="A596" s="4"/>
      <c r="B596" s="4"/>
      <c r="C596" s="4"/>
      <c r="D596" s="15"/>
      <c r="E596" s="4"/>
      <c r="F596" s="4"/>
      <c r="G596" s="4"/>
      <c r="H596" s="4"/>
      <c r="I596" s="4"/>
      <c r="J596" s="4"/>
      <c r="K596" s="4"/>
      <c r="L596" s="4"/>
      <c r="M596" s="4"/>
      <c r="N596" s="4"/>
      <c r="O596" s="4"/>
      <c r="P596" s="4"/>
      <c r="Q596" s="4"/>
      <c r="R596" s="4"/>
      <c r="S596" s="4"/>
      <c r="T596" s="4"/>
      <c r="U596" s="4"/>
      <c r="V596" s="4"/>
      <c r="W596" s="4"/>
      <c r="X596" s="4"/>
      <c r="Y596" s="4"/>
      <c r="Z596" s="4"/>
      <c r="AA596" s="4"/>
      <c r="AB596" s="4"/>
    </row>
    <row r="597" spans="1:28" ht="12.75" hidden="1">
      <c r="A597" s="4"/>
      <c r="B597" s="4"/>
      <c r="C597" s="4"/>
      <c r="D597" s="15"/>
      <c r="E597" s="4"/>
      <c r="F597" s="4"/>
      <c r="G597" s="4"/>
      <c r="H597" s="4"/>
      <c r="I597" s="4"/>
      <c r="J597" s="4"/>
      <c r="K597" s="4"/>
      <c r="L597" s="4"/>
      <c r="M597" s="4"/>
      <c r="N597" s="4"/>
      <c r="O597" s="4"/>
      <c r="P597" s="4"/>
      <c r="Q597" s="4"/>
      <c r="R597" s="4"/>
      <c r="S597" s="4"/>
      <c r="T597" s="4"/>
      <c r="U597" s="4"/>
      <c r="V597" s="4"/>
      <c r="W597" s="4"/>
      <c r="X597" s="4"/>
      <c r="Y597" s="4"/>
      <c r="Z597" s="4"/>
      <c r="AA597" s="4"/>
      <c r="AB597" s="4"/>
    </row>
    <row r="598" spans="1:28" ht="12.75" hidden="1">
      <c r="A598" s="4"/>
      <c r="B598" s="4"/>
      <c r="C598" s="4"/>
      <c r="D598" s="15"/>
      <c r="E598" s="4"/>
      <c r="F598" s="4"/>
      <c r="G598" s="4"/>
      <c r="H598" s="4"/>
      <c r="I598" s="4"/>
      <c r="J598" s="4"/>
      <c r="K598" s="4"/>
      <c r="L598" s="4"/>
      <c r="M598" s="4"/>
      <c r="N598" s="4"/>
      <c r="O598" s="4"/>
      <c r="P598" s="4"/>
      <c r="Q598" s="4"/>
      <c r="R598" s="4"/>
      <c r="S598" s="4"/>
      <c r="T598" s="4"/>
      <c r="U598" s="4"/>
      <c r="V598" s="4"/>
      <c r="W598" s="4"/>
      <c r="X598" s="4"/>
      <c r="Y598" s="4"/>
      <c r="Z598" s="4"/>
      <c r="AA598" s="4"/>
      <c r="AB598" s="4"/>
    </row>
    <row r="599" spans="1:28" ht="12.75" hidden="1">
      <c r="A599" s="4"/>
      <c r="B599" s="4"/>
      <c r="C599" s="4"/>
      <c r="D599" s="15"/>
      <c r="E599" s="4"/>
      <c r="F599" s="4"/>
      <c r="G599" s="4"/>
      <c r="H599" s="4"/>
      <c r="I599" s="4"/>
      <c r="J599" s="4"/>
      <c r="K599" s="4"/>
      <c r="L599" s="4"/>
      <c r="M599" s="4"/>
      <c r="N599" s="4"/>
      <c r="O599" s="4"/>
      <c r="P599" s="4"/>
      <c r="Q599" s="4"/>
      <c r="R599" s="4"/>
      <c r="S599" s="4"/>
      <c r="T599" s="4"/>
      <c r="U599" s="4"/>
      <c r="V599" s="4"/>
      <c r="W599" s="4"/>
      <c r="X599" s="4"/>
      <c r="Y599" s="4"/>
      <c r="Z599" s="4"/>
      <c r="AA599" s="4"/>
      <c r="AB599" s="4"/>
    </row>
    <row r="600" spans="1:28" ht="12.75" hidden="1">
      <c r="A600" s="4"/>
      <c r="B600" s="4"/>
      <c r="C600" s="4"/>
      <c r="D600" s="15"/>
      <c r="E600" s="4"/>
      <c r="F600" s="4"/>
      <c r="G600" s="4"/>
      <c r="H600" s="4"/>
      <c r="I600" s="4"/>
      <c r="J600" s="4"/>
      <c r="K600" s="4"/>
      <c r="L600" s="4"/>
      <c r="M600" s="4"/>
      <c r="N600" s="4"/>
      <c r="O600" s="4"/>
      <c r="P600" s="4"/>
      <c r="Q600" s="4"/>
      <c r="R600" s="4"/>
      <c r="S600" s="4"/>
      <c r="T600" s="4"/>
      <c r="U600" s="4"/>
      <c r="V600" s="4"/>
      <c r="W600" s="4"/>
      <c r="X600" s="4"/>
      <c r="Y600" s="4"/>
      <c r="Z600" s="4"/>
      <c r="AA600" s="4"/>
      <c r="AB600" s="4"/>
    </row>
    <row r="601" spans="1:28" ht="12.75" hidden="1">
      <c r="A601" s="4"/>
      <c r="B601" s="4"/>
      <c r="C601" s="4"/>
      <c r="D601" s="15"/>
      <c r="E601" s="4"/>
      <c r="F601" s="4"/>
      <c r="G601" s="4"/>
      <c r="H601" s="4"/>
      <c r="I601" s="4"/>
      <c r="J601" s="4"/>
      <c r="K601" s="4"/>
      <c r="L601" s="4"/>
      <c r="M601" s="4"/>
      <c r="N601" s="4"/>
      <c r="O601" s="4"/>
      <c r="P601" s="4"/>
      <c r="Q601" s="4"/>
      <c r="R601" s="4"/>
      <c r="S601" s="4"/>
      <c r="T601" s="4"/>
      <c r="U601" s="4"/>
      <c r="V601" s="4"/>
      <c r="W601" s="4"/>
      <c r="X601" s="4"/>
      <c r="Y601" s="4"/>
      <c r="Z601" s="4"/>
      <c r="AA601" s="4"/>
      <c r="AB601" s="4"/>
    </row>
    <row r="602" spans="1:28" ht="12.75" hidden="1">
      <c r="A602" s="4"/>
      <c r="B602" s="4"/>
      <c r="C602" s="4"/>
      <c r="D602" s="15"/>
      <c r="E602" s="4"/>
      <c r="F602" s="4"/>
      <c r="G602" s="4"/>
      <c r="H602" s="4"/>
      <c r="I602" s="4"/>
      <c r="J602" s="4"/>
      <c r="K602" s="4"/>
      <c r="L602" s="4"/>
      <c r="M602" s="4"/>
      <c r="N602" s="4"/>
      <c r="O602" s="4"/>
      <c r="P602" s="4"/>
      <c r="Q602" s="4"/>
      <c r="R602" s="4"/>
      <c r="S602" s="4"/>
      <c r="T602" s="4"/>
      <c r="U602" s="4"/>
      <c r="V602" s="4"/>
      <c r="W602" s="4"/>
      <c r="X602" s="4"/>
      <c r="Y602" s="4"/>
      <c r="Z602" s="4"/>
      <c r="AA602" s="4"/>
      <c r="AB602" s="4"/>
    </row>
    <row r="603" spans="1:28" ht="12.75" hidden="1">
      <c r="A603" s="4"/>
      <c r="B603" s="4"/>
      <c r="C603" s="4"/>
      <c r="D603" s="15"/>
      <c r="E603" s="4"/>
      <c r="F603" s="4"/>
      <c r="G603" s="4"/>
      <c r="H603" s="4"/>
      <c r="I603" s="4"/>
      <c r="J603" s="4"/>
      <c r="K603" s="4"/>
      <c r="L603" s="4"/>
      <c r="M603" s="4"/>
      <c r="N603" s="4"/>
      <c r="O603" s="4"/>
      <c r="P603" s="4"/>
      <c r="Q603" s="4"/>
      <c r="R603" s="4"/>
      <c r="S603" s="4"/>
      <c r="T603" s="4"/>
      <c r="U603" s="4"/>
      <c r="V603" s="4"/>
      <c r="W603" s="4"/>
      <c r="X603" s="4"/>
      <c r="Y603" s="4"/>
      <c r="Z603" s="4"/>
      <c r="AA603" s="4"/>
      <c r="AB603" s="4"/>
    </row>
    <row r="604" spans="1:28" ht="12.75" hidden="1">
      <c r="A604" s="4"/>
      <c r="B604" s="4"/>
      <c r="C604" s="4"/>
      <c r="D604" s="15"/>
      <c r="E604" s="4"/>
      <c r="F604" s="4"/>
      <c r="G604" s="4"/>
      <c r="H604" s="4"/>
      <c r="I604" s="4"/>
      <c r="J604" s="4"/>
      <c r="K604" s="4"/>
      <c r="L604" s="4"/>
      <c r="M604" s="4"/>
      <c r="N604" s="4"/>
      <c r="O604" s="4"/>
      <c r="P604" s="4"/>
      <c r="Q604" s="4"/>
      <c r="R604" s="4"/>
      <c r="S604" s="4"/>
      <c r="T604" s="4"/>
      <c r="U604" s="4"/>
      <c r="V604" s="4"/>
      <c r="W604" s="4"/>
      <c r="X604" s="4"/>
      <c r="Y604" s="4"/>
      <c r="Z604" s="4"/>
      <c r="AA604" s="4"/>
      <c r="AB604" s="4"/>
    </row>
    <row r="605" spans="1:28" ht="12.75" hidden="1">
      <c r="A605" s="4"/>
      <c r="B605" s="4"/>
      <c r="C605" s="4"/>
      <c r="D605" s="15"/>
      <c r="E605" s="4"/>
      <c r="F605" s="4"/>
      <c r="G605" s="4"/>
      <c r="H605" s="4"/>
      <c r="I605" s="4"/>
      <c r="J605" s="4"/>
      <c r="K605" s="4"/>
      <c r="L605" s="4"/>
      <c r="M605" s="4"/>
      <c r="N605" s="4"/>
      <c r="O605" s="4"/>
      <c r="P605" s="4"/>
      <c r="Q605" s="4"/>
      <c r="R605" s="4"/>
      <c r="S605" s="4"/>
      <c r="T605" s="4"/>
      <c r="U605" s="4"/>
      <c r="V605" s="4"/>
      <c r="W605" s="4"/>
      <c r="X605" s="4"/>
      <c r="Y605" s="4"/>
      <c r="Z605" s="4"/>
      <c r="AA605" s="4"/>
      <c r="AB605" s="4"/>
    </row>
    <row r="606" spans="1:28" ht="12.75" hidden="1">
      <c r="A606" s="4"/>
      <c r="B606" s="4"/>
      <c r="C606" s="4"/>
      <c r="D606" s="15"/>
      <c r="E606" s="4"/>
      <c r="F606" s="4"/>
      <c r="G606" s="4"/>
      <c r="H606" s="4"/>
      <c r="I606" s="4"/>
      <c r="J606" s="4"/>
      <c r="K606" s="4"/>
      <c r="L606" s="4"/>
      <c r="M606" s="4"/>
      <c r="N606" s="4"/>
      <c r="O606" s="4"/>
      <c r="P606" s="4"/>
      <c r="Q606" s="4"/>
      <c r="R606" s="4"/>
      <c r="S606" s="4"/>
      <c r="T606" s="4"/>
      <c r="U606" s="4"/>
      <c r="V606" s="4"/>
      <c r="W606" s="4"/>
      <c r="X606" s="4"/>
      <c r="Y606" s="4"/>
      <c r="Z606" s="4"/>
      <c r="AA606" s="4"/>
      <c r="AB606" s="4"/>
    </row>
    <row r="607" spans="1:28" ht="12.75" hidden="1">
      <c r="A607" s="4"/>
      <c r="B607" s="4"/>
      <c r="C607" s="4"/>
      <c r="D607" s="15"/>
      <c r="E607" s="4"/>
      <c r="F607" s="4"/>
      <c r="G607" s="4"/>
      <c r="H607" s="4"/>
      <c r="I607" s="4"/>
      <c r="J607" s="4"/>
      <c r="K607" s="4"/>
      <c r="L607" s="4"/>
      <c r="M607" s="4"/>
      <c r="N607" s="4"/>
      <c r="O607" s="4"/>
      <c r="P607" s="4"/>
      <c r="Q607" s="4"/>
      <c r="R607" s="4"/>
      <c r="S607" s="4"/>
      <c r="T607" s="4"/>
      <c r="U607" s="4"/>
      <c r="V607" s="4"/>
      <c r="W607" s="4"/>
      <c r="X607" s="4"/>
      <c r="Y607" s="4"/>
      <c r="Z607" s="4"/>
      <c r="AA607" s="4"/>
      <c r="AB607" s="4"/>
    </row>
    <row r="608" spans="1:28" ht="12.75" hidden="1">
      <c r="A608" s="4"/>
      <c r="B608" s="4"/>
      <c r="C608" s="4"/>
      <c r="D608" s="15"/>
      <c r="E608" s="4"/>
      <c r="F608" s="4"/>
      <c r="G608" s="4"/>
      <c r="H608" s="4"/>
      <c r="I608" s="4"/>
      <c r="J608" s="4"/>
      <c r="K608" s="4"/>
      <c r="L608" s="4"/>
      <c r="M608" s="4"/>
      <c r="N608" s="4"/>
      <c r="O608" s="4"/>
      <c r="P608" s="4"/>
      <c r="Q608" s="4"/>
      <c r="R608" s="4"/>
      <c r="S608" s="4"/>
      <c r="T608" s="4"/>
      <c r="U608" s="4"/>
      <c r="V608" s="4"/>
      <c r="W608" s="4"/>
      <c r="X608" s="4"/>
      <c r="Y608" s="4"/>
      <c r="Z608" s="4"/>
      <c r="AA608" s="4"/>
      <c r="AB608" s="4"/>
    </row>
    <row r="609" spans="1:28" ht="12.75" hidden="1">
      <c r="A609" s="4"/>
      <c r="B609" s="4"/>
      <c r="C609" s="4"/>
      <c r="D609" s="15"/>
      <c r="E609" s="4"/>
      <c r="F609" s="4"/>
      <c r="G609" s="4"/>
      <c r="H609" s="4"/>
      <c r="I609" s="4"/>
      <c r="J609" s="4"/>
      <c r="K609" s="4"/>
      <c r="L609" s="4"/>
      <c r="M609" s="4"/>
      <c r="N609" s="4"/>
      <c r="O609" s="4"/>
      <c r="P609" s="4"/>
      <c r="Q609" s="4"/>
      <c r="R609" s="4"/>
      <c r="S609" s="4"/>
      <c r="T609" s="4"/>
      <c r="U609" s="4"/>
      <c r="V609" s="4"/>
      <c r="W609" s="4"/>
      <c r="X609" s="4"/>
      <c r="Y609" s="4"/>
      <c r="Z609" s="4"/>
      <c r="AA609" s="4"/>
      <c r="AB609" s="4"/>
    </row>
    <row r="610" spans="1:28" ht="12.75" hidden="1">
      <c r="A610" s="4"/>
      <c r="B610" s="4"/>
      <c r="C610" s="4"/>
      <c r="D610" s="15"/>
      <c r="E610" s="4"/>
      <c r="F610" s="4"/>
      <c r="G610" s="4"/>
      <c r="H610" s="4"/>
      <c r="I610" s="4"/>
      <c r="J610" s="4"/>
      <c r="K610" s="4"/>
      <c r="L610" s="4"/>
      <c r="M610" s="4"/>
      <c r="N610" s="4"/>
      <c r="O610" s="4"/>
      <c r="P610" s="4"/>
      <c r="Q610" s="4"/>
      <c r="R610" s="4"/>
      <c r="S610" s="4"/>
      <c r="T610" s="4"/>
      <c r="U610" s="4"/>
      <c r="V610" s="4"/>
      <c r="W610" s="4"/>
      <c r="X610" s="4"/>
      <c r="Y610" s="4"/>
      <c r="Z610" s="4"/>
      <c r="AA610" s="4"/>
      <c r="AB610" s="4"/>
    </row>
    <row r="611" spans="1:28" ht="12.75" hidden="1">
      <c r="A611" s="4"/>
      <c r="B611" s="4"/>
      <c r="C611" s="4"/>
      <c r="D611" s="15"/>
      <c r="E611" s="4"/>
      <c r="F611" s="4"/>
      <c r="G611" s="4"/>
      <c r="H611" s="4"/>
      <c r="I611" s="4"/>
      <c r="J611" s="4"/>
      <c r="K611" s="4"/>
      <c r="L611" s="4"/>
      <c r="M611" s="4"/>
      <c r="N611" s="4"/>
      <c r="O611" s="4"/>
      <c r="P611" s="4"/>
      <c r="Q611" s="4"/>
      <c r="R611" s="4"/>
      <c r="S611" s="4"/>
      <c r="T611" s="4"/>
      <c r="U611" s="4"/>
      <c r="V611" s="4"/>
      <c r="W611" s="4"/>
      <c r="X611" s="4"/>
      <c r="Y611" s="4"/>
      <c r="Z611" s="4"/>
      <c r="AA611" s="4"/>
      <c r="AB611" s="4"/>
    </row>
    <row r="612" spans="1:28" ht="12.75" hidden="1">
      <c r="A612" s="4"/>
      <c r="B612" s="4"/>
      <c r="C612" s="4"/>
      <c r="D612" s="15"/>
      <c r="E612" s="4"/>
      <c r="F612" s="4"/>
      <c r="G612" s="4"/>
      <c r="H612" s="4"/>
      <c r="I612" s="4"/>
      <c r="J612" s="4"/>
      <c r="K612" s="4"/>
      <c r="L612" s="4"/>
      <c r="M612" s="4"/>
      <c r="N612" s="4"/>
      <c r="O612" s="4"/>
      <c r="P612" s="4"/>
      <c r="Q612" s="4"/>
      <c r="R612" s="4"/>
      <c r="S612" s="4"/>
      <c r="T612" s="4"/>
      <c r="U612" s="4"/>
      <c r="V612" s="4"/>
      <c r="W612" s="4"/>
      <c r="X612" s="4"/>
      <c r="Y612" s="4"/>
      <c r="Z612" s="4"/>
      <c r="AA612" s="4"/>
      <c r="AB612" s="4"/>
    </row>
    <row r="613" spans="1:28" ht="12.75" hidden="1">
      <c r="A613" s="4"/>
      <c r="B613" s="4"/>
      <c r="C613" s="4"/>
      <c r="D613" s="15"/>
      <c r="E613" s="4"/>
      <c r="F613" s="4"/>
      <c r="G613" s="4"/>
      <c r="H613" s="4"/>
      <c r="I613" s="4"/>
      <c r="J613" s="4"/>
      <c r="K613" s="4"/>
      <c r="L613" s="4"/>
      <c r="M613" s="4"/>
      <c r="N613" s="4"/>
      <c r="O613" s="4"/>
      <c r="P613" s="4"/>
      <c r="Q613" s="4"/>
      <c r="R613" s="4"/>
      <c r="S613" s="4"/>
      <c r="T613" s="4"/>
      <c r="U613" s="4"/>
      <c r="V613" s="4"/>
      <c r="W613" s="4"/>
      <c r="X613" s="4"/>
      <c r="Y613" s="4"/>
      <c r="Z613" s="4"/>
      <c r="AA613" s="4"/>
      <c r="AB613" s="4"/>
    </row>
    <row r="614" spans="1:28" ht="12.75" hidden="1">
      <c r="A614" s="4"/>
      <c r="B614" s="4"/>
      <c r="C614" s="4"/>
      <c r="D614" s="15"/>
      <c r="E614" s="4"/>
      <c r="F614" s="4"/>
      <c r="G614" s="4"/>
      <c r="H614" s="4"/>
      <c r="I614" s="4"/>
      <c r="J614" s="4"/>
      <c r="K614" s="4"/>
      <c r="L614" s="4"/>
      <c r="M614" s="4"/>
      <c r="N614" s="4"/>
      <c r="O614" s="4"/>
      <c r="P614" s="4"/>
      <c r="Q614" s="4"/>
      <c r="R614" s="4"/>
      <c r="S614" s="4"/>
      <c r="T614" s="4"/>
      <c r="U614" s="4"/>
      <c r="V614" s="4"/>
      <c r="W614" s="4"/>
      <c r="X614" s="4"/>
      <c r="Y614" s="4"/>
      <c r="Z614" s="4"/>
      <c r="AA614" s="4"/>
      <c r="AB614" s="4"/>
    </row>
    <row r="615" spans="1:28" ht="12.75" hidden="1">
      <c r="A615" s="4"/>
      <c r="B615" s="4"/>
      <c r="C615" s="4"/>
      <c r="D615" s="15"/>
      <c r="E615" s="4"/>
      <c r="F615" s="4"/>
      <c r="G615" s="4"/>
      <c r="H615" s="4"/>
      <c r="I615" s="4"/>
      <c r="J615" s="4"/>
      <c r="K615" s="4"/>
      <c r="L615" s="4"/>
      <c r="M615" s="4"/>
      <c r="N615" s="4"/>
      <c r="O615" s="4"/>
      <c r="P615" s="4"/>
      <c r="Q615" s="4"/>
      <c r="R615" s="4"/>
      <c r="S615" s="4"/>
      <c r="T615" s="4"/>
      <c r="U615" s="4"/>
      <c r="V615" s="4"/>
      <c r="W615" s="4"/>
      <c r="X615" s="4"/>
      <c r="Y615" s="4"/>
      <c r="Z615" s="4"/>
      <c r="AA615" s="4"/>
      <c r="AB615" s="4"/>
    </row>
    <row r="616" spans="1:28" ht="12.75" hidden="1">
      <c r="A616" s="4"/>
      <c r="B616" s="4"/>
      <c r="C616" s="4"/>
      <c r="D616" s="15"/>
      <c r="E616" s="4"/>
      <c r="F616" s="4"/>
      <c r="G616" s="4"/>
      <c r="H616" s="4"/>
      <c r="I616" s="4"/>
      <c r="J616" s="4"/>
      <c r="K616" s="4"/>
      <c r="L616" s="4"/>
      <c r="M616" s="4"/>
      <c r="N616" s="4"/>
      <c r="O616" s="4"/>
      <c r="P616" s="4"/>
      <c r="Q616" s="4"/>
      <c r="R616" s="4"/>
      <c r="S616" s="4"/>
      <c r="T616" s="4"/>
      <c r="U616" s="4"/>
      <c r="V616" s="4"/>
      <c r="W616" s="4"/>
      <c r="X616" s="4"/>
      <c r="Y616" s="4"/>
      <c r="Z616" s="4"/>
      <c r="AA616" s="4"/>
      <c r="AB616" s="4"/>
    </row>
    <row r="617" spans="1:28" ht="12.75" hidden="1">
      <c r="A617" s="4"/>
      <c r="B617" s="4"/>
      <c r="C617" s="4"/>
      <c r="D617" s="15"/>
      <c r="E617" s="4"/>
      <c r="F617" s="4"/>
      <c r="G617" s="4"/>
      <c r="H617" s="4"/>
      <c r="I617" s="4"/>
      <c r="J617" s="4"/>
      <c r="K617" s="4"/>
      <c r="L617" s="4"/>
      <c r="M617" s="4"/>
      <c r="N617" s="4"/>
      <c r="O617" s="4"/>
      <c r="P617" s="4"/>
      <c r="Q617" s="4"/>
      <c r="R617" s="4"/>
      <c r="S617" s="4"/>
      <c r="T617" s="4"/>
      <c r="U617" s="4"/>
      <c r="V617" s="4"/>
      <c r="W617" s="4"/>
      <c r="X617" s="4"/>
      <c r="Y617" s="4"/>
      <c r="Z617" s="4"/>
      <c r="AA617" s="4"/>
      <c r="AB617" s="4"/>
    </row>
    <row r="618" spans="1:28" ht="12.75" hidden="1">
      <c r="A618" s="4"/>
      <c r="B618" s="4"/>
      <c r="C618" s="4"/>
      <c r="D618" s="15"/>
      <c r="E618" s="4"/>
      <c r="F618" s="4"/>
      <c r="G618" s="4"/>
      <c r="H618" s="4"/>
      <c r="I618" s="4"/>
      <c r="J618" s="4"/>
      <c r="K618" s="4"/>
      <c r="L618" s="4"/>
      <c r="M618" s="4"/>
      <c r="N618" s="4"/>
      <c r="O618" s="4"/>
      <c r="P618" s="4"/>
      <c r="Q618" s="4"/>
      <c r="R618" s="4"/>
      <c r="S618" s="4"/>
      <c r="T618" s="4"/>
      <c r="U618" s="4"/>
      <c r="V618" s="4"/>
      <c r="W618" s="4"/>
      <c r="X618" s="4"/>
      <c r="Y618" s="4"/>
      <c r="Z618" s="4"/>
      <c r="AA618" s="4"/>
      <c r="AB618" s="4"/>
    </row>
    <row r="619" spans="1:28" ht="12.75" hidden="1">
      <c r="A619" s="4"/>
      <c r="B619" s="4"/>
      <c r="C619" s="4"/>
      <c r="D619" s="15"/>
      <c r="E619" s="4"/>
      <c r="F619" s="4"/>
      <c r="G619" s="4"/>
      <c r="H619" s="4"/>
      <c r="I619" s="4"/>
      <c r="J619" s="4"/>
      <c r="K619" s="4"/>
      <c r="L619" s="4"/>
      <c r="M619" s="4"/>
      <c r="N619" s="4"/>
      <c r="O619" s="4"/>
      <c r="P619" s="4"/>
      <c r="Q619" s="4"/>
      <c r="R619" s="4"/>
      <c r="S619" s="4"/>
      <c r="T619" s="4"/>
      <c r="U619" s="4"/>
      <c r="V619" s="4"/>
      <c r="W619" s="4"/>
      <c r="X619" s="4"/>
      <c r="Y619" s="4"/>
      <c r="Z619" s="4"/>
      <c r="AA619" s="4"/>
      <c r="AB619" s="4"/>
    </row>
    <row r="620" spans="1:28" ht="12.75" hidden="1">
      <c r="A620" s="4"/>
      <c r="B620" s="4"/>
      <c r="C620" s="4"/>
      <c r="D620" s="15"/>
      <c r="E620" s="4"/>
      <c r="F620" s="4"/>
      <c r="G620" s="4"/>
      <c r="H620" s="4"/>
      <c r="I620" s="4"/>
      <c r="J620" s="4"/>
      <c r="K620" s="4"/>
      <c r="L620" s="4"/>
      <c r="M620" s="4"/>
      <c r="N620" s="4"/>
      <c r="O620" s="4"/>
      <c r="P620" s="4"/>
      <c r="Q620" s="4"/>
      <c r="R620" s="4"/>
      <c r="S620" s="4"/>
      <c r="T620" s="4"/>
      <c r="U620" s="4"/>
      <c r="V620" s="4"/>
      <c r="W620" s="4"/>
      <c r="X620" s="4"/>
      <c r="Y620" s="4"/>
      <c r="Z620" s="4"/>
      <c r="AA620" s="4"/>
      <c r="AB620" s="4"/>
    </row>
    <row r="621" spans="1:28" ht="12.75" hidden="1">
      <c r="A621" s="4"/>
      <c r="B621" s="4"/>
      <c r="C621" s="4"/>
      <c r="D621" s="15"/>
      <c r="E621" s="4"/>
      <c r="F621" s="4"/>
      <c r="G621" s="4"/>
      <c r="H621" s="4"/>
      <c r="I621" s="4"/>
      <c r="J621" s="4"/>
      <c r="K621" s="4"/>
      <c r="L621" s="4"/>
      <c r="M621" s="4"/>
      <c r="N621" s="4"/>
      <c r="O621" s="4"/>
      <c r="P621" s="4"/>
      <c r="Q621" s="4"/>
      <c r="R621" s="4"/>
      <c r="S621" s="4"/>
      <c r="T621" s="4"/>
      <c r="U621" s="4"/>
      <c r="V621" s="4"/>
      <c r="W621" s="4"/>
      <c r="X621" s="4"/>
      <c r="Y621" s="4"/>
      <c r="Z621" s="4"/>
      <c r="AA621" s="4"/>
      <c r="AB621" s="4"/>
    </row>
    <row r="622" spans="1:28" ht="12.75" hidden="1">
      <c r="A622" s="4"/>
      <c r="B622" s="4"/>
      <c r="C622" s="4"/>
      <c r="D622" s="15"/>
      <c r="E622" s="4"/>
      <c r="F622" s="4"/>
      <c r="G622" s="4"/>
      <c r="H622" s="4"/>
      <c r="I622" s="4"/>
      <c r="J622" s="4"/>
      <c r="K622" s="4"/>
      <c r="L622" s="4"/>
      <c r="M622" s="4"/>
      <c r="N622" s="4"/>
      <c r="O622" s="4"/>
      <c r="P622" s="4"/>
      <c r="Q622" s="4"/>
      <c r="R622" s="4"/>
      <c r="S622" s="4"/>
      <c r="T622" s="4"/>
      <c r="U622" s="4"/>
      <c r="V622" s="4"/>
      <c r="W622" s="4"/>
      <c r="X622" s="4"/>
      <c r="Y622" s="4"/>
      <c r="Z622" s="4"/>
      <c r="AA622" s="4"/>
      <c r="AB622" s="4"/>
    </row>
    <row r="623" spans="1:28" ht="12.75" hidden="1">
      <c r="A623" s="4"/>
      <c r="B623" s="4"/>
      <c r="C623" s="4"/>
      <c r="D623" s="15"/>
      <c r="E623" s="4"/>
      <c r="F623" s="4"/>
      <c r="G623" s="4"/>
      <c r="H623" s="4"/>
      <c r="I623" s="4"/>
      <c r="J623" s="4"/>
      <c r="K623" s="4"/>
      <c r="L623" s="4"/>
      <c r="M623" s="4"/>
      <c r="N623" s="4"/>
      <c r="O623" s="4"/>
      <c r="P623" s="4"/>
      <c r="Q623" s="4"/>
      <c r="R623" s="4"/>
      <c r="S623" s="4"/>
      <c r="T623" s="4"/>
      <c r="U623" s="4"/>
      <c r="V623" s="4"/>
      <c r="W623" s="4"/>
      <c r="X623" s="4"/>
      <c r="Y623" s="4"/>
      <c r="Z623" s="4"/>
      <c r="AA623" s="4"/>
      <c r="AB623" s="4"/>
    </row>
    <row r="624" spans="1:28" ht="12.75" hidden="1">
      <c r="A624" s="4"/>
      <c r="B624" s="4"/>
      <c r="C624" s="4"/>
      <c r="D624" s="15"/>
      <c r="E624" s="4"/>
      <c r="F624" s="4"/>
      <c r="G624" s="4"/>
      <c r="H624" s="4"/>
      <c r="I624" s="4"/>
      <c r="J624" s="4"/>
      <c r="K624" s="4"/>
      <c r="L624" s="4"/>
      <c r="M624" s="4"/>
      <c r="N624" s="4"/>
      <c r="O624" s="4"/>
      <c r="P624" s="4"/>
      <c r="Q624" s="4"/>
      <c r="R624" s="4"/>
      <c r="S624" s="4"/>
      <c r="T624" s="4"/>
      <c r="U624" s="4"/>
      <c r="V624" s="4"/>
      <c r="W624" s="4"/>
      <c r="X624" s="4"/>
      <c r="Y624" s="4"/>
      <c r="Z624" s="4"/>
      <c r="AA624" s="4"/>
      <c r="AB624" s="4"/>
    </row>
    <row r="625" spans="1:28" ht="12.75" hidden="1">
      <c r="A625" s="4"/>
      <c r="B625" s="4"/>
      <c r="C625" s="4"/>
      <c r="D625" s="15"/>
      <c r="E625" s="4"/>
      <c r="F625" s="4"/>
      <c r="G625" s="4"/>
      <c r="H625" s="4"/>
      <c r="I625" s="4"/>
      <c r="J625" s="4"/>
      <c r="K625" s="4"/>
      <c r="L625" s="4"/>
      <c r="M625" s="4"/>
      <c r="N625" s="4"/>
      <c r="O625" s="4"/>
      <c r="P625" s="4"/>
      <c r="Q625" s="4"/>
      <c r="R625" s="4"/>
      <c r="S625" s="4"/>
      <c r="T625" s="4"/>
      <c r="U625" s="4"/>
      <c r="V625" s="4"/>
      <c r="W625" s="4"/>
      <c r="X625" s="4"/>
      <c r="Y625" s="4"/>
      <c r="Z625" s="4"/>
      <c r="AA625" s="4"/>
      <c r="AB625" s="4"/>
    </row>
    <row r="626" spans="1:28" ht="12.75" hidden="1">
      <c r="A626" s="4"/>
      <c r="B626" s="4"/>
      <c r="C626" s="4"/>
      <c r="D626" s="15"/>
      <c r="E626" s="4"/>
      <c r="F626" s="4"/>
      <c r="G626" s="4"/>
      <c r="H626" s="4"/>
      <c r="I626" s="4"/>
      <c r="J626" s="4"/>
      <c r="K626" s="4"/>
      <c r="L626" s="4"/>
      <c r="M626" s="4"/>
      <c r="N626" s="4"/>
      <c r="O626" s="4"/>
      <c r="P626" s="4"/>
      <c r="Q626" s="4"/>
      <c r="R626" s="4"/>
      <c r="S626" s="4"/>
      <c r="T626" s="4"/>
      <c r="U626" s="4"/>
      <c r="V626" s="4"/>
      <c r="W626" s="4"/>
      <c r="X626" s="4"/>
      <c r="Y626" s="4"/>
      <c r="Z626" s="4"/>
      <c r="AA626" s="4"/>
      <c r="AB626" s="4"/>
    </row>
    <row r="627" spans="1:28" ht="12.75" hidden="1">
      <c r="A627" s="4"/>
      <c r="B627" s="4"/>
      <c r="C627" s="4"/>
      <c r="D627" s="15"/>
      <c r="E627" s="4"/>
      <c r="F627" s="4"/>
      <c r="G627" s="4"/>
      <c r="H627" s="4"/>
      <c r="I627" s="4"/>
      <c r="J627" s="4"/>
      <c r="K627" s="4"/>
      <c r="L627" s="4"/>
      <c r="M627" s="4"/>
      <c r="N627" s="4"/>
      <c r="O627" s="4"/>
      <c r="P627" s="4"/>
      <c r="Q627" s="4"/>
      <c r="R627" s="4"/>
      <c r="S627" s="4"/>
      <c r="T627" s="4"/>
      <c r="U627" s="4"/>
      <c r="V627" s="4"/>
      <c r="W627" s="4"/>
      <c r="X627" s="4"/>
      <c r="Y627" s="4"/>
      <c r="Z627" s="4"/>
      <c r="AA627" s="4"/>
      <c r="AB627" s="4"/>
    </row>
    <row r="628" spans="1:28" ht="12.75" hidden="1">
      <c r="A628" s="4"/>
      <c r="B628" s="4"/>
      <c r="C628" s="4"/>
      <c r="D628" s="15"/>
      <c r="E628" s="4"/>
      <c r="F628" s="4"/>
      <c r="G628" s="4"/>
      <c r="H628" s="4"/>
      <c r="I628" s="4"/>
      <c r="J628" s="4"/>
      <c r="K628" s="4"/>
      <c r="L628" s="4"/>
      <c r="M628" s="4"/>
      <c r="N628" s="4"/>
      <c r="O628" s="4"/>
      <c r="P628" s="4"/>
      <c r="Q628" s="4"/>
      <c r="R628" s="4"/>
      <c r="S628" s="4"/>
      <c r="T628" s="4"/>
      <c r="U628" s="4"/>
      <c r="V628" s="4"/>
      <c r="W628" s="4"/>
      <c r="X628" s="4"/>
      <c r="Y628" s="4"/>
      <c r="Z628" s="4"/>
      <c r="AA628" s="4"/>
      <c r="AB628" s="4"/>
    </row>
    <row r="629" spans="1:28" ht="12.75" hidden="1">
      <c r="A629" s="4"/>
      <c r="B629" s="4"/>
      <c r="C629" s="4"/>
      <c r="D629" s="15"/>
      <c r="E629" s="4"/>
      <c r="F629" s="4"/>
      <c r="G629" s="4"/>
      <c r="H629" s="4"/>
      <c r="I629" s="4"/>
      <c r="J629" s="4"/>
      <c r="K629" s="4"/>
      <c r="L629" s="4"/>
      <c r="M629" s="4"/>
      <c r="N629" s="4"/>
      <c r="O629" s="4"/>
      <c r="P629" s="4"/>
      <c r="Q629" s="4"/>
      <c r="R629" s="4"/>
      <c r="S629" s="4"/>
      <c r="T629" s="4"/>
      <c r="U629" s="4"/>
      <c r="V629" s="4"/>
      <c r="W629" s="4"/>
      <c r="X629" s="4"/>
      <c r="Y629" s="4"/>
      <c r="Z629" s="4"/>
      <c r="AA629" s="4"/>
      <c r="AB629" s="4"/>
    </row>
    <row r="630" spans="1:28" ht="12.75" hidden="1">
      <c r="A630" s="4"/>
      <c r="B630" s="4"/>
      <c r="C630" s="4"/>
      <c r="D630" s="15"/>
      <c r="E630" s="4"/>
      <c r="F630" s="4"/>
      <c r="G630" s="4"/>
      <c r="H630" s="4"/>
      <c r="I630" s="4"/>
      <c r="J630" s="4"/>
      <c r="K630" s="4"/>
      <c r="L630" s="4"/>
      <c r="M630" s="4"/>
      <c r="N630" s="4"/>
      <c r="O630" s="4"/>
      <c r="P630" s="4"/>
      <c r="Q630" s="4"/>
      <c r="R630" s="4"/>
      <c r="S630" s="4"/>
      <c r="T630" s="4"/>
      <c r="U630" s="4"/>
      <c r="V630" s="4"/>
      <c r="W630" s="4"/>
      <c r="X630" s="4"/>
      <c r="Y630" s="4"/>
      <c r="Z630" s="4"/>
      <c r="AA630" s="4"/>
      <c r="AB630" s="4"/>
    </row>
    <row r="631" spans="1:28" ht="12.75" hidden="1">
      <c r="A631" s="4"/>
      <c r="B631" s="4"/>
      <c r="C631" s="4"/>
      <c r="D631" s="15"/>
      <c r="E631" s="4"/>
      <c r="F631" s="4"/>
      <c r="G631" s="4"/>
      <c r="H631" s="4"/>
      <c r="I631" s="4"/>
      <c r="J631" s="4"/>
      <c r="K631" s="4"/>
      <c r="L631" s="4"/>
      <c r="M631" s="4"/>
      <c r="N631" s="4"/>
      <c r="O631" s="4"/>
      <c r="P631" s="4"/>
      <c r="Q631" s="4"/>
      <c r="R631" s="4"/>
      <c r="S631" s="4"/>
      <c r="T631" s="4"/>
      <c r="U631" s="4"/>
      <c r="V631" s="4"/>
      <c r="W631" s="4"/>
      <c r="X631" s="4"/>
      <c r="Y631" s="4"/>
      <c r="Z631" s="4"/>
      <c r="AA631" s="4"/>
      <c r="AB631" s="4"/>
    </row>
    <row r="632" spans="1:28" ht="12.75" hidden="1">
      <c r="A632" s="4"/>
      <c r="B632" s="4"/>
      <c r="C632" s="4"/>
      <c r="D632" s="15"/>
      <c r="E632" s="4"/>
      <c r="F632" s="4"/>
      <c r="G632" s="4"/>
      <c r="H632" s="4"/>
      <c r="I632" s="4"/>
      <c r="J632" s="4"/>
      <c r="K632" s="4"/>
      <c r="L632" s="4"/>
      <c r="M632" s="4"/>
      <c r="N632" s="4"/>
      <c r="O632" s="4"/>
      <c r="P632" s="4"/>
      <c r="Q632" s="4"/>
      <c r="R632" s="4"/>
      <c r="S632" s="4"/>
      <c r="T632" s="4"/>
      <c r="U632" s="4"/>
      <c r="V632" s="4"/>
      <c r="W632" s="4"/>
      <c r="X632" s="4"/>
      <c r="Y632" s="4"/>
      <c r="Z632" s="4"/>
      <c r="AA632" s="4"/>
      <c r="AB632" s="4"/>
    </row>
    <row r="633" spans="1:28" ht="12.75" hidden="1">
      <c r="A633" s="4"/>
      <c r="B633" s="4"/>
      <c r="C633" s="4"/>
      <c r="D633" s="15"/>
      <c r="E633" s="4"/>
      <c r="F633" s="4"/>
      <c r="G633" s="4"/>
      <c r="H633" s="4"/>
      <c r="I633" s="4"/>
      <c r="J633" s="4"/>
      <c r="K633" s="4"/>
      <c r="L633" s="4"/>
      <c r="M633" s="4"/>
      <c r="N633" s="4"/>
      <c r="O633" s="4"/>
      <c r="P633" s="4"/>
      <c r="Q633" s="4"/>
      <c r="R633" s="4"/>
      <c r="S633" s="4"/>
      <c r="T633" s="4"/>
      <c r="U633" s="4"/>
      <c r="V633" s="4"/>
      <c r="W633" s="4"/>
      <c r="X633" s="4"/>
      <c r="Y633" s="4"/>
      <c r="Z633" s="4"/>
      <c r="AA633" s="4"/>
      <c r="AB633" s="4"/>
    </row>
    <row r="634" spans="1:28" ht="12.75" hidden="1">
      <c r="A634" s="4"/>
      <c r="B634" s="4"/>
      <c r="C634" s="4"/>
      <c r="D634" s="15"/>
      <c r="E634" s="4"/>
      <c r="F634" s="4"/>
      <c r="G634" s="4"/>
      <c r="H634" s="4"/>
      <c r="I634" s="4"/>
      <c r="J634" s="4"/>
      <c r="K634" s="4"/>
      <c r="L634" s="4"/>
      <c r="M634" s="4"/>
      <c r="N634" s="4"/>
      <c r="O634" s="4"/>
      <c r="P634" s="4"/>
      <c r="Q634" s="4"/>
      <c r="R634" s="4"/>
      <c r="S634" s="4"/>
      <c r="T634" s="4"/>
      <c r="U634" s="4"/>
      <c r="V634" s="4"/>
      <c r="W634" s="4"/>
      <c r="X634" s="4"/>
      <c r="Y634" s="4"/>
      <c r="Z634" s="4"/>
      <c r="AA634" s="4"/>
      <c r="AB634" s="4"/>
    </row>
    <row r="635" spans="1:28" ht="12.75" hidden="1">
      <c r="A635" s="4"/>
      <c r="B635" s="4"/>
      <c r="C635" s="4"/>
      <c r="D635" s="15"/>
      <c r="E635" s="4"/>
      <c r="F635" s="4"/>
      <c r="G635" s="4"/>
      <c r="H635" s="4"/>
      <c r="I635" s="4"/>
      <c r="J635" s="4"/>
      <c r="K635" s="4"/>
      <c r="L635" s="4"/>
      <c r="M635" s="4"/>
      <c r="N635" s="4"/>
      <c r="O635" s="4"/>
      <c r="P635" s="4"/>
      <c r="Q635" s="4"/>
      <c r="R635" s="4"/>
      <c r="S635" s="4"/>
      <c r="T635" s="4"/>
      <c r="U635" s="4"/>
      <c r="V635" s="4"/>
      <c r="W635" s="4"/>
      <c r="X635" s="4"/>
      <c r="Y635" s="4"/>
      <c r="Z635" s="4"/>
      <c r="AA635" s="4"/>
      <c r="AB635" s="4"/>
    </row>
    <row r="636" spans="1:28" ht="12.75" hidden="1">
      <c r="A636" s="4"/>
      <c r="B636" s="4"/>
      <c r="C636" s="4"/>
      <c r="D636" s="15"/>
      <c r="E636" s="4"/>
      <c r="F636" s="4"/>
      <c r="G636" s="4"/>
      <c r="H636" s="4"/>
      <c r="I636" s="4"/>
      <c r="J636" s="4"/>
      <c r="K636" s="4"/>
      <c r="L636" s="4"/>
      <c r="M636" s="4"/>
      <c r="N636" s="4"/>
      <c r="O636" s="4"/>
      <c r="P636" s="4"/>
      <c r="Q636" s="4"/>
      <c r="R636" s="4"/>
      <c r="S636" s="4"/>
      <c r="T636" s="4"/>
      <c r="U636" s="4"/>
      <c r="V636" s="4"/>
      <c r="W636" s="4"/>
      <c r="X636" s="4"/>
      <c r="Y636" s="4"/>
      <c r="Z636" s="4"/>
      <c r="AA636" s="4"/>
      <c r="AB636" s="4"/>
    </row>
    <row r="637" spans="1:28" ht="12.75" hidden="1">
      <c r="A637" s="4"/>
      <c r="B637" s="4"/>
      <c r="C637" s="4"/>
      <c r="D637" s="15"/>
      <c r="E637" s="4"/>
      <c r="F637" s="4"/>
      <c r="G637" s="4"/>
      <c r="H637" s="4"/>
      <c r="I637" s="4"/>
      <c r="J637" s="4"/>
      <c r="K637" s="4"/>
      <c r="L637" s="4"/>
      <c r="M637" s="4"/>
      <c r="N637" s="4"/>
      <c r="O637" s="4"/>
      <c r="P637" s="4"/>
      <c r="Q637" s="4"/>
      <c r="R637" s="4"/>
      <c r="S637" s="4"/>
      <c r="T637" s="4"/>
      <c r="U637" s="4"/>
      <c r="V637" s="4"/>
      <c r="W637" s="4"/>
      <c r="X637" s="4"/>
      <c r="Y637" s="4"/>
      <c r="Z637" s="4"/>
      <c r="AA637" s="4"/>
      <c r="AB637" s="4"/>
    </row>
    <row r="638" spans="1:28" ht="12.75" hidden="1">
      <c r="A638" s="4"/>
      <c r="B638" s="4"/>
      <c r="C638" s="4"/>
      <c r="D638" s="15"/>
      <c r="E638" s="4"/>
      <c r="F638" s="4"/>
      <c r="G638" s="4"/>
      <c r="H638" s="4"/>
      <c r="I638" s="4"/>
      <c r="J638" s="4"/>
      <c r="K638" s="4"/>
      <c r="L638" s="4"/>
      <c r="M638" s="4"/>
      <c r="N638" s="4"/>
      <c r="O638" s="4"/>
      <c r="P638" s="4"/>
      <c r="Q638" s="4"/>
      <c r="R638" s="4"/>
      <c r="S638" s="4"/>
      <c r="T638" s="4"/>
      <c r="U638" s="4"/>
      <c r="V638" s="4"/>
      <c r="W638" s="4"/>
      <c r="X638" s="4"/>
      <c r="Y638" s="4"/>
      <c r="Z638" s="4"/>
      <c r="AA638" s="4"/>
      <c r="AB638" s="4"/>
    </row>
    <row r="639" spans="1:28" ht="12.75" hidden="1">
      <c r="A639" s="4"/>
      <c r="B639" s="4"/>
      <c r="C639" s="4"/>
      <c r="D639" s="15"/>
      <c r="E639" s="4"/>
      <c r="F639" s="4"/>
      <c r="G639" s="4"/>
      <c r="H639" s="4"/>
      <c r="I639" s="4"/>
      <c r="J639" s="4"/>
      <c r="K639" s="4"/>
      <c r="L639" s="4"/>
      <c r="M639" s="4"/>
      <c r="N639" s="4"/>
      <c r="O639" s="4"/>
      <c r="P639" s="4"/>
      <c r="Q639" s="4"/>
      <c r="R639" s="4"/>
      <c r="S639" s="4"/>
      <c r="T639" s="4"/>
      <c r="U639" s="4"/>
      <c r="V639" s="4"/>
      <c r="W639" s="4"/>
      <c r="X639" s="4"/>
      <c r="Y639" s="4"/>
      <c r="Z639" s="4"/>
      <c r="AA639" s="4"/>
      <c r="AB639" s="4"/>
    </row>
    <row r="640" spans="1:28" ht="12.75" hidden="1">
      <c r="A640" s="4"/>
      <c r="B640" s="4"/>
      <c r="C640" s="4"/>
      <c r="D640" s="15"/>
      <c r="E640" s="4"/>
      <c r="F640" s="4"/>
      <c r="G640" s="4"/>
      <c r="H640" s="4"/>
      <c r="I640" s="4"/>
      <c r="J640" s="4"/>
      <c r="K640" s="4"/>
      <c r="L640" s="4"/>
      <c r="M640" s="4"/>
      <c r="N640" s="4"/>
      <c r="O640" s="4"/>
      <c r="P640" s="4"/>
      <c r="Q640" s="4"/>
      <c r="R640" s="4"/>
      <c r="S640" s="4"/>
      <c r="T640" s="4"/>
      <c r="U640" s="4"/>
      <c r="V640" s="4"/>
      <c r="W640" s="4"/>
      <c r="X640" s="4"/>
      <c r="Y640" s="4"/>
      <c r="Z640" s="4"/>
      <c r="AA640" s="4"/>
      <c r="AB640" s="4"/>
    </row>
    <row r="641" spans="1:28" ht="12.75" hidden="1">
      <c r="A641" s="4"/>
      <c r="B641" s="4"/>
      <c r="C641" s="4"/>
      <c r="D641" s="15"/>
      <c r="E641" s="4"/>
      <c r="F641" s="4"/>
      <c r="G641" s="4"/>
      <c r="H641" s="4"/>
      <c r="I641" s="4"/>
      <c r="J641" s="4"/>
      <c r="K641" s="4"/>
      <c r="L641" s="4"/>
      <c r="M641" s="4"/>
      <c r="N641" s="4"/>
      <c r="O641" s="4"/>
      <c r="P641" s="4"/>
      <c r="Q641" s="4"/>
      <c r="R641" s="4"/>
      <c r="S641" s="4"/>
      <c r="T641" s="4"/>
      <c r="U641" s="4"/>
      <c r="V641" s="4"/>
      <c r="W641" s="4"/>
      <c r="X641" s="4"/>
      <c r="Y641" s="4"/>
      <c r="Z641" s="4"/>
      <c r="AA641" s="4"/>
      <c r="AB641" s="4"/>
    </row>
    <row r="642" spans="1:28" ht="12.75" hidden="1">
      <c r="A642" s="4"/>
      <c r="B642" s="4"/>
      <c r="C642" s="4"/>
      <c r="D642" s="15"/>
      <c r="E642" s="4"/>
      <c r="F642" s="4"/>
      <c r="G642" s="4"/>
      <c r="H642" s="4"/>
      <c r="I642" s="4"/>
      <c r="J642" s="4"/>
      <c r="K642" s="4"/>
      <c r="L642" s="4"/>
      <c r="M642" s="4"/>
      <c r="N642" s="4"/>
      <c r="O642" s="4"/>
      <c r="P642" s="4"/>
      <c r="Q642" s="4"/>
      <c r="R642" s="4"/>
      <c r="S642" s="4"/>
      <c r="T642" s="4"/>
      <c r="U642" s="4"/>
      <c r="V642" s="4"/>
      <c r="W642" s="4"/>
      <c r="X642" s="4"/>
      <c r="Y642" s="4"/>
      <c r="Z642" s="4"/>
      <c r="AA642" s="4"/>
      <c r="AB642" s="4"/>
    </row>
    <row r="643" spans="1:28" ht="12.75" hidden="1">
      <c r="A643" s="4"/>
      <c r="B643" s="4"/>
      <c r="C643" s="4"/>
      <c r="D643" s="15"/>
      <c r="E643" s="4"/>
      <c r="F643" s="4"/>
      <c r="G643" s="4"/>
      <c r="H643" s="4"/>
      <c r="I643" s="4"/>
      <c r="J643" s="4"/>
      <c r="K643" s="4"/>
      <c r="L643" s="4"/>
      <c r="M643" s="4"/>
      <c r="N643" s="4"/>
      <c r="O643" s="4"/>
      <c r="P643" s="4"/>
      <c r="Q643" s="4"/>
      <c r="R643" s="4"/>
      <c r="S643" s="4"/>
      <c r="T643" s="4"/>
      <c r="U643" s="4"/>
      <c r="V643" s="4"/>
      <c r="W643" s="4"/>
      <c r="X643" s="4"/>
      <c r="Y643" s="4"/>
      <c r="Z643" s="4"/>
      <c r="AA643" s="4"/>
      <c r="AB643" s="4"/>
    </row>
    <row r="644" spans="1:28" ht="12.75" hidden="1">
      <c r="A644" s="4"/>
      <c r="B644" s="4"/>
      <c r="C644" s="4"/>
      <c r="D644" s="15"/>
      <c r="E644" s="4"/>
      <c r="F644" s="4"/>
      <c r="G644" s="4"/>
      <c r="H644" s="4"/>
      <c r="I644" s="4"/>
      <c r="J644" s="4"/>
      <c r="K644" s="4"/>
      <c r="L644" s="4"/>
      <c r="M644" s="4"/>
      <c r="N644" s="4"/>
      <c r="O644" s="4"/>
      <c r="P644" s="4"/>
      <c r="Q644" s="4"/>
      <c r="R644" s="4"/>
      <c r="S644" s="4"/>
      <c r="T644" s="4"/>
      <c r="U644" s="4"/>
      <c r="V644" s="4"/>
      <c r="W644" s="4"/>
      <c r="X644" s="4"/>
      <c r="Y644" s="4"/>
      <c r="Z644" s="4"/>
      <c r="AA644" s="4"/>
      <c r="AB644" s="4"/>
    </row>
    <row r="645" spans="1:28" ht="12.75" hidden="1">
      <c r="A645" s="4"/>
      <c r="B645" s="4"/>
      <c r="C645" s="4"/>
      <c r="D645" s="15"/>
      <c r="E645" s="4"/>
      <c r="F645" s="4"/>
      <c r="G645" s="4"/>
      <c r="H645" s="4"/>
      <c r="I645" s="4"/>
      <c r="J645" s="4"/>
      <c r="K645" s="4"/>
      <c r="L645" s="4"/>
      <c r="M645" s="4"/>
      <c r="N645" s="4"/>
      <c r="O645" s="4"/>
      <c r="P645" s="4"/>
      <c r="Q645" s="4"/>
      <c r="R645" s="4"/>
      <c r="S645" s="4"/>
      <c r="T645" s="4"/>
      <c r="U645" s="4"/>
      <c r="V645" s="4"/>
      <c r="W645" s="4"/>
      <c r="X645" s="4"/>
      <c r="Y645" s="4"/>
      <c r="Z645" s="4"/>
      <c r="AA645" s="4"/>
      <c r="AB645" s="4"/>
    </row>
    <row r="646" spans="1:28" ht="12.75" hidden="1">
      <c r="A646" s="4"/>
      <c r="B646" s="4"/>
      <c r="C646" s="4"/>
      <c r="D646" s="15"/>
      <c r="E646" s="4"/>
      <c r="F646" s="4"/>
      <c r="G646" s="4"/>
      <c r="H646" s="4"/>
      <c r="I646" s="4"/>
      <c r="J646" s="4"/>
      <c r="K646" s="4"/>
      <c r="L646" s="4"/>
      <c r="M646" s="4"/>
      <c r="N646" s="4"/>
      <c r="O646" s="4"/>
      <c r="P646" s="4"/>
      <c r="Q646" s="4"/>
      <c r="R646" s="4"/>
      <c r="S646" s="4"/>
      <c r="T646" s="4"/>
      <c r="U646" s="4"/>
      <c r="V646" s="4"/>
      <c r="W646" s="4"/>
      <c r="X646" s="4"/>
      <c r="Y646" s="4"/>
      <c r="Z646" s="4"/>
      <c r="AA646" s="4"/>
      <c r="AB646" s="4"/>
    </row>
    <row r="647" spans="1:28" ht="12.75" hidden="1">
      <c r="A647" s="4"/>
      <c r="B647" s="4"/>
      <c r="C647" s="4"/>
      <c r="D647" s="15"/>
      <c r="E647" s="4"/>
      <c r="F647" s="4"/>
      <c r="G647" s="4"/>
      <c r="H647" s="4"/>
      <c r="I647" s="4"/>
      <c r="J647" s="4"/>
      <c r="K647" s="4"/>
      <c r="L647" s="4"/>
      <c r="M647" s="4"/>
      <c r="N647" s="4"/>
      <c r="O647" s="4"/>
      <c r="P647" s="4"/>
      <c r="Q647" s="4"/>
      <c r="R647" s="4"/>
      <c r="S647" s="4"/>
      <c r="T647" s="4"/>
      <c r="U647" s="4"/>
      <c r="V647" s="4"/>
      <c r="W647" s="4"/>
      <c r="X647" s="4"/>
      <c r="Y647" s="4"/>
      <c r="Z647" s="4"/>
      <c r="AA647" s="4"/>
      <c r="AB647" s="4"/>
    </row>
    <row r="648" spans="1:28" ht="12.75" hidden="1">
      <c r="A648" s="4"/>
      <c r="B648" s="4"/>
      <c r="C648" s="4"/>
      <c r="D648" s="15"/>
      <c r="E648" s="4"/>
      <c r="F648" s="4"/>
      <c r="G648" s="4"/>
      <c r="H648" s="4"/>
      <c r="I648" s="4"/>
      <c r="J648" s="4"/>
      <c r="K648" s="4"/>
      <c r="L648" s="4"/>
      <c r="M648" s="4"/>
      <c r="N648" s="4"/>
      <c r="O648" s="4"/>
      <c r="P648" s="4"/>
      <c r="Q648" s="4"/>
      <c r="R648" s="4"/>
      <c r="S648" s="4"/>
      <c r="T648" s="4"/>
      <c r="U648" s="4"/>
      <c r="V648" s="4"/>
      <c r="W648" s="4"/>
      <c r="X648" s="4"/>
      <c r="Y648" s="4"/>
      <c r="Z648" s="4"/>
      <c r="AA648" s="4"/>
      <c r="AB648" s="4"/>
    </row>
    <row r="649" spans="1:28" ht="12.75" hidden="1">
      <c r="A649" s="4"/>
      <c r="B649" s="4"/>
      <c r="C649" s="4"/>
      <c r="D649" s="15"/>
      <c r="E649" s="4"/>
      <c r="F649" s="4"/>
      <c r="G649" s="4"/>
      <c r="H649" s="4"/>
      <c r="I649" s="4"/>
      <c r="J649" s="4"/>
      <c r="K649" s="4"/>
      <c r="L649" s="4"/>
      <c r="M649" s="4"/>
      <c r="N649" s="4"/>
      <c r="O649" s="4"/>
      <c r="P649" s="4"/>
      <c r="Q649" s="4"/>
      <c r="R649" s="4"/>
      <c r="S649" s="4"/>
      <c r="T649" s="4"/>
      <c r="U649" s="4"/>
      <c r="V649" s="4"/>
      <c r="W649" s="4"/>
      <c r="X649" s="4"/>
      <c r="Y649" s="4"/>
      <c r="Z649" s="4"/>
      <c r="AA649" s="4"/>
      <c r="AB649" s="4"/>
    </row>
    <row r="650" spans="1:28" ht="12.75" hidden="1">
      <c r="A650" s="4"/>
      <c r="B650" s="4"/>
      <c r="C650" s="4"/>
      <c r="D650" s="15"/>
      <c r="E650" s="4"/>
      <c r="F650" s="4"/>
      <c r="G650" s="4"/>
      <c r="H650" s="4"/>
      <c r="I650" s="4"/>
      <c r="J650" s="4"/>
      <c r="K650" s="4"/>
      <c r="L650" s="4"/>
      <c r="M650" s="4"/>
      <c r="N650" s="4"/>
      <c r="O650" s="4"/>
      <c r="P650" s="4"/>
      <c r="Q650" s="4"/>
      <c r="R650" s="4"/>
      <c r="S650" s="4"/>
      <c r="T650" s="4"/>
      <c r="U650" s="4"/>
      <c r="V650" s="4"/>
      <c r="W650" s="4"/>
      <c r="X650" s="4"/>
      <c r="Y650" s="4"/>
      <c r="Z650" s="4"/>
      <c r="AA650" s="4"/>
      <c r="AB650" s="4"/>
    </row>
    <row r="651" spans="1:28" ht="12.75" hidden="1">
      <c r="A651" s="4"/>
      <c r="B651" s="4"/>
      <c r="C651" s="4"/>
      <c r="D651" s="15"/>
      <c r="E651" s="4"/>
      <c r="F651" s="4"/>
      <c r="G651" s="4"/>
      <c r="H651" s="4"/>
      <c r="I651" s="4"/>
      <c r="J651" s="4"/>
      <c r="K651" s="4"/>
      <c r="L651" s="4"/>
      <c r="M651" s="4"/>
      <c r="N651" s="4"/>
      <c r="O651" s="4"/>
      <c r="P651" s="4"/>
      <c r="Q651" s="4"/>
      <c r="R651" s="4"/>
      <c r="S651" s="4"/>
      <c r="T651" s="4"/>
      <c r="U651" s="4"/>
      <c r="V651" s="4"/>
      <c r="W651" s="4"/>
      <c r="X651" s="4"/>
      <c r="Y651" s="4"/>
      <c r="Z651" s="4"/>
      <c r="AA651" s="4"/>
      <c r="AB651" s="4"/>
    </row>
    <row r="652" spans="1:28" ht="12.75" hidden="1">
      <c r="A652" s="4"/>
      <c r="B652" s="4"/>
      <c r="C652" s="4"/>
      <c r="D652" s="15"/>
      <c r="E652" s="4"/>
      <c r="F652" s="4"/>
      <c r="G652" s="4"/>
      <c r="H652" s="4"/>
      <c r="I652" s="4"/>
      <c r="J652" s="4"/>
      <c r="K652" s="4"/>
      <c r="L652" s="4"/>
      <c r="M652" s="4"/>
      <c r="N652" s="4"/>
      <c r="O652" s="4"/>
      <c r="P652" s="4"/>
      <c r="Q652" s="4"/>
      <c r="R652" s="4"/>
      <c r="S652" s="4"/>
      <c r="T652" s="4"/>
      <c r="U652" s="4"/>
      <c r="V652" s="4"/>
      <c r="W652" s="4"/>
      <c r="X652" s="4"/>
      <c r="Y652" s="4"/>
      <c r="Z652" s="4"/>
      <c r="AA652" s="4"/>
      <c r="AB652" s="4"/>
    </row>
    <row r="653" spans="1:28" ht="12.75" hidden="1">
      <c r="A653" s="4"/>
      <c r="B653" s="4"/>
      <c r="C653" s="4"/>
      <c r="D653" s="15"/>
      <c r="E653" s="4"/>
      <c r="F653" s="4"/>
      <c r="G653" s="4"/>
      <c r="H653" s="4"/>
      <c r="I653" s="4"/>
      <c r="J653" s="4"/>
      <c r="K653" s="4"/>
      <c r="L653" s="4"/>
      <c r="M653" s="4"/>
      <c r="N653" s="4"/>
      <c r="O653" s="4"/>
      <c r="P653" s="4"/>
      <c r="Q653" s="4"/>
      <c r="R653" s="4"/>
      <c r="S653" s="4"/>
      <c r="T653" s="4"/>
      <c r="U653" s="4"/>
      <c r="V653" s="4"/>
      <c r="W653" s="4"/>
      <c r="X653" s="4"/>
      <c r="Y653" s="4"/>
      <c r="Z653" s="4"/>
      <c r="AA653" s="4"/>
      <c r="AB653" s="4"/>
    </row>
    <row r="654" spans="1:28" ht="12.75" hidden="1">
      <c r="A654" s="4"/>
      <c r="B654" s="4"/>
      <c r="C654" s="4"/>
      <c r="D654" s="15"/>
      <c r="E654" s="4"/>
      <c r="F654" s="4"/>
      <c r="G654" s="4"/>
      <c r="H654" s="4"/>
      <c r="I654" s="4"/>
      <c r="J654" s="4"/>
      <c r="K654" s="4"/>
      <c r="L654" s="4"/>
      <c r="M654" s="4"/>
      <c r="N654" s="4"/>
      <c r="O654" s="4"/>
      <c r="P654" s="4"/>
      <c r="Q654" s="4"/>
      <c r="R654" s="4"/>
      <c r="S654" s="4"/>
      <c r="T654" s="4"/>
      <c r="U654" s="4"/>
      <c r="V654" s="4"/>
      <c r="W654" s="4"/>
      <c r="X654" s="4"/>
      <c r="Y654" s="4"/>
      <c r="Z654" s="4"/>
      <c r="AA654" s="4"/>
      <c r="AB654" s="4"/>
    </row>
    <row r="655" spans="1:28" ht="12.75" hidden="1">
      <c r="A655" s="4"/>
      <c r="B655" s="4"/>
      <c r="C655" s="4"/>
      <c r="D655" s="15"/>
      <c r="E655" s="4"/>
      <c r="F655" s="4"/>
      <c r="G655" s="4"/>
      <c r="H655" s="4"/>
      <c r="I655" s="4"/>
      <c r="J655" s="4"/>
      <c r="K655" s="4"/>
      <c r="L655" s="4"/>
      <c r="M655" s="4"/>
      <c r="N655" s="4"/>
      <c r="O655" s="4"/>
      <c r="P655" s="4"/>
      <c r="Q655" s="4"/>
      <c r="R655" s="4"/>
      <c r="S655" s="4"/>
      <c r="T655" s="4"/>
      <c r="U655" s="4"/>
      <c r="V655" s="4"/>
      <c r="W655" s="4"/>
      <c r="X655" s="4"/>
      <c r="Y655" s="4"/>
      <c r="Z655" s="4"/>
      <c r="AA655" s="4"/>
      <c r="AB655" s="4"/>
    </row>
    <row r="656" spans="1:28" ht="12.75" hidden="1">
      <c r="A656" s="4"/>
      <c r="B656" s="4"/>
      <c r="C656" s="4"/>
      <c r="D656" s="15"/>
      <c r="E656" s="4"/>
      <c r="F656" s="4"/>
      <c r="G656" s="4"/>
      <c r="H656" s="4"/>
      <c r="I656" s="4"/>
      <c r="J656" s="4"/>
      <c r="K656" s="4"/>
      <c r="L656" s="4"/>
      <c r="M656" s="4"/>
      <c r="N656" s="4"/>
      <c r="O656" s="4"/>
      <c r="P656" s="4"/>
      <c r="Q656" s="4"/>
      <c r="R656" s="4"/>
      <c r="S656" s="4"/>
      <c r="T656" s="4"/>
      <c r="U656" s="4"/>
      <c r="V656" s="4"/>
      <c r="W656" s="4"/>
      <c r="X656" s="4"/>
      <c r="Y656" s="4"/>
      <c r="Z656" s="4"/>
      <c r="AA656" s="4"/>
      <c r="AB656" s="4"/>
    </row>
    <row r="657" spans="1:28" ht="12.75" hidden="1">
      <c r="A657" s="4"/>
      <c r="B657" s="4"/>
      <c r="C657" s="4"/>
      <c r="D657" s="15"/>
      <c r="E657" s="4"/>
      <c r="F657" s="4"/>
      <c r="G657" s="4"/>
      <c r="H657" s="4"/>
      <c r="I657" s="4"/>
      <c r="J657" s="4"/>
      <c r="K657" s="4"/>
      <c r="L657" s="4"/>
      <c r="M657" s="4"/>
      <c r="N657" s="4"/>
      <c r="O657" s="4"/>
      <c r="P657" s="4"/>
      <c r="Q657" s="4"/>
      <c r="R657" s="4"/>
      <c r="S657" s="4"/>
      <c r="T657" s="4"/>
      <c r="U657" s="4"/>
      <c r="V657" s="4"/>
      <c r="W657" s="4"/>
      <c r="X657" s="4"/>
      <c r="Y657" s="4"/>
      <c r="Z657" s="4"/>
      <c r="AA657" s="4"/>
      <c r="AB657" s="4"/>
    </row>
    <row r="658" spans="1:28" ht="12.75" hidden="1">
      <c r="A658" s="4"/>
      <c r="B658" s="4"/>
      <c r="C658" s="4"/>
      <c r="D658" s="15"/>
      <c r="E658" s="4"/>
      <c r="F658" s="4"/>
      <c r="G658" s="4"/>
      <c r="H658" s="4"/>
      <c r="I658" s="4"/>
      <c r="J658" s="4"/>
      <c r="K658" s="4"/>
      <c r="L658" s="4"/>
      <c r="M658" s="4"/>
      <c r="N658" s="4"/>
      <c r="O658" s="4"/>
      <c r="P658" s="4"/>
      <c r="Q658" s="4"/>
      <c r="R658" s="4"/>
      <c r="S658" s="4"/>
      <c r="T658" s="4"/>
      <c r="U658" s="4"/>
      <c r="V658" s="4"/>
      <c r="W658" s="4"/>
      <c r="X658" s="4"/>
      <c r="Y658" s="4"/>
      <c r="Z658" s="4"/>
      <c r="AA658" s="4"/>
      <c r="AB658" s="4"/>
    </row>
    <row r="659" spans="1:28" ht="12.75" hidden="1">
      <c r="A659" s="4"/>
      <c r="B659" s="4"/>
      <c r="C659" s="4"/>
      <c r="D659" s="15"/>
      <c r="E659" s="4"/>
      <c r="F659" s="4"/>
      <c r="G659" s="4"/>
      <c r="H659" s="4"/>
      <c r="I659" s="4"/>
      <c r="J659" s="4"/>
      <c r="K659" s="4"/>
      <c r="L659" s="4"/>
      <c r="M659" s="4"/>
      <c r="N659" s="4"/>
      <c r="O659" s="4"/>
      <c r="P659" s="4"/>
      <c r="Q659" s="4"/>
      <c r="R659" s="4"/>
      <c r="S659" s="4"/>
      <c r="T659" s="4"/>
      <c r="U659" s="4"/>
      <c r="V659" s="4"/>
      <c r="W659" s="4"/>
      <c r="X659" s="4"/>
      <c r="Y659" s="4"/>
      <c r="Z659" s="4"/>
      <c r="AA659" s="4"/>
      <c r="AB659" s="4"/>
    </row>
    <row r="660" spans="1:28" ht="12.75" hidden="1">
      <c r="A660" s="4"/>
      <c r="B660" s="4"/>
      <c r="C660" s="4"/>
      <c r="D660" s="15"/>
      <c r="E660" s="4"/>
      <c r="F660" s="4"/>
      <c r="G660" s="4"/>
      <c r="H660" s="4"/>
      <c r="I660" s="4"/>
      <c r="J660" s="4"/>
      <c r="K660" s="4"/>
      <c r="L660" s="4"/>
      <c r="M660" s="4"/>
      <c r="N660" s="4"/>
      <c r="O660" s="4"/>
      <c r="P660" s="4"/>
      <c r="Q660" s="4"/>
      <c r="R660" s="4"/>
      <c r="S660" s="4"/>
      <c r="T660" s="4"/>
      <c r="U660" s="4"/>
      <c r="V660" s="4"/>
      <c r="W660" s="4"/>
      <c r="X660" s="4"/>
      <c r="Y660" s="4"/>
      <c r="Z660" s="4"/>
      <c r="AA660" s="4"/>
      <c r="AB660" s="4"/>
    </row>
    <row r="661" spans="1:28" ht="12.75" hidden="1">
      <c r="A661" s="4"/>
      <c r="B661" s="4"/>
      <c r="C661" s="4"/>
      <c r="D661" s="15"/>
      <c r="E661" s="4"/>
      <c r="F661" s="4"/>
      <c r="G661" s="4"/>
      <c r="H661" s="4"/>
      <c r="I661" s="4"/>
      <c r="J661" s="4"/>
      <c r="K661" s="4"/>
      <c r="L661" s="4"/>
      <c r="M661" s="4"/>
      <c r="N661" s="4"/>
      <c r="O661" s="4"/>
      <c r="P661" s="4"/>
      <c r="Q661" s="4"/>
      <c r="R661" s="4"/>
      <c r="S661" s="4"/>
      <c r="T661" s="4"/>
      <c r="U661" s="4"/>
      <c r="V661" s="4"/>
      <c r="W661" s="4"/>
      <c r="X661" s="4"/>
      <c r="Y661" s="4"/>
      <c r="Z661" s="4"/>
      <c r="AA661" s="4"/>
      <c r="AB661" s="4"/>
    </row>
    <row r="662" spans="1:28" ht="12.75" hidden="1">
      <c r="A662" s="4"/>
      <c r="B662" s="4"/>
      <c r="C662" s="4"/>
      <c r="D662" s="15"/>
      <c r="E662" s="4"/>
      <c r="F662" s="4"/>
      <c r="G662" s="4"/>
      <c r="H662" s="4"/>
      <c r="I662" s="4"/>
      <c r="J662" s="4"/>
      <c r="K662" s="4"/>
      <c r="L662" s="4"/>
      <c r="M662" s="4"/>
      <c r="N662" s="4"/>
      <c r="O662" s="4"/>
      <c r="P662" s="4"/>
      <c r="Q662" s="4"/>
      <c r="R662" s="4"/>
      <c r="S662" s="4"/>
      <c r="T662" s="4"/>
      <c r="U662" s="4"/>
      <c r="V662" s="4"/>
      <c r="W662" s="4"/>
      <c r="X662" s="4"/>
      <c r="Y662" s="4"/>
      <c r="Z662" s="4"/>
      <c r="AA662" s="4"/>
      <c r="AB662" s="4"/>
    </row>
    <row r="663" spans="1:28" ht="12.75" hidden="1">
      <c r="A663" s="4"/>
      <c r="B663" s="4"/>
      <c r="C663" s="4"/>
      <c r="D663" s="15"/>
      <c r="E663" s="4"/>
      <c r="F663" s="4"/>
      <c r="G663" s="4"/>
      <c r="H663" s="4"/>
      <c r="I663" s="4"/>
      <c r="J663" s="4"/>
      <c r="K663" s="4"/>
      <c r="L663" s="4"/>
      <c r="M663" s="4"/>
      <c r="N663" s="4"/>
      <c r="O663" s="4"/>
      <c r="P663" s="4"/>
      <c r="Q663" s="4"/>
      <c r="R663" s="4"/>
      <c r="S663" s="4"/>
      <c r="T663" s="4"/>
      <c r="U663" s="4"/>
      <c r="V663" s="4"/>
      <c r="W663" s="4"/>
      <c r="X663" s="4"/>
      <c r="Y663" s="4"/>
      <c r="Z663" s="4"/>
      <c r="AA663" s="4"/>
      <c r="AB663" s="4"/>
    </row>
    <row r="664" spans="1:28" ht="12.75" hidden="1">
      <c r="A664" s="4"/>
      <c r="B664" s="4"/>
      <c r="C664" s="4"/>
      <c r="D664" s="15"/>
      <c r="E664" s="4"/>
      <c r="F664" s="4"/>
      <c r="G664" s="4"/>
      <c r="H664" s="4"/>
      <c r="I664" s="4"/>
      <c r="J664" s="4"/>
      <c r="K664" s="4"/>
      <c r="L664" s="4"/>
      <c r="M664" s="4"/>
      <c r="N664" s="4"/>
      <c r="O664" s="4"/>
      <c r="P664" s="4"/>
      <c r="Q664" s="4"/>
      <c r="R664" s="4"/>
      <c r="S664" s="4"/>
      <c r="T664" s="4"/>
      <c r="U664" s="4"/>
      <c r="V664" s="4"/>
      <c r="W664" s="4"/>
      <c r="X664" s="4"/>
      <c r="Y664" s="4"/>
      <c r="Z664" s="4"/>
      <c r="AA664" s="4"/>
      <c r="AB664" s="4"/>
    </row>
    <row r="665" spans="1:28" ht="12.75" hidden="1">
      <c r="A665" s="4"/>
      <c r="B665" s="4"/>
      <c r="C665" s="4"/>
      <c r="D665" s="15"/>
      <c r="E665" s="4"/>
      <c r="F665" s="4"/>
      <c r="G665" s="4"/>
      <c r="H665" s="4"/>
      <c r="I665" s="4"/>
      <c r="J665" s="4"/>
      <c r="K665" s="4"/>
      <c r="L665" s="4"/>
      <c r="M665" s="4"/>
      <c r="N665" s="4"/>
      <c r="O665" s="4"/>
      <c r="P665" s="4"/>
      <c r="Q665" s="4"/>
      <c r="R665" s="4"/>
      <c r="S665" s="4"/>
      <c r="T665" s="4"/>
      <c r="U665" s="4"/>
      <c r="V665" s="4"/>
      <c r="W665" s="4"/>
      <c r="X665" s="4"/>
      <c r="Y665" s="4"/>
      <c r="Z665" s="4"/>
      <c r="AA665" s="4"/>
      <c r="AB665" s="4"/>
    </row>
    <row r="666" spans="1:28" ht="12.75" hidden="1">
      <c r="A666" s="4"/>
      <c r="B666" s="4"/>
      <c r="C666" s="4"/>
      <c r="D666" s="15"/>
      <c r="E666" s="4"/>
      <c r="F666" s="4"/>
      <c r="G666" s="4"/>
      <c r="H666" s="4"/>
      <c r="I666" s="4"/>
      <c r="J666" s="4"/>
      <c r="K666" s="4"/>
      <c r="L666" s="4"/>
      <c r="M666" s="4"/>
      <c r="N666" s="4"/>
      <c r="O666" s="4"/>
      <c r="P666" s="4"/>
      <c r="Q666" s="4"/>
      <c r="R666" s="4"/>
      <c r="S666" s="4"/>
      <c r="T666" s="4"/>
      <c r="U666" s="4"/>
      <c r="V666" s="4"/>
      <c r="W666" s="4"/>
      <c r="X666" s="4"/>
      <c r="Y666" s="4"/>
      <c r="Z666" s="4"/>
      <c r="AA666" s="4"/>
      <c r="AB666" s="4"/>
    </row>
    <row r="667" spans="1:28" ht="12.75" hidden="1">
      <c r="A667" s="4"/>
      <c r="B667" s="4"/>
      <c r="C667" s="4"/>
      <c r="D667" s="15"/>
      <c r="E667" s="4"/>
      <c r="F667" s="4"/>
      <c r="G667" s="4"/>
      <c r="H667" s="4"/>
      <c r="I667" s="4"/>
      <c r="J667" s="4"/>
      <c r="K667" s="4"/>
      <c r="L667" s="4"/>
      <c r="M667" s="4"/>
      <c r="N667" s="4"/>
      <c r="O667" s="4"/>
      <c r="P667" s="4"/>
      <c r="Q667" s="4"/>
      <c r="R667" s="4"/>
      <c r="S667" s="4"/>
      <c r="T667" s="4"/>
      <c r="U667" s="4"/>
      <c r="V667" s="4"/>
      <c r="W667" s="4"/>
      <c r="X667" s="4"/>
      <c r="Y667" s="4"/>
      <c r="Z667" s="4"/>
      <c r="AA667" s="4"/>
      <c r="AB667" s="4"/>
    </row>
    <row r="668" spans="1:28" ht="12.75" hidden="1">
      <c r="A668" s="4"/>
      <c r="B668" s="4"/>
      <c r="C668" s="4"/>
      <c r="D668" s="15"/>
      <c r="E668" s="4"/>
      <c r="F668" s="4"/>
      <c r="G668" s="4"/>
      <c r="H668" s="4"/>
      <c r="I668" s="4"/>
      <c r="J668" s="4"/>
      <c r="K668" s="4"/>
      <c r="L668" s="4"/>
      <c r="M668" s="4"/>
      <c r="N668" s="4"/>
      <c r="O668" s="4"/>
      <c r="P668" s="4"/>
      <c r="Q668" s="4"/>
      <c r="R668" s="4"/>
      <c r="S668" s="4"/>
      <c r="T668" s="4"/>
      <c r="U668" s="4"/>
      <c r="V668" s="4"/>
      <c r="W668" s="4"/>
      <c r="X668" s="4"/>
      <c r="Y668" s="4"/>
      <c r="Z668" s="4"/>
      <c r="AA668" s="4"/>
      <c r="AB668" s="4"/>
    </row>
    <row r="669" spans="1:28" ht="12.75" hidden="1">
      <c r="A669" s="4"/>
      <c r="B669" s="4"/>
      <c r="C669" s="4"/>
      <c r="D669" s="15"/>
      <c r="E669" s="4"/>
      <c r="F669" s="4"/>
      <c r="G669" s="4"/>
      <c r="H669" s="4"/>
      <c r="I669" s="4"/>
      <c r="J669" s="4"/>
      <c r="K669" s="4"/>
      <c r="L669" s="4"/>
      <c r="M669" s="4"/>
      <c r="N669" s="4"/>
      <c r="O669" s="4"/>
      <c r="P669" s="4"/>
      <c r="Q669" s="4"/>
      <c r="R669" s="4"/>
      <c r="S669" s="4"/>
      <c r="T669" s="4"/>
      <c r="U669" s="4"/>
      <c r="V669" s="4"/>
      <c r="W669" s="4"/>
      <c r="X669" s="4"/>
      <c r="Y669" s="4"/>
      <c r="Z669" s="4"/>
      <c r="AA669" s="4"/>
      <c r="AB669" s="4"/>
    </row>
    <row r="670" spans="1:28" ht="12.75" hidden="1">
      <c r="A670" s="4"/>
      <c r="B670" s="4"/>
      <c r="C670" s="4"/>
      <c r="D670" s="15"/>
      <c r="E670" s="4"/>
      <c r="F670" s="4"/>
      <c r="G670" s="4"/>
      <c r="H670" s="4"/>
      <c r="I670" s="4"/>
      <c r="J670" s="4"/>
      <c r="K670" s="4"/>
      <c r="L670" s="4"/>
      <c r="M670" s="4"/>
      <c r="N670" s="4"/>
      <c r="O670" s="4"/>
      <c r="P670" s="4"/>
      <c r="Q670" s="4"/>
      <c r="R670" s="4"/>
      <c r="S670" s="4"/>
      <c r="T670" s="4"/>
      <c r="U670" s="4"/>
      <c r="V670" s="4"/>
      <c r="W670" s="4"/>
      <c r="X670" s="4"/>
      <c r="Y670" s="4"/>
      <c r="Z670" s="4"/>
      <c r="AA670" s="4"/>
      <c r="AB670" s="4"/>
    </row>
    <row r="671" spans="1:28" ht="12.75" hidden="1">
      <c r="A671" s="4"/>
      <c r="B671" s="4"/>
      <c r="C671" s="4"/>
      <c r="D671" s="15"/>
      <c r="E671" s="4"/>
      <c r="F671" s="4"/>
      <c r="G671" s="4"/>
      <c r="H671" s="4"/>
      <c r="I671" s="4"/>
      <c r="J671" s="4"/>
      <c r="K671" s="4"/>
      <c r="L671" s="4"/>
      <c r="M671" s="4"/>
      <c r="N671" s="4"/>
      <c r="O671" s="4"/>
      <c r="P671" s="4"/>
      <c r="Q671" s="4"/>
      <c r="R671" s="4"/>
      <c r="S671" s="4"/>
      <c r="T671" s="4"/>
      <c r="U671" s="4"/>
      <c r="V671" s="4"/>
      <c r="W671" s="4"/>
      <c r="X671" s="4"/>
      <c r="Y671" s="4"/>
      <c r="Z671" s="4"/>
      <c r="AA671" s="4"/>
      <c r="AB671" s="4"/>
    </row>
    <row r="672" spans="1:28" ht="12.75" hidden="1">
      <c r="A672" s="4"/>
      <c r="B672" s="4"/>
      <c r="C672" s="4"/>
      <c r="D672" s="15"/>
      <c r="E672" s="4"/>
      <c r="F672" s="4"/>
      <c r="G672" s="4"/>
      <c r="H672" s="4"/>
      <c r="I672" s="4"/>
      <c r="J672" s="4"/>
      <c r="K672" s="4"/>
      <c r="L672" s="4"/>
      <c r="M672" s="4"/>
      <c r="N672" s="4"/>
      <c r="O672" s="4"/>
      <c r="P672" s="4"/>
      <c r="Q672" s="4"/>
      <c r="R672" s="4"/>
      <c r="S672" s="4"/>
      <c r="T672" s="4"/>
      <c r="U672" s="4"/>
      <c r="V672" s="4"/>
      <c r="W672" s="4"/>
      <c r="X672" s="4"/>
      <c r="Y672" s="4"/>
      <c r="Z672" s="4"/>
      <c r="AA672" s="4"/>
      <c r="AB672" s="4"/>
    </row>
    <row r="673" spans="1:28" ht="12.75" hidden="1">
      <c r="A673" s="4"/>
      <c r="B673" s="4"/>
      <c r="C673" s="4"/>
      <c r="D673" s="15"/>
      <c r="E673" s="4"/>
      <c r="F673" s="4"/>
      <c r="G673" s="4"/>
      <c r="H673" s="4"/>
      <c r="I673" s="4"/>
      <c r="J673" s="4"/>
      <c r="K673" s="4"/>
      <c r="L673" s="4"/>
      <c r="M673" s="4"/>
      <c r="N673" s="4"/>
      <c r="O673" s="4"/>
      <c r="P673" s="4"/>
      <c r="Q673" s="4"/>
      <c r="R673" s="4"/>
      <c r="S673" s="4"/>
      <c r="T673" s="4"/>
      <c r="U673" s="4"/>
      <c r="V673" s="4"/>
      <c r="W673" s="4"/>
      <c r="X673" s="4"/>
      <c r="Y673" s="4"/>
      <c r="Z673" s="4"/>
      <c r="AA673" s="4"/>
      <c r="AB673" s="4"/>
    </row>
    <row r="674" spans="1:28" ht="12.75" hidden="1">
      <c r="A674" s="4"/>
      <c r="B674" s="4"/>
      <c r="C674" s="4"/>
      <c r="D674" s="15"/>
      <c r="E674" s="4"/>
      <c r="F674" s="4"/>
      <c r="G674" s="4"/>
      <c r="H674" s="4"/>
      <c r="I674" s="4"/>
      <c r="J674" s="4"/>
      <c r="K674" s="4"/>
      <c r="L674" s="4"/>
      <c r="M674" s="4"/>
      <c r="N674" s="4"/>
      <c r="O674" s="4"/>
      <c r="P674" s="4"/>
      <c r="Q674" s="4"/>
      <c r="R674" s="4"/>
      <c r="S674" s="4"/>
      <c r="T674" s="4"/>
      <c r="U674" s="4"/>
      <c r="V674" s="4"/>
      <c r="W674" s="4"/>
      <c r="X674" s="4"/>
      <c r="Y674" s="4"/>
      <c r="Z674" s="4"/>
      <c r="AA674" s="4"/>
      <c r="AB674" s="4"/>
    </row>
    <row r="675" spans="1:28" ht="12.75" hidden="1">
      <c r="A675" s="4"/>
      <c r="B675" s="4"/>
      <c r="C675" s="4"/>
      <c r="D675" s="15"/>
      <c r="E675" s="4"/>
      <c r="F675" s="4"/>
      <c r="G675" s="4"/>
      <c r="H675" s="4"/>
      <c r="I675" s="4"/>
      <c r="J675" s="4"/>
      <c r="K675" s="4"/>
      <c r="L675" s="4"/>
      <c r="M675" s="4"/>
      <c r="N675" s="4"/>
      <c r="O675" s="4"/>
      <c r="P675" s="4"/>
      <c r="Q675" s="4"/>
      <c r="R675" s="4"/>
      <c r="S675" s="4"/>
      <c r="T675" s="4"/>
      <c r="U675" s="4"/>
      <c r="V675" s="4"/>
      <c r="W675" s="4"/>
      <c r="X675" s="4"/>
      <c r="Y675" s="4"/>
      <c r="Z675" s="4"/>
      <c r="AA675" s="4"/>
      <c r="AB675" s="4"/>
    </row>
    <row r="676" spans="1:28" ht="12.75" hidden="1">
      <c r="A676" s="4"/>
      <c r="B676" s="4"/>
      <c r="C676" s="4"/>
      <c r="D676" s="15"/>
      <c r="E676" s="4"/>
      <c r="F676" s="4"/>
      <c r="G676" s="4"/>
      <c r="H676" s="4"/>
      <c r="I676" s="4"/>
      <c r="J676" s="4"/>
      <c r="K676" s="4"/>
      <c r="L676" s="4"/>
      <c r="M676" s="4"/>
      <c r="N676" s="4"/>
      <c r="O676" s="4"/>
      <c r="P676" s="4"/>
      <c r="Q676" s="4"/>
      <c r="R676" s="4"/>
      <c r="S676" s="4"/>
      <c r="T676" s="4"/>
      <c r="U676" s="4"/>
      <c r="V676" s="4"/>
      <c r="W676" s="4"/>
      <c r="X676" s="4"/>
      <c r="Y676" s="4"/>
      <c r="Z676" s="4"/>
      <c r="AA676" s="4"/>
      <c r="AB676" s="4"/>
    </row>
    <row r="677" spans="1:28" ht="12.75" hidden="1">
      <c r="A677" s="4"/>
      <c r="B677" s="4"/>
      <c r="C677" s="4"/>
      <c r="D677" s="15"/>
      <c r="E677" s="4"/>
      <c r="F677" s="4"/>
      <c r="G677" s="4"/>
      <c r="H677" s="4"/>
      <c r="I677" s="4"/>
      <c r="J677" s="4"/>
      <c r="K677" s="4"/>
      <c r="L677" s="4"/>
      <c r="M677" s="4"/>
      <c r="N677" s="4"/>
      <c r="O677" s="4"/>
      <c r="P677" s="4"/>
      <c r="Q677" s="4"/>
      <c r="R677" s="4"/>
      <c r="S677" s="4"/>
      <c r="T677" s="4"/>
      <c r="U677" s="4"/>
      <c r="V677" s="4"/>
      <c r="W677" s="4"/>
      <c r="X677" s="4"/>
      <c r="Y677" s="4"/>
      <c r="Z677" s="4"/>
      <c r="AA677" s="4"/>
      <c r="AB677" s="4"/>
    </row>
    <row r="678" spans="1:28" ht="12.75" hidden="1">
      <c r="A678" s="4"/>
      <c r="B678" s="4"/>
      <c r="C678" s="4"/>
      <c r="D678" s="15"/>
      <c r="E678" s="4"/>
      <c r="F678" s="4"/>
      <c r="G678" s="4"/>
      <c r="H678" s="4"/>
      <c r="I678" s="4"/>
      <c r="J678" s="4"/>
      <c r="K678" s="4"/>
      <c r="L678" s="4"/>
      <c r="M678" s="4"/>
      <c r="N678" s="4"/>
      <c r="O678" s="4"/>
      <c r="P678" s="4"/>
      <c r="Q678" s="4"/>
      <c r="R678" s="4"/>
      <c r="S678" s="4"/>
      <c r="T678" s="4"/>
      <c r="U678" s="4"/>
      <c r="V678" s="4"/>
      <c r="W678" s="4"/>
      <c r="X678" s="4"/>
      <c r="Y678" s="4"/>
      <c r="Z678" s="4"/>
      <c r="AA678" s="4"/>
      <c r="AB678" s="4"/>
    </row>
    <row r="679" spans="1:28" ht="12.75" hidden="1">
      <c r="A679" s="4"/>
      <c r="B679" s="4"/>
      <c r="C679" s="4"/>
      <c r="D679" s="15"/>
      <c r="E679" s="4"/>
      <c r="F679" s="4"/>
      <c r="G679" s="4"/>
      <c r="H679" s="4"/>
      <c r="I679" s="4"/>
      <c r="J679" s="4"/>
      <c r="K679" s="4"/>
      <c r="L679" s="4"/>
      <c r="M679" s="4"/>
      <c r="N679" s="4"/>
      <c r="O679" s="4"/>
      <c r="P679" s="4"/>
      <c r="Q679" s="4"/>
      <c r="R679" s="4"/>
      <c r="S679" s="4"/>
      <c r="T679" s="4"/>
      <c r="U679" s="4"/>
      <c r="V679" s="4"/>
      <c r="W679" s="4"/>
      <c r="X679" s="4"/>
      <c r="Y679" s="4"/>
      <c r="Z679" s="4"/>
      <c r="AA679" s="4"/>
      <c r="AB679" s="4"/>
    </row>
    <row r="680" spans="1:28" ht="12.75" hidden="1">
      <c r="A680" s="4"/>
      <c r="B680" s="4"/>
      <c r="C680" s="4"/>
      <c r="D680" s="15"/>
      <c r="E680" s="4"/>
      <c r="F680" s="4"/>
      <c r="G680" s="4"/>
      <c r="H680" s="4"/>
      <c r="I680" s="4"/>
      <c r="J680" s="4"/>
      <c r="K680" s="4"/>
      <c r="L680" s="4"/>
      <c r="M680" s="4"/>
      <c r="N680" s="4"/>
      <c r="O680" s="4"/>
      <c r="P680" s="4"/>
      <c r="Q680" s="4"/>
      <c r="R680" s="4"/>
      <c r="S680" s="4"/>
      <c r="T680" s="4"/>
      <c r="U680" s="4"/>
      <c r="V680" s="4"/>
      <c r="W680" s="4"/>
      <c r="X680" s="4"/>
      <c r="Y680" s="4"/>
      <c r="Z680" s="4"/>
      <c r="AA680" s="4"/>
      <c r="AB680" s="4"/>
    </row>
    <row r="681" spans="1:28" ht="12.75" hidden="1">
      <c r="A681" s="4"/>
      <c r="B681" s="4"/>
      <c r="C681" s="4"/>
      <c r="D681" s="15"/>
      <c r="E681" s="4"/>
      <c r="F681" s="4"/>
      <c r="G681" s="4"/>
      <c r="H681" s="4"/>
      <c r="I681" s="4"/>
      <c r="J681" s="4"/>
      <c r="K681" s="4"/>
      <c r="L681" s="4"/>
      <c r="M681" s="4"/>
      <c r="N681" s="4"/>
      <c r="O681" s="4"/>
      <c r="P681" s="4"/>
      <c r="Q681" s="4"/>
      <c r="R681" s="4"/>
      <c r="S681" s="4"/>
      <c r="T681" s="4"/>
      <c r="U681" s="4"/>
      <c r="V681" s="4"/>
      <c r="W681" s="4"/>
      <c r="X681" s="4"/>
      <c r="Y681" s="4"/>
      <c r="Z681" s="4"/>
      <c r="AA681" s="4"/>
      <c r="AB681" s="4"/>
    </row>
    <row r="682" spans="1:28" ht="12.75" hidden="1">
      <c r="A682" s="4"/>
      <c r="B682" s="4"/>
      <c r="C682" s="4"/>
      <c r="D682" s="15"/>
      <c r="E682" s="4"/>
      <c r="F682" s="4"/>
      <c r="G682" s="4"/>
      <c r="H682" s="4"/>
      <c r="I682" s="4"/>
      <c r="J682" s="4"/>
      <c r="K682" s="4"/>
      <c r="L682" s="4"/>
      <c r="M682" s="4"/>
      <c r="N682" s="4"/>
      <c r="O682" s="4"/>
      <c r="P682" s="4"/>
      <c r="Q682" s="4"/>
      <c r="R682" s="4"/>
      <c r="S682" s="4"/>
      <c r="T682" s="4"/>
      <c r="U682" s="4"/>
      <c r="V682" s="4"/>
      <c r="W682" s="4"/>
      <c r="X682" s="4"/>
      <c r="Y682" s="4"/>
      <c r="Z682" s="4"/>
      <c r="AA682" s="4"/>
      <c r="AB682" s="4"/>
    </row>
    <row r="683" spans="1:28" ht="12.75" hidden="1">
      <c r="A683" s="4"/>
      <c r="B683" s="4"/>
      <c r="C683" s="4"/>
      <c r="D683" s="15"/>
      <c r="E683" s="4"/>
      <c r="F683" s="4"/>
      <c r="G683" s="4"/>
      <c r="H683" s="4"/>
      <c r="I683" s="4"/>
      <c r="J683" s="4"/>
      <c r="K683" s="4"/>
      <c r="L683" s="4"/>
      <c r="M683" s="4"/>
      <c r="N683" s="4"/>
      <c r="O683" s="4"/>
      <c r="P683" s="4"/>
      <c r="Q683" s="4"/>
      <c r="R683" s="4"/>
      <c r="S683" s="4"/>
      <c r="T683" s="4"/>
      <c r="U683" s="4"/>
      <c r="V683" s="4"/>
      <c r="W683" s="4"/>
      <c r="X683" s="4"/>
      <c r="Y683" s="4"/>
      <c r="Z683" s="4"/>
      <c r="AA683" s="4"/>
      <c r="AB683" s="4"/>
    </row>
    <row r="684" spans="1:28" ht="12.75" hidden="1">
      <c r="A684" s="4"/>
      <c r="B684" s="4"/>
      <c r="C684" s="4"/>
      <c r="D684" s="15"/>
      <c r="E684" s="4"/>
      <c r="F684" s="4"/>
      <c r="G684" s="4"/>
      <c r="H684" s="4"/>
      <c r="I684" s="4"/>
      <c r="J684" s="4"/>
      <c r="K684" s="4"/>
      <c r="L684" s="4"/>
      <c r="M684" s="4"/>
      <c r="N684" s="4"/>
      <c r="O684" s="4"/>
      <c r="P684" s="4"/>
      <c r="Q684" s="4"/>
      <c r="R684" s="4"/>
      <c r="S684" s="4"/>
      <c r="T684" s="4"/>
      <c r="U684" s="4"/>
      <c r="V684" s="4"/>
      <c r="W684" s="4"/>
      <c r="X684" s="4"/>
      <c r="Y684" s="4"/>
      <c r="Z684" s="4"/>
      <c r="AA684" s="4"/>
      <c r="AB684" s="4"/>
    </row>
    <row r="685" spans="1:28" ht="12.75" hidden="1">
      <c r="A685" s="4"/>
      <c r="B685" s="4"/>
      <c r="C685" s="4"/>
      <c r="D685" s="15"/>
      <c r="E685" s="4"/>
      <c r="F685" s="4"/>
      <c r="G685" s="4"/>
      <c r="H685" s="4"/>
      <c r="I685" s="4"/>
      <c r="J685" s="4"/>
      <c r="K685" s="4"/>
      <c r="L685" s="4"/>
      <c r="M685" s="4"/>
      <c r="N685" s="4"/>
      <c r="O685" s="4"/>
      <c r="P685" s="4"/>
      <c r="Q685" s="4"/>
      <c r="R685" s="4"/>
      <c r="S685" s="4"/>
      <c r="T685" s="4"/>
      <c r="U685" s="4"/>
      <c r="V685" s="4"/>
      <c r="W685" s="4"/>
      <c r="X685" s="4"/>
      <c r="Y685" s="4"/>
      <c r="Z685" s="4"/>
      <c r="AA685" s="4"/>
      <c r="AB685" s="4"/>
    </row>
    <row r="686" spans="1:28" ht="12.75" hidden="1">
      <c r="A686" s="4"/>
      <c r="B686" s="4"/>
      <c r="C686" s="4"/>
      <c r="D686" s="15"/>
      <c r="E686" s="4"/>
      <c r="F686" s="4"/>
      <c r="G686" s="4"/>
      <c r="H686" s="4"/>
      <c r="I686" s="4"/>
      <c r="J686" s="4"/>
      <c r="K686" s="4"/>
      <c r="L686" s="4"/>
      <c r="M686" s="4"/>
      <c r="N686" s="4"/>
      <c r="O686" s="4"/>
      <c r="P686" s="4"/>
      <c r="Q686" s="4"/>
      <c r="R686" s="4"/>
      <c r="S686" s="4"/>
      <c r="T686" s="4"/>
      <c r="U686" s="4"/>
      <c r="V686" s="4"/>
      <c r="W686" s="4"/>
      <c r="X686" s="4"/>
      <c r="Y686" s="4"/>
      <c r="Z686" s="4"/>
      <c r="AA686" s="4"/>
      <c r="AB686" s="4"/>
    </row>
    <row r="687" spans="1:28" ht="12.75" hidden="1">
      <c r="A687" s="4"/>
      <c r="B687" s="4"/>
      <c r="C687" s="4"/>
      <c r="D687" s="15"/>
      <c r="E687" s="4"/>
      <c r="F687" s="4"/>
      <c r="G687" s="4"/>
      <c r="H687" s="4"/>
      <c r="I687" s="4"/>
      <c r="J687" s="4"/>
      <c r="K687" s="4"/>
      <c r="L687" s="4"/>
      <c r="M687" s="4"/>
      <c r="N687" s="4"/>
      <c r="O687" s="4"/>
      <c r="P687" s="4"/>
      <c r="Q687" s="4"/>
      <c r="R687" s="4"/>
      <c r="S687" s="4"/>
      <c r="T687" s="4"/>
      <c r="U687" s="4"/>
      <c r="V687" s="4"/>
      <c r="W687" s="4"/>
      <c r="X687" s="4"/>
      <c r="Y687" s="4"/>
      <c r="Z687" s="4"/>
      <c r="AA687" s="4"/>
      <c r="AB687" s="4"/>
    </row>
    <row r="688" spans="1:28" ht="12.75" hidden="1">
      <c r="A688" s="4"/>
      <c r="B688" s="4"/>
      <c r="C688" s="4"/>
      <c r="D688" s="15"/>
      <c r="E688" s="4"/>
      <c r="F688" s="4"/>
      <c r="G688" s="4"/>
      <c r="H688" s="4"/>
      <c r="I688" s="4"/>
      <c r="J688" s="4"/>
      <c r="K688" s="4"/>
      <c r="L688" s="4"/>
      <c r="M688" s="4"/>
      <c r="N688" s="4"/>
      <c r="O688" s="4"/>
      <c r="P688" s="4"/>
      <c r="Q688" s="4"/>
      <c r="R688" s="4"/>
      <c r="S688" s="4"/>
      <c r="T688" s="4"/>
      <c r="U688" s="4"/>
      <c r="V688" s="4"/>
      <c r="W688" s="4"/>
      <c r="X688" s="4"/>
      <c r="Y688" s="4"/>
      <c r="Z688" s="4"/>
      <c r="AA688" s="4"/>
      <c r="AB688" s="4"/>
    </row>
    <row r="689" spans="1:28" ht="12.75" hidden="1">
      <c r="A689" s="4"/>
      <c r="B689" s="4"/>
      <c r="C689" s="4"/>
      <c r="D689" s="15"/>
      <c r="E689" s="4"/>
      <c r="F689" s="4"/>
      <c r="G689" s="4"/>
      <c r="H689" s="4"/>
      <c r="I689" s="4"/>
      <c r="J689" s="4"/>
      <c r="K689" s="4"/>
      <c r="L689" s="4"/>
      <c r="M689" s="4"/>
      <c r="N689" s="4"/>
      <c r="O689" s="4"/>
      <c r="P689" s="4"/>
      <c r="Q689" s="4"/>
      <c r="R689" s="4"/>
      <c r="S689" s="4"/>
      <c r="T689" s="4"/>
      <c r="U689" s="4"/>
      <c r="V689" s="4"/>
      <c r="W689" s="4"/>
      <c r="X689" s="4"/>
      <c r="Y689" s="4"/>
      <c r="Z689" s="4"/>
      <c r="AA689" s="4"/>
      <c r="AB689" s="4"/>
    </row>
    <row r="690" spans="1:28" ht="12.75" hidden="1">
      <c r="A690" s="4"/>
      <c r="B690" s="4"/>
      <c r="C690" s="4"/>
      <c r="D690" s="15"/>
      <c r="E690" s="4"/>
      <c r="F690" s="4"/>
      <c r="G690" s="4"/>
      <c r="H690" s="4"/>
      <c r="I690" s="4"/>
      <c r="J690" s="4"/>
      <c r="K690" s="4"/>
      <c r="L690" s="4"/>
      <c r="M690" s="4"/>
      <c r="N690" s="4"/>
      <c r="O690" s="4"/>
      <c r="P690" s="4"/>
      <c r="Q690" s="4"/>
      <c r="R690" s="4"/>
      <c r="S690" s="4"/>
      <c r="T690" s="4"/>
      <c r="U690" s="4"/>
      <c r="V690" s="4"/>
      <c r="W690" s="4"/>
      <c r="X690" s="4"/>
      <c r="Y690" s="4"/>
      <c r="Z690" s="4"/>
      <c r="AA690" s="4"/>
      <c r="AB690" s="4"/>
    </row>
    <row r="691" spans="1:28" ht="12.75" hidden="1">
      <c r="A691" s="4"/>
      <c r="B691" s="4"/>
      <c r="C691" s="4"/>
      <c r="D691" s="15"/>
      <c r="E691" s="4"/>
      <c r="F691" s="4"/>
      <c r="G691" s="4"/>
      <c r="H691" s="4"/>
      <c r="I691" s="4"/>
      <c r="J691" s="4"/>
      <c r="K691" s="4"/>
      <c r="L691" s="4"/>
      <c r="M691" s="4"/>
      <c r="N691" s="4"/>
      <c r="O691" s="4"/>
      <c r="P691" s="4"/>
      <c r="Q691" s="4"/>
      <c r="R691" s="4"/>
      <c r="S691" s="4"/>
      <c r="T691" s="4"/>
      <c r="U691" s="4"/>
      <c r="V691" s="4"/>
      <c r="W691" s="4"/>
      <c r="X691" s="4"/>
      <c r="Y691" s="4"/>
      <c r="Z691" s="4"/>
      <c r="AA691" s="4"/>
      <c r="AB691" s="4"/>
    </row>
    <row r="692" spans="1:28" ht="12.75" hidden="1">
      <c r="A692" s="4"/>
      <c r="B692" s="4"/>
      <c r="C692" s="4"/>
      <c r="D692" s="15"/>
      <c r="E692" s="4"/>
      <c r="F692" s="4"/>
      <c r="G692" s="4"/>
      <c r="H692" s="4"/>
      <c r="I692" s="4"/>
      <c r="J692" s="4"/>
      <c r="K692" s="4"/>
      <c r="L692" s="4"/>
      <c r="M692" s="4"/>
      <c r="N692" s="4"/>
      <c r="O692" s="4"/>
      <c r="P692" s="4"/>
      <c r="Q692" s="4"/>
      <c r="R692" s="4"/>
      <c r="S692" s="4"/>
      <c r="T692" s="4"/>
      <c r="U692" s="4"/>
      <c r="V692" s="4"/>
      <c r="W692" s="4"/>
      <c r="X692" s="4"/>
      <c r="Y692" s="4"/>
      <c r="Z692" s="4"/>
      <c r="AA692" s="4"/>
      <c r="AB692" s="4"/>
    </row>
    <row r="693" spans="1:28" ht="12.75" hidden="1">
      <c r="A693" s="4"/>
      <c r="B693" s="4"/>
      <c r="C693" s="4"/>
      <c r="D693" s="15"/>
      <c r="E693" s="4"/>
      <c r="F693" s="4"/>
      <c r="G693" s="4"/>
      <c r="H693" s="4"/>
      <c r="I693" s="4"/>
      <c r="J693" s="4"/>
      <c r="K693" s="4"/>
      <c r="L693" s="4"/>
      <c r="M693" s="4"/>
      <c r="N693" s="4"/>
      <c r="O693" s="4"/>
      <c r="P693" s="4"/>
      <c r="Q693" s="4"/>
      <c r="R693" s="4"/>
      <c r="S693" s="4"/>
      <c r="T693" s="4"/>
      <c r="U693" s="4"/>
      <c r="V693" s="4"/>
      <c r="W693" s="4"/>
      <c r="X693" s="4"/>
      <c r="Y693" s="4"/>
      <c r="Z693" s="4"/>
      <c r="AA693" s="4"/>
      <c r="AB693" s="4"/>
    </row>
    <row r="694" spans="1:28" ht="12.75" hidden="1">
      <c r="A694" s="4"/>
      <c r="B694" s="4"/>
      <c r="C694" s="4"/>
      <c r="D694" s="15"/>
      <c r="E694" s="4"/>
      <c r="F694" s="4"/>
      <c r="G694" s="4"/>
      <c r="H694" s="4"/>
      <c r="I694" s="4"/>
      <c r="J694" s="4"/>
      <c r="K694" s="4"/>
      <c r="L694" s="4"/>
      <c r="M694" s="4"/>
      <c r="N694" s="4"/>
      <c r="O694" s="4"/>
      <c r="P694" s="4"/>
      <c r="Q694" s="4"/>
      <c r="R694" s="4"/>
      <c r="S694" s="4"/>
      <c r="T694" s="4"/>
      <c r="U694" s="4"/>
      <c r="V694" s="4"/>
      <c r="W694" s="4"/>
      <c r="X694" s="4"/>
      <c r="Y694" s="4"/>
      <c r="Z694" s="4"/>
      <c r="AA694" s="4"/>
      <c r="AB694" s="4"/>
    </row>
    <row r="695" spans="1:28" ht="12.75" hidden="1">
      <c r="A695" s="4"/>
      <c r="B695" s="4"/>
      <c r="C695" s="4"/>
      <c r="D695" s="15"/>
      <c r="E695" s="4"/>
      <c r="F695" s="4"/>
      <c r="G695" s="4"/>
      <c r="H695" s="4"/>
      <c r="I695" s="4"/>
      <c r="J695" s="4"/>
      <c r="K695" s="4"/>
      <c r="L695" s="4"/>
      <c r="M695" s="4"/>
      <c r="N695" s="4"/>
      <c r="O695" s="4"/>
      <c r="P695" s="4"/>
      <c r="Q695" s="4"/>
      <c r="R695" s="4"/>
      <c r="S695" s="4"/>
      <c r="T695" s="4"/>
      <c r="U695" s="4"/>
      <c r="V695" s="4"/>
      <c r="W695" s="4"/>
      <c r="X695" s="4"/>
      <c r="Y695" s="4"/>
      <c r="Z695" s="4"/>
      <c r="AA695" s="4"/>
      <c r="AB695" s="4"/>
    </row>
    <row r="696" spans="1:28" ht="12.75" hidden="1">
      <c r="A696" s="4"/>
      <c r="B696" s="4"/>
      <c r="C696" s="4"/>
      <c r="D696" s="15"/>
      <c r="E696" s="4"/>
      <c r="F696" s="4"/>
      <c r="G696" s="4"/>
      <c r="H696" s="4"/>
      <c r="I696" s="4"/>
      <c r="J696" s="4"/>
      <c r="K696" s="4"/>
      <c r="L696" s="4"/>
      <c r="M696" s="4"/>
      <c r="N696" s="4"/>
      <c r="O696" s="4"/>
      <c r="P696" s="4"/>
      <c r="Q696" s="4"/>
      <c r="R696" s="4"/>
      <c r="S696" s="4"/>
      <c r="T696" s="4"/>
      <c r="U696" s="4"/>
      <c r="V696" s="4"/>
      <c r="W696" s="4"/>
      <c r="X696" s="4"/>
      <c r="Y696" s="4"/>
      <c r="Z696" s="4"/>
      <c r="AA696" s="4"/>
      <c r="AB696" s="4"/>
    </row>
    <row r="697" spans="1:28" ht="12.75" hidden="1">
      <c r="A697" s="4"/>
      <c r="B697" s="4"/>
      <c r="C697" s="4"/>
      <c r="D697" s="15"/>
      <c r="E697" s="4"/>
      <c r="F697" s="4"/>
      <c r="G697" s="4"/>
      <c r="H697" s="4"/>
      <c r="I697" s="4"/>
      <c r="J697" s="4"/>
      <c r="K697" s="4"/>
      <c r="L697" s="4"/>
      <c r="M697" s="4"/>
      <c r="N697" s="4"/>
      <c r="O697" s="4"/>
      <c r="P697" s="4"/>
      <c r="Q697" s="4"/>
      <c r="R697" s="4"/>
      <c r="S697" s="4"/>
      <c r="T697" s="4"/>
      <c r="U697" s="4"/>
      <c r="V697" s="4"/>
      <c r="W697" s="4"/>
      <c r="X697" s="4"/>
      <c r="Y697" s="4"/>
      <c r="Z697" s="4"/>
      <c r="AA697" s="4"/>
      <c r="AB697" s="4"/>
    </row>
    <row r="698" spans="1:28" ht="12.75" hidden="1">
      <c r="A698" s="4"/>
      <c r="B698" s="4"/>
      <c r="C698" s="4"/>
      <c r="D698" s="15"/>
      <c r="E698" s="4"/>
      <c r="F698" s="4"/>
      <c r="G698" s="4"/>
      <c r="H698" s="4"/>
      <c r="I698" s="4"/>
      <c r="J698" s="4"/>
      <c r="K698" s="4"/>
      <c r="L698" s="4"/>
      <c r="M698" s="4"/>
      <c r="N698" s="4"/>
      <c r="O698" s="4"/>
      <c r="P698" s="4"/>
      <c r="Q698" s="4"/>
      <c r="R698" s="4"/>
      <c r="S698" s="4"/>
      <c r="T698" s="4"/>
      <c r="U698" s="4"/>
      <c r="V698" s="4"/>
      <c r="W698" s="4"/>
      <c r="X698" s="4"/>
      <c r="Y698" s="4"/>
      <c r="Z698" s="4"/>
      <c r="AA698" s="4"/>
      <c r="AB698" s="4"/>
    </row>
    <row r="699" spans="1:28" ht="12.75" hidden="1">
      <c r="A699" s="4"/>
      <c r="B699" s="4"/>
      <c r="C699" s="4"/>
      <c r="D699" s="15"/>
      <c r="E699" s="4"/>
      <c r="F699" s="4"/>
      <c r="G699" s="4"/>
      <c r="H699" s="4"/>
      <c r="I699" s="4"/>
      <c r="J699" s="4"/>
      <c r="K699" s="4"/>
      <c r="L699" s="4"/>
      <c r="M699" s="4"/>
      <c r="N699" s="4"/>
      <c r="O699" s="4"/>
      <c r="P699" s="4"/>
      <c r="Q699" s="4"/>
      <c r="R699" s="4"/>
      <c r="S699" s="4"/>
      <c r="T699" s="4"/>
      <c r="U699" s="4"/>
      <c r="V699" s="4"/>
      <c r="W699" s="4"/>
      <c r="X699" s="4"/>
      <c r="Y699" s="4"/>
      <c r="Z699" s="4"/>
      <c r="AA699" s="4"/>
      <c r="AB699" s="4"/>
    </row>
    <row r="700" spans="1:28" ht="12.75" hidden="1">
      <c r="A700" s="4"/>
      <c r="B700" s="4"/>
      <c r="C700" s="4"/>
      <c r="D700" s="15"/>
      <c r="E700" s="4"/>
      <c r="F700" s="4"/>
      <c r="G700" s="4"/>
      <c r="H700" s="4"/>
      <c r="I700" s="4"/>
      <c r="J700" s="4"/>
      <c r="K700" s="4"/>
      <c r="L700" s="4"/>
      <c r="M700" s="4"/>
      <c r="N700" s="4"/>
      <c r="O700" s="4"/>
      <c r="P700" s="4"/>
      <c r="Q700" s="4"/>
      <c r="R700" s="4"/>
      <c r="S700" s="4"/>
      <c r="T700" s="4"/>
      <c r="U700" s="4"/>
      <c r="V700" s="4"/>
      <c r="W700" s="4"/>
      <c r="X700" s="4"/>
      <c r="Y700" s="4"/>
      <c r="Z700" s="4"/>
      <c r="AA700" s="4"/>
      <c r="AB700" s="4"/>
    </row>
    <row r="701" spans="1:28" ht="12.75" hidden="1">
      <c r="A701" s="4"/>
      <c r="B701" s="4"/>
      <c r="C701" s="4"/>
      <c r="D701" s="15"/>
      <c r="E701" s="4"/>
      <c r="F701" s="4"/>
      <c r="G701" s="4"/>
      <c r="H701" s="4"/>
      <c r="I701" s="4"/>
      <c r="J701" s="4"/>
      <c r="K701" s="4"/>
      <c r="L701" s="4"/>
      <c r="M701" s="4"/>
      <c r="N701" s="4"/>
      <c r="O701" s="4"/>
      <c r="P701" s="4"/>
      <c r="Q701" s="4"/>
      <c r="R701" s="4"/>
      <c r="S701" s="4"/>
      <c r="T701" s="4"/>
      <c r="U701" s="4"/>
      <c r="V701" s="4"/>
      <c r="W701" s="4"/>
      <c r="X701" s="4"/>
      <c r="Y701" s="4"/>
      <c r="Z701" s="4"/>
      <c r="AA701" s="4"/>
      <c r="AB701" s="4"/>
    </row>
    <row r="702" spans="1:28" ht="12.75" hidden="1">
      <c r="A702" s="4"/>
      <c r="B702" s="4"/>
      <c r="C702" s="4"/>
      <c r="D702" s="15"/>
      <c r="E702" s="4"/>
      <c r="F702" s="4"/>
      <c r="G702" s="4"/>
      <c r="H702" s="4"/>
      <c r="I702" s="4"/>
      <c r="J702" s="4"/>
      <c r="K702" s="4"/>
      <c r="L702" s="4"/>
      <c r="M702" s="4"/>
      <c r="N702" s="4"/>
      <c r="O702" s="4"/>
      <c r="P702" s="4"/>
      <c r="Q702" s="4"/>
      <c r="R702" s="4"/>
      <c r="S702" s="4"/>
      <c r="T702" s="4"/>
      <c r="U702" s="4"/>
      <c r="V702" s="4"/>
      <c r="W702" s="4"/>
      <c r="X702" s="4"/>
      <c r="Y702" s="4"/>
      <c r="Z702" s="4"/>
      <c r="AA702" s="4"/>
      <c r="AB702" s="4"/>
    </row>
    <row r="703" spans="1:28" ht="12.75" hidden="1">
      <c r="A703" s="4"/>
      <c r="B703" s="4"/>
      <c r="C703" s="4"/>
      <c r="D703" s="15"/>
      <c r="E703" s="4"/>
      <c r="F703" s="4"/>
      <c r="G703" s="4"/>
      <c r="H703" s="4"/>
      <c r="I703" s="4"/>
      <c r="J703" s="4"/>
      <c r="K703" s="4"/>
      <c r="L703" s="4"/>
      <c r="M703" s="4"/>
      <c r="N703" s="4"/>
      <c r="O703" s="4"/>
      <c r="P703" s="4"/>
      <c r="Q703" s="4"/>
      <c r="R703" s="4"/>
      <c r="S703" s="4"/>
      <c r="T703" s="4"/>
      <c r="U703" s="4"/>
      <c r="V703" s="4"/>
      <c r="W703" s="4"/>
      <c r="X703" s="4"/>
      <c r="Y703" s="4"/>
      <c r="Z703" s="4"/>
      <c r="AA703" s="4"/>
      <c r="AB703" s="4"/>
    </row>
    <row r="704" spans="1:28" ht="12.75" hidden="1">
      <c r="A704" s="4"/>
      <c r="B704" s="4"/>
      <c r="C704" s="4"/>
      <c r="D704" s="15"/>
      <c r="E704" s="4"/>
      <c r="F704" s="4"/>
      <c r="G704" s="4"/>
      <c r="H704" s="4"/>
      <c r="I704" s="4"/>
      <c r="J704" s="4"/>
      <c r="K704" s="4"/>
      <c r="L704" s="4"/>
      <c r="M704" s="4"/>
      <c r="N704" s="4"/>
      <c r="O704" s="4"/>
      <c r="P704" s="4"/>
      <c r="Q704" s="4"/>
      <c r="R704" s="4"/>
      <c r="S704" s="4"/>
      <c r="T704" s="4"/>
      <c r="U704" s="4"/>
      <c r="V704" s="4"/>
      <c r="W704" s="4"/>
      <c r="X704" s="4"/>
      <c r="Y704" s="4"/>
      <c r="Z704" s="4"/>
      <c r="AA704" s="4"/>
      <c r="AB704" s="4"/>
    </row>
    <row r="705" spans="1:28" ht="12.75" hidden="1">
      <c r="A705" s="4"/>
      <c r="B705" s="4"/>
      <c r="C705" s="4"/>
      <c r="D705" s="15"/>
      <c r="E705" s="4"/>
      <c r="F705" s="4"/>
      <c r="G705" s="4"/>
      <c r="H705" s="4"/>
      <c r="I705" s="4"/>
      <c r="J705" s="4"/>
      <c r="K705" s="4"/>
      <c r="L705" s="4"/>
      <c r="M705" s="4"/>
      <c r="N705" s="4"/>
      <c r="O705" s="4"/>
      <c r="P705" s="4"/>
      <c r="Q705" s="4"/>
      <c r="R705" s="4"/>
      <c r="S705" s="4"/>
      <c r="T705" s="4"/>
      <c r="U705" s="4"/>
      <c r="V705" s="4"/>
      <c r="W705" s="4"/>
      <c r="X705" s="4"/>
      <c r="Y705" s="4"/>
      <c r="Z705" s="4"/>
      <c r="AA705" s="4"/>
      <c r="AB705" s="4"/>
    </row>
    <row r="706" spans="1:28" ht="12.75" hidden="1">
      <c r="A706" s="4"/>
      <c r="B706" s="4"/>
      <c r="C706" s="4"/>
      <c r="D706" s="15"/>
      <c r="E706" s="4"/>
      <c r="F706" s="4"/>
      <c r="G706" s="4"/>
      <c r="H706" s="4"/>
      <c r="I706" s="4"/>
      <c r="J706" s="4"/>
      <c r="K706" s="4"/>
      <c r="L706" s="4"/>
      <c r="M706" s="4"/>
      <c r="N706" s="4"/>
      <c r="O706" s="4"/>
      <c r="P706" s="4"/>
      <c r="Q706" s="4"/>
      <c r="R706" s="4"/>
      <c r="S706" s="4"/>
      <c r="T706" s="4"/>
      <c r="U706" s="4"/>
      <c r="V706" s="4"/>
      <c r="W706" s="4"/>
      <c r="X706" s="4"/>
      <c r="Y706" s="4"/>
      <c r="Z706" s="4"/>
      <c r="AA706" s="4"/>
      <c r="AB706" s="4"/>
    </row>
    <row r="707" spans="1:28" ht="12.75" hidden="1">
      <c r="A707" s="4"/>
      <c r="B707" s="4"/>
      <c r="C707" s="4"/>
      <c r="D707" s="15"/>
      <c r="E707" s="4"/>
      <c r="F707" s="4"/>
      <c r="G707" s="4"/>
      <c r="H707" s="4"/>
      <c r="I707" s="4"/>
      <c r="J707" s="4"/>
      <c r="K707" s="4"/>
      <c r="L707" s="4"/>
      <c r="M707" s="4"/>
      <c r="N707" s="4"/>
      <c r="O707" s="4"/>
      <c r="P707" s="4"/>
      <c r="Q707" s="4"/>
      <c r="R707" s="4"/>
      <c r="S707" s="4"/>
      <c r="T707" s="4"/>
      <c r="U707" s="4"/>
      <c r="V707" s="4"/>
      <c r="W707" s="4"/>
      <c r="X707" s="4"/>
      <c r="Y707" s="4"/>
      <c r="Z707" s="4"/>
      <c r="AA707" s="4"/>
      <c r="AB707" s="4"/>
    </row>
    <row r="708" spans="1:28" ht="12.75" hidden="1">
      <c r="A708" s="4"/>
      <c r="B708" s="4"/>
      <c r="C708" s="4"/>
      <c r="D708" s="15"/>
      <c r="E708" s="4"/>
      <c r="F708" s="4"/>
      <c r="G708" s="4"/>
      <c r="H708" s="4"/>
      <c r="I708" s="4"/>
      <c r="J708" s="4"/>
      <c r="K708" s="4"/>
      <c r="L708" s="4"/>
      <c r="M708" s="4"/>
      <c r="N708" s="4"/>
      <c r="O708" s="4"/>
      <c r="P708" s="4"/>
      <c r="Q708" s="4"/>
      <c r="R708" s="4"/>
      <c r="S708" s="4"/>
      <c r="T708" s="4"/>
      <c r="U708" s="4"/>
      <c r="V708" s="4"/>
      <c r="W708" s="4"/>
      <c r="X708" s="4"/>
      <c r="Y708" s="4"/>
      <c r="Z708" s="4"/>
      <c r="AA708" s="4"/>
      <c r="AB708" s="4"/>
    </row>
    <row r="709" spans="1:28" ht="12.75" hidden="1">
      <c r="A709" s="4"/>
      <c r="B709" s="4"/>
      <c r="C709" s="4"/>
      <c r="D709" s="15"/>
      <c r="E709" s="4"/>
      <c r="F709" s="4"/>
      <c r="G709" s="4"/>
      <c r="H709" s="4"/>
      <c r="I709" s="4"/>
      <c r="J709" s="4"/>
      <c r="K709" s="4"/>
      <c r="L709" s="4"/>
      <c r="M709" s="4"/>
      <c r="N709" s="4"/>
      <c r="O709" s="4"/>
      <c r="P709" s="4"/>
      <c r="Q709" s="4"/>
      <c r="R709" s="4"/>
      <c r="S709" s="4"/>
      <c r="T709" s="4"/>
      <c r="U709" s="4"/>
      <c r="V709" s="4"/>
      <c r="W709" s="4"/>
      <c r="X709" s="4"/>
      <c r="Y709" s="4"/>
      <c r="Z709" s="4"/>
      <c r="AA709" s="4"/>
      <c r="AB709" s="4"/>
    </row>
    <row r="710" spans="1:28" ht="12.75" hidden="1">
      <c r="A710" s="4"/>
      <c r="B710" s="4"/>
      <c r="C710" s="4"/>
      <c r="D710" s="15"/>
      <c r="E710" s="4"/>
      <c r="F710" s="4"/>
      <c r="G710" s="4"/>
      <c r="H710" s="4"/>
      <c r="I710" s="4"/>
      <c r="J710" s="4"/>
      <c r="K710" s="4"/>
      <c r="L710" s="4"/>
      <c r="M710" s="4"/>
      <c r="N710" s="4"/>
      <c r="O710" s="4"/>
      <c r="P710" s="4"/>
      <c r="Q710" s="4"/>
      <c r="R710" s="4"/>
      <c r="S710" s="4"/>
      <c r="T710" s="4"/>
      <c r="U710" s="4"/>
      <c r="V710" s="4"/>
      <c r="W710" s="4"/>
      <c r="X710" s="4"/>
      <c r="Y710" s="4"/>
      <c r="Z710" s="4"/>
      <c r="AA710" s="4"/>
      <c r="AB710" s="4"/>
    </row>
    <row r="711" spans="1:28" ht="12.75" hidden="1">
      <c r="A711" s="4"/>
      <c r="B711" s="4"/>
      <c r="C711" s="4"/>
      <c r="D711" s="15"/>
      <c r="E711" s="4"/>
      <c r="F711" s="4"/>
      <c r="G711" s="4"/>
      <c r="H711" s="4"/>
      <c r="I711" s="4"/>
      <c r="J711" s="4"/>
      <c r="K711" s="4"/>
      <c r="L711" s="4"/>
      <c r="M711" s="4"/>
      <c r="N711" s="4"/>
      <c r="O711" s="4"/>
      <c r="P711" s="4"/>
      <c r="Q711" s="4"/>
      <c r="R711" s="4"/>
      <c r="S711" s="4"/>
      <c r="T711" s="4"/>
      <c r="U711" s="4"/>
      <c r="V711" s="4"/>
      <c r="W711" s="4"/>
      <c r="X711" s="4"/>
      <c r="Y711" s="4"/>
      <c r="Z711" s="4"/>
      <c r="AA711" s="4"/>
      <c r="AB711" s="4"/>
    </row>
    <row r="712" spans="1:28" ht="12.75" hidden="1">
      <c r="A712" s="4"/>
      <c r="B712" s="4"/>
      <c r="C712" s="4"/>
      <c r="D712" s="15"/>
      <c r="E712" s="4"/>
      <c r="F712" s="4"/>
      <c r="G712" s="4"/>
      <c r="H712" s="4"/>
      <c r="I712" s="4"/>
      <c r="J712" s="4"/>
      <c r="K712" s="4"/>
      <c r="L712" s="4"/>
      <c r="M712" s="4"/>
      <c r="N712" s="4"/>
      <c r="O712" s="4"/>
      <c r="P712" s="4"/>
      <c r="Q712" s="4"/>
      <c r="R712" s="4"/>
      <c r="S712" s="4"/>
      <c r="T712" s="4"/>
      <c r="U712" s="4"/>
      <c r="V712" s="4"/>
      <c r="W712" s="4"/>
      <c r="X712" s="4"/>
      <c r="Y712" s="4"/>
      <c r="Z712" s="4"/>
      <c r="AA712" s="4"/>
      <c r="AB712" s="4"/>
    </row>
    <row r="713" spans="1:28" ht="12.75" hidden="1">
      <c r="A713" s="4"/>
      <c r="B713" s="4"/>
      <c r="C713" s="4"/>
      <c r="D713" s="15"/>
      <c r="E713" s="4"/>
      <c r="F713" s="4"/>
      <c r="G713" s="4"/>
      <c r="H713" s="4"/>
      <c r="I713" s="4"/>
      <c r="J713" s="4"/>
      <c r="K713" s="4"/>
      <c r="L713" s="4"/>
      <c r="M713" s="4"/>
      <c r="N713" s="4"/>
      <c r="O713" s="4"/>
      <c r="P713" s="4"/>
      <c r="Q713" s="4"/>
      <c r="R713" s="4"/>
      <c r="S713" s="4"/>
      <c r="T713" s="4"/>
      <c r="U713" s="4"/>
      <c r="V713" s="4"/>
      <c r="W713" s="4"/>
      <c r="X713" s="4"/>
      <c r="Y713" s="4"/>
      <c r="Z713" s="4"/>
      <c r="AA713" s="4"/>
      <c r="AB713" s="4"/>
    </row>
    <row r="714" spans="1:28" ht="12.75" hidden="1">
      <c r="A714" s="4"/>
      <c r="B714" s="4"/>
      <c r="C714" s="4"/>
      <c r="D714" s="15"/>
      <c r="E714" s="4"/>
      <c r="F714" s="4"/>
      <c r="G714" s="4"/>
      <c r="H714" s="4"/>
      <c r="I714" s="4"/>
      <c r="J714" s="4"/>
      <c r="K714" s="4"/>
      <c r="L714" s="4"/>
      <c r="M714" s="4"/>
      <c r="N714" s="4"/>
      <c r="O714" s="4"/>
      <c r="P714" s="4"/>
      <c r="Q714" s="4"/>
      <c r="R714" s="4"/>
      <c r="S714" s="4"/>
      <c r="T714" s="4"/>
      <c r="U714" s="4"/>
      <c r="V714" s="4"/>
      <c r="W714" s="4"/>
      <c r="X714" s="4"/>
      <c r="Y714" s="4"/>
      <c r="Z714" s="4"/>
      <c r="AA714" s="4"/>
      <c r="AB714" s="4"/>
    </row>
    <row r="715" spans="1:28" ht="12.75" hidden="1">
      <c r="A715" s="4"/>
      <c r="B715" s="4"/>
      <c r="C715" s="4"/>
      <c r="D715" s="15"/>
      <c r="E715" s="4"/>
      <c r="F715" s="4"/>
      <c r="G715" s="4"/>
      <c r="H715" s="4"/>
      <c r="I715" s="4"/>
      <c r="J715" s="4"/>
      <c r="K715" s="4"/>
      <c r="L715" s="4"/>
      <c r="M715" s="4"/>
      <c r="N715" s="4"/>
      <c r="O715" s="4"/>
      <c r="P715" s="4"/>
      <c r="Q715" s="4"/>
      <c r="R715" s="4"/>
      <c r="S715" s="4"/>
      <c r="T715" s="4"/>
      <c r="U715" s="4"/>
      <c r="V715" s="4"/>
      <c r="W715" s="4"/>
      <c r="X715" s="4"/>
      <c r="Y715" s="4"/>
      <c r="Z715" s="4"/>
      <c r="AA715" s="4"/>
      <c r="AB715" s="4"/>
    </row>
    <row r="716" spans="1:28" ht="12.75" hidden="1">
      <c r="A716" s="4"/>
      <c r="B716" s="4"/>
      <c r="C716" s="4"/>
      <c r="D716" s="15"/>
      <c r="E716" s="4"/>
      <c r="F716" s="4"/>
      <c r="G716" s="4"/>
      <c r="H716" s="4"/>
      <c r="I716" s="4"/>
      <c r="J716" s="4"/>
      <c r="K716" s="4"/>
      <c r="L716" s="4"/>
      <c r="M716" s="4"/>
      <c r="N716" s="4"/>
      <c r="O716" s="4"/>
      <c r="P716" s="4"/>
      <c r="Q716" s="4"/>
      <c r="R716" s="4"/>
      <c r="S716" s="4"/>
      <c r="T716" s="4"/>
      <c r="U716" s="4"/>
      <c r="V716" s="4"/>
      <c r="W716" s="4"/>
      <c r="X716" s="4"/>
      <c r="Y716" s="4"/>
      <c r="Z716" s="4"/>
      <c r="AA716" s="4"/>
      <c r="AB716" s="4"/>
    </row>
    <row r="717" spans="1:28" ht="12.75" hidden="1">
      <c r="A717" s="4"/>
      <c r="B717" s="4"/>
      <c r="C717" s="4"/>
      <c r="D717" s="15"/>
      <c r="E717" s="4"/>
      <c r="F717" s="4"/>
      <c r="G717" s="4"/>
      <c r="H717" s="4"/>
      <c r="I717" s="4"/>
      <c r="J717" s="4"/>
      <c r="K717" s="4"/>
      <c r="L717" s="4"/>
      <c r="M717" s="4"/>
      <c r="N717" s="4"/>
      <c r="O717" s="4"/>
      <c r="P717" s="4"/>
      <c r="Q717" s="4"/>
      <c r="R717" s="4"/>
      <c r="S717" s="4"/>
      <c r="T717" s="4"/>
      <c r="U717" s="4"/>
      <c r="V717" s="4"/>
      <c r="W717" s="4"/>
      <c r="X717" s="4"/>
      <c r="Y717" s="4"/>
      <c r="Z717" s="4"/>
      <c r="AA717" s="4"/>
      <c r="AB717" s="4"/>
    </row>
    <row r="718" spans="1:28" ht="12.75" hidden="1">
      <c r="A718" s="4"/>
      <c r="B718" s="4"/>
      <c r="C718" s="4"/>
      <c r="D718" s="15"/>
      <c r="E718" s="4"/>
      <c r="F718" s="4"/>
      <c r="G718" s="4"/>
      <c r="H718" s="4"/>
      <c r="I718" s="4"/>
      <c r="J718" s="4"/>
      <c r="K718" s="4"/>
      <c r="L718" s="4"/>
      <c r="M718" s="4"/>
      <c r="N718" s="4"/>
      <c r="O718" s="4"/>
      <c r="P718" s="4"/>
      <c r="Q718" s="4"/>
      <c r="R718" s="4"/>
      <c r="S718" s="4"/>
      <c r="T718" s="4"/>
      <c r="U718" s="4"/>
      <c r="V718" s="4"/>
      <c r="W718" s="4"/>
      <c r="X718" s="4"/>
      <c r="Y718" s="4"/>
      <c r="Z718" s="4"/>
      <c r="AA718" s="4"/>
      <c r="AB718" s="4"/>
    </row>
    <row r="719" spans="1:28" ht="12.75" hidden="1">
      <c r="A719" s="4"/>
      <c r="B719" s="4"/>
      <c r="C719" s="4"/>
      <c r="D719" s="15"/>
      <c r="E719" s="4"/>
      <c r="F719" s="4"/>
      <c r="G719" s="4"/>
      <c r="H719" s="4"/>
      <c r="I719" s="4"/>
      <c r="J719" s="4"/>
      <c r="K719" s="4"/>
      <c r="L719" s="4"/>
      <c r="M719" s="4"/>
      <c r="N719" s="4"/>
      <c r="O719" s="4"/>
      <c r="P719" s="4"/>
      <c r="Q719" s="4"/>
      <c r="R719" s="4"/>
      <c r="S719" s="4"/>
      <c r="T719" s="4"/>
      <c r="U719" s="4"/>
      <c r="V719" s="4"/>
      <c r="W719" s="4"/>
      <c r="X719" s="4"/>
      <c r="Y719" s="4"/>
      <c r="Z719" s="4"/>
      <c r="AA719" s="4"/>
      <c r="AB719" s="4"/>
    </row>
    <row r="720" spans="1:28" ht="12.75" hidden="1">
      <c r="A720" s="4"/>
      <c r="B720" s="4"/>
      <c r="C720" s="4"/>
      <c r="D720" s="15"/>
      <c r="E720" s="4"/>
      <c r="F720" s="4"/>
      <c r="G720" s="4"/>
      <c r="H720" s="4"/>
      <c r="I720" s="4"/>
      <c r="J720" s="4"/>
      <c r="K720" s="4"/>
      <c r="L720" s="4"/>
      <c r="M720" s="4"/>
      <c r="N720" s="4"/>
      <c r="O720" s="4"/>
      <c r="P720" s="4"/>
      <c r="Q720" s="4"/>
      <c r="R720" s="4"/>
      <c r="S720" s="4"/>
      <c r="T720" s="4"/>
      <c r="U720" s="4"/>
      <c r="V720" s="4"/>
      <c r="W720" s="4"/>
      <c r="X720" s="4"/>
      <c r="Y720" s="4"/>
      <c r="Z720" s="4"/>
      <c r="AA720" s="4"/>
      <c r="AB720" s="4"/>
    </row>
    <row r="721" spans="1:28" ht="12.75" hidden="1">
      <c r="A721" s="4"/>
      <c r="B721" s="4"/>
      <c r="C721" s="4"/>
      <c r="D721" s="15"/>
      <c r="E721" s="4"/>
      <c r="F721" s="4"/>
      <c r="G721" s="4"/>
      <c r="H721" s="4"/>
      <c r="I721" s="4"/>
      <c r="J721" s="4"/>
      <c r="K721" s="4"/>
      <c r="L721" s="4"/>
      <c r="M721" s="4"/>
      <c r="N721" s="4"/>
      <c r="O721" s="4"/>
      <c r="P721" s="4"/>
      <c r="Q721" s="4"/>
      <c r="R721" s="4"/>
      <c r="S721" s="4"/>
      <c r="T721" s="4"/>
      <c r="U721" s="4"/>
      <c r="V721" s="4"/>
      <c r="W721" s="4"/>
      <c r="X721" s="4"/>
      <c r="Y721" s="4"/>
      <c r="Z721" s="4"/>
      <c r="AA721" s="4"/>
      <c r="AB721" s="4"/>
    </row>
    <row r="722" spans="1:28" ht="12.75" hidden="1">
      <c r="A722" s="4"/>
      <c r="B722" s="4"/>
      <c r="C722" s="4"/>
      <c r="D722" s="15"/>
      <c r="E722" s="4"/>
      <c r="F722" s="4"/>
      <c r="G722" s="4"/>
      <c r="H722" s="4"/>
      <c r="I722" s="4"/>
      <c r="J722" s="4"/>
      <c r="K722" s="4"/>
      <c r="L722" s="4"/>
      <c r="M722" s="4"/>
      <c r="N722" s="4"/>
      <c r="O722" s="4"/>
      <c r="P722" s="4"/>
      <c r="Q722" s="4"/>
      <c r="R722" s="4"/>
      <c r="S722" s="4"/>
      <c r="T722" s="4"/>
      <c r="U722" s="4"/>
      <c r="V722" s="4"/>
      <c r="W722" s="4"/>
      <c r="X722" s="4"/>
      <c r="Y722" s="4"/>
      <c r="Z722" s="4"/>
      <c r="AA722" s="4"/>
      <c r="AB722" s="4"/>
    </row>
    <row r="723" spans="1:28" ht="12.75" hidden="1">
      <c r="A723" s="4"/>
      <c r="B723" s="4"/>
      <c r="C723" s="4"/>
      <c r="D723" s="15"/>
      <c r="E723" s="4"/>
      <c r="F723" s="4"/>
      <c r="G723" s="4"/>
      <c r="H723" s="4"/>
      <c r="I723" s="4"/>
      <c r="J723" s="4"/>
      <c r="K723" s="4"/>
      <c r="L723" s="4"/>
      <c r="M723" s="4"/>
      <c r="N723" s="4"/>
      <c r="O723" s="4"/>
      <c r="P723" s="4"/>
      <c r="Q723" s="4"/>
      <c r="R723" s="4"/>
      <c r="S723" s="4"/>
      <c r="T723" s="4"/>
      <c r="U723" s="4"/>
      <c r="V723" s="4"/>
      <c r="W723" s="4"/>
      <c r="X723" s="4"/>
      <c r="Y723" s="4"/>
      <c r="Z723" s="4"/>
      <c r="AA723" s="4"/>
      <c r="AB723" s="4"/>
    </row>
    <row r="724" spans="1:28" ht="12.75" hidden="1">
      <c r="A724" s="4"/>
      <c r="B724" s="4"/>
      <c r="C724" s="4"/>
      <c r="D724" s="15"/>
      <c r="E724" s="4"/>
      <c r="F724" s="4"/>
      <c r="G724" s="4"/>
      <c r="H724" s="4"/>
      <c r="I724" s="4"/>
      <c r="J724" s="4"/>
      <c r="K724" s="4"/>
      <c r="L724" s="4"/>
      <c r="M724" s="4"/>
      <c r="N724" s="4"/>
      <c r="O724" s="4"/>
      <c r="P724" s="4"/>
      <c r="Q724" s="4"/>
      <c r="R724" s="4"/>
      <c r="S724" s="4"/>
      <c r="T724" s="4"/>
      <c r="U724" s="4"/>
      <c r="V724" s="4"/>
      <c r="W724" s="4"/>
      <c r="X724" s="4"/>
      <c r="Y724" s="4"/>
      <c r="Z724" s="4"/>
      <c r="AA724" s="4"/>
      <c r="AB724" s="4"/>
    </row>
    <row r="725" spans="1:28" ht="12.75" hidden="1">
      <c r="A725" s="4"/>
      <c r="B725" s="4"/>
      <c r="C725" s="4"/>
      <c r="D725" s="15"/>
      <c r="E725" s="4"/>
      <c r="F725" s="4"/>
      <c r="G725" s="4"/>
      <c r="H725" s="4"/>
      <c r="I725" s="4"/>
      <c r="J725" s="4"/>
      <c r="K725" s="4"/>
      <c r="L725" s="4"/>
      <c r="M725" s="4"/>
      <c r="N725" s="4"/>
      <c r="O725" s="4"/>
      <c r="P725" s="4"/>
      <c r="Q725" s="4"/>
      <c r="R725" s="4"/>
      <c r="S725" s="4"/>
      <c r="T725" s="4"/>
      <c r="U725" s="4"/>
      <c r="V725" s="4"/>
      <c r="W725" s="4"/>
      <c r="X725" s="4"/>
      <c r="Y725" s="4"/>
      <c r="Z725" s="4"/>
      <c r="AA725" s="4"/>
      <c r="AB725" s="4"/>
    </row>
    <row r="726" spans="1:28" ht="12.75" hidden="1">
      <c r="A726" s="4"/>
      <c r="B726" s="4"/>
      <c r="C726" s="4"/>
      <c r="D726" s="15"/>
      <c r="E726" s="4"/>
      <c r="F726" s="4"/>
      <c r="G726" s="4"/>
      <c r="H726" s="4"/>
      <c r="I726" s="4"/>
      <c r="J726" s="4"/>
      <c r="K726" s="4"/>
      <c r="L726" s="4"/>
      <c r="M726" s="4"/>
      <c r="N726" s="4"/>
      <c r="O726" s="4"/>
      <c r="P726" s="4"/>
      <c r="Q726" s="4"/>
      <c r="R726" s="4"/>
      <c r="S726" s="4"/>
      <c r="T726" s="4"/>
      <c r="U726" s="4"/>
      <c r="V726" s="4"/>
      <c r="W726" s="4"/>
      <c r="X726" s="4"/>
      <c r="Y726" s="4"/>
      <c r="Z726" s="4"/>
      <c r="AA726" s="4"/>
      <c r="AB726" s="4"/>
    </row>
    <row r="727" spans="1:28" ht="12.75" hidden="1">
      <c r="A727" s="4"/>
      <c r="B727" s="4"/>
      <c r="C727" s="4"/>
      <c r="D727" s="15"/>
      <c r="E727" s="4"/>
      <c r="F727" s="4"/>
      <c r="G727" s="4"/>
      <c r="H727" s="4"/>
      <c r="I727" s="4"/>
      <c r="J727" s="4"/>
      <c r="K727" s="4"/>
      <c r="L727" s="4"/>
      <c r="M727" s="4"/>
      <c r="N727" s="4"/>
      <c r="O727" s="4"/>
      <c r="P727" s="4"/>
      <c r="Q727" s="4"/>
      <c r="R727" s="4"/>
      <c r="S727" s="4"/>
      <c r="T727" s="4"/>
      <c r="U727" s="4"/>
      <c r="V727" s="4"/>
      <c r="W727" s="4"/>
      <c r="X727" s="4"/>
      <c r="Y727" s="4"/>
      <c r="Z727" s="4"/>
      <c r="AA727" s="4"/>
      <c r="AB727" s="4"/>
    </row>
    <row r="728" spans="1:28" ht="12.75" hidden="1">
      <c r="A728" s="4"/>
      <c r="B728" s="4"/>
      <c r="C728" s="4"/>
      <c r="D728" s="15"/>
      <c r="E728" s="4"/>
      <c r="F728" s="4"/>
      <c r="G728" s="4"/>
      <c r="H728" s="4"/>
      <c r="I728" s="4"/>
      <c r="J728" s="4"/>
      <c r="K728" s="4"/>
      <c r="L728" s="4"/>
      <c r="M728" s="4"/>
      <c r="N728" s="4"/>
      <c r="O728" s="4"/>
      <c r="P728" s="4"/>
      <c r="Q728" s="4"/>
      <c r="R728" s="4"/>
      <c r="S728" s="4"/>
      <c r="T728" s="4"/>
      <c r="U728" s="4"/>
      <c r="V728" s="4"/>
      <c r="W728" s="4"/>
      <c r="X728" s="4"/>
      <c r="Y728" s="4"/>
      <c r="Z728" s="4"/>
      <c r="AA728" s="4"/>
      <c r="AB728" s="4"/>
    </row>
    <row r="729" spans="1:28" ht="12.75" hidden="1">
      <c r="A729" s="4"/>
      <c r="B729" s="4"/>
      <c r="C729" s="4"/>
      <c r="D729" s="15"/>
      <c r="E729" s="4"/>
      <c r="F729" s="4"/>
      <c r="G729" s="4"/>
      <c r="H729" s="4"/>
      <c r="I729" s="4"/>
      <c r="J729" s="4"/>
      <c r="K729" s="4"/>
      <c r="L729" s="4"/>
      <c r="M729" s="4"/>
      <c r="N729" s="4"/>
      <c r="O729" s="4"/>
      <c r="P729" s="4"/>
      <c r="Q729" s="4"/>
      <c r="R729" s="4"/>
      <c r="S729" s="4"/>
      <c r="T729" s="4"/>
      <c r="U729" s="4"/>
      <c r="V729" s="4"/>
      <c r="W729" s="4"/>
      <c r="X729" s="4"/>
      <c r="Y729" s="4"/>
      <c r="Z729" s="4"/>
      <c r="AA729" s="4"/>
      <c r="AB729" s="4"/>
    </row>
    <row r="730" spans="1:28" ht="12.75" hidden="1">
      <c r="A730" s="4"/>
      <c r="B730" s="4"/>
      <c r="C730" s="4"/>
      <c r="D730" s="15"/>
      <c r="E730" s="4"/>
      <c r="F730" s="4"/>
      <c r="G730" s="4"/>
      <c r="H730" s="4"/>
      <c r="I730" s="4"/>
      <c r="J730" s="4"/>
      <c r="K730" s="4"/>
      <c r="L730" s="4"/>
      <c r="M730" s="4"/>
      <c r="N730" s="4"/>
      <c r="O730" s="4"/>
      <c r="P730" s="4"/>
      <c r="Q730" s="4"/>
      <c r="R730" s="4"/>
      <c r="S730" s="4"/>
      <c r="T730" s="4"/>
      <c r="U730" s="4"/>
      <c r="V730" s="4"/>
      <c r="W730" s="4"/>
      <c r="X730" s="4"/>
      <c r="Y730" s="4"/>
      <c r="Z730" s="4"/>
      <c r="AA730" s="4"/>
      <c r="AB730" s="4"/>
    </row>
    <row r="731" spans="1:28" ht="12.75" hidden="1">
      <c r="A731" s="4"/>
      <c r="B731" s="4"/>
      <c r="C731" s="4"/>
      <c r="D731" s="15"/>
      <c r="E731" s="4"/>
      <c r="F731" s="4"/>
      <c r="G731" s="4"/>
      <c r="H731" s="4"/>
      <c r="I731" s="4"/>
      <c r="J731" s="4"/>
      <c r="K731" s="4"/>
      <c r="L731" s="4"/>
      <c r="M731" s="4"/>
      <c r="N731" s="4"/>
      <c r="O731" s="4"/>
      <c r="P731" s="4"/>
      <c r="Q731" s="4"/>
      <c r="R731" s="4"/>
      <c r="S731" s="4"/>
      <c r="T731" s="4"/>
      <c r="U731" s="4"/>
      <c r="V731" s="4"/>
      <c r="W731" s="4"/>
      <c r="X731" s="4"/>
      <c r="Y731" s="4"/>
      <c r="Z731" s="4"/>
      <c r="AA731" s="4"/>
      <c r="AB731" s="4"/>
    </row>
    <row r="732" spans="1:28" ht="12.75" hidden="1">
      <c r="A732" s="4"/>
      <c r="B732" s="4"/>
      <c r="C732" s="4"/>
      <c r="D732" s="15"/>
      <c r="E732" s="4"/>
      <c r="F732" s="4"/>
      <c r="G732" s="4"/>
      <c r="H732" s="4"/>
      <c r="I732" s="4"/>
      <c r="J732" s="4"/>
      <c r="K732" s="4"/>
      <c r="L732" s="4"/>
      <c r="M732" s="4"/>
      <c r="N732" s="4"/>
      <c r="O732" s="4"/>
      <c r="P732" s="4"/>
      <c r="Q732" s="4"/>
      <c r="R732" s="4"/>
      <c r="S732" s="4"/>
      <c r="T732" s="4"/>
      <c r="U732" s="4"/>
      <c r="V732" s="4"/>
      <c r="W732" s="4"/>
      <c r="X732" s="4"/>
      <c r="Y732" s="4"/>
      <c r="Z732" s="4"/>
      <c r="AA732" s="4"/>
      <c r="AB732" s="4"/>
    </row>
    <row r="733" spans="1:28" ht="12.75" hidden="1">
      <c r="A733" s="4"/>
      <c r="B733" s="4"/>
      <c r="C733" s="4"/>
      <c r="D733" s="15"/>
      <c r="E733" s="4"/>
      <c r="F733" s="4"/>
      <c r="G733" s="4"/>
      <c r="H733" s="4"/>
      <c r="I733" s="4"/>
      <c r="J733" s="4"/>
      <c r="K733" s="4"/>
      <c r="L733" s="4"/>
      <c r="M733" s="4"/>
      <c r="N733" s="4"/>
      <c r="O733" s="4"/>
      <c r="P733" s="4"/>
      <c r="Q733" s="4"/>
      <c r="R733" s="4"/>
      <c r="S733" s="4"/>
      <c r="T733" s="4"/>
      <c r="U733" s="4"/>
      <c r="V733" s="4"/>
      <c r="W733" s="4"/>
      <c r="X733" s="4"/>
      <c r="Y733" s="4"/>
      <c r="Z733" s="4"/>
      <c r="AA733" s="4"/>
      <c r="AB733" s="4"/>
    </row>
    <row r="734" spans="1:28" ht="12.75" hidden="1">
      <c r="A734" s="4"/>
      <c r="B734" s="4"/>
      <c r="C734" s="4"/>
      <c r="D734" s="15"/>
      <c r="E734" s="4"/>
      <c r="F734" s="4"/>
      <c r="G734" s="4"/>
      <c r="H734" s="4"/>
      <c r="I734" s="4"/>
      <c r="J734" s="4"/>
      <c r="K734" s="4"/>
      <c r="L734" s="4"/>
      <c r="M734" s="4"/>
      <c r="N734" s="4"/>
      <c r="O734" s="4"/>
      <c r="P734" s="4"/>
      <c r="Q734" s="4"/>
      <c r="R734" s="4"/>
      <c r="S734" s="4"/>
      <c r="T734" s="4"/>
      <c r="U734" s="4"/>
      <c r="V734" s="4"/>
      <c r="W734" s="4"/>
      <c r="X734" s="4"/>
      <c r="Y734" s="4"/>
      <c r="Z734" s="4"/>
      <c r="AA734" s="4"/>
      <c r="AB734" s="4"/>
    </row>
    <row r="735" spans="1:28" ht="12.75" hidden="1">
      <c r="A735" s="4"/>
      <c r="B735" s="4"/>
      <c r="C735" s="4"/>
      <c r="D735" s="15"/>
      <c r="E735" s="4"/>
      <c r="F735" s="4"/>
      <c r="G735" s="4"/>
      <c r="H735" s="4"/>
      <c r="I735" s="4"/>
      <c r="J735" s="4"/>
      <c r="K735" s="4"/>
      <c r="L735" s="4"/>
      <c r="M735" s="4"/>
      <c r="N735" s="4"/>
      <c r="O735" s="4"/>
      <c r="P735" s="4"/>
      <c r="Q735" s="4"/>
      <c r="R735" s="4"/>
      <c r="S735" s="4"/>
      <c r="T735" s="4"/>
      <c r="U735" s="4"/>
      <c r="V735" s="4"/>
      <c r="W735" s="4"/>
      <c r="X735" s="4"/>
      <c r="Y735" s="4"/>
      <c r="Z735" s="4"/>
      <c r="AA735" s="4"/>
      <c r="AB735" s="4"/>
    </row>
    <row r="736" spans="1:28" ht="12.75" hidden="1">
      <c r="A736" s="4"/>
      <c r="B736" s="4"/>
      <c r="C736" s="4"/>
      <c r="D736" s="15"/>
      <c r="E736" s="4"/>
      <c r="F736" s="4"/>
      <c r="G736" s="4"/>
      <c r="H736" s="4"/>
      <c r="I736" s="4"/>
      <c r="J736" s="4"/>
      <c r="K736" s="4"/>
      <c r="L736" s="4"/>
      <c r="M736" s="4"/>
      <c r="N736" s="4"/>
      <c r="O736" s="4"/>
      <c r="P736" s="4"/>
      <c r="Q736" s="4"/>
      <c r="R736" s="4"/>
      <c r="S736" s="4"/>
      <c r="T736" s="4"/>
      <c r="U736" s="4"/>
      <c r="V736" s="4"/>
      <c r="W736" s="4"/>
      <c r="X736" s="4"/>
      <c r="Y736" s="4"/>
      <c r="Z736" s="4"/>
      <c r="AA736" s="4"/>
      <c r="AB736" s="4"/>
    </row>
    <row r="737" spans="1:28" ht="12.75" hidden="1">
      <c r="A737" s="4"/>
      <c r="B737" s="4"/>
      <c r="C737" s="4"/>
      <c r="D737" s="15"/>
      <c r="E737" s="4"/>
      <c r="F737" s="4"/>
      <c r="G737" s="4"/>
      <c r="H737" s="4"/>
      <c r="I737" s="4"/>
      <c r="J737" s="4"/>
      <c r="K737" s="4"/>
      <c r="L737" s="4"/>
      <c r="M737" s="4"/>
      <c r="N737" s="4"/>
      <c r="O737" s="4"/>
      <c r="P737" s="4"/>
      <c r="Q737" s="4"/>
      <c r="R737" s="4"/>
      <c r="S737" s="4"/>
      <c r="T737" s="4"/>
      <c r="U737" s="4"/>
      <c r="V737" s="4"/>
      <c r="W737" s="4"/>
      <c r="X737" s="4"/>
      <c r="Y737" s="4"/>
      <c r="Z737" s="4"/>
      <c r="AA737" s="4"/>
      <c r="AB737" s="4"/>
    </row>
    <row r="738" spans="1:28" ht="12.75" hidden="1">
      <c r="A738" s="4"/>
      <c r="B738" s="4"/>
      <c r="C738" s="4"/>
      <c r="D738" s="15"/>
      <c r="E738" s="4"/>
      <c r="F738" s="4"/>
      <c r="G738" s="4"/>
      <c r="H738" s="4"/>
      <c r="I738" s="4"/>
      <c r="J738" s="4"/>
      <c r="K738" s="4"/>
      <c r="L738" s="4"/>
      <c r="M738" s="4"/>
      <c r="N738" s="4"/>
      <c r="O738" s="4"/>
      <c r="P738" s="4"/>
      <c r="Q738" s="4"/>
      <c r="R738" s="4"/>
      <c r="S738" s="4"/>
      <c r="T738" s="4"/>
      <c r="U738" s="4"/>
      <c r="V738" s="4"/>
      <c r="W738" s="4"/>
      <c r="X738" s="4"/>
      <c r="Y738" s="4"/>
      <c r="Z738" s="4"/>
      <c r="AA738" s="4"/>
      <c r="AB738" s="4"/>
    </row>
    <row r="739" spans="1:28" ht="12.75" hidden="1">
      <c r="A739" s="4"/>
      <c r="B739" s="4"/>
      <c r="C739" s="4"/>
      <c r="D739" s="15"/>
      <c r="E739" s="4"/>
      <c r="F739" s="4"/>
      <c r="G739" s="4"/>
      <c r="H739" s="4"/>
      <c r="I739" s="4"/>
      <c r="J739" s="4"/>
      <c r="K739" s="4"/>
      <c r="L739" s="4"/>
      <c r="M739" s="4"/>
      <c r="N739" s="4"/>
      <c r="O739" s="4"/>
      <c r="P739" s="4"/>
      <c r="Q739" s="4"/>
      <c r="R739" s="4"/>
      <c r="S739" s="4"/>
      <c r="T739" s="4"/>
      <c r="U739" s="4"/>
      <c r="V739" s="4"/>
      <c r="W739" s="4"/>
      <c r="X739" s="4"/>
      <c r="Y739" s="4"/>
      <c r="Z739" s="4"/>
      <c r="AA739" s="4"/>
      <c r="AB739" s="4"/>
    </row>
    <row r="740" spans="1:28" ht="12.75" hidden="1">
      <c r="A740" s="4"/>
      <c r="B740" s="4"/>
      <c r="C740" s="4"/>
      <c r="D740" s="15"/>
      <c r="E740" s="4"/>
      <c r="F740" s="4"/>
      <c r="G740" s="4"/>
      <c r="H740" s="4"/>
      <c r="I740" s="4"/>
      <c r="J740" s="4"/>
      <c r="K740" s="4"/>
      <c r="L740" s="4"/>
      <c r="M740" s="4"/>
      <c r="N740" s="4"/>
      <c r="O740" s="4"/>
      <c r="P740" s="4"/>
      <c r="Q740" s="4"/>
      <c r="R740" s="4"/>
      <c r="S740" s="4"/>
      <c r="T740" s="4"/>
      <c r="U740" s="4"/>
      <c r="V740" s="4"/>
      <c r="W740" s="4"/>
      <c r="X740" s="4"/>
      <c r="Y740" s="4"/>
      <c r="Z740" s="4"/>
      <c r="AA740" s="4"/>
      <c r="AB740" s="4"/>
    </row>
    <row r="741" spans="1:28" ht="12.75" hidden="1">
      <c r="A741" s="4"/>
      <c r="B741" s="4"/>
      <c r="C741" s="4"/>
      <c r="D741" s="15"/>
      <c r="E741" s="4"/>
      <c r="F741" s="4"/>
      <c r="G741" s="4"/>
      <c r="H741" s="4"/>
      <c r="I741" s="4"/>
      <c r="J741" s="4"/>
      <c r="K741" s="4"/>
      <c r="L741" s="4"/>
      <c r="M741" s="4"/>
      <c r="N741" s="4"/>
      <c r="O741" s="4"/>
      <c r="P741" s="4"/>
      <c r="Q741" s="4"/>
      <c r="R741" s="4"/>
      <c r="S741" s="4"/>
      <c r="T741" s="4"/>
      <c r="U741" s="4"/>
      <c r="V741" s="4"/>
      <c r="W741" s="4"/>
      <c r="X741" s="4"/>
      <c r="Y741" s="4"/>
      <c r="Z741" s="4"/>
      <c r="AA741" s="4"/>
      <c r="AB741" s="4"/>
    </row>
    <row r="742" spans="1:28" ht="12.75" hidden="1">
      <c r="A742" s="4"/>
      <c r="B742" s="4"/>
      <c r="C742" s="4"/>
      <c r="D742" s="15"/>
      <c r="E742" s="4"/>
      <c r="F742" s="4"/>
      <c r="G742" s="4"/>
      <c r="H742" s="4"/>
      <c r="I742" s="4"/>
      <c r="J742" s="4"/>
      <c r="K742" s="4"/>
      <c r="L742" s="4"/>
      <c r="M742" s="4"/>
      <c r="N742" s="4"/>
      <c r="O742" s="4"/>
      <c r="P742" s="4"/>
      <c r="Q742" s="4"/>
      <c r="R742" s="4"/>
      <c r="S742" s="4"/>
      <c r="T742" s="4"/>
      <c r="U742" s="4"/>
      <c r="V742" s="4"/>
      <c r="W742" s="4"/>
      <c r="X742" s="4"/>
      <c r="Y742" s="4"/>
      <c r="Z742" s="4"/>
      <c r="AA742" s="4"/>
      <c r="AB742" s="4"/>
    </row>
    <row r="743" spans="1:28" ht="12.75" hidden="1">
      <c r="A743" s="4"/>
      <c r="B743" s="4"/>
      <c r="C743" s="4"/>
      <c r="D743" s="15"/>
      <c r="E743" s="4"/>
      <c r="F743" s="4"/>
      <c r="G743" s="4"/>
      <c r="H743" s="4"/>
      <c r="I743" s="4"/>
      <c r="J743" s="4"/>
      <c r="K743" s="4"/>
      <c r="L743" s="4"/>
      <c r="M743" s="4"/>
      <c r="N743" s="4"/>
      <c r="O743" s="4"/>
      <c r="P743" s="4"/>
      <c r="Q743" s="4"/>
      <c r="R743" s="4"/>
      <c r="S743" s="4"/>
      <c r="T743" s="4"/>
      <c r="U743" s="4"/>
      <c r="V743" s="4"/>
      <c r="W743" s="4"/>
      <c r="X743" s="4"/>
      <c r="Y743" s="4"/>
      <c r="Z743" s="4"/>
      <c r="AA743" s="4"/>
      <c r="AB743" s="4"/>
    </row>
    <row r="744" spans="1:28" ht="12.75" hidden="1">
      <c r="A744" s="4"/>
      <c r="B744" s="4"/>
      <c r="C744" s="4"/>
      <c r="D744" s="15"/>
      <c r="E744" s="4"/>
      <c r="F744" s="4"/>
      <c r="G744" s="4"/>
      <c r="H744" s="4"/>
      <c r="I744" s="4"/>
      <c r="J744" s="4"/>
      <c r="K744" s="4"/>
      <c r="L744" s="4"/>
      <c r="M744" s="4"/>
      <c r="N744" s="4"/>
      <c r="O744" s="4"/>
      <c r="P744" s="4"/>
      <c r="Q744" s="4"/>
      <c r="R744" s="4"/>
      <c r="S744" s="4"/>
      <c r="T744" s="4"/>
      <c r="U744" s="4"/>
      <c r="V744" s="4"/>
      <c r="W744" s="4"/>
      <c r="X744" s="4"/>
      <c r="Y744" s="4"/>
      <c r="Z744" s="4"/>
      <c r="AA744" s="4"/>
      <c r="AB744" s="4"/>
    </row>
    <row r="745" spans="1:28" ht="12.75" hidden="1">
      <c r="A745" s="4"/>
      <c r="B745" s="4"/>
      <c r="C745" s="4"/>
      <c r="D745" s="15"/>
      <c r="E745" s="4"/>
      <c r="F745" s="4"/>
      <c r="G745" s="4"/>
      <c r="H745" s="4"/>
      <c r="I745" s="4"/>
      <c r="J745" s="4"/>
      <c r="K745" s="4"/>
      <c r="L745" s="4"/>
      <c r="M745" s="4"/>
      <c r="N745" s="4"/>
      <c r="O745" s="4"/>
      <c r="P745" s="4"/>
      <c r="Q745" s="4"/>
      <c r="R745" s="4"/>
      <c r="S745" s="4"/>
      <c r="T745" s="4"/>
      <c r="U745" s="4"/>
      <c r="V745" s="4"/>
      <c r="W745" s="4"/>
      <c r="X745" s="4"/>
      <c r="Y745" s="4"/>
      <c r="Z745" s="4"/>
      <c r="AA745" s="4"/>
      <c r="AB745" s="4"/>
    </row>
    <row r="746" spans="1:28" ht="12.75" hidden="1">
      <c r="A746" s="4"/>
      <c r="B746" s="4"/>
      <c r="C746" s="4"/>
      <c r="D746" s="15"/>
      <c r="E746" s="4"/>
      <c r="F746" s="4"/>
      <c r="G746" s="4"/>
      <c r="H746" s="4"/>
      <c r="I746" s="4"/>
      <c r="J746" s="4"/>
      <c r="K746" s="4"/>
      <c r="L746" s="4"/>
      <c r="M746" s="4"/>
      <c r="N746" s="4"/>
      <c r="O746" s="4"/>
      <c r="P746" s="4"/>
      <c r="Q746" s="4"/>
      <c r="R746" s="4"/>
      <c r="S746" s="4"/>
      <c r="T746" s="4"/>
      <c r="U746" s="4"/>
      <c r="V746" s="4"/>
      <c r="W746" s="4"/>
      <c r="X746" s="4"/>
      <c r="Y746" s="4"/>
      <c r="Z746" s="4"/>
      <c r="AA746" s="4"/>
      <c r="AB746" s="4"/>
    </row>
    <row r="747" spans="1:28" ht="12.75" hidden="1">
      <c r="A747" s="4"/>
      <c r="B747" s="4"/>
      <c r="C747" s="4"/>
      <c r="D747" s="15"/>
      <c r="E747" s="4"/>
      <c r="F747" s="4"/>
      <c r="G747" s="4"/>
      <c r="H747" s="4"/>
      <c r="I747" s="4"/>
      <c r="J747" s="4"/>
      <c r="K747" s="4"/>
      <c r="L747" s="4"/>
      <c r="M747" s="4"/>
      <c r="N747" s="4"/>
      <c r="O747" s="4"/>
      <c r="P747" s="4"/>
      <c r="Q747" s="4"/>
      <c r="R747" s="4"/>
      <c r="S747" s="4"/>
      <c r="T747" s="4"/>
      <c r="U747" s="4"/>
      <c r="V747" s="4"/>
      <c r="W747" s="4"/>
      <c r="X747" s="4"/>
      <c r="Y747" s="4"/>
      <c r="Z747" s="4"/>
      <c r="AA747" s="4"/>
      <c r="AB747" s="4"/>
    </row>
    <row r="748" spans="1:28" ht="12.75" hidden="1">
      <c r="A748" s="4"/>
      <c r="B748" s="4"/>
      <c r="C748" s="4"/>
      <c r="D748" s="15"/>
      <c r="E748" s="4"/>
      <c r="F748" s="4"/>
      <c r="G748" s="4"/>
      <c r="H748" s="4"/>
      <c r="I748" s="4"/>
      <c r="J748" s="4"/>
      <c r="K748" s="4"/>
      <c r="L748" s="4"/>
      <c r="M748" s="4"/>
      <c r="N748" s="4"/>
      <c r="O748" s="4"/>
      <c r="P748" s="4"/>
      <c r="Q748" s="4"/>
      <c r="R748" s="4"/>
      <c r="S748" s="4"/>
      <c r="T748" s="4"/>
      <c r="U748" s="4"/>
      <c r="V748" s="4"/>
      <c r="W748" s="4"/>
      <c r="X748" s="4"/>
      <c r="Y748" s="4"/>
      <c r="Z748" s="4"/>
      <c r="AA748" s="4"/>
      <c r="AB748" s="4"/>
    </row>
    <row r="749" spans="1:28" ht="12.75" hidden="1">
      <c r="A749" s="4"/>
      <c r="B749" s="4"/>
      <c r="C749" s="4"/>
      <c r="D749" s="15"/>
      <c r="E749" s="4"/>
      <c r="F749" s="4"/>
      <c r="G749" s="4"/>
      <c r="H749" s="4"/>
      <c r="I749" s="4"/>
      <c r="J749" s="4"/>
      <c r="K749" s="4"/>
      <c r="L749" s="4"/>
      <c r="M749" s="4"/>
      <c r="N749" s="4"/>
      <c r="O749" s="4"/>
      <c r="P749" s="4"/>
      <c r="Q749" s="4"/>
      <c r="R749" s="4"/>
      <c r="S749" s="4"/>
      <c r="T749" s="4"/>
      <c r="U749" s="4"/>
      <c r="V749" s="4"/>
      <c r="W749" s="4"/>
      <c r="X749" s="4"/>
      <c r="Y749" s="4"/>
      <c r="Z749" s="4"/>
      <c r="AA749" s="4"/>
      <c r="AB749" s="4"/>
    </row>
    <row r="750" spans="1:28" ht="12.75" hidden="1">
      <c r="A750" s="4"/>
      <c r="B750" s="4"/>
      <c r="C750" s="4"/>
      <c r="D750" s="15"/>
      <c r="E750" s="4"/>
      <c r="F750" s="4"/>
      <c r="G750" s="4"/>
      <c r="H750" s="4"/>
      <c r="I750" s="4"/>
      <c r="J750" s="4"/>
      <c r="K750" s="4"/>
      <c r="L750" s="4"/>
      <c r="M750" s="4"/>
      <c r="N750" s="4"/>
      <c r="O750" s="4"/>
      <c r="P750" s="4"/>
      <c r="Q750" s="4"/>
      <c r="R750" s="4"/>
      <c r="S750" s="4"/>
      <c r="T750" s="4"/>
      <c r="U750" s="4"/>
      <c r="V750" s="4"/>
      <c r="W750" s="4"/>
      <c r="X750" s="4"/>
      <c r="Y750" s="4"/>
      <c r="Z750" s="4"/>
      <c r="AA750" s="4"/>
      <c r="AB750" s="4"/>
    </row>
    <row r="751" spans="1:28" ht="12.75" hidden="1">
      <c r="A751" s="4"/>
      <c r="B751" s="4"/>
      <c r="C751" s="4"/>
      <c r="D751" s="15"/>
      <c r="E751" s="4"/>
      <c r="F751" s="4"/>
      <c r="G751" s="4"/>
      <c r="H751" s="4"/>
      <c r="I751" s="4"/>
      <c r="J751" s="4"/>
      <c r="K751" s="4"/>
      <c r="L751" s="4"/>
      <c r="M751" s="4"/>
      <c r="N751" s="4"/>
      <c r="O751" s="4"/>
      <c r="P751" s="4"/>
      <c r="Q751" s="4"/>
      <c r="R751" s="4"/>
      <c r="S751" s="4"/>
      <c r="T751" s="4"/>
      <c r="U751" s="4"/>
      <c r="V751" s="4"/>
      <c r="W751" s="4"/>
      <c r="X751" s="4"/>
      <c r="Y751" s="4"/>
      <c r="Z751" s="4"/>
      <c r="AA751" s="4"/>
      <c r="AB751" s="4"/>
    </row>
    <row r="752" spans="1:28" ht="12.75" hidden="1">
      <c r="A752" s="4"/>
      <c r="B752" s="4"/>
      <c r="C752" s="4"/>
      <c r="D752" s="15"/>
      <c r="E752" s="4"/>
      <c r="F752" s="4"/>
      <c r="G752" s="4"/>
      <c r="H752" s="4"/>
      <c r="I752" s="4"/>
      <c r="J752" s="4"/>
      <c r="K752" s="4"/>
      <c r="L752" s="4"/>
      <c r="M752" s="4"/>
      <c r="N752" s="4"/>
      <c r="O752" s="4"/>
      <c r="P752" s="4"/>
      <c r="Q752" s="4"/>
      <c r="R752" s="4"/>
      <c r="S752" s="4"/>
      <c r="T752" s="4"/>
      <c r="U752" s="4"/>
      <c r="V752" s="4"/>
      <c r="W752" s="4"/>
      <c r="X752" s="4"/>
      <c r="Y752" s="4"/>
      <c r="Z752" s="4"/>
      <c r="AA752" s="4"/>
      <c r="AB752" s="4"/>
    </row>
    <row r="753" spans="1:28" ht="12.75" hidden="1">
      <c r="A753" s="4"/>
      <c r="B753" s="4"/>
      <c r="C753" s="4"/>
      <c r="D753" s="15"/>
      <c r="E753" s="4"/>
      <c r="F753" s="4"/>
      <c r="G753" s="4"/>
      <c r="H753" s="4"/>
      <c r="I753" s="4"/>
      <c r="J753" s="4"/>
      <c r="K753" s="4"/>
      <c r="L753" s="4"/>
      <c r="M753" s="4"/>
      <c r="N753" s="4"/>
      <c r="O753" s="4"/>
      <c r="P753" s="4"/>
      <c r="Q753" s="4"/>
      <c r="R753" s="4"/>
      <c r="S753" s="4"/>
      <c r="T753" s="4"/>
      <c r="U753" s="4"/>
      <c r="V753" s="4"/>
      <c r="W753" s="4"/>
      <c r="X753" s="4"/>
      <c r="Y753" s="4"/>
      <c r="Z753" s="4"/>
      <c r="AA753" s="4"/>
      <c r="AB753" s="4"/>
    </row>
    <row r="754" spans="1:28" ht="12.75" hidden="1">
      <c r="A754" s="4"/>
      <c r="B754" s="4"/>
      <c r="C754" s="4"/>
      <c r="D754" s="15"/>
      <c r="E754" s="4"/>
      <c r="F754" s="4"/>
      <c r="G754" s="4"/>
      <c r="H754" s="4"/>
      <c r="I754" s="4"/>
      <c r="J754" s="4"/>
      <c r="K754" s="4"/>
      <c r="L754" s="4"/>
      <c r="M754" s="4"/>
      <c r="N754" s="4"/>
      <c r="O754" s="4"/>
      <c r="P754" s="4"/>
      <c r="Q754" s="4"/>
      <c r="R754" s="4"/>
      <c r="S754" s="4"/>
      <c r="T754" s="4"/>
      <c r="U754" s="4"/>
      <c r="V754" s="4"/>
      <c r="W754" s="4"/>
      <c r="X754" s="4"/>
      <c r="Y754" s="4"/>
      <c r="Z754" s="4"/>
      <c r="AA754" s="4"/>
      <c r="AB754" s="4"/>
    </row>
    <row r="755" spans="1:28" ht="12.75" hidden="1">
      <c r="A755" s="4"/>
      <c r="B755" s="4"/>
      <c r="C755" s="4"/>
      <c r="D755" s="15"/>
      <c r="E755" s="4"/>
      <c r="F755" s="4"/>
      <c r="G755" s="4"/>
      <c r="H755" s="4"/>
      <c r="I755" s="4"/>
      <c r="J755" s="4"/>
      <c r="K755" s="4"/>
      <c r="L755" s="4"/>
      <c r="M755" s="4"/>
      <c r="N755" s="4"/>
      <c r="O755" s="4"/>
      <c r="P755" s="4"/>
      <c r="Q755" s="4"/>
      <c r="R755" s="4"/>
      <c r="S755" s="4"/>
      <c r="T755" s="4"/>
      <c r="U755" s="4"/>
      <c r="V755" s="4"/>
      <c r="W755" s="4"/>
      <c r="X755" s="4"/>
      <c r="Y755" s="4"/>
      <c r="Z755" s="4"/>
      <c r="AA755" s="4"/>
      <c r="AB755" s="4"/>
    </row>
    <row r="756" spans="1:28" ht="12.75" hidden="1">
      <c r="A756" s="4"/>
      <c r="B756" s="4"/>
      <c r="C756" s="4"/>
      <c r="D756" s="15"/>
      <c r="E756" s="4"/>
      <c r="F756" s="4"/>
      <c r="G756" s="4"/>
      <c r="H756" s="4"/>
      <c r="I756" s="4"/>
      <c r="J756" s="4"/>
      <c r="K756" s="4"/>
      <c r="L756" s="4"/>
      <c r="M756" s="4"/>
      <c r="N756" s="4"/>
      <c r="O756" s="4"/>
      <c r="P756" s="4"/>
      <c r="Q756" s="4"/>
      <c r="R756" s="4"/>
      <c r="S756" s="4"/>
      <c r="T756" s="4"/>
      <c r="U756" s="4"/>
      <c r="V756" s="4"/>
      <c r="W756" s="4"/>
      <c r="X756" s="4"/>
      <c r="Y756" s="4"/>
      <c r="Z756" s="4"/>
      <c r="AA756" s="4"/>
      <c r="AB756" s="4"/>
    </row>
    <row r="757" spans="1:28" ht="12.75" hidden="1">
      <c r="A757" s="4"/>
      <c r="B757" s="4"/>
      <c r="C757" s="4"/>
      <c r="D757" s="15"/>
      <c r="E757" s="4"/>
      <c r="F757" s="4"/>
      <c r="G757" s="4"/>
      <c r="H757" s="4"/>
      <c r="I757" s="4"/>
      <c r="J757" s="4"/>
      <c r="K757" s="4"/>
      <c r="L757" s="4"/>
      <c r="M757" s="4"/>
      <c r="N757" s="4"/>
      <c r="O757" s="4"/>
      <c r="P757" s="4"/>
      <c r="Q757" s="4"/>
      <c r="R757" s="4"/>
      <c r="S757" s="4"/>
      <c r="T757" s="4"/>
      <c r="U757" s="4"/>
      <c r="V757" s="4"/>
      <c r="W757" s="4"/>
      <c r="X757" s="4"/>
      <c r="Y757" s="4"/>
      <c r="Z757" s="4"/>
      <c r="AA757" s="4"/>
      <c r="AB757" s="4"/>
    </row>
    <row r="758" spans="1:28" ht="12.75" hidden="1">
      <c r="A758" s="4"/>
      <c r="B758" s="4"/>
      <c r="C758" s="4"/>
      <c r="D758" s="15"/>
      <c r="E758" s="4"/>
      <c r="F758" s="4"/>
      <c r="G758" s="4"/>
      <c r="H758" s="4"/>
      <c r="I758" s="4"/>
      <c r="J758" s="4"/>
      <c r="K758" s="4"/>
      <c r="L758" s="4"/>
      <c r="M758" s="4"/>
      <c r="N758" s="4"/>
      <c r="O758" s="4"/>
      <c r="P758" s="4"/>
      <c r="Q758" s="4"/>
      <c r="R758" s="4"/>
      <c r="S758" s="4"/>
      <c r="T758" s="4"/>
      <c r="U758" s="4"/>
      <c r="V758" s="4"/>
      <c r="W758" s="4"/>
      <c r="X758" s="4"/>
      <c r="Y758" s="4"/>
      <c r="Z758" s="4"/>
      <c r="AA758" s="4"/>
      <c r="AB758" s="4"/>
    </row>
    <row r="759" spans="1:28" ht="12.75" hidden="1">
      <c r="A759" s="4"/>
      <c r="B759" s="4"/>
      <c r="C759" s="4"/>
      <c r="D759" s="15"/>
      <c r="E759" s="4"/>
      <c r="F759" s="4"/>
      <c r="G759" s="4"/>
      <c r="H759" s="4"/>
      <c r="I759" s="4"/>
      <c r="J759" s="4"/>
      <c r="K759" s="4"/>
      <c r="L759" s="4"/>
      <c r="M759" s="4"/>
      <c r="N759" s="4"/>
      <c r="O759" s="4"/>
      <c r="P759" s="4"/>
      <c r="Q759" s="4"/>
      <c r="R759" s="4"/>
      <c r="S759" s="4"/>
      <c r="T759" s="4"/>
      <c r="U759" s="4"/>
      <c r="V759" s="4"/>
      <c r="W759" s="4"/>
      <c r="X759" s="4"/>
      <c r="Y759" s="4"/>
      <c r="Z759" s="4"/>
      <c r="AA759" s="4"/>
      <c r="AB759" s="4"/>
    </row>
    <row r="760" spans="1:28" ht="12.75" hidden="1">
      <c r="A760" s="4"/>
      <c r="B760" s="4"/>
      <c r="C760" s="4"/>
      <c r="D760" s="15"/>
      <c r="E760" s="4"/>
      <c r="F760" s="4"/>
      <c r="G760" s="4"/>
      <c r="H760" s="4"/>
      <c r="I760" s="4"/>
      <c r="J760" s="4"/>
      <c r="K760" s="4"/>
      <c r="L760" s="4"/>
      <c r="M760" s="4"/>
      <c r="N760" s="4"/>
      <c r="O760" s="4"/>
      <c r="P760" s="4"/>
      <c r="Q760" s="4"/>
      <c r="R760" s="4"/>
      <c r="S760" s="4"/>
      <c r="T760" s="4"/>
      <c r="U760" s="4"/>
      <c r="V760" s="4"/>
      <c r="W760" s="4"/>
      <c r="X760" s="4"/>
      <c r="Y760" s="4"/>
      <c r="Z760" s="4"/>
      <c r="AA760" s="4"/>
      <c r="AB760" s="4"/>
    </row>
    <row r="761" spans="1:28" ht="12.75" hidden="1">
      <c r="A761" s="4"/>
      <c r="B761" s="4"/>
      <c r="C761" s="4"/>
      <c r="D761" s="15"/>
      <c r="E761" s="4"/>
      <c r="F761" s="4"/>
      <c r="G761" s="4"/>
      <c r="H761" s="4"/>
      <c r="I761" s="4"/>
      <c r="J761" s="4"/>
      <c r="K761" s="4"/>
      <c r="L761" s="4"/>
      <c r="M761" s="4"/>
      <c r="N761" s="4"/>
      <c r="O761" s="4"/>
      <c r="P761" s="4"/>
      <c r="Q761" s="4"/>
      <c r="R761" s="4"/>
      <c r="S761" s="4"/>
      <c r="T761" s="4"/>
      <c r="U761" s="4"/>
      <c r="V761" s="4"/>
      <c r="W761" s="4"/>
      <c r="X761" s="4"/>
      <c r="Y761" s="4"/>
      <c r="Z761" s="4"/>
      <c r="AA761" s="4"/>
      <c r="AB761" s="4"/>
    </row>
    <row r="762" spans="1:28" ht="12.75" hidden="1">
      <c r="A762" s="4"/>
      <c r="B762" s="4"/>
      <c r="C762" s="4"/>
      <c r="D762" s="15"/>
      <c r="E762" s="4"/>
      <c r="F762" s="4"/>
      <c r="G762" s="4"/>
      <c r="H762" s="4"/>
      <c r="I762" s="4"/>
      <c r="J762" s="4"/>
      <c r="K762" s="4"/>
      <c r="L762" s="4"/>
      <c r="M762" s="4"/>
      <c r="N762" s="4"/>
      <c r="O762" s="4"/>
      <c r="P762" s="4"/>
      <c r="Q762" s="4"/>
      <c r="R762" s="4"/>
      <c r="S762" s="4"/>
      <c r="T762" s="4"/>
      <c r="U762" s="4"/>
      <c r="V762" s="4"/>
      <c r="W762" s="4"/>
      <c r="X762" s="4"/>
      <c r="Y762" s="4"/>
      <c r="Z762" s="4"/>
      <c r="AA762" s="4"/>
      <c r="AB762" s="4"/>
    </row>
    <row r="763" spans="1:28" ht="12.75" hidden="1">
      <c r="A763" s="4"/>
      <c r="B763" s="4"/>
      <c r="C763" s="4"/>
      <c r="D763" s="15"/>
      <c r="E763" s="4"/>
      <c r="F763" s="4"/>
      <c r="G763" s="4"/>
      <c r="H763" s="4"/>
      <c r="I763" s="4"/>
      <c r="J763" s="4"/>
      <c r="K763" s="4"/>
      <c r="L763" s="4"/>
      <c r="M763" s="4"/>
      <c r="N763" s="4"/>
      <c r="O763" s="4"/>
      <c r="P763" s="4"/>
      <c r="Q763" s="4"/>
      <c r="R763" s="4"/>
      <c r="S763" s="4"/>
      <c r="T763" s="4"/>
      <c r="U763" s="4"/>
      <c r="V763" s="4"/>
      <c r="W763" s="4"/>
      <c r="X763" s="4"/>
      <c r="Y763" s="4"/>
      <c r="Z763" s="4"/>
      <c r="AA763" s="4"/>
      <c r="AB763" s="4"/>
    </row>
    <row r="764" spans="1:28" ht="12.75" hidden="1">
      <c r="A764" s="4"/>
      <c r="B764" s="4"/>
      <c r="C764" s="4"/>
      <c r="D764" s="15"/>
      <c r="E764" s="4"/>
      <c r="F764" s="4"/>
      <c r="G764" s="4"/>
      <c r="H764" s="4"/>
      <c r="I764" s="4"/>
      <c r="J764" s="4"/>
      <c r="K764" s="4"/>
      <c r="L764" s="4"/>
      <c r="M764" s="4"/>
      <c r="N764" s="4"/>
      <c r="O764" s="4"/>
      <c r="P764" s="4"/>
      <c r="Q764" s="4"/>
      <c r="R764" s="4"/>
      <c r="S764" s="4"/>
      <c r="T764" s="4"/>
      <c r="U764" s="4"/>
      <c r="V764" s="4"/>
      <c r="W764" s="4"/>
      <c r="X764" s="4"/>
      <c r="Y764" s="4"/>
      <c r="Z764" s="4"/>
      <c r="AA764" s="4"/>
      <c r="AB764" s="4"/>
    </row>
    <row r="765" spans="1:28" ht="12.75" hidden="1">
      <c r="A765" s="4"/>
      <c r="B765" s="4"/>
      <c r="C765" s="4"/>
      <c r="D765" s="15"/>
      <c r="E765" s="4"/>
      <c r="F765" s="4"/>
      <c r="G765" s="4"/>
      <c r="H765" s="4"/>
      <c r="I765" s="4"/>
      <c r="J765" s="4"/>
      <c r="K765" s="4"/>
      <c r="L765" s="4"/>
      <c r="M765" s="4"/>
      <c r="N765" s="4"/>
      <c r="O765" s="4"/>
      <c r="P765" s="4"/>
      <c r="Q765" s="4"/>
      <c r="R765" s="4"/>
      <c r="S765" s="4"/>
      <c r="T765" s="4"/>
      <c r="U765" s="4"/>
      <c r="V765" s="4"/>
      <c r="W765" s="4"/>
      <c r="X765" s="4"/>
      <c r="Y765" s="4"/>
      <c r="Z765" s="4"/>
      <c r="AA765" s="4"/>
      <c r="AB765" s="4"/>
    </row>
    <row r="766" spans="1:28" ht="12.75" hidden="1">
      <c r="A766" s="4"/>
      <c r="B766" s="4"/>
      <c r="C766" s="4"/>
      <c r="D766" s="15"/>
      <c r="E766" s="4"/>
      <c r="F766" s="4"/>
      <c r="G766" s="4"/>
      <c r="H766" s="4"/>
      <c r="I766" s="4"/>
      <c r="J766" s="4"/>
      <c r="K766" s="4"/>
      <c r="L766" s="4"/>
      <c r="M766" s="4"/>
      <c r="N766" s="4"/>
      <c r="O766" s="4"/>
      <c r="P766" s="4"/>
      <c r="Q766" s="4"/>
      <c r="R766" s="4"/>
      <c r="S766" s="4"/>
      <c r="T766" s="4"/>
      <c r="U766" s="4"/>
      <c r="V766" s="4"/>
      <c r="W766" s="4"/>
      <c r="X766" s="4"/>
      <c r="Y766" s="4"/>
      <c r="Z766" s="4"/>
      <c r="AA766" s="4"/>
      <c r="AB766" s="4"/>
    </row>
    <row r="767" spans="1:28" ht="12.75" hidden="1">
      <c r="A767" s="4"/>
      <c r="B767" s="4"/>
      <c r="C767" s="4"/>
      <c r="D767" s="15"/>
      <c r="E767" s="4"/>
      <c r="F767" s="4"/>
      <c r="G767" s="4"/>
      <c r="H767" s="4"/>
      <c r="I767" s="4"/>
      <c r="J767" s="4"/>
      <c r="K767" s="4"/>
      <c r="L767" s="4"/>
      <c r="M767" s="4"/>
      <c r="N767" s="4"/>
      <c r="O767" s="4"/>
      <c r="P767" s="4"/>
      <c r="Q767" s="4"/>
      <c r="R767" s="4"/>
      <c r="S767" s="4"/>
      <c r="T767" s="4"/>
      <c r="U767" s="4"/>
      <c r="V767" s="4"/>
      <c r="W767" s="4"/>
      <c r="X767" s="4"/>
      <c r="Y767" s="4"/>
      <c r="Z767" s="4"/>
      <c r="AA767" s="4"/>
      <c r="AB767" s="4"/>
    </row>
    <row r="768" spans="1:28" ht="12.75" hidden="1">
      <c r="A768" s="4"/>
      <c r="B768" s="4"/>
      <c r="C768" s="4"/>
      <c r="D768" s="15"/>
      <c r="E768" s="4"/>
      <c r="F768" s="4"/>
      <c r="G768" s="4"/>
      <c r="H768" s="4"/>
      <c r="I768" s="4"/>
      <c r="J768" s="4"/>
      <c r="K768" s="4"/>
      <c r="L768" s="4"/>
      <c r="M768" s="4"/>
      <c r="N768" s="4"/>
      <c r="O768" s="4"/>
      <c r="P768" s="4"/>
      <c r="Q768" s="4"/>
      <c r="R768" s="4"/>
      <c r="S768" s="4"/>
      <c r="T768" s="4"/>
      <c r="U768" s="4"/>
      <c r="V768" s="4"/>
      <c r="W768" s="4"/>
      <c r="X768" s="4"/>
      <c r="Y768" s="4"/>
      <c r="Z768" s="4"/>
      <c r="AA768" s="4"/>
      <c r="AB768" s="4"/>
    </row>
    <row r="769" spans="1:28" ht="12.75" hidden="1">
      <c r="A769" s="4"/>
      <c r="B769" s="4"/>
      <c r="C769" s="4"/>
      <c r="D769" s="15"/>
      <c r="E769" s="4"/>
      <c r="F769" s="4"/>
      <c r="G769" s="4"/>
      <c r="H769" s="4"/>
      <c r="I769" s="4"/>
      <c r="J769" s="4"/>
      <c r="K769" s="4"/>
      <c r="L769" s="4"/>
      <c r="M769" s="4"/>
      <c r="N769" s="4"/>
      <c r="O769" s="4"/>
      <c r="P769" s="4"/>
      <c r="Q769" s="4"/>
      <c r="R769" s="4"/>
      <c r="S769" s="4"/>
      <c r="T769" s="4"/>
      <c r="U769" s="4"/>
      <c r="V769" s="4"/>
      <c r="W769" s="4"/>
      <c r="X769" s="4"/>
      <c r="Y769" s="4"/>
      <c r="Z769" s="4"/>
      <c r="AA769" s="4"/>
      <c r="AB769" s="4"/>
    </row>
    <row r="770" spans="1:28" ht="12.75" hidden="1">
      <c r="A770" s="4"/>
      <c r="B770" s="4"/>
      <c r="C770" s="4"/>
      <c r="D770" s="15"/>
      <c r="E770" s="4"/>
      <c r="F770" s="4"/>
      <c r="G770" s="4"/>
      <c r="H770" s="4"/>
      <c r="I770" s="4"/>
      <c r="J770" s="4"/>
      <c r="K770" s="4"/>
      <c r="L770" s="4"/>
      <c r="M770" s="4"/>
      <c r="N770" s="4"/>
      <c r="O770" s="4"/>
      <c r="P770" s="4"/>
      <c r="Q770" s="4"/>
      <c r="R770" s="4"/>
      <c r="S770" s="4"/>
      <c r="T770" s="4"/>
      <c r="U770" s="4"/>
      <c r="V770" s="4"/>
      <c r="W770" s="4"/>
      <c r="X770" s="4"/>
      <c r="Y770" s="4"/>
      <c r="Z770" s="4"/>
      <c r="AA770" s="4"/>
      <c r="AB770" s="4"/>
    </row>
    <row r="771" spans="1:28" ht="12.75" hidden="1">
      <c r="A771" s="4"/>
      <c r="B771" s="4"/>
      <c r="C771" s="4"/>
      <c r="D771" s="15"/>
      <c r="E771" s="4"/>
      <c r="F771" s="4"/>
      <c r="G771" s="4"/>
      <c r="H771" s="4"/>
      <c r="I771" s="4"/>
      <c r="J771" s="4"/>
      <c r="K771" s="4"/>
      <c r="L771" s="4"/>
      <c r="M771" s="4"/>
      <c r="N771" s="4"/>
      <c r="O771" s="4"/>
      <c r="P771" s="4"/>
      <c r="Q771" s="4"/>
      <c r="R771" s="4"/>
      <c r="S771" s="4"/>
      <c r="T771" s="4"/>
      <c r="U771" s="4"/>
      <c r="V771" s="4"/>
      <c r="W771" s="4"/>
      <c r="X771" s="4"/>
      <c r="Y771" s="4"/>
      <c r="Z771" s="4"/>
      <c r="AA771" s="4"/>
      <c r="AB771" s="4"/>
    </row>
    <row r="772" spans="1:28" ht="12.75" hidden="1">
      <c r="A772" s="4"/>
      <c r="B772" s="4"/>
      <c r="C772" s="4"/>
      <c r="D772" s="15"/>
      <c r="E772" s="4"/>
      <c r="F772" s="4"/>
      <c r="G772" s="4"/>
      <c r="H772" s="4"/>
      <c r="I772" s="4"/>
      <c r="J772" s="4"/>
      <c r="K772" s="4"/>
      <c r="L772" s="4"/>
      <c r="M772" s="4"/>
      <c r="N772" s="4"/>
      <c r="O772" s="4"/>
      <c r="P772" s="4"/>
      <c r="Q772" s="4"/>
      <c r="R772" s="4"/>
      <c r="S772" s="4"/>
      <c r="T772" s="4"/>
      <c r="U772" s="4"/>
      <c r="V772" s="4"/>
      <c r="W772" s="4"/>
      <c r="X772" s="4"/>
      <c r="Y772" s="4"/>
      <c r="Z772" s="4"/>
      <c r="AA772" s="4"/>
      <c r="AB772" s="4"/>
    </row>
    <row r="773" spans="1:28" ht="12.75" hidden="1">
      <c r="A773" s="4"/>
      <c r="B773" s="4"/>
      <c r="C773" s="4"/>
      <c r="D773" s="15"/>
      <c r="E773" s="4"/>
      <c r="F773" s="4"/>
      <c r="G773" s="4"/>
      <c r="H773" s="4"/>
      <c r="I773" s="4"/>
      <c r="J773" s="4"/>
      <c r="K773" s="4"/>
      <c r="L773" s="4"/>
      <c r="M773" s="4"/>
      <c r="N773" s="4"/>
      <c r="O773" s="4"/>
      <c r="P773" s="4"/>
      <c r="Q773" s="4"/>
      <c r="R773" s="4"/>
      <c r="S773" s="4"/>
      <c r="T773" s="4"/>
      <c r="U773" s="4"/>
      <c r="V773" s="4"/>
      <c r="W773" s="4"/>
      <c r="X773" s="4"/>
      <c r="Y773" s="4"/>
      <c r="Z773" s="4"/>
      <c r="AA773" s="4"/>
      <c r="AB773" s="4"/>
    </row>
    <row r="774" spans="1:28" ht="12.75" hidden="1">
      <c r="A774" s="4"/>
      <c r="B774" s="4"/>
      <c r="C774" s="4"/>
      <c r="D774" s="15"/>
      <c r="E774" s="4"/>
      <c r="F774" s="4"/>
      <c r="G774" s="4"/>
      <c r="H774" s="4"/>
      <c r="I774" s="4"/>
      <c r="J774" s="4"/>
      <c r="K774" s="4"/>
      <c r="L774" s="4"/>
      <c r="M774" s="4"/>
      <c r="N774" s="4"/>
      <c r="O774" s="4"/>
      <c r="P774" s="4"/>
      <c r="Q774" s="4"/>
      <c r="R774" s="4"/>
      <c r="S774" s="4"/>
      <c r="T774" s="4"/>
      <c r="U774" s="4"/>
      <c r="V774" s="4"/>
      <c r="W774" s="4"/>
      <c r="X774" s="4"/>
      <c r="Y774" s="4"/>
      <c r="Z774" s="4"/>
      <c r="AA774" s="4"/>
      <c r="AB774" s="4"/>
    </row>
    <row r="775" spans="1:28" ht="12.75" hidden="1">
      <c r="A775" s="4"/>
      <c r="B775" s="4"/>
      <c r="C775" s="4"/>
      <c r="D775" s="15"/>
      <c r="E775" s="4"/>
      <c r="F775" s="4"/>
      <c r="G775" s="4"/>
      <c r="H775" s="4"/>
      <c r="I775" s="4"/>
      <c r="J775" s="4"/>
      <c r="K775" s="4"/>
      <c r="L775" s="4"/>
      <c r="M775" s="4"/>
      <c r="N775" s="4"/>
      <c r="O775" s="4"/>
      <c r="P775" s="4"/>
      <c r="Q775" s="4"/>
      <c r="R775" s="4"/>
      <c r="S775" s="4"/>
      <c r="T775" s="4"/>
      <c r="U775" s="4"/>
      <c r="V775" s="4"/>
      <c r="W775" s="4"/>
      <c r="X775" s="4"/>
      <c r="Y775" s="4"/>
      <c r="Z775" s="4"/>
      <c r="AA775" s="4"/>
      <c r="AB775" s="4"/>
    </row>
    <row r="776" spans="1:28" ht="12.75" hidden="1">
      <c r="A776" s="4"/>
      <c r="B776" s="4"/>
      <c r="C776" s="4"/>
      <c r="D776" s="15"/>
      <c r="E776" s="4"/>
      <c r="F776" s="4"/>
      <c r="G776" s="4"/>
      <c r="H776" s="4"/>
      <c r="I776" s="4"/>
      <c r="J776" s="4"/>
      <c r="K776" s="4"/>
      <c r="L776" s="4"/>
      <c r="M776" s="4"/>
      <c r="N776" s="4"/>
      <c r="O776" s="4"/>
      <c r="P776" s="4"/>
      <c r="Q776" s="4"/>
      <c r="R776" s="4"/>
      <c r="S776" s="4"/>
      <c r="T776" s="4"/>
      <c r="U776" s="4"/>
      <c r="V776" s="4"/>
      <c r="W776" s="4"/>
      <c r="X776" s="4"/>
      <c r="Y776" s="4"/>
      <c r="Z776" s="4"/>
      <c r="AA776" s="4"/>
      <c r="AB776" s="4"/>
    </row>
    <row r="777" spans="1:28" ht="12.75" hidden="1">
      <c r="A777" s="4"/>
      <c r="B777" s="4"/>
      <c r="C777" s="4"/>
      <c r="D777" s="15"/>
      <c r="E777" s="4"/>
      <c r="F777" s="4"/>
      <c r="G777" s="4"/>
      <c r="H777" s="4"/>
      <c r="I777" s="4"/>
      <c r="J777" s="4"/>
      <c r="K777" s="4"/>
      <c r="L777" s="4"/>
      <c r="M777" s="4"/>
      <c r="N777" s="4"/>
      <c r="O777" s="4"/>
      <c r="P777" s="4"/>
      <c r="Q777" s="4"/>
      <c r="R777" s="4"/>
      <c r="S777" s="4"/>
      <c r="T777" s="4"/>
      <c r="U777" s="4"/>
      <c r="V777" s="4"/>
      <c r="W777" s="4"/>
      <c r="X777" s="4"/>
      <c r="Y777" s="4"/>
      <c r="Z777" s="4"/>
      <c r="AA777" s="4"/>
      <c r="AB777" s="4"/>
    </row>
    <row r="778" spans="1:28" ht="12.75" hidden="1">
      <c r="A778" s="4"/>
      <c r="B778" s="4"/>
      <c r="C778" s="4"/>
      <c r="D778" s="15"/>
      <c r="E778" s="4"/>
      <c r="F778" s="4"/>
      <c r="G778" s="4"/>
      <c r="H778" s="4"/>
      <c r="I778" s="4"/>
      <c r="J778" s="4"/>
      <c r="K778" s="4"/>
      <c r="L778" s="4"/>
      <c r="M778" s="4"/>
      <c r="N778" s="4"/>
      <c r="O778" s="4"/>
      <c r="P778" s="4"/>
      <c r="Q778" s="4"/>
      <c r="R778" s="4"/>
      <c r="S778" s="4"/>
      <c r="T778" s="4"/>
      <c r="U778" s="4"/>
      <c r="V778" s="4"/>
      <c r="W778" s="4"/>
      <c r="X778" s="4"/>
      <c r="Y778" s="4"/>
      <c r="Z778" s="4"/>
      <c r="AA778" s="4"/>
      <c r="AB778" s="4"/>
    </row>
    <row r="779" spans="1:28" ht="12.75" hidden="1">
      <c r="A779" s="4"/>
      <c r="B779" s="4"/>
      <c r="C779" s="4"/>
      <c r="D779" s="15"/>
      <c r="E779" s="4"/>
      <c r="F779" s="4"/>
      <c r="G779" s="4"/>
      <c r="H779" s="4"/>
      <c r="I779" s="4"/>
      <c r="J779" s="4"/>
      <c r="K779" s="4"/>
      <c r="L779" s="4"/>
      <c r="M779" s="4"/>
      <c r="N779" s="4"/>
      <c r="O779" s="4"/>
      <c r="P779" s="4"/>
      <c r="Q779" s="4"/>
      <c r="R779" s="4"/>
      <c r="S779" s="4"/>
      <c r="T779" s="4"/>
      <c r="U779" s="4"/>
      <c r="V779" s="4"/>
      <c r="W779" s="4"/>
      <c r="X779" s="4"/>
      <c r="Y779" s="4"/>
      <c r="Z779" s="4"/>
      <c r="AA779" s="4"/>
      <c r="AB779" s="4"/>
    </row>
    <row r="780" spans="1:28" ht="12.75" hidden="1">
      <c r="A780" s="4"/>
      <c r="B780" s="4"/>
      <c r="C780" s="4"/>
      <c r="D780" s="15"/>
      <c r="E780" s="4"/>
      <c r="F780" s="4"/>
      <c r="G780" s="4"/>
      <c r="H780" s="4"/>
      <c r="I780" s="4"/>
      <c r="J780" s="4"/>
      <c r="K780" s="4"/>
      <c r="L780" s="4"/>
      <c r="M780" s="4"/>
      <c r="N780" s="4"/>
      <c r="O780" s="4"/>
      <c r="P780" s="4"/>
      <c r="Q780" s="4"/>
      <c r="R780" s="4"/>
      <c r="S780" s="4"/>
      <c r="T780" s="4"/>
      <c r="U780" s="4"/>
      <c r="V780" s="4"/>
      <c r="W780" s="4"/>
      <c r="X780" s="4"/>
      <c r="Y780" s="4"/>
      <c r="Z780" s="4"/>
      <c r="AA780" s="4"/>
      <c r="AB780" s="4"/>
    </row>
    <row r="781" spans="1:28" ht="12.75" hidden="1">
      <c r="A781" s="4"/>
      <c r="B781" s="4"/>
      <c r="C781" s="4"/>
      <c r="D781" s="15"/>
      <c r="E781" s="4"/>
      <c r="F781" s="4"/>
      <c r="G781" s="4"/>
      <c r="H781" s="4"/>
      <c r="I781" s="4"/>
      <c r="J781" s="4"/>
      <c r="K781" s="4"/>
      <c r="L781" s="4"/>
      <c r="M781" s="4"/>
      <c r="N781" s="4"/>
      <c r="O781" s="4"/>
      <c r="P781" s="4"/>
      <c r="Q781" s="4"/>
      <c r="R781" s="4"/>
      <c r="S781" s="4"/>
      <c r="T781" s="4"/>
      <c r="U781" s="4"/>
      <c r="V781" s="4"/>
      <c r="W781" s="4"/>
      <c r="X781" s="4"/>
      <c r="Y781" s="4"/>
      <c r="Z781" s="4"/>
      <c r="AA781" s="4"/>
      <c r="AB781" s="4"/>
    </row>
    <row r="782" spans="1:28" ht="12.75" hidden="1">
      <c r="A782" s="4"/>
      <c r="B782" s="4"/>
      <c r="C782" s="4"/>
      <c r="D782" s="15"/>
      <c r="E782" s="4"/>
      <c r="F782" s="4"/>
      <c r="G782" s="4"/>
      <c r="H782" s="4"/>
      <c r="I782" s="4"/>
      <c r="J782" s="4"/>
      <c r="K782" s="4"/>
      <c r="L782" s="4"/>
      <c r="M782" s="4"/>
      <c r="N782" s="4"/>
      <c r="O782" s="4"/>
      <c r="P782" s="4"/>
      <c r="Q782" s="4"/>
      <c r="R782" s="4"/>
      <c r="S782" s="4"/>
      <c r="T782" s="4"/>
      <c r="U782" s="4"/>
      <c r="V782" s="4"/>
      <c r="W782" s="4"/>
      <c r="X782" s="4"/>
      <c r="Y782" s="4"/>
      <c r="Z782" s="4"/>
      <c r="AA782" s="4"/>
      <c r="AB782" s="4"/>
    </row>
    <row r="783" spans="1:28" ht="12.75" hidden="1">
      <c r="A783" s="4"/>
      <c r="B783" s="4"/>
      <c r="C783" s="4"/>
      <c r="D783" s="15"/>
      <c r="E783" s="4"/>
      <c r="F783" s="4"/>
      <c r="G783" s="4"/>
      <c r="H783" s="4"/>
      <c r="I783" s="4"/>
      <c r="J783" s="4"/>
      <c r="K783" s="4"/>
      <c r="L783" s="4"/>
      <c r="M783" s="4"/>
      <c r="N783" s="4"/>
      <c r="O783" s="4"/>
      <c r="P783" s="4"/>
      <c r="Q783" s="4"/>
      <c r="R783" s="4"/>
      <c r="S783" s="4"/>
      <c r="T783" s="4"/>
      <c r="U783" s="4"/>
      <c r="V783" s="4"/>
      <c r="W783" s="4"/>
      <c r="X783" s="4"/>
      <c r="Y783" s="4"/>
      <c r="Z783" s="4"/>
      <c r="AA783" s="4"/>
      <c r="AB783" s="4"/>
    </row>
    <row r="784" spans="1:28" ht="12.75" hidden="1">
      <c r="A784" s="4"/>
      <c r="B784" s="4"/>
      <c r="C784" s="4"/>
      <c r="D784" s="15"/>
      <c r="E784" s="4"/>
      <c r="F784" s="4"/>
      <c r="G784" s="4"/>
      <c r="H784" s="4"/>
      <c r="I784" s="4"/>
      <c r="J784" s="4"/>
      <c r="K784" s="4"/>
      <c r="L784" s="4"/>
      <c r="M784" s="4"/>
      <c r="N784" s="4"/>
      <c r="O784" s="4"/>
      <c r="P784" s="4"/>
      <c r="Q784" s="4"/>
      <c r="R784" s="4"/>
      <c r="S784" s="4"/>
      <c r="T784" s="4"/>
      <c r="U784" s="4"/>
      <c r="V784" s="4"/>
      <c r="W784" s="4"/>
      <c r="X784" s="4"/>
      <c r="Y784" s="4"/>
      <c r="Z784" s="4"/>
      <c r="AA784" s="4"/>
      <c r="AB784" s="4"/>
    </row>
    <row r="785" spans="1:28" ht="12.75" hidden="1">
      <c r="A785" s="4"/>
      <c r="B785" s="4"/>
      <c r="C785" s="4"/>
      <c r="D785" s="15"/>
      <c r="E785" s="4"/>
      <c r="F785" s="4"/>
      <c r="G785" s="4"/>
      <c r="H785" s="4"/>
      <c r="I785" s="4"/>
      <c r="J785" s="4"/>
      <c r="K785" s="4"/>
      <c r="L785" s="4"/>
      <c r="M785" s="4"/>
      <c r="N785" s="4"/>
      <c r="O785" s="4"/>
      <c r="P785" s="4"/>
      <c r="Q785" s="4"/>
      <c r="R785" s="4"/>
      <c r="S785" s="4"/>
      <c r="T785" s="4"/>
      <c r="U785" s="4"/>
      <c r="V785" s="4"/>
      <c r="W785" s="4"/>
      <c r="X785" s="4"/>
      <c r="Y785" s="4"/>
      <c r="Z785" s="4"/>
      <c r="AA785" s="4"/>
      <c r="AB785" s="4"/>
    </row>
    <row r="786" spans="1:28" ht="12.75" hidden="1">
      <c r="A786" s="4"/>
      <c r="B786" s="4"/>
      <c r="C786" s="4"/>
      <c r="D786" s="15"/>
      <c r="E786" s="4"/>
      <c r="F786" s="4"/>
      <c r="G786" s="4"/>
      <c r="H786" s="4"/>
      <c r="I786" s="4"/>
      <c r="J786" s="4"/>
      <c r="K786" s="4"/>
      <c r="L786" s="4"/>
      <c r="M786" s="4"/>
      <c r="N786" s="4"/>
      <c r="O786" s="4"/>
      <c r="P786" s="4"/>
      <c r="Q786" s="4"/>
      <c r="R786" s="4"/>
      <c r="S786" s="4"/>
      <c r="T786" s="4"/>
      <c r="U786" s="4"/>
      <c r="V786" s="4"/>
      <c r="W786" s="4"/>
      <c r="X786" s="4"/>
      <c r="Y786" s="4"/>
      <c r="Z786" s="4"/>
      <c r="AA786" s="4"/>
      <c r="AB786" s="4"/>
    </row>
    <row r="787" spans="1:28" ht="12.75" hidden="1">
      <c r="A787" s="4"/>
      <c r="B787" s="4"/>
      <c r="C787" s="4"/>
      <c r="D787" s="15"/>
      <c r="E787" s="4"/>
      <c r="F787" s="4"/>
      <c r="G787" s="4"/>
      <c r="H787" s="4"/>
      <c r="I787" s="4"/>
      <c r="J787" s="4"/>
      <c r="K787" s="4"/>
      <c r="L787" s="4"/>
      <c r="M787" s="4"/>
      <c r="N787" s="4"/>
      <c r="O787" s="4"/>
      <c r="P787" s="4"/>
      <c r="Q787" s="4"/>
      <c r="R787" s="4"/>
      <c r="S787" s="4"/>
      <c r="T787" s="4"/>
      <c r="U787" s="4"/>
      <c r="V787" s="4"/>
      <c r="W787" s="4"/>
      <c r="X787" s="4"/>
      <c r="Y787" s="4"/>
      <c r="Z787" s="4"/>
      <c r="AA787" s="4"/>
      <c r="AB787" s="4"/>
    </row>
    <row r="788" spans="1:28" ht="12.75" hidden="1">
      <c r="A788" s="4"/>
      <c r="B788" s="4"/>
      <c r="C788" s="4"/>
      <c r="D788" s="15"/>
      <c r="E788" s="4"/>
      <c r="F788" s="4"/>
      <c r="G788" s="4"/>
      <c r="H788" s="4"/>
      <c r="I788" s="4"/>
      <c r="J788" s="4"/>
      <c r="K788" s="4"/>
      <c r="L788" s="4"/>
      <c r="M788" s="4"/>
      <c r="N788" s="4"/>
      <c r="O788" s="4"/>
      <c r="P788" s="4"/>
      <c r="Q788" s="4"/>
      <c r="R788" s="4"/>
      <c r="S788" s="4"/>
      <c r="T788" s="4"/>
      <c r="U788" s="4"/>
      <c r="V788" s="4"/>
      <c r="W788" s="4"/>
      <c r="X788" s="4"/>
      <c r="Y788" s="4"/>
      <c r="Z788" s="4"/>
      <c r="AA788" s="4"/>
      <c r="AB788" s="4"/>
    </row>
    <row r="789" spans="1:28" ht="12.75" hidden="1">
      <c r="A789" s="4"/>
      <c r="B789" s="4"/>
      <c r="C789" s="4"/>
      <c r="D789" s="15"/>
      <c r="E789" s="4"/>
      <c r="F789" s="4"/>
      <c r="G789" s="4"/>
      <c r="H789" s="4"/>
      <c r="I789" s="4"/>
      <c r="J789" s="4"/>
      <c r="K789" s="4"/>
      <c r="L789" s="4"/>
      <c r="M789" s="4"/>
      <c r="N789" s="4"/>
      <c r="O789" s="4"/>
      <c r="P789" s="4"/>
      <c r="Q789" s="4"/>
      <c r="R789" s="4"/>
      <c r="S789" s="4"/>
      <c r="T789" s="4"/>
      <c r="U789" s="4"/>
      <c r="V789" s="4"/>
      <c r="W789" s="4"/>
      <c r="X789" s="4"/>
      <c r="Y789" s="4"/>
      <c r="Z789" s="4"/>
      <c r="AA789" s="4"/>
      <c r="AB789" s="4"/>
    </row>
    <row r="790" spans="1:28" ht="12.75" hidden="1">
      <c r="A790" s="4"/>
      <c r="B790" s="4"/>
      <c r="C790" s="4"/>
      <c r="D790" s="15"/>
      <c r="E790" s="4"/>
      <c r="F790" s="4"/>
      <c r="G790" s="4"/>
      <c r="H790" s="4"/>
      <c r="I790" s="4"/>
      <c r="J790" s="4"/>
      <c r="K790" s="4"/>
      <c r="L790" s="4"/>
      <c r="M790" s="4"/>
      <c r="N790" s="4"/>
      <c r="O790" s="4"/>
      <c r="P790" s="4"/>
      <c r="Q790" s="4"/>
      <c r="R790" s="4"/>
      <c r="S790" s="4"/>
      <c r="T790" s="4"/>
      <c r="U790" s="4"/>
      <c r="V790" s="4"/>
      <c r="W790" s="4"/>
      <c r="X790" s="4"/>
      <c r="Y790" s="4"/>
      <c r="Z790" s="4"/>
      <c r="AA790" s="4"/>
      <c r="AB790" s="4"/>
    </row>
    <row r="791" spans="1:28" ht="12.75" hidden="1">
      <c r="A791" s="4"/>
      <c r="B791" s="4"/>
      <c r="C791" s="4"/>
      <c r="D791" s="15"/>
      <c r="E791" s="4"/>
      <c r="F791" s="4"/>
      <c r="G791" s="4"/>
      <c r="H791" s="4"/>
      <c r="I791" s="4"/>
      <c r="J791" s="4"/>
      <c r="K791" s="4"/>
      <c r="L791" s="4"/>
      <c r="M791" s="4"/>
      <c r="N791" s="4"/>
      <c r="O791" s="4"/>
      <c r="P791" s="4"/>
      <c r="Q791" s="4"/>
      <c r="R791" s="4"/>
      <c r="S791" s="4"/>
      <c r="T791" s="4"/>
      <c r="U791" s="4"/>
      <c r="V791" s="4"/>
      <c r="W791" s="4"/>
      <c r="X791" s="4"/>
      <c r="Y791" s="4"/>
      <c r="Z791" s="4"/>
      <c r="AA791" s="4"/>
      <c r="AB791" s="4"/>
    </row>
    <row r="792" spans="1:28" ht="12.75" hidden="1">
      <c r="A792" s="4"/>
      <c r="B792" s="4"/>
      <c r="C792" s="4"/>
      <c r="D792" s="15"/>
      <c r="E792" s="4"/>
      <c r="F792" s="4"/>
      <c r="G792" s="4"/>
      <c r="H792" s="4"/>
      <c r="I792" s="4"/>
      <c r="J792" s="4"/>
      <c r="K792" s="4"/>
      <c r="L792" s="4"/>
      <c r="M792" s="4"/>
      <c r="N792" s="4"/>
      <c r="O792" s="4"/>
      <c r="P792" s="4"/>
      <c r="Q792" s="4"/>
      <c r="R792" s="4"/>
      <c r="S792" s="4"/>
      <c r="T792" s="4"/>
      <c r="U792" s="4"/>
      <c r="V792" s="4"/>
      <c r="W792" s="4"/>
      <c r="X792" s="4"/>
      <c r="Y792" s="4"/>
      <c r="Z792" s="4"/>
      <c r="AA792" s="4"/>
      <c r="AB792" s="4"/>
    </row>
    <row r="793" spans="1:28" ht="12.75" hidden="1">
      <c r="A793" s="4"/>
      <c r="B793" s="4"/>
      <c r="C793" s="4"/>
      <c r="D793" s="15"/>
      <c r="E793" s="4"/>
      <c r="F793" s="4"/>
      <c r="G793" s="4"/>
      <c r="H793" s="4"/>
      <c r="I793" s="4"/>
      <c r="J793" s="4"/>
      <c r="K793" s="4"/>
      <c r="L793" s="4"/>
      <c r="M793" s="4"/>
      <c r="N793" s="4"/>
      <c r="O793" s="4"/>
      <c r="P793" s="4"/>
      <c r="Q793" s="4"/>
      <c r="R793" s="4"/>
      <c r="S793" s="4"/>
      <c r="T793" s="4"/>
      <c r="U793" s="4"/>
      <c r="V793" s="4"/>
      <c r="W793" s="4"/>
      <c r="X793" s="4"/>
      <c r="Y793" s="4"/>
      <c r="Z793" s="4"/>
      <c r="AA793" s="4"/>
      <c r="AB793" s="4"/>
    </row>
    <row r="794" spans="1:28" ht="12.75" hidden="1">
      <c r="A794" s="4"/>
      <c r="B794" s="4"/>
      <c r="C794" s="4"/>
      <c r="D794" s="15"/>
      <c r="E794" s="4"/>
      <c r="F794" s="4"/>
      <c r="G794" s="4"/>
      <c r="H794" s="4"/>
      <c r="I794" s="4"/>
      <c r="J794" s="4"/>
      <c r="K794" s="4"/>
      <c r="L794" s="4"/>
      <c r="M794" s="4"/>
      <c r="N794" s="4"/>
      <c r="O794" s="4"/>
      <c r="P794" s="4"/>
      <c r="Q794" s="4"/>
      <c r="R794" s="4"/>
      <c r="S794" s="4"/>
      <c r="T794" s="4"/>
      <c r="U794" s="4"/>
      <c r="V794" s="4"/>
      <c r="W794" s="4"/>
      <c r="X794" s="4"/>
      <c r="Y794" s="4"/>
      <c r="Z794" s="4"/>
      <c r="AA794" s="4"/>
      <c r="AB794" s="4"/>
    </row>
    <row r="795" spans="1:28" ht="12.75" hidden="1">
      <c r="A795" s="4"/>
      <c r="B795" s="4"/>
      <c r="C795" s="4"/>
      <c r="D795" s="15"/>
      <c r="E795" s="4"/>
      <c r="F795" s="4"/>
      <c r="G795" s="4"/>
      <c r="H795" s="4"/>
      <c r="I795" s="4"/>
      <c r="J795" s="4"/>
      <c r="K795" s="4"/>
      <c r="L795" s="4"/>
      <c r="M795" s="4"/>
      <c r="N795" s="4"/>
      <c r="O795" s="4"/>
      <c r="P795" s="4"/>
      <c r="Q795" s="4"/>
      <c r="R795" s="4"/>
      <c r="S795" s="4"/>
      <c r="T795" s="4"/>
      <c r="U795" s="4"/>
      <c r="V795" s="4"/>
      <c r="W795" s="4"/>
      <c r="X795" s="4"/>
      <c r="Y795" s="4"/>
      <c r="Z795" s="4"/>
      <c r="AA795" s="4"/>
      <c r="AB795" s="4"/>
    </row>
    <row r="796" spans="1:28" ht="12.75" hidden="1">
      <c r="A796" s="4"/>
      <c r="B796" s="4"/>
      <c r="C796" s="4"/>
      <c r="D796" s="15"/>
      <c r="E796" s="4"/>
      <c r="F796" s="4"/>
      <c r="G796" s="4"/>
      <c r="H796" s="4"/>
      <c r="I796" s="4"/>
      <c r="J796" s="4"/>
      <c r="K796" s="4"/>
      <c r="L796" s="4"/>
      <c r="M796" s="4"/>
      <c r="N796" s="4"/>
      <c r="O796" s="4"/>
      <c r="P796" s="4"/>
      <c r="Q796" s="4"/>
      <c r="R796" s="4"/>
      <c r="S796" s="4"/>
      <c r="T796" s="4"/>
      <c r="U796" s="4"/>
      <c r="V796" s="4"/>
      <c r="W796" s="4"/>
      <c r="X796" s="4"/>
      <c r="Y796" s="4"/>
      <c r="Z796" s="4"/>
      <c r="AA796" s="4"/>
      <c r="AB796" s="4"/>
    </row>
    <row r="797" spans="1:28" ht="12.75" hidden="1">
      <c r="A797" s="4"/>
      <c r="B797" s="4"/>
      <c r="C797" s="4"/>
      <c r="D797" s="15"/>
      <c r="E797" s="4"/>
      <c r="F797" s="4"/>
      <c r="G797" s="4"/>
      <c r="H797" s="4"/>
      <c r="I797" s="4"/>
      <c r="J797" s="4"/>
      <c r="K797" s="4"/>
      <c r="L797" s="4"/>
      <c r="M797" s="4"/>
      <c r="N797" s="4"/>
      <c r="O797" s="4"/>
      <c r="P797" s="4"/>
      <c r="Q797" s="4"/>
      <c r="R797" s="4"/>
      <c r="S797" s="4"/>
      <c r="T797" s="4"/>
      <c r="U797" s="4"/>
      <c r="V797" s="4"/>
      <c r="W797" s="4"/>
      <c r="X797" s="4"/>
      <c r="Y797" s="4"/>
      <c r="Z797" s="4"/>
      <c r="AA797" s="4"/>
      <c r="AB797" s="4"/>
    </row>
    <row r="798" spans="1:28" ht="12.75" hidden="1">
      <c r="A798" s="4"/>
      <c r="B798" s="4"/>
      <c r="C798" s="4"/>
      <c r="D798" s="15"/>
      <c r="E798" s="4"/>
      <c r="F798" s="4"/>
      <c r="G798" s="4"/>
      <c r="H798" s="4"/>
      <c r="I798" s="4"/>
      <c r="J798" s="4"/>
      <c r="K798" s="4"/>
      <c r="L798" s="4"/>
      <c r="M798" s="4"/>
      <c r="N798" s="4"/>
      <c r="O798" s="4"/>
      <c r="P798" s="4"/>
      <c r="Q798" s="4"/>
      <c r="R798" s="4"/>
      <c r="S798" s="4"/>
      <c r="T798" s="4"/>
      <c r="U798" s="4"/>
      <c r="V798" s="4"/>
      <c r="W798" s="4"/>
      <c r="X798" s="4"/>
      <c r="Y798" s="4"/>
      <c r="Z798" s="4"/>
      <c r="AA798" s="4"/>
      <c r="AB798" s="4"/>
    </row>
    <row r="799" spans="1:28" ht="12.75" hidden="1">
      <c r="A799" s="4"/>
      <c r="B799" s="4"/>
      <c r="C799" s="4"/>
      <c r="D799" s="15"/>
      <c r="E799" s="4"/>
      <c r="F799" s="4"/>
      <c r="G799" s="4"/>
      <c r="H799" s="4"/>
      <c r="I799" s="4"/>
      <c r="J799" s="4"/>
      <c r="K799" s="4"/>
      <c r="L799" s="4"/>
      <c r="M799" s="4"/>
      <c r="N799" s="4"/>
      <c r="O799" s="4"/>
      <c r="P799" s="4"/>
      <c r="Q799" s="4"/>
      <c r="R799" s="4"/>
      <c r="S799" s="4"/>
      <c r="T799" s="4"/>
      <c r="U799" s="4"/>
      <c r="V799" s="4"/>
      <c r="W799" s="4"/>
      <c r="X799" s="4"/>
      <c r="Y799" s="4"/>
      <c r="Z799" s="4"/>
      <c r="AA799" s="4"/>
      <c r="AB799" s="4"/>
    </row>
    <row r="800" spans="1:28" ht="12.75" hidden="1">
      <c r="A800" s="4"/>
      <c r="B800" s="4"/>
      <c r="C800" s="4"/>
      <c r="D800" s="15"/>
      <c r="E800" s="4"/>
      <c r="F800" s="4"/>
      <c r="G800" s="4"/>
      <c r="H800" s="4"/>
      <c r="I800" s="4"/>
      <c r="J800" s="4"/>
      <c r="K800" s="4"/>
      <c r="L800" s="4"/>
      <c r="M800" s="4"/>
      <c r="N800" s="4"/>
      <c r="O800" s="4"/>
      <c r="P800" s="4"/>
      <c r="Q800" s="4"/>
      <c r="R800" s="4"/>
      <c r="S800" s="4"/>
      <c r="T800" s="4"/>
      <c r="U800" s="4"/>
      <c r="V800" s="4"/>
      <c r="W800" s="4"/>
      <c r="X800" s="4"/>
      <c r="Y800" s="4"/>
      <c r="Z800" s="4"/>
      <c r="AA800" s="4"/>
      <c r="AB800" s="4"/>
    </row>
    <row r="801" spans="1:28" ht="12.75" hidden="1">
      <c r="A801" s="4"/>
      <c r="B801" s="4"/>
      <c r="C801" s="4"/>
      <c r="D801" s="15"/>
      <c r="E801" s="4"/>
      <c r="F801" s="4"/>
      <c r="G801" s="4"/>
      <c r="H801" s="4"/>
      <c r="I801" s="4"/>
      <c r="J801" s="4"/>
      <c r="K801" s="4"/>
      <c r="L801" s="4"/>
      <c r="M801" s="4"/>
      <c r="N801" s="4"/>
      <c r="O801" s="4"/>
      <c r="P801" s="4"/>
      <c r="Q801" s="4"/>
      <c r="R801" s="4"/>
      <c r="S801" s="4"/>
      <c r="T801" s="4"/>
      <c r="U801" s="4"/>
      <c r="V801" s="4"/>
      <c r="W801" s="4"/>
      <c r="X801" s="4"/>
      <c r="Y801" s="4"/>
      <c r="Z801" s="4"/>
      <c r="AA801" s="4"/>
      <c r="AB801" s="4"/>
    </row>
    <row r="802" spans="1:28" ht="12.75" hidden="1">
      <c r="A802" s="4"/>
      <c r="B802" s="4"/>
      <c r="C802" s="4"/>
      <c r="D802" s="15"/>
      <c r="E802" s="4"/>
      <c r="F802" s="4"/>
      <c r="G802" s="4"/>
      <c r="H802" s="4"/>
      <c r="I802" s="4"/>
      <c r="J802" s="4"/>
      <c r="K802" s="4"/>
      <c r="L802" s="4"/>
      <c r="M802" s="4"/>
      <c r="N802" s="4"/>
      <c r="O802" s="4"/>
      <c r="P802" s="4"/>
      <c r="Q802" s="4"/>
      <c r="R802" s="4"/>
      <c r="S802" s="4"/>
      <c r="T802" s="4"/>
      <c r="U802" s="4"/>
      <c r="V802" s="4"/>
      <c r="W802" s="4"/>
      <c r="X802" s="4"/>
      <c r="Y802" s="4"/>
      <c r="Z802" s="4"/>
      <c r="AA802" s="4"/>
      <c r="AB802" s="4"/>
    </row>
    <row r="803" spans="1:28" ht="12.75" hidden="1">
      <c r="A803" s="4"/>
      <c r="B803" s="4"/>
      <c r="C803" s="4"/>
      <c r="D803" s="15"/>
      <c r="E803" s="4"/>
      <c r="F803" s="4"/>
      <c r="G803" s="4"/>
      <c r="H803" s="4"/>
      <c r="I803" s="4"/>
      <c r="J803" s="4"/>
      <c r="K803" s="4"/>
      <c r="L803" s="4"/>
      <c r="M803" s="4"/>
      <c r="N803" s="4"/>
      <c r="O803" s="4"/>
      <c r="P803" s="4"/>
      <c r="Q803" s="4"/>
      <c r="R803" s="4"/>
      <c r="S803" s="4"/>
      <c r="T803" s="4"/>
      <c r="U803" s="4"/>
      <c r="V803" s="4"/>
      <c r="W803" s="4"/>
      <c r="X803" s="4"/>
      <c r="Y803" s="4"/>
      <c r="Z803" s="4"/>
      <c r="AA803" s="4"/>
      <c r="AB803" s="4"/>
    </row>
    <row r="804" spans="1:28" ht="12.75" hidden="1">
      <c r="A804" s="4"/>
      <c r="B804" s="4"/>
      <c r="C804" s="4"/>
      <c r="D804" s="15"/>
      <c r="E804" s="4"/>
      <c r="F804" s="4"/>
      <c r="G804" s="4"/>
      <c r="H804" s="4"/>
      <c r="I804" s="4"/>
      <c r="J804" s="4"/>
      <c r="K804" s="4"/>
      <c r="L804" s="4"/>
      <c r="M804" s="4"/>
      <c r="N804" s="4"/>
      <c r="O804" s="4"/>
      <c r="P804" s="4"/>
      <c r="Q804" s="4"/>
      <c r="R804" s="4"/>
      <c r="S804" s="4"/>
      <c r="T804" s="4"/>
      <c r="U804" s="4"/>
      <c r="V804" s="4"/>
      <c r="W804" s="4"/>
      <c r="X804" s="4"/>
      <c r="Y804" s="4"/>
      <c r="Z804" s="4"/>
      <c r="AA804" s="4"/>
      <c r="AB804" s="4"/>
    </row>
    <row r="805" spans="1:28" ht="12.75" hidden="1">
      <c r="A805" s="4"/>
      <c r="B805" s="4"/>
      <c r="C805" s="4"/>
      <c r="D805" s="15"/>
      <c r="E805" s="4"/>
      <c r="F805" s="4"/>
      <c r="G805" s="4"/>
      <c r="H805" s="4"/>
      <c r="I805" s="4"/>
      <c r="J805" s="4"/>
      <c r="K805" s="4"/>
      <c r="L805" s="4"/>
      <c r="M805" s="4"/>
      <c r="N805" s="4"/>
      <c r="O805" s="4"/>
      <c r="P805" s="4"/>
      <c r="Q805" s="4"/>
      <c r="R805" s="4"/>
      <c r="S805" s="4"/>
      <c r="T805" s="4"/>
      <c r="U805" s="4"/>
      <c r="V805" s="4"/>
      <c r="W805" s="4"/>
      <c r="X805" s="4"/>
      <c r="Y805" s="4"/>
      <c r="Z805" s="4"/>
      <c r="AA805" s="4"/>
      <c r="AB805" s="4"/>
    </row>
    <row r="806" spans="1:28" ht="12.75" hidden="1">
      <c r="A806" s="4"/>
      <c r="B806" s="4"/>
      <c r="C806" s="4"/>
      <c r="D806" s="15"/>
      <c r="E806" s="4"/>
      <c r="F806" s="4"/>
      <c r="G806" s="4"/>
      <c r="H806" s="4"/>
      <c r="I806" s="4"/>
      <c r="J806" s="4"/>
      <c r="K806" s="4"/>
      <c r="L806" s="4"/>
      <c r="M806" s="4"/>
      <c r="N806" s="4"/>
      <c r="O806" s="4"/>
      <c r="P806" s="4"/>
      <c r="Q806" s="4"/>
      <c r="R806" s="4"/>
      <c r="S806" s="4"/>
      <c r="T806" s="4"/>
      <c r="U806" s="4"/>
      <c r="V806" s="4"/>
      <c r="W806" s="4"/>
      <c r="X806" s="4"/>
      <c r="Y806" s="4"/>
      <c r="Z806" s="4"/>
      <c r="AA806" s="4"/>
      <c r="AB806" s="4"/>
    </row>
    <row r="807" spans="1:28" ht="12.75" hidden="1">
      <c r="A807" s="4"/>
      <c r="B807" s="4"/>
      <c r="C807" s="4"/>
      <c r="D807" s="15"/>
      <c r="E807" s="4"/>
      <c r="F807" s="4"/>
      <c r="G807" s="4"/>
      <c r="H807" s="4"/>
      <c r="I807" s="4"/>
      <c r="J807" s="4"/>
      <c r="K807" s="4"/>
      <c r="L807" s="4"/>
      <c r="M807" s="4"/>
      <c r="N807" s="4"/>
      <c r="O807" s="4"/>
      <c r="P807" s="4"/>
      <c r="Q807" s="4"/>
      <c r="R807" s="4"/>
      <c r="S807" s="4"/>
      <c r="T807" s="4"/>
      <c r="U807" s="4"/>
      <c r="V807" s="4"/>
      <c r="W807" s="4"/>
      <c r="X807" s="4"/>
      <c r="Y807" s="4"/>
      <c r="Z807" s="4"/>
      <c r="AA807" s="4"/>
      <c r="AB807" s="4"/>
    </row>
    <row r="808" spans="1:28" ht="12.75" hidden="1">
      <c r="A808" s="4"/>
      <c r="B808" s="4"/>
      <c r="C808" s="4"/>
      <c r="D808" s="15"/>
      <c r="E808" s="4"/>
      <c r="F808" s="4"/>
      <c r="G808" s="4"/>
      <c r="H808" s="4"/>
      <c r="I808" s="4"/>
      <c r="J808" s="4"/>
      <c r="K808" s="4"/>
      <c r="L808" s="4"/>
      <c r="M808" s="4"/>
      <c r="N808" s="4"/>
      <c r="O808" s="4"/>
      <c r="P808" s="4"/>
      <c r="Q808" s="4"/>
      <c r="R808" s="4"/>
      <c r="S808" s="4"/>
      <c r="T808" s="4"/>
      <c r="U808" s="4"/>
      <c r="V808" s="4"/>
      <c r="W808" s="4"/>
      <c r="X808" s="4"/>
      <c r="Y808" s="4"/>
      <c r="Z808" s="4"/>
      <c r="AA808" s="4"/>
      <c r="AB808" s="4"/>
    </row>
    <row r="809" spans="1:28" ht="12.75" hidden="1">
      <c r="A809" s="4"/>
      <c r="B809" s="4"/>
      <c r="C809" s="4"/>
      <c r="D809" s="15"/>
      <c r="E809" s="4"/>
      <c r="F809" s="4"/>
      <c r="G809" s="4"/>
      <c r="H809" s="4"/>
      <c r="I809" s="4"/>
      <c r="J809" s="4"/>
      <c r="K809" s="4"/>
      <c r="L809" s="4"/>
      <c r="M809" s="4"/>
      <c r="N809" s="4"/>
      <c r="O809" s="4"/>
      <c r="P809" s="4"/>
      <c r="Q809" s="4"/>
      <c r="R809" s="4"/>
      <c r="S809" s="4"/>
      <c r="T809" s="4"/>
      <c r="U809" s="4"/>
      <c r="V809" s="4"/>
      <c r="W809" s="4"/>
      <c r="X809" s="4"/>
      <c r="Y809" s="4"/>
      <c r="Z809" s="4"/>
      <c r="AA809" s="4"/>
      <c r="AB809" s="4"/>
    </row>
    <row r="810" spans="1:28" ht="12.75" hidden="1">
      <c r="A810" s="4"/>
      <c r="B810" s="4"/>
      <c r="C810" s="4"/>
      <c r="D810" s="15"/>
      <c r="E810" s="4"/>
      <c r="F810" s="4"/>
      <c r="G810" s="4"/>
      <c r="H810" s="4"/>
      <c r="I810" s="4"/>
      <c r="J810" s="4"/>
      <c r="K810" s="4"/>
      <c r="L810" s="4"/>
      <c r="M810" s="4"/>
      <c r="N810" s="4"/>
      <c r="O810" s="4"/>
      <c r="P810" s="4"/>
      <c r="Q810" s="4"/>
      <c r="R810" s="4"/>
      <c r="S810" s="4"/>
      <c r="T810" s="4"/>
      <c r="U810" s="4"/>
      <c r="V810" s="4"/>
      <c r="W810" s="4"/>
      <c r="X810" s="4"/>
      <c r="Y810" s="4"/>
      <c r="Z810" s="4"/>
      <c r="AA810" s="4"/>
      <c r="AB810" s="4"/>
    </row>
    <row r="811" spans="1:28" ht="12.75" hidden="1">
      <c r="A811" s="4"/>
      <c r="B811" s="4"/>
      <c r="C811" s="4"/>
      <c r="D811" s="15"/>
      <c r="E811" s="4"/>
      <c r="F811" s="4"/>
      <c r="G811" s="4"/>
      <c r="H811" s="4"/>
      <c r="I811" s="4"/>
      <c r="J811" s="4"/>
      <c r="K811" s="4"/>
      <c r="L811" s="4"/>
      <c r="M811" s="4"/>
      <c r="N811" s="4"/>
      <c r="O811" s="4"/>
      <c r="P811" s="4"/>
      <c r="Q811" s="4"/>
      <c r="R811" s="4"/>
      <c r="S811" s="4"/>
      <c r="T811" s="4"/>
      <c r="U811" s="4"/>
      <c r="V811" s="4"/>
      <c r="W811" s="4"/>
      <c r="X811" s="4"/>
      <c r="Y811" s="4"/>
      <c r="Z811" s="4"/>
      <c r="AA811" s="4"/>
      <c r="AB811" s="4"/>
    </row>
    <row r="812" spans="1:28" ht="12.75" hidden="1">
      <c r="A812" s="4"/>
      <c r="B812" s="4"/>
      <c r="C812" s="4"/>
      <c r="D812" s="15"/>
      <c r="E812" s="4"/>
      <c r="F812" s="4"/>
      <c r="G812" s="4"/>
      <c r="H812" s="4"/>
      <c r="I812" s="4"/>
      <c r="J812" s="4"/>
      <c r="K812" s="4"/>
      <c r="L812" s="4"/>
      <c r="M812" s="4"/>
      <c r="N812" s="4"/>
      <c r="O812" s="4"/>
      <c r="P812" s="4"/>
      <c r="Q812" s="4"/>
      <c r="R812" s="4"/>
      <c r="S812" s="4"/>
      <c r="T812" s="4"/>
      <c r="U812" s="4"/>
      <c r="V812" s="4"/>
      <c r="W812" s="4"/>
      <c r="X812" s="4"/>
      <c r="Y812" s="4"/>
      <c r="Z812" s="4"/>
      <c r="AA812" s="4"/>
      <c r="AB812" s="4"/>
    </row>
    <row r="813" spans="1:28" ht="12.75" hidden="1">
      <c r="A813" s="4"/>
      <c r="B813" s="4"/>
      <c r="C813" s="4"/>
      <c r="D813" s="15"/>
      <c r="E813" s="4"/>
      <c r="F813" s="4"/>
      <c r="G813" s="4"/>
      <c r="H813" s="4"/>
      <c r="I813" s="4"/>
      <c r="J813" s="4"/>
      <c r="K813" s="4"/>
      <c r="L813" s="4"/>
      <c r="M813" s="4"/>
      <c r="N813" s="4"/>
      <c r="O813" s="4"/>
      <c r="P813" s="4"/>
      <c r="Q813" s="4"/>
      <c r="R813" s="4"/>
      <c r="S813" s="4"/>
      <c r="T813" s="4"/>
      <c r="U813" s="4"/>
      <c r="V813" s="4"/>
      <c r="W813" s="4"/>
      <c r="X813" s="4"/>
      <c r="Y813" s="4"/>
      <c r="Z813" s="4"/>
      <c r="AA813" s="4"/>
      <c r="AB813" s="4"/>
    </row>
    <row r="814" spans="1:28" ht="12.75" hidden="1">
      <c r="A814" s="4"/>
      <c r="B814" s="4"/>
      <c r="C814" s="4"/>
      <c r="D814" s="15"/>
      <c r="E814" s="4"/>
      <c r="F814" s="4"/>
      <c r="G814" s="4"/>
      <c r="H814" s="4"/>
      <c r="I814" s="4"/>
      <c r="J814" s="4"/>
      <c r="K814" s="4"/>
      <c r="L814" s="4"/>
      <c r="M814" s="4"/>
      <c r="N814" s="4"/>
      <c r="O814" s="4"/>
      <c r="P814" s="4"/>
      <c r="Q814" s="4"/>
      <c r="R814" s="4"/>
      <c r="S814" s="4"/>
      <c r="T814" s="4"/>
      <c r="U814" s="4"/>
      <c r="V814" s="4"/>
      <c r="W814" s="4"/>
      <c r="X814" s="4"/>
      <c r="Y814" s="4"/>
      <c r="Z814" s="4"/>
      <c r="AA814" s="4"/>
      <c r="AB814" s="4"/>
    </row>
    <row r="815" spans="1:28" ht="12.75" hidden="1">
      <c r="A815" s="4"/>
      <c r="B815" s="4"/>
      <c r="C815" s="4"/>
      <c r="D815" s="15"/>
      <c r="E815" s="4"/>
      <c r="F815" s="4"/>
      <c r="G815" s="4"/>
      <c r="H815" s="4"/>
      <c r="I815" s="4"/>
      <c r="J815" s="4"/>
      <c r="K815" s="4"/>
      <c r="L815" s="4"/>
      <c r="M815" s="4"/>
      <c r="N815" s="4"/>
      <c r="O815" s="4"/>
      <c r="P815" s="4"/>
      <c r="Q815" s="4"/>
      <c r="R815" s="4"/>
      <c r="S815" s="4"/>
      <c r="T815" s="4"/>
      <c r="U815" s="4"/>
      <c r="V815" s="4"/>
      <c r="W815" s="4"/>
      <c r="X815" s="4"/>
      <c r="Y815" s="4"/>
      <c r="Z815" s="4"/>
      <c r="AA815" s="4"/>
      <c r="AB815" s="4"/>
    </row>
    <row r="816" spans="1:28" ht="12.75" hidden="1">
      <c r="A816" s="4"/>
      <c r="B816" s="4"/>
      <c r="C816" s="4"/>
      <c r="D816" s="15"/>
      <c r="E816" s="4"/>
      <c r="F816" s="4"/>
      <c r="G816" s="4"/>
      <c r="H816" s="4"/>
      <c r="I816" s="4"/>
      <c r="J816" s="4"/>
      <c r="K816" s="4"/>
      <c r="L816" s="4"/>
      <c r="M816" s="4"/>
      <c r="N816" s="4"/>
      <c r="O816" s="4"/>
      <c r="P816" s="4"/>
      <c r="Q816" s="4"/>
      <c r="R816" s="4"/>
      <c r="S816" s="4"/>
      <c r="T816" s="4"/>
      <c r="U816" s="4"/>
      <c r="V816" s="4"/>
      <c r="W816" s="4"/>
      <c r="X816" s="4"/>
      <c r="Y816" s="4"/>
      <c r="Z816" s="4"/>
      <c r="AA816" s="4"/>
      <c r="AB816" s="4"/>
    </row>
    <row r="817" spans="1:28" ht="12.75" hidden="1">
      <c r="A817" s="4"/>
      <c r="B817" s="4"/>
      <c r="C817" s="4"/>
      <c r="D817" s="15"/>
      <c r="E817" s="4"/>
      <c r="F817" s="4"/>
      <c r="G817" s="4"/>
      <c r="H817" s="4"/>
      <c r="I817" s="4"/>
      <c r="J817" s="4"/>
      <c r="K817" s="4"/>
      <c r="L817" s="4"/>
      <c r="M817" s="4"/>
      <c r="N817" s="4"/>
      <c r="O817" s="4"/>
      <c r="P817" s="4"/>
      <c r="Q817" s="4"/>
      <c r="R817" s="4"/>
      <c r="S817" s="4"/>
      <c r="T817" s="4"/>
      <c r="U817" s="4"/>
      <c r="V817" s="4"/>
      <c r="W817" s="4"/>
      <c r="X817" s="4"/>
      <c r="Y817" s="4"/>
      <c r="Z817" s="4"/>
      <c r="AA817" s="4"/>
      <c r="AB817" s="4"/>
    </row>
    <row r="818" spans="1:28" ht="12.75" hidden="1">
      <c r="A818" s="4"/>
      <c r="B818" s="4"/>
      <c r="C818" s="4"/>
      <c r="D818" s="15"/>
      <c r="E818" s="4"/>
      <c r="F818" s="4"/>
      <c r="G818" s="4"/>
      <c r="H818" s="4"/>
      <c r="I818" s="4"/>
      <c r="J818" s="4"/>
      <c r="K818" s="4"/>
      <c r="L818" s="4"/>
      <c r="M818" s="4"/>
      <c r="N818" s="4"/>
      <c r="O818" s="4"/>
      <c r="P818" s="4"/>
      <c r="Q818" s="4"/>
      <c r="R818" s="4"/>
      <c r="S818" s="4"/>
      <c r="T818" s="4"/>
      <c r="U818" s="4"/>
      <c r="V818" s="4"/>
      <c r="W818" s="4"/>
      <c r="X818" s="4"/>
      <c r="Y818" s="4"/>
      <c r="Z818" s="4"/>
      <c r="AA818" s="4"/>
      <c r="AB818" s="4"/>
    </row>
    <row r="819" spans="1:28" ht="12.75" hidden="1">
      <c r="A819" s="4"/>
      <c r="B819" s="4"/>
      <c r="C819" s="4"/>
      <c r="D819" s="15"/>
      <c r="E819" s="4"/>
      <c r="F819" s="4"/>
      <c r="G819" s="4"/>
      <c r="H819" s="4"/>
      <c r="I819" s="4"/>
      <c r="J819" s="4"/>
      <c r="K819" s="4"/>
      <c r="L819" s="4"/>
      <c r="M819" s="4"/>
      <c r="N819" s="4"/>
      <c r="O819" s="4"/>
      <c r="P819" s="4"/>
      <c r="Q819" s="4"/>
      <c r="R819" s="4"/>
      <c r="S819" s="4"/>
      <c r="T819" s="4"/>
      <c r="U819" s="4"/>
      <c r="V819" s="4"/>
      <c r="W819" s="4"/>
      <c r="X819" s="4"/>
      <c r="Y819" s="4"/>
      <c r="Z819" s="4"/>
      <c r="AA819" s="4"/>
      <c r="AB819" s="4"/>
    </row>
    <row r="820" spans="1:28" ht="12.75" hidden="1">
      <c r="A820" s="4"/>
      <c r="B820" s="4"/>
      <c r="C820" s="4"/>
      <c r="D820" s="15"/>
      <c r="E820" s="4"/>
      <c r="F820" s="4"/>
      <c r="G820" s="4"/>
      <c r="H820" s="4"/>
      <c r="I820" s="4"/>
      <c r="J820" s="4"/>
      <c r="K820" s="4"/>
      <c r="L820" s="4"/>
      <c r="M820" s="4"/>
      <c r="N820" s="4"/>
      <c r="O820" s="4"/>
      <c r="P820" s="4"/>
      <c r="Q820" s="4"/>
      <c r="R820" s="4"/>
      <c r="S820" s="4"/>
      <c r="T820" s="4"/>
      <c r="U820" s="4"/>
      <c r="V820" s="4"/>
      <c r="W820" s="4"/>
      <c r="X820" s="4"/>
      <c r="Y820" s="4"/>
      <c r="Z820" s="4"/>
      <c r="AA820" s="4"/>
      <c r="AB820" s="4"/>
    </row>
    <row r="821" spans="1:28" ht="12.75" hidden="1">
      <c r="A821" s="4"/>
      <c r="B821" s="4"/>
      <c r="C821" s="4"/>
      <c r="D821" s="15"/>
      <c r="E821" s="4"/>
      <c r="F821" s="4"/>
      <c r="G821" s="4"/>
      <c r="H821" s="4"/>
      <c r="I821" s="4"/>
      <c r="J821" s="4"/>
      <c r="K821" s="4"/>
      <c r="L821" s="4"/>
      <c r="M821" s="4"/>
      <c r="N821" s="4"/>
      <c r="O821" s="4"/>
      <c r="P821" s="4"/>
      <c r="Q821" s="4"/>
      <c r="R821" s="4"/>
      <c r="S821" s="4"/>
      <c r="T821" s="4"/>
      <c r="U821" s="4"/>
      <c r="V821" s="4"/>
      <c r="W821" s="4"/>
      <c r="X821" s="4"/>
      <c r="Y821" s="4"/>
      <c r="Z821" s="4"/>
      <c r="AA821" s="4"/>
      <c r="AB821" s="4"/>
    </row>
    <row r="822" spans="1:28" ht="12.75" hidden="1">
      <c r="A822" s="4"/>
      <c r="B822" s="4"/>
      <c r="C822" s="4"/>
      <c r="D822" s="15"/>
      <c r="E822" s="4"/>
      <c r="F822" s="4"/>
      <c r="G822" s="4"/>
      <c r="H822" s="4"/>
      <c r="I822" s="4"/>
      <c r="J822" s="4"/>
      <c r="K822" s="4"/>
      <c r="L822" s="4"/>
      <c r="M822" s="4"/>
      <c r="N822" s="4"/>
      <c r="O822" s="4"/>
      <c r="P822" s="4"/>
      <c r="Q822" s="4"/>
      <c r="R822" s="4"/>
      <c r="S822" s="4"/>
      <c r="T822" s="4"/>
      <c r="U822" s="4"/>
      <c r="V822" s="4"/>
      <c r="W822" s="4"/>
      <c r="X822" s="4"/>
      <c r="Y822" s="4"/>
      <c r="Z822" s="4"/>
      <c r="AA822" s="4"/>
      <c r="AB822" s="4"/>
    </row>
    <row r="823" spans="1:28" ht="12.75" hidden="1">
      <c r="A823" s="4"/>
      <c r="B823" s="4"/>
      <c r="C823" s="4"/>
      <c r="D823" s="15"/>
      <c r="E823" s="4"/>
      <c r="F823" s="4"/>
      <c r="G823" s="4"/>
      <c r="H823" s="4"/>
      <c r="I823" s="4"/>
      <c r="J823" s="4"/>
      <c r="K823" s="4"/>
      <c r="L823" s="4"/>
      <c r="M823" s="4"/>
      <c r="N823" s="4"/>
      <c r="O823" s="4"/>
      <c r="P823" s="4"/>
      <c r="Q823" s="4"/>
      <c r="R823" s="4"/>
      <c r="S823" s="4"/>
      <c r="T823" s="4"/>
      <c r="U823" s="4"/>
      <c r="V823" s="4"/>
      <c r="W823" s="4"/>
      <c r="X823" s="4"/>
      <c r="Y823" s="4"/>
      <c r="Z823" s="4"/>
      <c r="AA823" s="4"/>
      <c r="AB823" s="4"/>
    </row>
    <row r="824" spans="1:28" ht="12.75" hidden="1">
      <c r="A824" s="4"/>
      <c r="B824" s="4"/>
      <c r="C824" s="4"/>
      <c r="D824" s="15"/>
      <c r="E824" s="4"/>
      <c r="F824" s="4"/>
      <c r="G824" s="4"/>
      <c r="H824" s="4"/>
      <c r="I824" s="4"/>
      <c r="J824" s="4"/>
      <c r="K824" s="4"/>
      <c r="L824" s="4"/>
      <c r="M824" s="4"/>
      <c r="N824" s="4"/>
      <c r="O824" s="4"/>
      <c r="P824" s="4"/>
      <c r="Q824" s="4"/>
      <c r="R824" s="4"/>
      <c r="S824" s="4"/>
      <c r="T824" s="4"/>
      <c r="U824" s="4"/>
      <c r="V824" s="4"/>
      <c r="W824" s="4"/>
      <c r="X824" s="4"/>
      <c r="Y824" s="4"/>
      <c r="Z824" s="4"/>
      <c r="AA824" s="4"/>
      <c r="AB824" s="4"/>
    </row>
    <row r="825" spans="1:28" ht="12.75" hidden="1">
      <c r="A825" s="4"/>
      <c r="B825" s="4"/>
      <c r="C825" s="4"/>
      <c r="D825" s="15"/>
      <c r="E825" s="4"/>
      <c r="F825" s="4"/>
      <c r="G825" s="4"/>
      <c r="H825" s="4"/>
      <c r="I825" s="4"/>
      <c r="J825" s="4"/>
      <c r="K825" s="4"/>
      <c r="L825" s="4"/>
      <c r="M825" s="4"/>
      <c r="N825" s="4"/>
      <c r="O825" s="4"/>
      <c r="P825" s="4"/>
      <c r="Q825" s="4"/>
      <c r="R825" s="4"/>
      <c r="S825" s="4"/>
      <c r="T825" s="4"/>
      <c r="U825" s="4"/>
      <c r="V825" s="4"/>
      <c r="W825" s="4"/>
      <c r="X825" s="4"/>
      <c r="Y825" s="4"/>
      <c r="Z825" s="4"/>
      <c r="AA825" s="4"/>
      <c r="AB825" s="4"/>
    </row>
    <row r="826" spans="1:28" ht="12.75" hidden="1">
      <c r="A826" s="4"/>
      <c r="B826" s="4"/>
      <c r="C826" s="4"/>
      <c r="D826" s="15"/>
      <c r="E826" s="4"/>
      <c r="F826" s="4"/>
      <c r="G826" s="4"/>
      <c r="H826" s="4"/>
      <c r="I826" s="4"/>
      <c r="J826" s="4"/>
      <c r="K826" s="4"/>
      <c r="L826" s="4"/>
      <c r="M826" s="4"/>
      <c r="N826" s="4"/>
      <c r="O826" s="4"/>
      <c r="P826" s="4"/>
      <c r="Q826" s="4"/>
      <c r="R826" s="4"/>
      <c r="S826" s="4"/>
      <c r="T826" s="4"/>
      <c r="U826" s="4"/>
      <c r="V826" s="4"/>
      <c r="W826" s="4"/>
      <c r="X826" s="4"/>
      <c r="Y826" s="4"/>
      <c r="Z826" s="4"/>
      <c r="AA826" s="4"/>
      <c r="AB826" s="4"/>
    </row>
    <row r="827" spans="1:28" ht="12.75" hidden="1">
      <c r="A827" s="4"/>
      <c r="B827" s="4"/>
      <c r="C827" s="4"/>
      <c r="D827" s="15"/>
      <c r="E827" s="4"/>
      <c r="F827" s="4"/>
      <c r="G827" s="4"/>
      <c r="H827" s="4"/>
      <c r="I827" s="4"/>
      <c r="J827" s="4"/>
      <c r="K827" s="4"/>
      <c r="L827" s="4"/>
      <c r="M827" s="4"/>
      <c r="N827" s="4"/>
      <c r="O827" s="4"/>
      <c r="P827" s="4"/>
      <c r="Q827" s="4"/>
      <c r="R827" s="4"/>
      <c r="S827" s="4"/>
      <c r="T827" s="4"/>
      <c r="U827" s="4"/>
      <c r="V827" s="4"/>
      <c r="W827" s="4"/>
      <c r="X827" s="4"/>
      <c r="Y827" s="4"/>
      <c r="Z827" s="4"/>
      <c r="AA827" s="4"/>
      <c r="AB827" s="4"/>
    </row>
    <row r="828" spans="1:28" ht="12.75" hidden="1">
      <c r="A828" s="4"/>
      <c r="B828" s="4"/>
      <c r="C828" s="4"/>
      <c r="D828" s="15"/>
      <c r="E828" s="4"/>
      <c r="F828" s="4"/>
      <c r="G828" s="4"/>
      <c r="H828" s="4"/>
      <c r="I828" s="4"/>
      <c r="J828" s="4"/>
      <c r="K828" s="4"/>
      <c r="L828" s="4"/>
      <c r="M828" s="4"/>
      <c r="N828" s="4"/>
      <c r="O828" s="4"/>
      <c r="P828" s="4"/>
      <c r="Q828" s="4"/>
      <c r="R828" s="4"/>
      <c r="S828" s="4"/>
      <c r="T828" s="4"/>
      <c r="U828" s="4"/>
      <c r="V828" s="4"/>
      <c r="W828" s="4"/>
      <c r="X828" s="4"/>
      <c r="Y828" s="4"/>
      <c r="Z828" s="4"/>
      <c r="AA828" s="4"/>
      <c r="AB828" s="4"/>
    </row>
    <row r="829" spans="1:28" ht="12.75" hidden="1">
      <c r="A829" s="4"/>
      <c r="B829" s="4"/>
      <c r="C829" s="4"/>
      <c r="D829" s="15"/>
      <c r="E829" s="4"/>
      <c r="F829" s="4"/>
      <c r="G829" s="4"/>
      <c r="H829" s="4"/>
      <c r="I829" s="4"/>
      <c r="J829" s="4"/>
      <c r="K829" s="4"/>
      <c r="L829" s="4"/>
      <c r="M829" s="4"/>
      <c r="N829" s="4"/>
      <c r="O829" s="4"/>
      <c r="P829" s="4"/>
      <c r="Q829" s="4"/>
      <c r="R829" s="4"/>
      <c r="S829" s="4"/>
      <c r="T829" s="4"/>
      <c r="U829" s="4"/>
      <c r="V829" s="4"/>
      <c r="W829" s="4"/>
      <c r="X829" s="4"/>
      <c r="Y829" s="4"/>
      <c r="Z829" s="4"/>
      <c r="AA829" s="4"/>
      <c r="AB829" s="4"/>
    </row>
    <row r="830" spans="1:28" ht="12.75" hidden="1">
      <c r="A830" s="4"/>
      <c r="B830" s="4"/>
      <c r="C830" s="4"/>
      <c r="D830" s="15"/>
      <c r="E830" s="4"/>
      <c r="F830" s="4"/>
      <c r="G830" s="4"/>
      <c r="H830" s="4"/>
      <c r="I830" s="4"/>
      <c r="J830" s="4"/>
      <c r="K830" s="4"/>
      <c r="L830" s="4"/>
      <c r="M830" s="4"/>
      <c r="N830" s="4"/>
      <c r="O830" s="4"/>
      <c r="P830" s="4"/>
      <c r="Q830" s="4"/>
      <c r="R830" s="4"/>
      <c r="S830" s="4"/>
      <c r="T830" s="4"/>
      <c r="U830" s="4"/>
      <c r="V830" s="4"/>
      <c r="W830" s="4"/>
      <c r="X830" s="4"/>
      <c r="Y830" s="4"/>
      <c r="Z830" s="4"/>
      <c r="AA830" s="4"/>
      <c r="AB830" s="4"/>
    </row>
    <row r="831" spans="1:28" ht="12.75" hidden="1">
      <c r="A831" s="4"/>
      <c r="B831" s="4"/>
      <c r="C831" s="4"/>
      <c r="D831" s="15"/>
      <c r="E831" s="4"/>
      <c r="F831" s="4"/>
      <c r="G831" s="4"/>
      <c r="H831" s="4"/>
      <c r="I831" s="4"/>
      <c r="J831" s="4"/>
      <c r="K831" s="4"/>
      <c r="L831" s="4"/>
      <c r="M831" s="4"/>
      <c r="N831" s="4"/>
      <c r="O831" s="4"/>
      <c r="P831" s="4"/>
      <c r="Q831" s="4"/>
      <c r="R831" s="4"/>
      <c r="S831" s="4"/>
      <c r="T831" s="4"/>
      <c r="U831" s="4"/>
      <c r="V831" s="4"/>
      <c r="W831" s="4"/>
      <c r="X831" s="4"/>
      <c r="Y831" s="4"/>
      <c r="Z831" s="4"/>
      <c r="AA831" s="4"/>
      <c r="AB831" s="4"/>
    </row>
    <row r="832" spans="1:28" ht="12.75" hidden="1">
      <c r="A832" s="4"/>
      <c r="B832" s="4"/>
      <c r="C832" s="4"/>
      <c r="D832" s="15"/>
      <c r="E832" s="4"/>
      <c r="F832" s="4"/>
      <c r="G832" s="4"/>
      <c r="H832" s="4"/>
      <c r="I832" s="4"/>
      <c r="J832" s="4"/>
      <c r="K832" s="4"/>
      <c r="L832" s="4"/>
      <c r="M832" s="4"/>
      <c r="N832" s="4"/>
      <c r="O832" s="4"/>
      <c r="P832" s="4"/>
      <c r="Q832" s="4"/>
      <c r="R832" s="4"/>
      <c r="S832" s="4"/>
      <c r="T832" s="4"/>
      <c r="U832" s="4"/>
      <c r="V832" s="4"/>
      <c r="W832" s="4"/>
      <c r="X832" s="4"/>
      <c r="Y832" s="4"/>
      <c r="Z832" s="4"/>
      <c r="AA832" s="4"/>
      <c r="AB832" s="4"/>
    </row>
    <row r="833" spans="1:28" ht="12.75" hidden="1">
      <c r="A833" s="4"/>
      <c r="B833" s="4"/>
      <c r="C833" s="4"/>
      <c r="D833" s="15"/>
      <c r="E833" s="4"/>
      <c r="F833" s="4"/>
      <c r="G833" s="4"/>
      <c r="H833" s="4"/>
      <c r="I833" s="4"/>
      <c r="J833" s="4"/>
      <c r="K833" s="4"/>
      <c r="L833" s="4"/>
      <c r="M833" s="4"/>
      <c r="N833" s="4"/>
      <c r="O833" s="4"/>
      <c r="P833" s="4"/>
      <c r="Q833" s="4"/>
      <c r="R833" s="4"/>
      <c r="S833" s="4"/>
      <c r="T833" s="4"/>
      <c r="U833" s="4"/>
      <c r="V833" s="4"/>
      <c r="W833" s="4"/>
      <c r="X833" s="4"/>
      <c r="Y833" s="4"/>
      <c r="Z833" s="4"/>
      <c r="AA833" s="4"/>
      <c r="AB833" s="4"/>
    </row>
    <row r="834" spans="1:28" ht="12.75" hidden="1">
      <c r="A834" s="4"/>
      <c r="B834" s="4"/>
      <c r="C834" s="4"/>
      <c r="D834" s="15"/>
      <c r="E834" s="4"/>
      <c r="F834" s="4"/>
      <c r="G834" s="4"/>
      <c r="H834" s="4"/>
      <c r="I834" s="4"/>
      <c r="J834" s="4"/>
      <c r="K834" s="4"/>
      <c r="L834" s="4"/>
      <c r="M834" s="4"/>
      <c r="N834" s="4"/>
      <c r="O834" s="4"/>
      <c r="P834" s="4"/>
      <c r="Q834" s="4"/>
      <c r="R834" s="4"/>
      <c r="S834" s="4"/>
      <c r="T834" s="4"/>
      <c r="U834" s="4"/>
      <c r="V834" s="4"/>
      <c r="W834" s="4"/>
      <c r="X834" s="4"/>
      <c r="Y834" s="4"/>
      <c r="Z834" s="4"/>
      <c r="AA834" s="4"/>
      <c r="AB834" s="4"/>
    </row>
    <row r="835" spans="1:28" ht="12.75" hidden="1">
      <c r="A835" s="4"/>
      <c r="B835" s="4"/>
      <c r="C835" s="4"/>
      <c r="D835" s="15"/>
      <c r="E835" s="4"/>
      <c r="F835" s="4"/>
      <c r="G835" s="4"/>
      <c r="H835" s="4"/>
      <c r="I835" s="4"/>
      <c r="J835" s="4"/>
      <c r="K835" s="4"/>
      <c r="L835" s="4"/>
      <c r="M835" s="4"/>
      <c r="N835" s="4"/>
      <c r="O835" s="4"/>
      <c r="P835" s="4"/>
      <c r="Q835" s="4"/>
      <c r="R835" s="4"/>
      <c r="S835" s="4"/>
      <c r="T835" s="4"/>
      <c r="U835" s="4"/>
      <c r="V835" s="4"/>
      <c r="W835" s="4"/>
      <c r="X835" s="4"/>
      <c r="Y835" s="4"/>
      <c r="Z835" s="4"/>
      <c r="AA835" s="4"/>
      <c r="AB835" s="4"/>
    </row>
    <row r="836" spans="1:28" ht="12.75" hidden="1">
      <c r="A836" s="4"/>
      <c r="B836" s="4"/>
      <c r="C836" s="4"/>
      <c r="D836" s="15"/>
      <c r="E836" s="4"/>
      <c r="F836" s="4"/>
      <c r="G836" s="4"/>
      <c r="H836" s="4"/>
      <c r="I836" s="4"/>
      <c r="J836" s="4"/>
      <c r="K836" s="4"/>
      <c r="L836" s="4"/>
      <c r="M836" s="4"/>
      <c r="N836" s="4"/>
      <c r="O836" s="4"/>
      <c r="P836" s="4"/>
      <c r="Q836" s="4"/>
      <c r="R836" s="4"/>
      <c r="S836" s="4"/>
      <c r="T836" s="4"/>
      <c r="U836" s="4"/>
      <c r="V836" s="4"/>
      <c r="W836" s="4"/>
      <c r="X836" s="4"/>
      <c r="Y836" s="4"/>
      <c r="Z836" s="4"/>
      <c r="AA836" s="4"/>
      <c r="AB836" s="4"/>
    </row>
    <row r="837" spans="1:28" ht="12.75" hidden="1">
      <c r="A837" s="4"/>
      <c r="B837" s="4"/>
      <c r="C837" s="4"/>
      <c r="D837" s="15"/>
      <c r="E837" s="4"/>
      <c r="F837" s="4"/>
      <c r="G837" s="4"/>
      <c r="H837" s="4"/>
      <c r="I837" s="4"/>
      <c r="J837" s="4"/>
      <c r="K837" s="4"/>
      <c r="L837" s="4"/>
      <c r="M837" s="4"/>
      <c r="N837" s="4"/>
      <c r="O837" s="4"/>
      <c r="P837" s="4"/>
      <c r="Q837" s="4"/>
      <c r="R837" s="4"/>
      <c r="S837" s="4"/>
      <c r="T837" s="4"/>
      <c r="U837" s="4"/>
      <c r="V837" s="4"/>
      <c r="W837" s="4"/>
      <c r="X837" s="4"/>
      <c r="Y837" s="4"/>
      <c r="Z837" s="4"/>
      <c r="AA837" s="4"/>
      <c r="AB837" s="4"/>
    </row>
    <row r="838" spans="1:28" ht="12.75" hidden="1">
      <c r="A838" s="4"/>
      <c r="B838" s="4"/>
      <c r="C838" s="4"/>
      <c r="D838" s="15"/>
      <c r="E838" s="4"/>
      <c r="F838" s="4"/>
      <c r="G838" s="4"/>
      <c r="H838" s="4"/>
      <c r="I838" s="4"/>
      <c r="J838" s="4"/>
      <c r="K838" s="4"/>
      <c r="L838" s="4"/>
      <c r="M838" s="4"/>
      <c r="N838" s="4"/>
      <c r="O838" s="4"/>
      <c r="P838" s="4"/>
      <c r="Q838" s="4"/>
      <c r="R838" s="4"/>
      <c r="S838" s="4"/>
      <c r="T838" s="4"/>
      <c r="U838" s="4"/>
      <c r="V838" s="4"/>
      <c r="W838" s="4"/>
      <c r="X838" s="4"/>
      <c r="Y838" s="4"/>
      <c r="Z838" s="4"/>
      <c r="AA838" s="4"/>
      <c r="AB838" s="4"/>
    </row>
    <row r="839" spans="1:28" ht="12.75" hidden="1">
      <c r="A839" s="4"/>
      <c r="B839" s="4"/>
      <c r="C839" s="4"/>
      <c r="D839" s="15"/>
      <c r="E839" s="4"/>
      <c r="F839" s="4"/>
      <c r="G839" s="4"/>
      <c r="H839" s="4"/>
      <c r="I839" s="4"/>
      <c r="J839" s="4"/>
      <c r="K839" s="4"/>
      <c r="L839" s="4"/>
      <c r="M839" s="4"/>
      <c r="N839" s="4"/>
      <c r="O839" s="4"/>
      <c r="P839" s="4"/>
      <c r="Q839" s="4"/>
      <c r="R839" s="4"/>
      <c r="S839" s="4"/>
      <c r="T839" s="4"/>
      <c r="U839" s="4"/>
      <c r="V839" s="4"/>
      <c r="W839" s="4"/>
      <c r="X839" s="4"/>
      <c r="Y839" s="4"/>
      <c r="Z839" s="4"/>
      <c r="AA839" s="4"/>
      <c r="AB839" s="4"/>
    </row>
    <row r="840" spans="1:28" ht="12.75" hidden="1">
      <c r="A840" s="4"/>
      <c r="B840" s="4"/>
      <c r="C840" s="4"/>
      <c r="D840" s="15"/>
      <c r="E840" s="4"/>
      <c r="F840" s="4"/>
      <c r="G840" s="4"/>
      <c r="H840" s="4"/>
      <c r="I840" s="4"/>
      <c r="J840" s="4"/>
      <c r="K840" s="4"/>
      <c r="L840" s="4"/>
      <c r="M840" s="4"/>
      <c r="N840" s="4"/>
      <c r="O840" s="4"/>
      <c r="P840" s="4"/>
      <c r="Q840" s="4"/>
      <c r="R840" s="4"/>
      <c r="S840" s="4"/>
      <c r="T840" s="4"/>
      <c r="U840" s="4"/>
      <c r="V840" s="4"/>
      <c r="W840" s="4"/>
      <c r="X840" s="4"/>
      <c r="Y840" s="4"/>
      <c r="Z840" s="4"/>
      <c r="AA840" s="4"/>
      <c r="AB840" s="4"/>
    </row>
    <row r="841" spans="1:28" ht="12.75" hidden="1">
      <c r="A841" s="4"/>
      <c r="B841" s="4"/>
      <c r="C841" s="4"/>
      <c r="D841" s="15"/>
      <c r="E841" s="4"/>
      <c r="F841" s="4"/>
      <c r="G841" s="4"/>
      <c r="H841" s="4"/>
      <c r="I841" s="4"/>
      <c r="J841" s="4"/>
      <c r="K841" s="4"/>
      <c r="L841" s="4"/>
      <c r="M841" s="4"/>
      <c r="N841" s="4"/>
      <c r="O841" s="4"/>
      <c r="P841" s="4"/>
      <c r="Q841" s="4"/>
      <c r="R841" s="4"/>
      <c r="S841" s="4"/>
      <c r="T841" s="4"/>
      <c r="U841" s="4"/>
      <c r="V841" s="4"/>
      <c r="W841" s="4"/>
      <c r="X841" s="4"/>
      <c r="Y841" s="4"/>
      <c r="Z841" s="4"/>
      <c r="AA841" s="4"/>
      <c r="AB841" s="4"/>
    </row>
    <row r="842" spans="1:28" ht="12.75" hidden="1">
      <c r="A842" s="4"/>
      <c r="B842" s="4"/>
      <c r="C842" s="4"/>
      <c r="D842" s="15"/>
      <c r="E842" s="4"/>
      <c r="F842" s="4"/>
      <c r="G842" s="4"/>
      <c r="H842" s="4"/>
      <c r="I842" s="4"/>
      <c r="J842" s="4"/>
      <c r="K842" s="4"/>
      <c r="L842" s="4"/>
      <c r="M842" s="4"/>
      <c r="N842" s="4"/>
      <c r="O842" s="4"/>
      <c r="P842" s="4"/>
      <c r="Q842" s="4"/>
      <c r="R842" s="4"/>
      <c r="S842" s="4"/>
      <c r="T842" s="4"/>
      <c r="U842" s="4"/>
      <c r="V842" s="4"/>
      <c r="W842" s="4"/>
      <c r="X842" s="4"/>
      <c r="Y842" s="4"/>
      <c r="Z842" s="4"/>
      <c r="AA842" s="4"/>
      <c r="AB842" s="4"/>
    </row>
    <row r="843" spans="1:28" ht="12.75" hidden="1">
      <c r="A843" s="4"/>
      <c r="B843" s="4"/>
      <c r="C843" s="4"/>
      <c r="D843" s="15"/>
      <c r="E843" s="4"/>
      <c r="F843" s="4"/>
      <c r="G843" s="4"/>
      <c r="H843" s="4"/>
      <c r="I843" s="4"/>
      <c r="J843" s="4"/>
      <c r="K843" s="4"/>
      <c r="L843" s="4"/>
      <c r="M843" s="4"/>
      <c r="N843" s="4"/>
      <c r="O843" s="4"/>
      <c r="P843" s="4"/>
      <c r="Q843" s="4"/>
      <c r="R843" s="4"/>
      <c r="S843" s="4"/>
      <c r="T843" s="4"/>
      <c r="U843" s="4"/>
      <c r="V843" s="4"/>
      <c r="W843" s="4"/>
      <c r="X843" s="4"/>
      <c r="Y843" s="4"/>
      <c r="Z843" s="4"/>
      <c r="AA843" s="4"/>
      <c r="AB843" s="4"/>
    </row>
    <row r="844" spans="1:28" ht="12.75" hidden="1">
      <c r="A844" s="4"/>
      <c r="B844" s="4"/>
      <c r="C844" s="4"/>
      <c r="D844" s="15"/>
      <c r="E844" s="4"/>
      <c r="F844" s="4"/>
      <c r="G844" s="4"/>
      <c r="H844" s="4"/>
      <c r="I844" s="4"/>
      <c r="J844" s="4"/>
      <c r="K844" s="4"/>
      <c r="L844" s="4"/>
      <c r="M844" s="4"/>
      <c r="N844" s="4"/>
      <c r="O844" s="4"/>
      <c r="P844" s="4"/>
      <c r="Q844" s="4"/>
      <c r="R844" s="4"/>
      <c r="S844" s="4"/>
      <c r="T844" s="4"/>
      <c r="U844" s="4"/>
      <c r="V844" s="4"/>
      <c r="W844" s="4"/>
      <c r="X844" s="4"/>
      <c r="Y844" s="4"/>
      <c r="Z844" s="4"/>
      <c r="AA844" s="4"/>
      <c r="AB844" s="4"/>
    </row>
    <row r="845" spans="1:28" ht="12.75" hidden="1">
      <c r="A845" s="4"/>
      <c r="B845" s="4"/>
      <c r="C845" s="4"/>
      <c r="D845" s="15"/>
      <c r="E845" s="4"/>
      <c r="F845" s="4"/>
      <c r="G845" s="4"/>
      <c r="H845" s="4"/>
      <c r="I845" s="4"/>
      <c r="J845" s="4"/>
      <c r="K845" s="4"/>
      <c r="L845" s="4"/>
      <c r="M845" s="4"/>
      <c r="N845" s="4"/>
      <c r="O845" s="4"/>
      <c r="P845" s="4"/>
      <c r="Q845" s="4"/>
      <c r="R845" s="4"/>
      <c r="S845" s="4"/>
      <c r="T845" s="4"/>
      <c r="U845" s="4"/>
      <c r="V845" s="4"/>
      <c r="W845" s="4"/>
      <c r="X845" s="4"/>
      <c r="Y845" s="4"/>
      <c r="Z845" s="4"/>
      <c r="AA845" s="4"/>
      <c r="AB845" s="4"/>
    </row>
    <row r="846" spans="1:28" ht="12.75" hidden="1">
      <c r="A846" s="4"/>
      <c r="B846" s="4"/>
      <c r="C846" s="4"/>
      <c r="D846" s="15"/>
      <c r="E846" s="4"/>
      <c r="F846" s="4"/>
      <c r="G846" s="4"/>
      <c r="H846" s="4"/>
      <c r="I846" s="4"/>
      <c r="J846" s="4"/>
      <c r="K846" s="4"/>
      <c r="L846" s="4"/>
      <c r="M846" s="4"/>
      <c r="N846" s="4"/>
      <c r="O846" s="4"/>
      <c r="P846" s="4"/>
      <c r="Q846" s="4"/>
      <c r="R846" s="4"/>
      <c r="S846" s="4"/>
      <c r="T846" s="4"/>
      <c r="U846" s="4"/>
      <c r="V846" s="4"/>
      <c r="W846" s="4"/>
      <c r="X846" s="4"/>
      <c r="Y846" s="4"/>
      <c r="Z846" s="4"/>
      <c r="AA846" s="4"/>
      <c r="AB846" s="4"/>
    </row>
    <row r="847" spans="1:28" ht="12.75" hidden="1">
      <c r="A847" s="4"/>
      <c r="B847" s="4"/>
      <c r="C847" s="4"/>
      <c r="D847" s="15"/>
      <c r="E847" s="4"/>
      <c r="F847" s="4"/>
      <c r="G847" s="4"/>
      <c r="H847" s="4"/>
      <c r="I847" s="4"/>
      <c r="J847" s="4"/>
      <c r="K847" s="4"/>
      <c r="L847" s="4"/>
      <c r="M847" s="4"/>
      <c r="N847" s="4"/>
      <c r="O847" s="4"/>
      <c r="P847" s="4"/>
      <c r="Q847" s="4"/>
      <c r="R847" s="4"/>
      <c r="S847" s="4"/>
      <c r="T847" s="4"/>
      <c r="U847" s="4"/>
      <c r="V847" s="4"/>
      <c r="W847" s="4"/>
      <c r="X847" s="4"/>
      <c r="Y847" s="4"/>
      <c r="Z847" s="4"/>
      <c r="AA847" s="4"/>
      <c r="AB847" s="4"/>
    </row>
    <row r="848" spans="1:28" ht="12.75" hidden="1">
      <c r="A848" s="4"/>
      <c r="B848" s="4"/>
      <c r="C848" s="4"/>
      <c r="D848" s="15"/>
      <c r="E848" s="4"/>
      <c r="F848" s="4"/>
      <c r="G848" s="4"/>
      <c r="H848" s="4"/>
      <c r="I848" s="4"/>
      <c r="J848" s="4"/>
      <c r="K848" s="4"/>
      <c r="L848" s="4"/>
      <c r="M848" s="4"/>
      <c r="N848" s="4"/>
      <c r="O848" s="4"/>
      <c r="P848" s="4"/>
      <c r="Q848" s="4"/>
      <c r="R848" s="4"/>
      <c r="S848" s="4"/>
      <c r="T848" s="4"/>
      <c r="U848" s="4"/>
      <c r="V848" s="4"/>
      <c r="W848" s="4"/>
      <c r="X848" s="4"/>
      <c r="Y848" s="4"/>
      <c r="Z848" s="4"/>
      <c r="AA848" s="4"/>
      <c r="AB848" s="4"/>
    </row>
    <row r="849" spans="1:28" ht="12.75" hidden="1">
      <c r="A849" s="4"/>
      <c r="B849" s="4"/>
      <c r="C849" s="4"/>
      <c r="D849" s="15"/>
      <c r="E849" s="4"/>
      <c r="F849" s="4"/>
      <c r="G849" s="4"/>
      <c r="H849" s="4"/>
      <c r="I849" s="4"/>
      <c r="J849" s="4"/>
      <c r="K849" s="4"/>
      <c r="L849" s="4"/>
      <c r="M849" s="4"/>
      <c r="N849" s="4"/>
      <c r="O849" s="4"/>
      <c r="P849" s="4"/>
      <c r="Q849" s="4"/>
      <c r="R849" s="4"/>
      <c r="S849" s="4"/>
      <c r="T849" s="4"/>
      <c r="U849" s="4"/>
      <c r="V849" s="4"/>
      <c r="W849" s="4"/>
      <c r="X849" s="4"/>
      <c r="Y849" s="4"/>
      <c r="Z849" s="4"/>
      <c r="AA849" s="4"/>
      <c r="AB849" s="4"/>
    </row>
    <row r="850" spans="1:28" ht="12.75" hidden="1">
      <c r="A850" s="4"/>
      <c r="B850" s="4"/>
      <c r="C850" s="4"/>
      <c r="D850" s="15"/>
      <c r="E850" s="4"/>
      <c r="F850" s="4"/>
      <c r="G850" s="4"/>
      <c r="H850" s="4"/>
      <c r="I850" s="4"/>
      <c r="J850" s="4"/>
      <c r="K850" s="4"/>
      <c r="L850" s="4"/>
      <c r="M850" s="4"/>
      <c r="N850" s="4"/>
      <c r="O850" s="4"/>
      <c r="P850" s="4"/>
      <c r="Q850" s="4"/>
      <c r="R850" s="4"/>
      <c r="S850" s="4"/>
      <c r="T850" s="4"/>
      <c r="U850" s="4"/>
      <c r="V850" s="4"/>
      <c r="W850" s="4"/>
      <c r="X850" s="4"/>
      <c r="Y850" s="4"/>
      <c r="Z850" s="4"/>
      <c r="AA850" s="4"/>
      <c r="AB850" s="4"/>
    </row>
    <row r="851" spans="1:28" ht="12.75" hidden="1">
      <c r="A851" s="4"/>
      <c r="B851" s="4"/>
      <c r="C851" s="4"/>
      <c r="D851" s="15"/>
      <c r="E851" s="4"/>
      <c r="F851" s="4"/>
      <c r="G851" s="4"/>
      <c r="H851" s="4"/>
      <c r="I851" s="4"/>
      <c r="J851" s="4"/>
      <c r="K851" s="4"/>
      <c r="L851" s="4"/>
      <c r="M851" s="4"/>
      <c r="N851" s="4"/>
      <c r="O851" s="4"/>
      <c r="P851" s="4"/>
      <c r="Q851" s="4"/>
      <c r="R851" s="4"/>
      <c r="S851" s="4"/>
      <c r="T851" s="4"/>
      <c r="U851" s="4"/>
      <c r="V851" s="4"/>
      <c r="W851" s="4"/>
      <c r="X851" s="4"/>
      <c r="Y851" s="4"/>
      <c r="Z851" s="4"/>
      <c r="AA851" s="4"/>
      <c r="AB851" s="4"/>
    </row>
    <row r="852" spans="1:28" ht="12.75" hidden="1">
      <c r="A852" s="4"/>
      <c r="B852" s="4"/>
      <c r="C852" s="4"/>
      <c r="D852" s="15"/>
      <c r="E852" s="4"/>
      <c r="F852" s="4"/>
      <c r="G852" s="4"/>
      <c r="H852" s="4"/>
      <c r="I852" s="4"/>
      <c r="J852" s="4"/>
      <c r="K852" s="4"/>
      <c r="L852" s="4"/>
      <c r="M852" s="4"/>
      <c r="N852" s="4"/>
      <c r="O852" s="4"/>
      <c r="P852" s="4"/>
      <c r="Q852" s="4"/>
      <c r="R852" s="4"/>
      <c r="S852" s="4"/>
      <c r="T852" s="4"/>
      <c r="U852" s="4"/>
      <c r="V852" s="4"/>
      <c r="W852" s="4"/>
      <c r="X852" s="4"/>
      <c r="Y852" s="4"/>
      <c r="Z852" s="4"/>
      <c r="AA852" s="4"/>
      <c r="AB852" s="4"/>
    </row>
    <row r="853" spans="1:28" ht="12.75" hidden="1">
      <c r="A853" s="4"/>
      <c r="B853" s="4"/>
      <c r="C853" s="4"/>
      <c r="D853" s="15"/>
      <c r="E853" s="4"/>
      <c r="F853" s="4"/>
      <c r="G853" s="4"/>
      <c r="H853" s="4"/>
      <c r="I853" s="4"/>
      <c r="J853" s="4"/>
      <c r="K853" s="4"/>
      <c r="L853" s="4"/>
      <c r="M853" s="4"/>
      <c r="N853" s="4"/>
      <c r="O853" s="4"/>
      <c r="P853" s="4"/>
      <c r="Q853" s="4"/>
      <c r="R853" s="4"/>
      <c r="S853" s="4"/>
      <c r="T853" s="4"/>
      <c r="U853" s="4"/>
      <c r="V853" s="4"/>
      <c r="W853" s="4"/>
      <c r="X853" s="4"/>
      <c r="Y853" s="4"/>
      <c r="Z853" s="4"/>
      <c r="AA853" s="4"/>
      <c r="AB853" s="4"/>
    </row>
    <row r="854" spans="1:28" ht="12.75" hidden="1">
      <c r="A854" s="4"/>
      <c r="B854" s="4"/>
      <c r="C854" s="4"/>
      <c r="D854" s="15"/>
      <c r="E854" s="4"/>
      <c r="F854" s="4"/>
      <c r="G854" s="4"/>
      <c r="H854" s="4"/>
      <c r="I854" s="4"/>
      <c r="J854" s="4"/>
      <c r="K854" s="4"/>
      <c r="L854" s="4"/>
      <c r="M854" s="4"/>
      <c r="N854" s="4"/>
      <c r="O854" s="4"/>
      <c r="P854" s="4"/>
      <c r="Q854" s="4"/>
      <c r="R854" s="4"/>
      <c r="S854" s="4"/>
      <c r="T854" s="4"/>
      <c r="U854" s="4"/>
      <c r="V854" s="4"/>
      <c r="W854" s="4"/>
      <c r="X854" s="4"/>
      <c r="Y854" s="4"/>
      <c r="Z854" s="4"/>
      <c r="AA854" s="4"/>
      <c r="AB854" s="4"/>
    </row>
    <row r="855" spans="1:28" ht="12.75" hidden="1">
      <c r="A855" s="4"/>
      <c r="B855" s="4"/>
      <c r="C855" s="4"/>
      <c r="D855" s="15"/>
      <c r="E855" s="4"/>
      <c r="F855" s="4"/>
      <c r="G855" s="4"/>
      <c r="H855" s="4"/>
      <c r="I855" s="4"/>
      <c r="J855" s="4"/>
      <c r="K855" s="4"/>
      <c r="L855" s="4"/>
      <c r="M855" s="4"/>
      <c r="N855" s="4"/>
      <c r="O855" s="4"/>
      <c r="P855" s="4"/>
      <c r="Q855" s="4"/>
      <c r="R855" s="4"/>
      <c r="S855" s="4"/>
      <c r="T855" s="4"/>
      <c r="U855" s="4"/>
      <c r="V855" s="4"/>
      <c r="W855" s="4"/>
      <c r="X855" s="4"/>
      <c r="Y855" s="4"/>
      <c r="Z855" s="4"/>
      <c r="AA855" s="4"/>
      <c r="AB855" s="4"/>
    </row>
    <row r="856" spans="1:28" ht="12.75" hidden="1">
      <c r="A856" s="4"/>
      <c r="B856" s="4"/>
      <c r="C856" s="4"/>
      <c r="D856" s="15"/>
      <c r="E856" s="4"/>
      <c r="F856" s="4"/>
      <c r="G856" s="4"/>
      <c r="H856" s="4"/>
      <c r="I856" s="4"/>
      <c r="J856" s="4"/>
      <c r="K856" s="4"/>
      <c r="L856" s="4"/>
      <c r="M856" s="4"/>
      <c r="N856" s="4"/>
      <c r="O856" s="4"/>
      <c r="P856" s="4"/>
      <c r="Q856" s="4"/>
      <c r="R856" s="4"/>
      <c r="S856" s="4"/>
      <c r="T856" s="4"/>
      <c r="U856" s="4"/>
      <c r="V856" s="4"/>
      <c r="W856" s="4"/>
      <c r="X856" s="4"/>
      <c r="Y856" s="4"/>
      <c r="Z856" s="4"/>
      <c r="AA856" s="4"/>
      <c r="AB856" s="4"/>
    </row>
    <row r="857" spans="1:28" ht="12.75" hidden="1">
      <c r="A857" s="4"/>
      <c r="B857" s="4"/>
      <c r="C857" s="4"/>
      <c r="D857" s="15"/>
      <c r="E857" s="4"/>
      <c r="F857" s="4"/>
      <c r="G857" s="4"/>
      <c r="H857" s="4"/>
      <c r="I857" s="4"/>
      <c r="J857" s="4"/>
      <c r="K857" s="4"/>
      <c r="L857" s="4"/>
      <c r="M857" s="4"/>
      <c r="N857" s="4"/>
      <c r="O857" s="4"/>
      <c r="P857" s="4"/>
      <c r="Q857" s="4"/>
      <c r="R857" s="4"/>
      <c r="S857" s="4"/>
      <c r="T857" s="4"/>
      <c r="U857" s="4"/>
      <c r="V857" s="4"/>
      <c r="W857" s="4"/>
      <c r="X857" s="4"/>
      <c r="Y857" s="4"/>
      <c r="Z857" s="4"/>
      <c r="AA857" s="4"/>
      <c r="AB857" s="4"/>
    </row>
    <row r="858" spans="1:28" ht="12.75" hidden="1">
      <c r="A858" s="4"/>
      <c r="B858" s="4"/>
      <c r="C858" s="4"/>
      <c r="D858" s="15"/>
      <c r="E858" s="4"/>
      <c r="F858" s="4"/>
      <c r="G858" s="4"/>
      <c r="H858" s="4"/>
      <c r="I858" s="4"/>
      <c r="J858" s="4"/>
      <c r="K858" s="4"/>
      <c r="L858" s="4"/>
      <c r="M858" s="4"/>
      <c r="N858" s="4"/>
      <c r="O858" s="4"/>
      <c r="P858" s="4"/>
      <c r="Q858" s="4"/>
      <c r="R858" s="4"/>
      <c r="S858" s="4"/>
      <c r="T858" s="4"/>
      <c r="U858" s="4"/>
      <c r="V858" s="4"/>
      <c r="W858" s="4"/>
      <c r="X858" s="4"/>
      <c r="Y858" s="4"/>
      <c r="Z858" s="4"/>
      <c r="AA858" s="4"/>
      <c r="AB858" s="4"/>
    </row>
    <row r="859" spans="1:28" ht="12.75" hidden="1">
      <c r="A859" s="4"/>
      <c r="B859" s="4"/>
      <c r="C859" s="4"/>
      <c r="D859" s="15"/>
      <c r="E859" s="4"/>
      <c r="F859" s="4"/>
      <c r="G859" s="4"/>
      <c r="H859" s="4"/>
      <c r="I859" s="4"/>
      <c r="J859" s="4"/>
      <c r="K859" s="4"/>
      <c r="L859" s="4"/>
      <c r="M859" s="4"/>
      <c r="N859" s="4"/>
      <c r="O859" s="4"/>
      <c r="P859" s="4"/>
      <c r="Q859" s="4"/>
      <c r="R859" s="4"/>
      <c r="S859" s="4"/>
      <c r="T859" s="4"/>
      <c r="U859" s="4"/>
      <c r="V859" s="4"/>
      <c r="W859" s="4"/>
      <c r="X859" s="4"/>
      <c r="Y859" s="4"/>
      <c r="Z859" s="4"/>
      <c r="AA859" s="4"/>
      <c r="AB859" s="4"/>
    </row>
    <row r="860" spans="1:28" ht="12.75" hidden="1">
      <c r="A860" s="4"/>
      <c r="B860" s="4"/>
      <c r="C860" s="4"/>
      <c r="D860" s="15"/>
      <c r="E860" s="4"/>
      <c r="F860" s="4"/>
      <c r="G860" s="4"/>
      <c r="H860" s="4"/>
      <c r="I860" s="4"/>
      <c r="J860" s="4"/>
      <c r="K860" s="4"/>
      <c r="L860" s="4"/>
      <c r="M860" s="4"/>
      <c r="N860" s="4"/>
      <c r="O860" s="4"/>
      <c r="P860" s="4"/>
      <c r="Q860" s="4"/>
      <c r="R860" s="4"/>
      <c r="S860" s="4"/>
      <c r="T860" s="4"/>
      <c r="U860" s="4"/>
      <c r="V860" s="4"/>
      <c r="W860" s="4"/>
      <c r="X860" s="4"/>
      <c r="Y860" s="4"/>
      <c r="Z860" s="4"/>
      <c r="AA860" s="4"/>
      <c r="AB860" s="4"/>
    </row>
    <row r="861" spans="1:28" ht="12.75" hidden="1">
      <c r="A861" s="4"/>
      <c r="B861" s="4"/>
      <c r="C861" s="4"/>
      <c r="D861" s="15"/>
      <c r="E861" s="4"/>
      <c r="F861" s="4"/>
      <c r="G861" s="4"/>
      <c r="H861" s="4"/>
      <c r="I861" s="4"/>
      <c r="J861" s="4"/>
      <c r="K861" s="4"/>
      <c r="L861" s="4"/>
      <c r="M861" s="4"/>
      <c r="N861" s="4"/>
      <c r="O861" s="4"/>
      <c r="P861" s="4"/>
      <c r="Q861" s="4"/>
      <c r="R861" s="4"/>
      <c r="S861" s="4"/>
      <c r="T861" s="4"/>
      <c r="U861" s="4"/>
      <c r="V861" s="4"/>
      <c r="W861" s="4"/>
      <c r="X861" s="4"/>
      <c r="Y861" s="4"/>
      <c r="Z861" s="4"/>
      <c r="AA861" s="4"/>
      <c r="AB861" s="4"/>
    </row>
    <row r="862" spans="1:28" ht="12.75" hidden="1">
      <c r="A862" s="4"/>
      <c r="B862" s="4"/>
      <c r="C862" s="4"/>
      <c r="D862" s="15"/>
      <c r="E862" s="4"/>
      <c r="F862" s="4"/>
      <c r="G862" s="4"/>
      <c r="H862" s="4"/>
      <c r="I862" s="4"/>
      <c r="J862" s="4"/>
      <c r="K862" s="4"/>
      <c r="L862" s="4"/>
      <c r="M862" s="4"/>
      <c r="N862" s="4"/>
      <c r="O862" s="4"/>
      <c r="P862" s="4"/>
      <c r="Q862" s="4"/>
      <c r="R862" s="4"/>
      <c r="S862" s="4"/>
      <c r="T862" s="4"/>
      <c r="U862" s="4"/>
      <c r="V862" s="4"/>
      <c r="W862" s="4"/>
      <c r="X862" s="4"/>
      <c r="Y862" s="4"/>
      <c r="Z862" s="4"/>
      <c r="AA862" s="4"/>
      <c r="AB862" s="4"/>
    </row>
    <row r="863" spans="1:28" ht="12.75" hidden="1">
      <c r="A863" s="4"/>
      <c r="B863" s="4"/>
      <c r="C863" s="4"/>
      <c r="D863" s="15"/>
      <c r="E863" s="4"/>
      <c r="F863" s="4"/>
      <c r="G863" s="4"/>
      <c r="H863" s="4"/>
      <c r="I863" s="4"/>
      <c r="J863" s="4"/>
      <c r="K863" s="4"/>
      <c r="L863" s="4"/>
      <c r="M863" s="4"/>
      <c r="N863" s="4"/>
      <c r="O863" s="4"/>
      <c r="P863" s="4"/>
      <c r="Q863" s="4"/>
      <c r="R863" s="4"/>
      <c r="S863" s="4"/>
      <c r="T863" s="4"/>
      <c r="U863" s="4"/>
      <c r="V863" s="4"/>
      <c r="W863" s="4"/>
      <c r="X863" s="4"/>
      <c r="Y863" s="4"/>
      <c r="Z863" s="4"/>
      <c r="AA863" s="4"/>
      <c r="AB863" s="4"/>
    </row>
    <row r="864" spans="1:28" ht="12.75" hidden="1">
      <c r="A864" s="4"/>
      <c r="B864" s="4"/>
      <c r="C864" s="4"/>
      <c r="D864" s="15"/>
      <c r="E864" s="4"/>
      <c r="F864" s="4"/>
      <c r="G864" s="4"/>
      <c r="H864" s="4"/>
      <c r="I864" s="4"/>
      <c r="J864" s="4"/>
      <c r="K864" s="4"/>
      <c r="L864" s="4"/>
      <c r="M864" s="4"/>
      <c r="N864" s="4"/>
      <c r="O864" s="4"/>
      <c r="P864" s="4"/>
      <c r="Q864" s="4"/>
      <c r="R864" s="4"/>
      <c r="S864" s="4"/>
      <c r="T864" s="4"/>
      <c r="U864" s="4"/>
      <c r="V864" s="4"/>
      <c r="W864" s="4"/>
      <c r="X864" s="4"/>
      <c r="Y864" s="4"/>
      <c r="Z864" s="4"/>
      <c r="AA864" s="4"/>
      <c r="AB864" s="4"/>
    </row>
    <row r="865" spans="1:28" ht="12.75" hidden="1">
      <c r="A865" s="4"/>
      <c r="B865" s="4"/>
      <c r="C865" s="4"/>
      <c r="D865" s="15"/>
      <c r="E865" s="4"/>
      <c r="F865" s="4"/>
      <c r="G865" s="4"/>
      <c r="H865" s="4"/>
      <c r="I865" s="4"/>
      <c r="J865" s="4"/>
      <c r="K865" s="4"/>
      <c r="L865" s="4"/>
      <c r="M865" s="4"/>
      <c r="N865" s="4"/>
      <c r="O865" s="4"/>
      <c r="P865" s="4"/>
      <c r="Q865" s="4"/>
      <c r="R865" s="4"/>
      <c r="S865" s="4"/>
      <c r="T865" s="4"/>
      <c r="U865" s="4"/>
      <c r="V865" s="4"/>
      <c r="W865" s="4"/>
      <c r="X865" s="4"/>
      <c r="Y865" s="4"/>
      <c r="Z865" s="4"/>
      <c r="AA865" s="4"/>
      <c r="AB865" s="4"/>
    </row>
    <row r="866" spans="1:28" ht="12.75" hidden="1">
      <c r="A866" s="4"/>
      <c r="B866" s="4"/>
      <c r="C866" s="4"/>
      <c r="D866" s="15"/>
      <c r="E866" s="4"/>
      <c r="F866" s="4"/>
      <c r="G866" s="4"/>
      <c r="H866" s="4"/>
      <c r="I866" s="4"/>
      <c r="J866" s="4"/>
      <c r="K866" s="4"/>
      <c r="L866" s="4"/>
      <c r="M866" s="4"/>
      <c r="N866" s="4"/>
      <c r="O866" s="4"/>
      <c r="P866" s="4"/>
      <c r="Q866" s="4"/>
      <c r="R866" s="4"/>
      <c r="S866" s="4"/>
      <c r="T866" s="4"/>
      <c r="U866" s="4"/>
      <c r="V866" s="4"/>
      <c r="W866" s="4"/>
      <c r="X866" s="4"/>
      <c r="Y866" s="4"/>
      <c r="Z866" s="4"/>
      <c r="AA866" s="4"/>
      <c r="AB866" s="4"/>
    </row>
    <row r="867" spans="1:28" ht="12.75" hidden="1">
      <c r="A867" s="4"/>
      <c r="B867" s="4"/>
      <c r="C867" s="4"/>
      <c r="D867" s="15"/>
      <c r="E867" s="4"/>
      <c r="F867" s="4"/>
      <c r="G867" s="4"/>
      <c r="H867" s="4"/>
      <c r="I867" s="4"/>
      <c r="J867" s="4"/>
      <c r="K867" s="4"/>
      <c r="L867" s="4"/>
      <c r="M867" s="4"/>
      <c r="N867" s="4"/>
      <c r="O867" s="4"/>
      <c r="P867" s="4"/>
      <c r="Q867" s="4"/>
      <c r="R867" s="4"/>
      <c r="S867" s="4"/>
      <c r="T867" s="4"/>
      <c r="U867" s="4"/>
      <c r="V867" s="4"/>
      <c r="W867" s="4"/>
      <c r="X867" s="4"/>
      <c r="Y867" s="4"/>
      <c r="Z867" s="4"/>
      <c r="AA867" s="4"/>
      <c r="AB867" s="4"/>
    </row>
    <row r="868" spans="1:28" ht="12.75" hidden="1">
      <c r="A868" s="4"/>
      <c r="B868" s="4"/>
      <c r="C868" s="4"/>
      <c r="D868" s="15"/>
      <c r="E868" s="4"/>
      <c r="F868" s="4"/>
      <c r="G868" s="4"/>
      <c r="H868" s="4"/>
      <c r="I868" s="4"/>
      <c r="J868" s="4"/>
      <c r="K868" s="4"/>
      <c r="L868" s="4"/>
      <c r="M868" s="4"/>
      <c r="N868" s="4"/>
      <c r="O868" s="4"/>
      <c r="P868" s="4"/>
      <c r="Q868" s="4"/>
      <c r="R868" s="4"/>
      <c r="S868" s="4"/>
      <c r="T868" s="4"/>
      <c r="U868" s="4"/>
      <c r="V868" s="4"/>
      <c r="W868" s="4"/>
      <c r="X868" s="4"/>
      <c r="Y868" s="4"/>
      <c r="Z868" s="4"/>
      <c r="AA868" s="4"/>
      <c r="AB868" s="4"/>
    </row>
    <row r="869" spans="1:28" ht="12.75" hidden="1">
      <c r="A869" s="4"/>
      <c r="B869" s="4"/>
      <c r="C869" s="4"/>
      <c r="D869" s="15"/>
      <c r="E869" s="4"/>
      <c r="F869" s="4"/>
      <c r="G869" s="4"/>
      <c r="H869" s="4"/>
      <c r="I869" s="4"/>
      <c r="J869" s="4"/>
      <c r="K869" s="4"/>
      <c r="L869" s="4"/>
      <c r="M869" s="4"/>
      <c r="N869" s="4"/>
      <c r="O869" s="4"/>
      <c r="P869" s="4"/>
      <c r="Q869" s="4"/>
      <c r="R869" s="4"/>
      <c r="S869" s="4"/>
      <c r="T869" s="4"/>
      <c r="U869" s="4"/>
      <c r="V869" s="4"/>
      <c r="W869" s="4"/>
      <c r="X869" s="4"/>
      <c r="Y869" s="4"/>
      <c r="Z869" s="4"/>
      <c r="AA869" s="4"/>
      <c r="AB869" s="4"/>
    </row>
    <row r="870" spans="1:28" ht="12.75" hidden="1">
      <c r="A870" s="4"/>
      <c r="B870" s="4"/>
      <c r="C870" s="4"/>
      <c r="D870" s="15"/>
      <c r="E870" s="4"/>
      <c r="F870" s="4"/>
      <c r="G870" s="4"/>
      <c r="H870" s="4"/>
      <c r="I870" s="4"/>
      <c r="J870" s="4"/>
      <c r="K870" s="4"/>
      <c r="L870" s="4"/>
      <c r="M870" s="4"/>
      <c r="N870" s="4"/>
      <c r="O870" s="4"/>
      <c r="P870" s="4"/>
      <c r="Q870" s="4"/>
      <c r="R870" s="4"/>
      <c r="S870" s="4"/>
      <c r="T870" s="4"/>
      <c r="U870" s="4"/>
      <c r="V870" s="4"/>
      <c r="W870" s="4"/>
      <c r="X870" s="4"/>
      <c r="Y870" s="4"/>
      <c r="Z870" s="4"/>
      <c r="AA870" s="4"/>
      <c r="AB870" s="4"/>
    </row>
    <row r="871" spans="1:28" ht="12.75" hidden="1">
      <c r="A871" s="4"/>
      <c r="B871" s="4"/>
      <c r="C871" s="4"/>
      <c r="D871" s="15"/>
      <c r="E871" s="4"/>
      <c r="F871" s="4"/>
      <c r="G871" s="4"/>
      <c r="H871" s="4"/>
      <c r="I871" s="4"/>
      <c r="J871" s="4"/>
      <c r="K871" s="4"/>
      <c r="L871" s="4"/>
      <c r="M871" s="4"/>
      <c r="N871" s="4"/>
      <c r="O871" s="4"/>
      <c r="P871" s="4"/>
      <c r="Q871" s="4"/>
      <c r="R871" s="4"/>
      <c r="S871" s="4"/>
      <c r="T871" s="4"/>
      <c r="U871" s="4"/>
      <c r="V871" s="4"/>
      <c r="W871" s="4"/>
      <c r="X871" s="4"/>
      <c r="Y871" s="4"/>
      <c r="Z871" s="4"/>
      <c r="AA871" s="4"/>
      <c r="AB871" s="4"/>
    </row>
    <row r="872" spans="1:28" ht="12.75" hidden="1">
      <c r="A872" s="4"/>
      <c r="B872" s="4"/>
      <c r="C872" s="4"/>
      <c r="D872" s="15"/>
      <c r="E872" s="4"/>
      <c r="F872" s="4"/>
      <c r="G872" s="4"/>
      <c r="H872" s="4"/>
      <c r="I872" s="4"/>
      <c r="J872" s="4"/>
      <c r="K872" s="4"/>
      <c r="L872" s="4"/>
      <c r="M872" s="4"/>
      <c r="N872" s="4"/>
      <c r="O872" s="4"/>
      <c r="P872" s="4"/>
      <c r="Q872" s="4"/>
      <c r="R872" s="4"/>
      <c r="S872" s="4"/>
      <c r="T872" s="4"/>
      <c r="U872" s="4"/>
      <c r="V872" s="4"/>
      <c r="W872" s="4"/>
      <c r="X872" s="4"/>
      <c r="Y872" s="4"/>
      <c r="Z872" s="4"/>
      <c r="AA872" s="4"/>
      <c r="AB872" s="4"/>
    </row>
    <row r="873" spans="1:28" ht="12.75" hidden="1">
      <c r="A873" s="4"/>
      <c r="B873" s="4"/>
      <c r="C873" s="4"/>
      <c r="D873" s="15"/>
      <c r="E873" s="4"/>
      <c r="F873" s="4"/>
      <c r="G873" s="4"/>
      <c r="H873" s="4"/>
      <c r="I873" s="4"/>
      <c r="J873" s="4"/>
      <c r="K873" s="4"/>
      <c r="L873" s="4"/>
      <c r="M873" s="4"/>
      <c r="N873" s="4"/>
      <c r="O873" s="4"/>
      <c r="P873" s="4"/>
      <c r="Q873" s="4"/>
      <c r="R873" s="4"/>
      <c r="S873" s="4"/>
      <c r="T873" s="4"/>
      <c r="U873" s="4"/>
      <c r="V873" s="4"/>
      <c r="W873" s="4"/>
      <c r="X873" s="4"/>
      <c r="Y873" s="4"/>
      <c r="Z873" s="4"/>
      <c r="AA873" s="4"/>
      <c r="AB873" s="4"/>
    </row>
    <row r="874" spans="1:28" ht="12.75" hidden="1">
      <c r="A874" s="4"/>
      <c r="B874" s="4"/>
      <c r="C874" s="4"/>
      <c r="D874" s="15"/>
      <c r="E874" s="4"/>
      <c r="F874" s="4"/>
      <c r="G874" s="4"/>
      <c r="H874" s="4"/>
      <c r="I874" s="4"/>
      <c r="J874" s="4"/>
      <c r="K874" s="4"/>
      <c r="L874" s="4"/>
      <c r="M874" s="4"/>
      <c r="N874" s="4"/>
      <c r="O874" s="4"/>
      <c r="P874" s="4"/>
      <c r="Q874" s="4"/>
      <c r="R874" s="4"/>
      <c r="S874" s="4"/>
      <c r="T874" s="4"/>
      <c r="U874" s="4"/>
      <c r="V874" s="4"/>
      <c r="W874" s="4"/>
      <c r="X874" s="4"/>
      <c r="Y874" s="4"/>
      <c r="Z874" s="4"/>
      <c r="AA874" s="4"/>
      <c r="AB874" s="4"/>
    </row>
    <row r="875" spans="1:28" ht="12.75" hidden="1">
      <c r="A875" s="4"/>
      <c r="B875" s="4"/>
      <c r="C875" s="4"/>
      <c r="D875" s="15"/>
      <c r="E875" s="4"/>
      <c r="F875" s="4"/>
      <c r="G875" s="4"/>
      <c r="H875" s="4"/>
      <c r="I875" s="4"/>
      <c r="J875" s="4"/>
      <c r="K875" s="4"/>
      <c r="L875" s="4"/>
      <c r="M875" s="4"/>
      <c r="N875" s="4"/>
      <c r="O875" s="4"/>
      <c r="P875" s="4"/>
      <c r="Q875" s="4"/>
      <c r="R875" s="4"/>
      <c r="S875" s="4"/>
      <c r="T875" s="4"/>
      <c r="U875" s="4"/>
      <c r="V875" s="4"/>
      <c r="W875" s="4"/>
      <c r="X875" s="4"/>
      <c r="Y875" s="4"/>
      <c r="Z875" s="4"/>
      <c r="AA875" s="4"/>
      <c r="AB875" s="4"/>
    </row>
    <row r="876" spans="1:28" ht="12.75" hidden="1">
      <c r="A876" s="4"/>
      <c r="B876" s="4"/>
      <c r="C876" s="4"/>
      <c r="D876" s="15"/>
      <c r="E876" s="4"/>
      <c r="F876" s="4"/>
      <c r="G876" s="4"/>
      <c r="H876" s="4"/>
      <c r="I876" s="4"/>
      <c r="J876" s="4"/>
      <c r="K876" s="4"/>
      <c r="L876" s="4"/>
      <c r="M876" s="4"/>
      <c r="N876" s="4"/>
      <c r="O876" s="4"/>
      <c r="P876" s="4"/>
      <c r="Q876" s="4"/>
      <c r="R876" s="4"/>
      <c r="S876" s="4"/>
      <c r="T876" s="4"/>
      <c r="U876" s="4"/>
      <c r="V876" s="4"/>
      <c r="W876" s="4"/>
      <c r="X876" s="4"/>
      <c r="Y876" s="4"/>
      <c r="Z876" s="4"/>
      <c r="AA876" s="4"/>
      <c r="AB876" s="4"/>
    </row>
    <row r="877" spans="1:28" ht="12.75" hidden="1">
      <c r="A877" s="4"/>
      <c r="B877" s="4"/>
      <c r="C877" s="4"/>
      <c r="D877" s="15"/>
      <c r="E877" s="4"/>
      <c r="F877" s="4"/>
      <c r="G877" s="4"/>
      <c r="H877" s="4"/>
      <c r="I877" s="4"/>
      <c r="J877" s="4"/>
      <c r="K877" s="4"/>
      <c r="L877" s="4"/>
      <c r="M877" s="4"/>
      <c r="N877" s="4"/>
      <c r="O877" s="4"/>
      <c r="P877" s="4"/>
      <c r="Q877" s="4"/>
      <c r="R877" s="4"/>
      <c r="S877" s="4"/>
      <c r="T877" s="4"/>
      <c r="U877" s="4"/>
      <c r="V877" s="4"/>
      <c r="W877" s="4"/>
      <c r="X877" s="4"/>
      <c r="Y877" s="4"/>
      <c r="Z877" s="4"/>
      <c r="AA877" s="4"/>
      <c r="AB877" s="4"/>
    </row>
    <row r="878" spans="1:28" ht="12.75" hidden="1">
      <c r="A878" s="4"/>
      <c r="B878" s="4"/>
      <c r="C878" s="4"/>
      <c r="D878" s="15"/>
      <c r="E878" s="4"/>
      <c r="F878" s="4"/>
      <c r="G878" s="4"/>
      <c r="H878" s="4"/>
      <c r="I878" s="4"/>
      <c r="J878" s="4"/>
      <c r="K878" s="4"/>
      <c r="L878" s="4"/>
      <c r="M878" s="4"/>
      <c r="N878" s="4"/>
      <c r="O878" s="4"/>
      <c r="P878" s="4"/>
      <c r="Q878" s="4"/>
      <c r="R878" s="4"/>
      <c r="S878" s="4"/>
      <c r="T878" s="4"/>
      <c r="U878" s="4"/>
      <c r="V878" s="4"/>
      <c r="W878" s="4"/>
      <c r="X878" s="4"/>
      <c r="Y878" s="4"/>
      <c r="Z878" s="4"/>
      <c r="AA878" s="4"/>
      <c r="AB878" s="4"/>
    </row>
    <row r="879" spans="1:28" ht="12.75" hidden="1">
      <c r="A879" s="4"/>
      <c r="B879" s="4"/>
      <c r="C879" s="4"/>
      <c r="D879" s="15"/>
      <c r="E879" s="4"/>
      <c r="F879" s="4"/>
      <c r="G879" s="4"/>
      <c r="H879" s="4"/>
      <c r="I879" s="4"/>
      <c r="J879" s="4"/>
      <c r="K879" s="4"/>
      <c r="L879" s="4"/>
      <c r="M879" s="4"/>
      <c r="N879" s="4"/>
      <c r="O879" s="4"/>
      <c r="P879" s="4"/>
      <c r="Q879" s="4"/>
      <c r="R879" s="4"/>
      <c r="S879" s="4"/>
      <c r="T879" s="4"/>
      <c r="U879" s="4"/>
      <c r="V879" s="4"/>
      <c r="W879" s="4"/>
      <c r="X879" s="4"/>
      <c r="Y879" s="4"/>
      <c r="Z879" s="4"/>
      <c r="AA879" s="4"/>
      <c r="AB879" s="4"/>
    </row>
    <row r="880" spans="1:28" ht="12.75" hidden="1">
      <c r="A880" s="4"/>
      <c r="B880" s="4"/>
      <c r="C880" s="4"/>
      <c r="D880" s="15"/>
      <c r="E880" s="4"/>
      <c r="F880" s="4"/>
      <c r="G880" s="4"/>
      <c r="H880" s="4"/>
      <c r="I880" s="4"/>
      <c r="J880" s="4"/>
      <c r="K880" s="4"/>
      <c r="L880" s="4"/>
      <c r="M880" s="4"/>
      <c r="N880" s="4"/>
      <c r="O880" s="4"/>
      <c r="P880" s="4"/>
      <c r="Q880" s="4"/>
      <c r="R880" s="4"/>
      <c r="S880" s="4"/>
      <c r="T880" s="4"/>
      <c r="U880" s="4"/>
      <c r="V880" s="4"/>
      <c r="W880" s="4"/>
      <c r="X880" s="4"/>
      <c r="Y880" s="4"/>
      <c r="Z880" s="4"/>
      <c r="AA880" s="4"/>
      <c r="AB880" s="4"/>
    </row>
    <row r="881" spans="1:28" ht="12.75" hidden="1">
      <c r="A881" s="4"/>
      <c r="B881" s="4"/>
      <c r="C881" s="4"/>
      <c r="D881" s="15"/>
      <c r="E881" s="4"/>
      <c r="F881" s="4"/>
      <c r="G881" s="4"/>
      <c r="H881" s="4"/>
      <c r="I881" s="4"/>
      <c r="J881" s="4"/>
      <c r="K881" s="4"/>
      <c r="L881" s="4"/>
      <c r="M881" s="4"/>
      <c r="N881" s="4"/>
      <c r="O881" s="4"/>
      <c r="P881" s="4"/>
      <c r="Q881" s="4"/>
      <c r="R881" s="4"/>
      <c r="S881" s="4"/>
      <c r="T881" s="4"/>
      <c r="U881" s="4"/>
      <c r="V881" s="4"/>
      <c r="W881" s="4"/>
      <c r="X881" s="4"/>
      <c r="Y881" s="4"/>
      <c r="Z881" s="4"/>
      <c r="AA881" s="4"/>
      <c r="AB881" s="4"/>
    </row>
    <row r="882" spans="1:28" ht="12.75" hidden="1">
      <c r="A882" s="4"/>
      <c r="B882" s="4"/>
      <c r="C882" s="4"/>
      <c r="D882" s="15"/>
      <c r="E882" s="4"/>
      <c r="F882" s="4"/>
      <c r="G882" s="4"/>
      <c r="H882" s="4"/>
      <c r="I882" s="4"/>
      <c r="J882" s="4"/>
      <c r="K882" s="4"/>
      <c r="L882" s="4"/>
      <c r="M882" s="4"/>
      <c r="N882" s="4"/>
      <c r="O882" s="4"/>
      <c r="P882" s="4"/>
      <c r="Q882" s="4"/>
      <c r="R882" s="4"/>
      <c r="S882" s="4"/>
      <c r="T882" s="4"/>
      <c r="U882" s="4"/>
      <c r="V882" s="4"/>
      <c r="W882" s="4"/>
      <c r="X882" s="4"/>
      <c r="Y882" s="4"/>
      <c r="Z882" s="4"/>
      <c r="AA882" s="4"/>
      <c r="AB882" s="4"/>
    </row>
    <row r="883" spans="1:28" ht="12.75" hidden="1">
      <c r="A883" s="4"/>
      <c r="B883" s="4"/>
      <c r="C883" s="4"/>
      <c r="D883" s="15"/>
      <c r="E883" s="4"/>
      <c r="F883" s="4"/>
      <c r="G883" s="4"/>
      <c r="H883" s="4"/>
      <c r="I883" s="4"/>
      <c r="J883" s="4"/>
      <c r="K883" s="4"/>
      <c r="L883" s="4"/>
      <c r="M883" s="4"/>
      <c r="N883" s="4"/>
      <c r="O883" s="4"/>
      <c r="P883" s="4"/>
      <c r="Q883" s="4"/>
      <c r="R883" s="4"/>
      <c r="S883" s="4"/>
      <c r="T883" s="4"/>
      <c r="U883" s="4"/>
      <c r="V883" s="4"/>
      <c r="W883" s="4"/>
      <c r="X883" s="4"/>
      <c r="Y883" s="4"/>
      <c r="Z883" s="4"/>
      <c r="AA883" s="4"/>
      <c r="AB883" s="4"/>
    </row>
    <row r="884" spans="1:28" ht="12.75" hidden="1">
      <c r="A884" s="4"/>
      <c r="B884" s="4"/>
      <c r="C884" s="4"/>
      <c r="D884" s="15"/>
      <c r="E884" s="4"/>
      <c r="F884" s="4"/>
      <c r="G884" s="4"/>
      <c r="H884" s="4"/>
      <c r="I884" s="4"/>
      <c r="J884" s="4"/>
      <c r="K884" s="4"/>
      <c r="L884" s="4"/>
      <c r="M884" s="4"/>
      <c r="N884" s="4"/>
      <c r="O884" s="4"/>
      <c r="P884" s="4"/>
      <c r="Q884" s="4"/>
      <c r="R884" s="4"/>
      <c r="S884" s="4"/>
      <c r="T884" s="4"/>
      <c r="U884" s="4"/>
      <c r="V884" s="4"/>
      <c r="W884" s="4"/>
      <c r="X884" s="4"/>
      <c r="Y884" s="4"/>
      <c r="Z884" s="4"/>
      <c r="AA884" s="4"/>
      <c r="AB884" s="4"/>
    </row>
    <row r="885" spans="1:28" ht="12.75" hidden="1">
      <c r="A885" s="4"/>
      <c r="B885" s="4"/>
      <c r="C885" s="4"/>
      <c r="D885" s="15"/>
      <c r="E885" s="4"/>
      <c r="F885" s="4"/>
      <c r="G885" s="4"/>
      <c r="H885" s="4"/>
      <c r="I885" s="4"/>
      <c r="J885" s="4"/>
      <c r="K885" s="4"/>
      <c r="L885" s="4"/>
      <c r="M885" s="4"/>
      <c r="N885" s="4"/>
      <c r="O885" s="4"/>
      <c r="P885" s="4"/>
      <c r="Q885" s="4"/>
      <c r="R885" s="4"/>
      <c r="S885" s="4"/>
      <c r="T885" s="4"/>
      <c r="U885" s="4"/>
      <c r="V885" s="4"/>
      <c r="W885" s="4"/>
      <c r="X885" s="4"/>
      <c r="Y885" s="4"/>
      <c r="Z885" s="4"/>
      <c r="AA885" s="4"/>
      <c r="AB885" s="4"/>
    </row>
    <row r="886" spans="1:28" ht="12.75" hidden="1">
      <c r="A886" s="4"/>
      <c r="B886" s="4"/>
      <c r="C886" s="4"/>
      <c r="D886" s="15"/>
      <c r="E886" s="4"/>
      <c r="F886" s="4"/>
      <c r="G886" s="4"/>
      <c r="H886" s="4"/>
      <c r="I886" s="4"/>
      <c r="J886" s="4"/>
      <c r="K886" s="4"/>
      <c r="L886" s="4"/>
      <c r="M886" s="4"/>
      <c r="N886" s="4"/>
      <c r="O886" s="4"/>
      <c r="P886" s="4"/>
      <c r="Q886" s="4"/>
      <c r="R886" s="4"/>
      <c r="S886" s="4"/>
      <c r="T886" s="4"/>
      <c r="U886" s="4"/>
      <c r="V886" s="4"/>
      <c r="W886" s="4"/>
      <c r="X886" s="4"/>
      <c r="Y886" s="4"/>
      <c r="Z886" s="4"/>
      <c r="AA886" s="4"/>
      <c r="AB886" s="4"/>
    </row>
    <row r="887" spans="1:28" ht="12.75" hidden="1">
      <c r="A887" s="4"/>
      <c r="B887" s="4"/>
      <c r="C887" s="4"/>
      <c r="D887" s="15"/>
      <c r="E887" s="4"/>
      <c r="F887" s="4"/>
      <c r="G887" s="4"/>
      <c r="H887" s="4"/>
      <c r="I887" s="4"/>
      <c r="J887" s="4"/>
      <c r="K887" s="4"/>
      <c r="L887" s="4"/>
      <c r="M887" s="4"/>
      <c r="N887" s="4"/>
      <c r="O887" s="4"/>
      <c r="P887" s="4"/>
      <c r="Q887" s="4"/>
      <c r="R887" s="4"/>
      <c r="S887" s="4"/>
      <c r="T887" s="4"/>
      <c r="U887" s="4"/>
      <c r="V887" s="4"/>
      <c r="W887" s="4"/>
      <c r="X887" s="4"/>
      <c r="Y887" s="4"/>
      <c r="Z887" s="4"/>
      <c r="AA887" s="4"/>
      <c r="AB887" s="4"/>
    </row>
    <row r="888" spans="1:28" ht="12.75" hidden="1">
      <c r="A888" s="4"/>
      <c r="B888" s="4"/>
      <c r="C888" s="4"/>
      <c r="D888" s="15"/>
      <c r="E888" s="4"/>
      <c r="F888" s="4"/>
      <c r="G888" s="4"/>
      <c r="H888" s="4"/>
      <c r="I888" s="4"/>
      <c r="J888" s="4"/>
      <c r="K888" s="4"/>
      <c r="L888" s="4"/>
      <c r="M888" s="4"/>
      <c r="N888" s="4"/>
      <c r="O888" s="4"/>
      <c r="P888" s="4"/>
      <c r="Q888" s="4"/>
      <c r="R888" s="4"/>
      <c r="S888" s="4"/>
      <c r="T888" s="4"/>
      <c r="U888" s="4"/>
      <c r="V888" s="4"/>
      <c r="W888" s="4"/>
      <c r="X888" s="4"/>
      <c r="Y888" s="4"/>
      <c r="Z888" s="4"/>
      <c r="AA888" s="4"/>
      <c r="AB888" s="4"/>
    </row>
    <row r="889" spans="1:28" ht="12.75" hidden="1">
      <c r="A889" s="4"/>
      <c r="B889" s="4"/>
      <c r="C889" s="4"/>
      <c r="D889" s="15"/>
      <c r="E889" s="4"/>
      <c r="F889" s="4"/>
      <c r="G889" s="4"/>
      <c r="H889" s="4"/>
      <c r="I889" s="4"/>
      <c r="J889" s="4"/>
      <c r="K889" s="4"/>
      <c r="L889" s="4"/>
      <c r="M889" s="4"/>
      <c r="N889" s="4"/>
      <c r="O889" s="4"/>
      <c r="P889" s="4"/>
      <c r="Q889" s="4"/>
      <c r="R889" s="4"/>
      <c r="S889" s="4"/>
      <c r="T889" s="4"/>
      <c r="U889" s="4"/>
      <c r="V889" s="4"/>
      <c r="W889" s="4"/>
      <c r="X889" s="4"/>
      <c r="Y889" s="4"/>
      <c r="Z889" s="4"/>
      <c r="AA889" s="4"/>
      <c r="AB889" s="4"/>
    </row>
    <row r="890" spans="1:28" ht="12.75" hidden="1">
      <c r="A890" s="4"/>
      <c r="B890" s="4"/>
      <c r="C890" s="4"/>
      <c r="D890" s="15"/>
      <c r="E890" s="4"/>
      <c r="F890" s="4"/>
      <c r="G890" s="4"/>
      <c r="H890" s="4"/>
      <c r="I890" s="4"/>
      <c r="J890" s="4"/>
      <c r="K890" s="4"/>
      <c r="L890" s="4"/>
      <c r="M890" s="4"/>
      <c r="N890" s="4"/>
      <c r="O890" s="4"/>
      <c r="P890" s="4"/>
      <c r="Q890" s="4"/>
      <c r="R890" s="4"/>
      <c r="S890" s="4"/>
      <c r="T890" s="4"/>
      <c r="U890" s="4"/>
      <c r="V890" s="4"/>
      <c r="W890" s="4"/>
      <c r="X890" s="4"/>
      <c r="Y890" s="4"/>
      <c r="Z890" s="4"/>
      <c r="AA890" s="4"/>
      <c r="AB890" s="4"/>
    </row>
    <row r="891" spans="1:28" ht="12.75" hidden="1">
      <c r="A891" s="4"/>
      <c r="B891" s="4"/>
      <c r="C891" s="4"/>
      <c r="D891" s="15"/>
      <c r="E891" s="4"/>
      <c r="F891" s="4"/>
      <c r="G891" s="4"/>
      <c r="H891" s="4"/>
      <c r="I891" s="4"/>
      <c r="J891" s="4"/>
      <c r="K891" s="4"/>
      <c r="L891" s="4"/>
      <c r="M891" s="4"/>
      <c r="N891" s="4"/>
      <c r="O891" s="4"/>
      <c r="P891" s="4"/>
      <c r="Q891" s="4"/>
      <c r="R891" s="4"/>
      <c r="S891" s="4"/>
      <c r="T891" s="4"/>
      <c r="U891" s="4"/>
      <c r="V891" s="4"/>
      <c r="W891" s="4"/>
      <c r="X891" s="4"/>
      <c r="Y891" s="4"/>
      <c r="Z891" s="4"/>
      <c r="AA891" s="4"/>
      <c r="AB891" s="4"/>
    </row>
    <row r="892" spans="1:28" ht="12.75" hidden="1">
      <c r="A892" s="4"/>
      <c r="B892" s="4"/>
      <c r="C892" s="4"/>
      <c r="D892" s="15"/>
      <c r="E892" s="4"/>
      <c r="F892" s="4"/>
      <c r="G892" s="4"/>
      <c r="H892" s="4"/>
      <c r="I892" s="4"/>
      <c r="J892" s="4"/>
      <c r="K892" s="4"/>
      <c r="L892" s="4"/>
      <c r="M892" s="4"/>
      <c r="N892" s="4"/>
      <c r="O892" s="4"/>
      <c r="P892" s="4"/>
      <c r="Q892" s="4"/>
      <c r="R892" s="4"/>
      <c r="S892" s="4"/>
      <c r="T892" s="4"/>
      <c r="U892" s="4"/>
      <c r="V892" s="4"/>
      <c r="W892" s="4"/>
      <c r="X892" s="4"/>
      <c r="Y892" s="4"/>
      <c r="Z892" s="4"/>
      <c r="AA892" s="4"/>
      <c r="AB892" s="4"/>
    </row>
    <row r="893" spans="1:28" ht="12.75" hidden="1">
      <c r="A893" s="4"/>
      <c r="B893" s="4"/>
      <c r="C893" s="4"/>
      <c r="D893" s="15"/>
      <c r="E893" s="4"/>
      <c r="F893" s="4"/>
      <c r="G893" s="4"/>
      <c r="H893" s="4"/>
      <c r="I893" s="4"/>
      <c r="J893" s="4"/>
      <c r="K893" s="4"/>
      <c r="L893" s="4"/>
      <c r="M893" s="4"/>
      <c r="N893" s="4"/>
      <c r="O893" s="4"/>
      <c r="P893" s="4"/>
      <c r="Q893" s="4"/>
      <c r="R893" s="4"/>
      <c r="S893" s="4"/>
      <c r="T893" s="4"/>
      <c r="U893" s="4"/>
      <c r="V893" s="4"/>
      <c r="W893" s="4"/>
      <c r="X893" s="4"/>
      <c r="Y893" s="4"/>
      <c r="Z893" s="4"/>
      <c r="AA893" s="4"/>
      <c r="AB893" s="4"/>
    </row>
    <row r="894" spans="1:28" ht="12.75" hidden="1">
      <c r="A894" s="4"/>
      <c r="B894" s="4"/>
      <c r="C894" s="4"/>
      <c r="D894" s="15"/>
      <c r="E894" s="4"/>
      <c r="F894" s="4"/>
      <c r="G894" s="4"/>
      <c r="H894" s="4"/>
      <c r="I894" s="4"/>
      <c r="J894" s="4"/>
      <c r="K894" s="4"/>
      <c r="L894" s="4"/>
      <c r="M894" s="4"/>
      <c r="N894" s="4"/>
      <c r="O894" s="4"/>
      <c r="P894" s="4"/>
      <c r="Q894" s="4"/>
      <c r="R894" s="4"/>
      <c r="S894" s="4"/>
      <c r="T894" s="4"/>
      <c r="U894" s="4"/>
      <c r="V894" s="4"/>
      <c r="W894" s="4"/>
      <c r="X894" s="4"/>
      <c r="Y894" s="4"/>
      <c r="Z894" s="4"/>
      <c r="AA894" s="4"/>
      <c r="AB894" s="4"/>
    </row>
    <row r="895" spans="1:28" ht="12.75" hidden="1">
      <c r="A895" s="4"/>
      <c r="B895" s="4"/>
      <c r="C895" s="4"/>
      <c r="D895" s="15"/>
      <c r="E895" s="4"/>
      <c r="F895" s="4"/>
      <c r="G895" s="4"/>
      <c r="H895" s="4"/>
      <c r="I895" s="4"/>
      <c r="J895" s="4"/>
      <c r="K895" s="4"/>
      <c r="L895" s="4"/>
      <c r="M895" s="4"/>
      <c r="N895" s="4"/>
      <c r="O895" s="4"/>
      <c r="P895" s="4"/>
      <c r="Q895" s="4"/>
      <c r="R895" s="4"/>
      <c r="S895" s="4"/>
      <c r="T895" s="4"/>
      <c r="U895" s="4"/>
      <c r="V895" s="4"/>
      <c r="W895" s="4"/>
      <c r="X895" s="4"/>
      <c r="Y895" s="4"/>
      <c r="Z895" s="4"/>
      <c r="AA895" s="4"/>
      <c r="AB895" s="4"/>
    </row>
    <row r="896" spans="1:28" ht="12.75" hidden="1">
      <c r="A896" s="4"/>
      <c r="B896" s="4"/>
      <c r="C896" s="4"/>
      <c r="D896" s="15"/>
      <c r="E896" s="4"/>
      <c r="F896" s="4"/>
      <c r="G896" s="4"/>
      <c r="H896" s="4"/>
      <c r="I896" s="4"/>
      <c r="J896" s="4"/>
      <c r="K896" s="4"/>
      <c r="L896" s="4"/>
      <c r="M896" s="4"/>
      <c r="N896" s="4"/>
      <c r="O896" s="4"/>
      <c r="P896" s="4"/>
      <c r="Q896" s="4"/>
      <c r="R896" s="4"/>
      <c r="S896" s="4"/>
      <c r="T896" s="4"/>
      <c r="U896" s="4"/>
      <c r="V896" s="4"/>
      <c r="W896" s="4"/>
      <c r="X896" s="4"/>
      <c r="Y896" s="4"/>
      <c r="Z896" s="4"/>
      <c r="AA896" s="4"/>
      <c r="AB896" s="4"/>
    </row>
    <row r="897" spans="1:28" ht="12.75" hidden="1">
      <c r="A897" s="4"/>
      <c r="B897" s="4"/>
      <c r="C897" s="4"/>
      <c r="D897" s="15"/>
      <c r="E897" s="4"/>
      <c r="F897" s="4"/>
      <c r="G897" s="4"/>
      <c r="H897" s="4"/>
      <c r="I897" s="4"/>
      <c r="J897" s="4"/>
      <c r="K897" s="4"/>
      <c r="L897" s="4"/>
      <c r="M897" s="4"/>
      <c r="N897" s="4"/>
      <c r="O897" s="4"/>
      <c r="P897" s="4"/>
      <c r="Q897" s="4"/>
      <c r="R897" s="4"/>
      <c r="S897" s="4"/>
      <c r="T897" s="4"/>
      <c r="U897" s="4"/>
      <c r="V897" s="4"/>
      <c r="W897" s="4"/>
      <c r="X897" s="4"/>
      <c r="Y897" s="4"/>
      <c r="Z897" s="4"/>
      <c r="AA897" s="4"/>
      <c r="AB897" s="4"/>
    </row>
    <row r="898" spans="1:28" ht="12.75" hidden="1">
      <c r="A898" s="4"/>
      <c r="B898" s="4"/>
      <c r="C898" s="4"/>
      <c r="D898" s="15"/>
      <c r="E898" s="4"/>
      <c r="F898" s="4"/>
      <c r="G898" s="4"/>
      <c r="H898" s="4"/>
      <c r="I898" s="4"/>
      <c r="J898" s="4"/>
      <c r="K898" s="4"/>
      <c r="L898" s="4"/>
      <c r="M898" s="4"/>
      <c r="N898" s="4"/>
      <c r="O898" s="4"/>
      <c r="P898" s="4"/>
      <c r="Q898" s="4"/>
      <c r="R898" s="4"/>
      <c r="S898" s="4"/>
      <c r="T898" s="4"/>
      <c r="U898" s="4"/>
      <c r="V898" s="4"/>
      <c r="W898" s="4"/>
      <c r="X898" s="4"/>
      <c r="Y898" s="4"/>
      <c r="Z898" s="4"/>
      <c r="AA898" s="4"/>
      <c r="AB898" s="4"/>
    </row>
    <row r="899" spans="1:28" ht="12.75" hidden="1">
      <c r="A899" s="4"/>
      <c r="B899" s="4"/>
      <c r="C899" s="4"/>
      <c r="D899" s="15"/>
      <c r="E899" s="4"/>
      <c r="F899" s="4"/>
      <c r="G899" s="4"/>
      <c r="H899" s="4"/>
      <c r="I899" s="4"/>
      <c r="J899" s="4"/>
      <c r="K899" s="4"/>
      <c r="L899" s="4"/>
      <c r="M899" s="4"/>
      <c r="N899" s="4"/>
      <c r="O899" s="4"/>
      <c r="P899" s="4"/>
      <c r="Q899" s="4"/>
      <c r="R899" s="4"/>
      <c r="S899" s="4"/>
      <c r="T899" s="4"/>
      <c r="U899" s="4"/>
      <c r="V899" s="4"/>
      <c r="W899" s="4"/>
      <c r="X899" s="4"/>
      <c r="Y899" s="4"/>
      <c r="Z899" s="4"/>
      <c r="AA899" s="4"/>
      <c r="AB899" s="4"/>
    </row>
    <row r="900" spans="1:28" ht="12.75" hidden="1">
      <c r="A900" s="4"/>
      <c r="B900" s="4"/>
      <c r="C900" s="4"/>
      <c r="D900" s="15"/>
      <c r="E900" s="4"/>
      <c r="F900" s="4"/>
      <c r="G900" s="4"/>
      <c r="H900" s="4"/>
      <c r="I900" s="4"/>
      <c r="J900" s="4"/>
      <c r="K900" s="4"/>
      <c r="L900" s="4"/>
      <c r="M900" s="4"/>
      <c r="N900" s="4"/>
      <c r="O900" s="4"/>
      <c r="P900" s="4"/>
      <c r="Q900" s="4"/>
      <c r="R900" s="4"/>
      <c r="S900" s="4"/>
      <c r="T900" s="4"/>
      <c r="U900" s="4"/>
      <c r="V900" s="4"/>
      <c r="W900" s="4"/>
      <c r="X900" s="4"/>
      <c r="Y900" s="4"/>
      <c r="Z900" s="4"/>
      <c r="AA900" s="4"/>
      <c r="AB900" s="4"/>
    </row>
    <row r="901" spans="1:28" ht="12.75" hidden="1">
      <c r="A901" s="4"/>
      <c r="B901" s="4"/>
      <c r="C901" s="4"/>
      <c r="D901" s="15"/>
      <c r="E901" s="4"/>
      <c r="F901" s="4"/>
      <c r="G901" s="4"/>
      <c r="H901" s="4"/>
      <c r="I901" s="4"/>
      <c r="J901" s="4"/>
      <c r="K901" s="4"/>
      <c r="L901" s="4"/>
      <c r="M901" s="4"/>
      <c r="N901" s="4"/>
      <c r="O901" s="4"/>
      <c r="P901" s="4"/>
      <c r="Q901" s="4"/>
      <c r="R901" s="4"/>
      <c r="S901" s="4"/>
      <c r="T901" s="4"/>
      <c r="U901" s="4"/>
      <c r="V901" s="4"/>
      <c r="W901" s="4"/>
      <c r="X901" s="4"/>
      <c r="Y901" s="4"/>
      <c r="Z901" s="4"/>
      <c r="AA901" s="4"/>
      <c r="AB901" s="4"/>
    </row>
    <row r="902" spans="1:28" ht="12.75" hidden="1">
      <c r="A902" s="4"/>
      <c r="B902" s="4"/>
      <c r="C902" s="4"/>
      <c r="D902" s="15"/>
      <c r="E902" s="4"/>
      <c r="F902" s="4"/>
      <c r="G902" s="4"/>
      <c r="H902" s="4"/>
      <c r="I902" s="4"/>
      <c r="J902" s="4"/>
      <c r="K902" s="4"/>
      <c r="L902" s="4"/>
      <c r="M902" s="4"/>
      <c r="N902" s="4"/>
      <c r="O902" s="4"/>
      <c r="P902" s="4"/>
      <c r="Q902" s="4"/>
      <c r="R902" s="4"/>
      <c r="S902" s="4"/>
      <c r="T902" s="4"/>
      <c r="U902" s="4"/>
      <c r="V902" s="4"/>
      <c r="W902" s="4"/>
      <c r="X902" s="4"/>
      <c r="Y902" s="4"/>
      <c r="Z902" s="4"/>
      <c r="AA902" s="4"/>
      <c r="AB902" s="4"/>
    </row>
    <row r="903" spans="1:28" ht="12.75" hidden="1">
      <c r="A903" s="4"/>
      <c r="B903" s="4"/>
      <c r="C903" s="4"/>
      <c r="D903" s="15"/>
      <c r="E903" s="4"/>
      <c r="F903" s="4"/>
      <c r="G903" s="4"/>
      <c r="H903" s="4"/>
      <c r="I903" s="4"/>
      <c r="J903" s="4"/>
      <c r="K903" s="4"/>
      <c r="L903" s="4"/>
      <c r="M903" s="4"/>
      <c r="N903" s="4"/>
      <c r="O903" s="4"/>
      <c r="P903" s="4"/>
      <c r="Q903" s="4"/>
      <c r="R903" s="4"/>
      <c r="S903" s="4"/>
      <c r="T903" s="4"/>
      <c r="U903" s="4"/>
      <c r="V903" s="4"/>
      <c r="W903" s="4"/>
      <c r="X903" s="4"/>
      <c r="Y903" s="4"/>
      <c r="Z903" s="4"/>
      <c r="AA903" s="4"/>
      <c r="AB903" s="4"/>
    </row>
    <row r="904" spans="1:28" ht="12.75" hidden="1">
      <c r="A904" s="4"/>
      <c r="B904" s="4"/>
      <c r="C904" s="4"/>
      <c r="D904" s="15"/>
      <c r="E904" s="4"/>
      <c r="F904" s="4"/>
      <c r="G904" s="4"/>
      <c r="H904" s="4"/>
      <c r="I904" s="4"/>
      <c r="J904" s="4"/>
      <c r="K904" s="4"/>
      <c r="L904" s="4"/>
      <c r="M904" s="4"/>
      <c r="N904" s="4"/>
      <c r="O904" s="4"/>
      <c r="P904" s="4"/>
      <c r="Q904" s="4"/>
      <c r="R904" s="4"/>
      <c r="S904" s="4"/>
      <c r="T904" s="4"/>
      <c r="U904" s="4"/>
      <c r="V904" s="4"/>
      <c r="W904" s="4"/>
      <c r="X904" s="4"/>
      <c r="Y904" s="4"/>
      <c r="Z904" s="4"/>
      <c r="AA904" s="4"/>
      <c r="AB904" s="4"/>
    </row>
    <row r="905" spans="1:28" ht="12.75" hidden="1">
      <c r="A905" s="4"/>
      <c r="B905" s="4"/>
      <c r="C905" s="4"/>
      <c r="D905" s="15"/>
      <c r="E905" s="4"/>
      <c r="F905" s="4"/>
      <c r="G905" s="4"/>
      <c r="H905" s="4"/>
      <c r="I905" s="4"/>
      <c r="J905" s="4"/>
      <c r="K905" s="4"/>
      <c r="L905" s="4"/>
      <c r="M905" s="4"/>
      <c r="N905" s="4"/>
      <c r="O905" s="4"/>
      <c r="P905" s="4"/>
      <c r="Q905" s="4"/>
      <c r="R905" s="4"/>
      <c r="S905" s="4"/>
      <c r="T905" s="4"/>
      <c r="U905" s="4"/>
      <c r="V905" s="4"/>
      <c r="W905" s="4"/>
      <c r="X905" s="4"/>
      <c r="Y905" s="4"/>
      <c r="Z905" s="4"/>
      <c r="AA905" s="4"/>
      <c r="AB905" s="4"/>
    </row>
    <row r="906" spans="1:28" ht="12.75" hidden="1">
      <c r="A906" s="4"/>
      <c r="B906" s="4"/>
      <c r="C906" s="4"/>
      <c r="D906" s="15"/>
      <c r="E906" s="4"/>
      <c r="F906" s="4"/>
      <c r="G906" s="4"/>
      <c r="H906" s="4"/>
      <c r="I906" s="4"/>
      <c r="J906" s="4"/>
      <c r="K906" s="4"/>
      <c r="L906" s="4"/>
      <c r="M906" s="4"/>
      <c r="N906" s="4"/>
      <c r="O906" s="4"/>
      <c r="P906" s="4"/>
      <c r="Q906" s="4"/>
      <c r="R906" s="4"/>
      <c r="S906" s="4"/>
      <c r="T906" s="4"/>
      <c r="U906" s="4"/>
      <c r="V906" s="4"/>
      <c r="W906" s="4"/>
      <c r="X906" s="4"/>
      <c r="Y906" s="4"/>
      <c r="Z906" s="4"/>
      <c r="AA906" s="4"/>
      <c r="AB906" s="4"/>
    </row>
    <row r="907" spans="1:28" ht="12.75" hidden="1">
      <c r="A907" s="4"/>
      <c r="B907" s="4"/>
      <c r="C907" s="4"/>
      <c r="D907" s="15"/>
      <c r="E907" s="4"/>
      <c r="F907" s="4"/>
      <c r="G907" s="4"/>
      <c r="H907" s="4"/>
      <c r="I907" s="4"/>
      <c r="J907" s="4"/>
      <c r="K907" s="4"/>
      <c r="L907" s="4"/>
      <c r="M907" s="4"/>
      <c r="N907" s="4"/>
      <c r="O907" s="4"/>
      <c r="P907" s="4"/>
      <c r="Q907" s="4"/>
      <c r="R907" s="4"/>
      <c r="S907" s="4"/>
      <c r="T907" s="4"/>
      <c r="U907" s="4"/>
      <c r="V907" s="4"/>
      <c r="W907" s="4"/>
      <c r="X907" s="4"/>
      <c r="Y907" s="4"/>
      <c r="Z907" s="4"/>
      <c r="AA907" s="4"/>
      <c r="AB907" s="4"/>
    </row>
    <row r="908" spans="1:28" ht="12.75" hidden="1">
      <c r="A908" s="4"/>
      <c r="B908" s="4"/>
      <c r="C908" s="4"/>
      <c r="D908" s="15"/>
      <c r="E908" s="4"/>
      <c r="F908" s="4"/>
      <c r="G908" s="4"/>
      <c r="H908" s="4"/>
      <c r="I908" s="4"/>
      <c r="J908" s="4"/>
      <c r="K908" s="4"/>
      <c r="L908" s="4"/>
      <c r="M908" s="4"/>
      <c r="N908" s="4"/>
      <c r="O908" s="4"/>
      <c r="P908" s="4"/>
      <c r="Q908" s="4"/>
      <c r="R908" s="4"/>
      <c r="S908" s="4"/>
      <c r="T908" s="4"/>
      <c r="U908" s="4"/>
      <c r="V908" s="4"/>
      <c r="W908" s="4"/>
      <c r="X908" s="4"/>
      <c r="Y908" s="4"/>
      <c r="Z908" s="4"/>
      <c r="AA908" s="4"/>
      <c r="AB908" s="4"/>
    </row>
    <row r="909" spans="1:28" ht="12.75" hidden="1">
      <c r="A909" s="4"/>
      <c r="B909" s="4"/>
      <c r="C909" s="4"/>
      <c r="D909" s="15"/>
      <c r="E909" s="4"/>
      <c r="F909" s="4"/>
      <c r="G909" s="4"/>
      <c r="H909" s="4"/>
      <c r="I909" s="4"/>
      <c r="J909" s="4"/>
      <c r="K909" s="4"/>
      <c r="L909" s="4"/>
      <c r="M909" s="4"/>
      <c r="N909" s="4"/>
      <c r="O909" s="4"/>
      <c r="P909" s="4"/>
      <c r="Q909" s="4"/>
      <c r="R909" s="4"/>
      <c r="S909" s="4"/>
      <c r="T909" s="4"/>
      <c r="U909" s="4"/>
      <c r="V909" s="4"/>
      <c r="W909" s="4"/>
      <c r="X909" s="4"/>
      <c r="Y909" s="4"/>
      <c r="Z909" s="4"/>
      <c r="AA909" s="4"/>
      <c r="AB909" s="4"/>
    </row>
    <row r="910" spans="1:28" ht="12.75" hidden="1">
      <c r="A910" s="4"/>
      <c r="B910" s="4"/>
      <c r="C910" s="4"/>
      <c r="D910" s="15"/>
      <c r="E910" s="4"/>
      <c r="F910" s="4"/>
      <c r="G910" s="4"/>
      <c r="H910" s="4"/>
      <c r="I910" s="4"/>
      <c r="J910" s="4"/>
      <c r="K910" s="4"/>
      <c r="L910" s="4"/>
      <c r="M910" s="4"/>
      <c r="N910" s="4"/>
      <c r="O910" s="4"/>
      <c r="P910" s="4"/>
      <c r="Q910" s="4"/>
      <c r="R910" s="4"/>
      <c r="S910" s="4"/>
      <c r="T910" s="4"/>
      <c r="U910" s="4"/>
      <c r="V910" s="4"/>
      <c r="W910" s="4"/>
      <c r="X910" s="4"/>
      <c r="Y910" s="4"/>
      <c r="Z910" s="4"/>
      <c r="AA910" s="4"/>
      <c r="AB910" s="4"/>
    </row>
    <row r="911" spans="1:28" ht="12.75" hidden="1">
      <c r="A911" s="4"/>
      <c r="B911" s="4"/>
      <c r="C911" s="4"/>
      <c r="D911" s="15"/>
      <c r="E911" s="4"/>
      <c r="F911" s="4"/>
      <c r="G911" s="4"/>
      <c r="H911" s="4"/>
      <c r="I911" s="4"/>
      <c r="J911" s="4"/>
      <c r="K911" s="4"/>
      <c r="L911" s="4"/>
      <c r="M911" s="4"/>
      <c r="N911" s="4"/>
      <c r="O911" s="4"/>
      <c r="P911" s="4"/>
      <c r="Q911" s="4"/>
      <c r="R911" s="4"/>
      <c r="S911" s="4"/>
      <c r="T911" s="4"/>
      <c r="U911" s="4"/>
      <c r="V911" s="4"/>
      <c r="W911" s="4"/>
      <c r="X911" s="4"/>
      <c r="Y911" s="4"/>
      <c r="Z911" s="4"/>
      <c r="AA911" s="4"/>
      <c r="AB911" s="4"/>
    </row>
    <row r="912" spans="1:28" ht="12.75" hidden="1">
      <c r="A912" s="4"/>
      <c r="B912" s="4"/>
      <c r="C912" s="4"/>
      <c r="D912" s="15"/>
      <c r="E912" s="4"/>
      <c r="F912" s="4"/>
      <c r="G912" s="4"/>
      <c r="H912" s="4"/>
      <c r="I912" s="4"/>
      <c r="J912" s="4"/>
      <c r="K912" s="4"/>
      <c r="L912" s="4"/>
      <c r="M912" s="4"/>
      <c r="N912" s="4"/>
      <c r="O912" s="4"/>
      <c r="P912" s="4"/>
      <c r="Q912" s="4"/>
      <c r="R912" s="4"/>
      <c r="S912" s="4"/>
      <c r="T912" s="4"/>
      <c r="U912" s="4"/>
      <c r="V912" s="4"/>
      <c r="W912" s="4"/>
      <c r="X912" s="4"/>
      <c r="Y912" s="4"/>
      <c r="Z912" s="4"/>
      <c r="AA912" s="4"/>
      <c r="AB912" s="4"/>
    </row>
    <row r="913" spans="1:28" ht="12.75" hidden="1">
      <c r="A913" s="4"/>
      <c r="B913" s="4"/>
      <c r="C913" s="4"/>
      <c r="D913" s="15"/>
      <c r="E913" s="4"/>
      <c r="F913" s="4"/>
      <c r="G913" s="4"/>
      <c r="H913" s="4"/>
      <c r="I913" s="4"/>
      <c r="J913" s="4"/>
      <c r="K913" s="4"/>
      <c r="L913" s="4"/>
      <c r="M913" s="4"/>
      <c r="N913" s="4"/>
      <c r="O913" s="4"/>
      <c r="P913" s="4"/>
      <c r="Q913" s="4"/>
      <c r="R913" s="4"/>
      <c r="S913" s="4"/>
      <c r="T913" s="4"/>
      <c r="U913" s="4"/>
      <c r="V913" s="4"/>
      <c r="W913" s="4"/>
      <c r="X913" s="4"/>
      <c r="Y913" s="4"/>
      <c r="Z913" s="4"/>
      <c r="AA913" s="4"/>
      <c r="AB913" s="4"/>
    </row>
    <row r="914" spans="1:28" ht="12.75" hidden="1">
      <c r="A914" s="4"/>
      <c r="B914" s="4"/>
      <c r="C914" s="4"/>
      <c r="D914" s="15"/>
      <c r="E914" s="4"/>
      <c r="F914" s="4"/>
      <c r="G914" s="4"/>
      <c r="H914" s="4"/>
      <c r="I914" s="4"/>
      <c r="J914" s="4"/>
      <c r="K914" s="4"/>
      <c r="L914" s="4"/>
      <c r="M914" s="4"/>
      <c r="N914" s="4"/>
      <c r="O914" s="4"/>
      <c r="P914" s="4"/>
      <c r="Q914" s="4"/>
      <c r="R914" s="4"/>
      <c r="S914" s="4"/>
      <c r="T914" s="4"/>
      <c r="U914" s="4"/>
      <c r="V914" s="4"/>
      <c r="W914" s="4"/>
      <c r="X914" s="4"/>
      <c r="Y914" s="4"/>
      <c r="Z914" s="4"/>
      <c r="AA914" s="4"/>
      <c r="AB914" s="4"/>
    </row>
    <row r="915" spans="1:28" ht="12.75" hidden="1">
      <c r="A915" s="4"/>
      <c r="B915" s="4"/>
      <c r="C915" s="4"/>
      <c r="D915" s="15"/>
      <c r="E915" s="4"/>
      <c r="F915" s="4"/>
      <c r="G915" s="4"/>
      <c r="H915" s="4"/>
      <c r="I915" s="4"/>
      <c r="J915" s="4"/>
      <c r="K915" s="4"/>
      <c r="L915" s="4"/>
      <c r="M915" s="4"/>
      <c r="N915" s="4"/>
      <c r="O915" s="4"/>
      <c r="P915" s="4"/>
      <c r="Q915" s="4"/>
      <c r="R915" s="4"/>
      <c r="S915" s="4"/>
      <c r="T915" s="4"/>
      <c r="U915" s="4"/>
      <c r="V915" s="4"/>
      <c r="W915" s="4"/>
      <c r="X915" s="4"/>
      <c r="Y915" s="4"/>
      <c r="Z915" s="4"/>
      <c r="AA915" s="4"/>
      <c r="AB915" s="4"/>
    </row>
    <row r="916" spans="1:28" ht="12.75" hidden="1">
      <c r="A916" s="4"/>
      <c r="B916" s="4"/>
      <c r="C916" s="4"/>
      <c r="D916" s="15"/>
      <c r="E916" s="4"/>
      <c r="F916" s="4"/>
      <c r="G916" s="4"/>
      <c r="H916" s="4"/>
      <c r="I916" s="4"/>
      <c r="J916" s="4"/>
      <c r="K916" s="4"/>
      <c r="L916" s="4"/>
      <c r="M916" s="4"/>
      <c r="N916" s="4"/>
      <c r="O916" s="4"/>
      <c r="P916" s="4"/>
      <c r="Q916" s="4"/>
      <c r="R916" s="4"/>
      <c r="S916" s="4"/>
      <c r="T916" s="4"/>
      <c r="U916" s="4"/>
      <c r="V916" s="4"/>
      <c r="W916" s="4"/>
      <c r="X916" s="4"/>
      <c r="Y916" s="4"/>
      <c r="Z916" s="4"/>
      <c r="AA916" s="4"/>
      <c r="AB916" s="4"/>
    </row>
    <row r="917" spans="1:28" ht="12.75" hidden="1">
      <c r="A917" s="4"/>
      <c r="B917" s="4"/>
      <c r="C917" s="4"/>
      <c r="D917" s="15"/>
      <c r="E917" s="4"/>
      <c r="F917" s="4"/>
      <c r="G917" s="4"/>
      <c r="H917" s="4"/>
      <c r="I917" s="4"/>
      <c r="J917" s="4"/>
      <c r="K917" s="4"/>
      <c r="L917" s="4"/>
      <c r="M917" s="4"/>
      <c r="N917" s="4"/>
      <c r="O917" s="4"/>
      <c r="P917" s="4"/>
      <c r="Q917" s="4"/>
      <c r="R917" s="4"/>
      <c r="S917" s="4"/>
      <c r="T917" s="4"/>
      <c r="U917" s="4"/>
      <c r="V917" s="4"/>
      <c r="W917" s="4"/>
      <c r="X917" s="4"/>
      <c r="Y917" s="4"/>
      <c r="Z917" s="4"/>
      <c r="AA917" s="4"/>
      <c r="AB917" s="4"/>
    </row>
    <row r="918" spans="1:28" ht="12.75" hidden="1">
      <c r="A918" s="4"/>
      <c r="B918" s="4"/>
      <c r="C918" s="4"/>
      <c r="D918" s="15"/>
      <c r="E918" s="4"/>
      <c r="F918" s="4"/>
      <c r="G918" s="4"/>
      <c r="H918" s="4"/>
      <c r="I918" s="4"/>
      <c r="J918" s="4"/>
      <c r="K918" s="4"/>
      <c r="L918" s="4"/>
      <c r="M918" s="4"/>
      <c r="N918" s="4"/>
      <c r="O918" s="4"/>
      <c r="P918" s="4"/>
      <c r="Q918" s="4"/>
      <c r="R918" s="4"/>
      <c r="S918" s="4"/>
      <c r="T918" s="4"/>
      <c r="U918" s="4"/>
      <c r="V918" s="4"/>
      <c r="W918" s="4"/>
      <c r="X918" s="4"/>
      <c r="Y918" s="4"/>
      <c r="Z918" s="4"/>
      <c r="AA918" s="4"/>
      <c r="AB918" s="4"/>
    </row>
    <row r="919" spans="1:28" ht="12.75" hidden="1">
      <c r="A919" s="4"/>
      <c r="B919" s="4"/>
      <c r="C919" s="4"/>
      <c r="D919" s="15"/>
      <c r="E919" s="4"/>
      <c r="F919" s="4"/>
      <c r="G919" s="4"/>
      <c r="H919" s="4"/>
      <c r="I919" s="4"/>
      <c r="J919" s="4"/>
      <c r="K919" s="4"/>
      <c r="L919" s="4"/>
      <c r="M919" s="4"/>
      <c r="N919" s="4"/>
      <c r="O919" s="4"/>
      <c r="P919" s="4"/>
      <c r="Q919" s="4"/>
      <c r="R919" s="4"/>
      <c r="S919" s="4"/>
      <c r="T919" s="4"/>
      <c r="U919" s="4"/>
      <c r="V919" s="4"/>
      <c r="W919" s="4"/>
      <c r="X919" s="4"/>
      <c r="Y919" s="4"/>
      <c r="Z919" s="4"/>
      <c r="AA919" s="4"/>
      <c r="AB919" s="4"/>
    </row>
    <row r="920" spans="1:28" ht="12.75" hidden="1">
      <c r="A920" s="4"/>
      <c r="B920" s="4"/>
      <c r="C920" s="4"/>
      <c r="D920" s="15"/>
      <c r="E920" s="4"/>
      <c r="F920" s="4"/>
      <c r="G920" s="4"/>
      <c r="H920" s="4"/>
      <c r="I920" s="4"/>
      <c r="J920" s="4"/>
      <c r="K920" s="4"/>
      <c r="L920" s="4"/>
      <c r="M920" s="4"/>
      <c r="N920" s="4"/>
      <c r="O920" s="4"/>
      <c r="P920" s="4"/>
      <c r="Q920" s="4"/>
      <c r="R920" s="4"/>
      <c r="S920" s="4"/>
      <c r="T920" s="4"/>
      <c r="U920" s="4"/>
      <c r="V920" s="4"/>
      <c r="W920" s="4"/>
      <c r="X920" s="4"/>
      <c r="Y920" s="4"/>
      <c r="Z920" s="4"/>
      <c r="AA920" s="4"/>
      <c r="AB920" s="4"/>
    </row>
    <row r="921" spans="1:28" ht="12.75" hidden="1">
      <c r="A921" s="4"/>
      <c r="B921" s="4"/>
      <c r="C921" s="4"/>
      <c r="D921" s="15"/>
      <c r="E921" s="4"/>
      <c r="F921" s="4"/>
      <c r="G921" s="4"/>
      <c r="H921" s="4"/>
      <c r="I921" s="4"/>
      <c r="J921" s="4"/>
      <c r="K921" s="4"/>
      <c r="L921" s="4"/>
      <c r="M921" s="4"/>
      <c r="N921" s="4"/>
      <c r="O921" s="4"/>
      <c r="P921" s="4"/>
      <c r="Q921" s="4"/>
      <c r="R921" s="4"/>
      <c r="S921" s="4"/>
      <c r="T921" s="4"/>
      <c r="U921" s="4"/>
      <c r="V921" s="4"/>
      <c r="W921" s="4"/>
      <c r="X921" s="4"/>
      <c r="Y921" s="4"/>
      <c r="Z921" s="4"/>
      <c r="AA921" s="4"/>
      <c r="AB921" s="4"/>
    </row>
    <row r="922" spans="1:28" ht="12.75" hidden="1">
      <c r="A922" s="4"/>
      <c r="B922" s="4"/>
      <c r="C922" s="4"/>
      <c r="D922" s="15"/>
      <c r="E922" s="4"/>
      <c r="F922" s="4"/>
      <c r="G922" s="4"/>
      <c r="H922" s="4"/>
      <c r="I922" s="4"/>
      <c r="J922" s="4"/>
      <c r="K922" s="4"/>
      <c r="L922" s="4"/>
      <c r="M922" s="4"/>
      <c r="N922" s="4"/>
      <c r="O922" s="4"/>
      <c r="P922" s="4"/>
      <c r="Q922" s="4"/>
      <c r="R922" s="4"/>
      <c r="S922" s="4"/>
      <c r="T922" s="4"/>
      <c r="U922" s="4"/>
      <c r="V922" s="4"/>
      <c r="W922" s="4"/>
      <c r="X922" s="4"/>
      <c r="Y922" s="4"/>
      <c r="Z922" s="4"/>
      <c r="AA922" s="4"/>
      <c r="AB922" s="4"/>
    </row>
    <row r="923" spans="1:28" ht="12.75" hidden="1">
      <c r="A923" s="4"/>
      <c r="B923" s="4"/>
      <c r="C923" s="4"/>
      <c r="D923" s="15"/>
      <c r="E923" s="4"/>
      <c r="F923" s="4"/>
      <c r="G923" s="4"/>
      <c r="H923" s="4"/>
      <c r="I923" s="4"/>
      <c r="J923" s="4"/>
      <c r="K923" s="4"/>
      <c r="L923" s="4"/>
      <c r="M923" s="4"/>
      <c r="N923" s="4"/>
      <c r="O923" s="4"/>
      <c r="P923" s="4"/>
      <c r="Q923" s="4"/>
      <c r="R923" s="4"/>
      <c r="S923" s="4"/>
      <c r="T923" s="4"/>
      <c r="U923" s="4"/>
      <c r="V923" s="4"/>
      <c r="W923" s="4"/>
      <c r="X923" s="4"/>
      <c r="Y923" s="4"/>
      <c r="Z923" s="4"/>
      <c r="AA923" s="4"/>
      <c r="AB923" s="4"/>
    </row>
    <row r="924" spans="1:28" ht="12.75" hidden="1">
      <c r="A924" s="4"/>
      <c r="B924" s="4"/>
      <c r="C924" s="4"/>
      <c r="D924" s="15"/>
      <c r="E924" s="4"/>
      <c r="F924" s="4"/>
      <c r="G924" s="4"/>
      <c r="H924" s="4"/>
      <c r="I924" s="4"/>
      <c r="J924" s="4"/>
      <c r="K924" s="4"/>
      <c r="L924" s="4"/>
      <c r="M924" s="4"/>
      <c r="N924" s="4"/>
      <c r="O924" s="4"/>
      <c r="P924" s="4"/>
      <c r="Q924" s="4"/>
      <c r="R924" s="4"/>
      <c r="S924" s="4"/>
      <c r="T924" s="4"/>
      <c r="U924" s="4"/>
      <c r="V924" s="4"/>
      <c r="W924" s="4"/>
      <c r="X924" s="4"/>
      <c r="Y924" s="4"/>
      <c r="Z924" s="4"/>
      <c r="AA924" s="4"/>
      <c r="AB924" s="4"/>
    </row>
    <row r="925" spans="1:28" ht="12.75" hidden="1">
      <c r="A925" s="4"/>
      <c r="B925" s="4"/>
      <c r="C925" s="4"/>
      <c r="D925" s="15"/>
      <c r="E925" s="4"/>
      <c r="F925" s="4"/>
      <c r="G925" s="4"/>
      <c r="H925" s="4"/>
      <c r="I925" s="4"/>
      <c r="J925" s="4"/>
      <c r="K925" s="4"/>
      <c r="L925" s="4"/>
      <c r="M925" s="4"/>
      <c r="N925" s="4"/>
      <c r="O925" s="4"/>
      <c r="P925" s="4"/>
      <c r="Q925" s="4"/>
      <c r="R925" s="4"/>
      <c r="S925" s="4"/>
      <c r="T925" s="4"/>
      <c r="U925" s="4"/>
      <c r="V925" s="4"/>
      <c r="W925" s="4"/>
      <c r="X925" s="4"/>
      <c r="Y925" s="4"/>
      <c r="Z925" s="4"/>
      <c r="AA925" s="4"/>
      <c r="AB925" s="4"/>
    </row>
    <row r="926" spans="1:28" ht="12.75" hidden="1">
      <c r="A926" s="4"/>
      <c r="B926" s="4"/>
      <c r="C926" s="4"/>
      <c r="D926" s="15"/>
      <c r="E926" s="4"/>
      <c r="F926" s="4"/>
      <c r="G926" s="4"/>
      <c r="H926" s="4"/>
      <c r="I926" s="4"/>
      <c r="J926" s="4"/>
      <c r="K926" s="4"/>
      <c r="L926" s="4"/>
      <c r="M926" s="4"/>
      <c r="N926" s="4"/>
      <c r="O926" s="4"/>
      <c r="P926" s="4"/>
      <c r="Q926" s="4"/>
      <c r="R926" s="4"/>
      <c r="S926" s="4"/>
      <c r="T926" s="4"/>
      <c r="U926" s="4"/>
      <c r="V926" s="4"/>
      <c r="W926" s="4"/>
      <c r="X926" s="4"/>
      <c r="Y926" s="4"/>
      <c r="Z926" s="4"/>
      <c r="AA926" s="4"/>
      <c r="AB926" s="4"/>
    </row>
    <row r="927" spans="1:28" ht="12.75" hidden="1">
      <c r="A927" s="4"/>
      <c r="B927" s="4"/>
      <c r="C927" s="4"/>
      <c r="D927" s="15"/>
      <c r="E927" s="4"/>
      <c r="F927" s="4"/>
      <c r="G927" s="4"/>
      <c r="H927" s="4"/>
      <c r="I927" s="4"/>
      <c r="J927" s="4"/>
      <c r="K927" s="4"/>
      <c r="L927" s="4"/>
      <c r="M927" s="4"/>
      <c r="N927" s="4"/>
      <c r="O927" s="4"/>
      <c r="P927" s="4"/>
      <c r="Q927" s="4"/>
      <c r="R927" s="4"/>
      <c r="S927" s="4"/>
      <c r="T927" s="4"/>
      <c r="U927" s="4"/>
      <c r="V927" s="4"/>
      <c r="W927" s="4"/>
      <c r="X927" s="4"/>
      <c r="Y927" s="4"/>
      <c r="Z927" s="4"/>
      <c r="AA927" s="4"/>
      <c r="AB927" s="4"/>
    </row>
    <row r="928" spans="1:28" ht="12.75" hidden="1">
      <c r="A928" s="4"/>
      <c r="B928" s="4"/>
      <c r="C928" s="4"/>
      <c r="D928" s="15"/>
      <c r="E928" s="4"/>
      <c r="F928" s="4"/>
      <c r="G928" s="4"/>
      <c r="H928" s="4"/>
      <c r="I928" s="4"/>
      <c r="J928" s="4"/>
      <c r="K928" s="4"/>
      <c r="L928" s="4"/>
      <c r="M928" s="4"/>
      <c r="N928" s="4"/>
      <c r="O928" s="4"/>
      <c r="P928" s="4"/>
      <c r="Q928" s="4"/>
      <c r="R928" s="4"/>
      <c r="S928" s="4"/>
      <c r="T928" s="4"/>
      <c r="U928" s="4"/>
      <c r="V928" s="4"/>
      <c r="W928" s="4"/>
      <c r="X928" s="4"/>
      <c r="Y928" s="4"/>
      <c r="Z928" s="4"/>
      <c r="AA928" s="4"/>
      <c r="AB928" s="4"/>
    </row>
    <row r="929" spans="1:28" ht="12.75" hidden="1">
      <c r="A929" s="4"/>
      <c r="B929" s="4"/>
      <c r="C929" s="4"/>
      <c r="D929" s="15"/>
      <c r="E929" s="4"/>
      <c r="F929" s="4"/>
      <c r="G929" s="4"/>
      <c r="H929" s="4"/>
      <c r="I929" s="4"/>
      <c r="J929" s="4"/>
      <c r="K929" s="4"/>
      <c r="L929" s="4"/>
      <c r="M929" s="4"/>
      <c r="N929" s="4"/>
      <c r="O929" s="4"/>
      <c r="P929" s="4"/>
      <c r="Q929" s="4"/>
      <c r="R929" s="4"/>
      <c r="S929" s="4"/>
      <c r="T929" s="4"/>
      <c r="U929" s="4"/>
      <c r="V929" s="4"/>
      <c r="W929" s="4"/>
      <c r="X929" s="4"/>
      <c r="Y929" s="4"/>
      <c r="Z929" s="4"/>
      <c r="AA929" s="4"/>
      <c r="AB929" s="4"/>
    </row>
    <row r="930" spans="1:28" ht="12.75" hidden="1">
      <c r="A930" s="4"/>
      <c r="B930" s="4"/>
      <c r="C930" s="4"/>
      <c r="D930" s="15"/>
      <c r="E930" s="4"/>
      <c r="F930" s="4"/>
      <c r="G930" s="4"/>
      <c r="H930" s="4"/>
      <c r="I930" s="4"/>
      <c r="J930" s="4"/>
      <c r="K930" s="4"/>
      <c r="L930" s="4"/>
      <c r="M930" s="4"/>
      <c r="N930" s="4"/>
      <c r="O930" s="4"/>
      <c r="P930" s="4"/>
      <c r="Q930" s="4"/>
      <c r="R930" s="4"/>
      <c r="S930" s="4"/>
      <c r="T930" s="4"/>
      <c r="U930" s="4"/>
      <c r="V930" s="4"/>
      <c r="W930" s="4"/>
      <c r="X930" s="4"/>
      <c r="Y930" s="4"/>
      <c r="Z930" s="4"/>
      <c r="AA930" s="4"/>
      <c r="AB930" s="4"/>
    </row>
    <row r="931" spans="1:28" ht="12.75" hidden="1">
      <c r="A931" s="4"/>
      <c r="B931" s="4"/>
      <c r="C931" s="4"/>
      <c r="D931" s="15"/>
      <c r="E931" s="4"/>
      <c r="F931" s="4"/>
      <c r="G931" s="4"/>
      <c r="H931" s="4"/>
      <c r="I931" s="4"/>
      <c r="J931" s="4"/>
      <c r="K931" s="4"/>
      <c r="L931" s="4"/>
      <c r="M931" s="4"/>
      <c r="N931" s="4"/>
      <c r="O931" s="4"/>
      <c r="P931" s="4"/>
      <c r="Q931" s="4"/>
      <c r="R931" s="4"/>
      <c r="S931" s="4"/>
      <c r="T931" s="4"/>
      <c r="U931" s="4"/>
      <c r="V931" s="4"/>
      <c r="W931" s="4"/>
      <c r="X931" s="4"/>
      <c r="Y931" s="4"/>
      <c r="Z931" s="4"/>
      <c r="AA931" s="4"/>
      <c r="AB931" s="4"/>
    </row>
    <row r="932" spans="1:28" ht="12.75" hidden="1">
      <c r="A932" s="4"/>
      <c r="B932" s="4"/>
      <c r="C932" s="4"/>
      <c r="D932" s="15"/>
      <c r="E932" s="4"/>
      <c r="F932" s="4"/>
      <c r="G932" s="4"/>
      <c r="H932" s="4"/>
      <c r="I932" s="4"/>
      <c r="J932" s="4"/>
      <c r="K932" s="4"/>
      <c r="L932" s="4"/>
      <c r="M932" s="4"/>
      <c r="N932" s="4"/>
      <c r="O932" s="4"/>
      <c r="P932" s="4"/>
      <c r="Q932" s="4"/>
      <c r="R932" s="4"/>
      <c r="S932" s="4"/>
      <c r="T932" s="4"/>
      <c r="U932" s="4"/>
      <c r="V932" s="4"/>
      <c r="W932" s="4"/>
      <c r="X932" s="4"/>
      <c r="Y932" s="4"/>
      <c r="Z932" s="4"/>
      <c r="AA932" s="4"/>
      <c r="AB932" s="4"/>
    </row>
    <row r="933" spans="1:28" ht="12.75" hidden="1">
      <c r="A933" s="4"/>
      <c r="B933" s="4"/>
      <c r="C933" s="4"/>
      <c r="D933" s="15"/>
      <c r="E933" s="4"/>
      <c r="F933" s="4"/>
      <c r="G933" s="4"/>
      <c r="H933" s="4"/>
      <c r="I933" s="4"/>
      <c r="J933" s="4"/>
      <c r="K933" s="4"/>
      <c r="L933" s="4"/>
      <c r="M933" s="4"/>
      <c r="N933" s="4"/>
      <c r="O933" s="4"/>
      <c r="P933" s="4"/>
      <c r="Q933" s="4"/>
      <c r="R933" s="4"/>
      <c r="S933" s="4"/>
      <c r="T933" s="4"/>
      <c r="U933" s="4"/>
      <c r="V933" s="4"/>
      <c r="W933" s="4"/>
      <c r="X933" s="4"/>
      <c r="Y933" s="4"/>
      <c r="Z933" s="4"/>
      <c r="AA933" s="4"/>
      <c r="AB933" s="4"/>
    </row>
    <row r="934" spans="1:28" ht="12.75" hidden="1">
      <c r="A934" s="4"/>
      <c r="B934" s="4"/>
      <c r="C934" s="4"/>
      <c r="D934" s="15"/>
      <c r="E934" s="4"/>
      <c r="F934" s="4"/>
      <c r="G934" s="4"/>
      <c r="H934" s="4"/>
      <c r="I934" s="4"/>
      <c r="J934" s="4"/>
      <c r="K934" s="4"/>
      <c r="L934" s="4"/>
      <c r="M934" s="4"/>
      <c r="N934" s="4"/>
      <c r="O934" s="4"/>
      <c r="P934" s="4"/>
      <c r="Q934" s="4"/>
      <c r="R934" s="4"/>
      <c r="S934" s="4"/>
      <c r="T934" s="4"/>
      <c r="U934" s="4"/>
      <c r="V934" s="4"/>
      <c r="W934" s="4"/>
      <c r="X934" s="4"/>
      <c r="Y934" s="4"/>
      <c r="Z934" s="4"/>
      <c r="AA934" s="4"/>
      <c r="AB934" s="4"/>
    </row>
    <row r="935" spans="1:28" ht="12.75" hidden="1">
      <c r="A935" s="4"/>
      <c r="B935" s="4"/>
      <c r="C935" s="4"/>
      <c r="D935" s="15"/>
      <c r="E935" s="4"/>
      <c r="F935" s="4"/>
      <c r="G935" s="4"/>
      <c r="H935" s="4"/>
      <c r="I935" s="4"/>
      <c r="J935" s="4"/>
      <c r="K935" s="4"/>
      <c r="L935" s="4"/>
      <c r="M935" s="4"/>
      <c r="N935" s="4"/>
      <c r="O935" s="4"/>
      <c r="P935" s="4"/>
      <c r="Q935" s="4"/>
      <c r="R935" s="4"/>
      <c r="S935" s="4"/>
      <c r="T935" s="4"/>
      <c r="U935" s="4"/>
      <c r="V935" s="4"/>
      <c r="W935" s="4"/>
      <c r="X935" s="4"/>
      <c r="Y935" s="4"/>
      <c r="Z935" s="4"/>
      <c r="AA935" s="4"/>
      <c r="AB935" s="4"/>
    </row>
    <row r="936" spans="1:28" ht="12.75" hidden="1">
      <c r="A936" s="4"/>
      <c r="B936" s="4"/>
      <c r="C936" s="4"/>
      <c r="D936" s="15"/>
      <c r="E936" s="4"/>
      <c r="F936" s="4"/>
      <c r="G936" s="4"/>
      <c r="H936" s="4"/>
      <c r="I936" s="4"/>
      <c r="J936" s="4"/>
      <c r="K936" s="4"/>
      <c r="L936" s="4"/>
      <c r="M936" s="4"/>
      <c r="N936" s="4"/>
      <c r="O936" s="4"/>
      <c r="P936" s="4"/>
      <c r="Q936" s="4"/>
      <c r="R936" s="4"/>
      <c r="S936" s="4"/>
      <c r="T936" s="4"/>
      <c r="U936" s="4"/>
      <c r="V936" s="4"/>
      <c r="W936" s="4"/>
      <c r="X936" s="4"/>
      <c r="Y936" s="4"/>
      <c r="Z936" s="4"/>
      <c r="AA936" s="4"/>
      <c r="AB936" s="4"/>
    </row>
    <row r="937" spans="1:28" ht="12.75" hidden="1">
      <c r="A937" s="4"/>
      <c r="B937" s="4"/>
      <c r="C937" s="4"/>
      <c r="D937" s="15"/>
      <c r="E937" s="4"/>
      <c r="F937" s="4"/>
      <c r="G937" s="4"/>
      <c r="H937" s="4"/>
      <c r="I937" s="4"/>
      <c r="J937" s="4"/>
      <c r="K937" s="4"/>
      <c r="L937" s="4"/>
      <c r="M937" s="4"/>
      <c r="N937" s="4"/>
      <c r="O937" s="4"/>
      <c r="P937" s="4"/>
      <c r="Q937" s="4"/>
      <c r="R937" s="4"/>
      <c r="S937" s="4"/>
      <c r="T937" s="4"/>
      <c r="U937" s="4"/>
      <c r="V937" s="4"/>
      <c r="W937" s="4"/>
      <c r="X937" s="4"/>
      <c r="Y937" s="4"/>
      <c r="Z937" s="4"/>
      <c r="AA937" s="4"/>
      <c r="AB937" s="4"/>
    </row>
    <row r="938" spans="1:28" ht="12.75" hidden="1">
      <c r="A938" s="4"/>
      <c r="B938" s="4"/>
      <c r="C938" s="4"/>
      <c r="D938" s="15"/>
      <c r="E938" s="4"/>
      <c r="F938" s="4"/>
      <c r="G938" s="4"/>
      <c r="H938" s="4"/>
      <c r="I938" s="4"/>
      <c r="J938" s="4"/>
      <c r="K938" s="4"/>
      <c r="L938" s="4"/>
      <c r="M938" s="4"/>
      <c r="N938" s="4"/>
      <c r="O938" s="4"/>
      <c r="P938" s="4"/>
      <c r="Q938" s="4"/>
      <c r="R938" s="4"/>
      <c r="S938" s="4"/>
      <c r="T938" s="4"/>
      <c r="U938" s="4"/>
      <c r="V938" s="4"/>
      <c r="W938" s="4"/>
      <c r="X938" s="4"/>
      <c r="Y938" s="4"/>
      <c r="Z938" s="4"/>
      <c r="AA938" s="4"/>
      <c r="AB938" s="4"/>
    </row>
    <row r="939" spans="1:28" ht="12.75" hidden="1">
      <c r="A939" s="4"/>
      <c r="B939" s="4"/>
      <c r="C939" s="4"/>
      <c r="D939" s="15"/>
      <c r="E939" s="4"/>
      <c r="F939" s="4"/>
      <c r="G939" s="4"/>
      <c r="H939" s="4"/>
      <c r="I939" s="4"/>
      <c r="J939" s="4"/>
      <c r="K939" s="4"/>
      <c r="L939" s="4"/>
      <c r="M939" s="4"/>
      <c r="N939" s="4"/>
      <c r="O939" s="4"/>
      <c r="P939" s="4"/>
      <c r="Q939" s="4"/>
      <c r="R939" s="4"/>
      <c r="S939" s="4"/>
      <c r="T939" s="4"/>
      <c r="U939" s="4"/>
      <c r="V939" s="4"/>
      <c r="W939" s="4"/>
      <c r="X939" s="4"/>
      <c r="Y939" s="4"/>
      <c r="Z939" s="4"/>
      <c r="AA939" s="4"/>
      <c r="AB939" s="4"/>
    </row>
    <row r="940" spans="1:28" ht="12.75" hidden="1">
      <c r="A940" s="4"/>
      <c r="B940" s="4"/>
      <c r="C940" s="4"/>
      <c r="D940" s="15"/>
      <c r="E940" s="4"/>
      <c r="F940" s="4"/>
      <c r="G940" s="4"/>
      <c r="H940" s="4"/>
      <c r="I940" s="4"/>
      <c r="J940" s="4"/>
      <c r="K940" s="4"/>
      <c r="L940" s="4"/>
      <c r="M940" s="4"/>
      <c r="N940" s="4"/>
      <c r="O940" s="4"/>
      <c r="P940" s="4"/>
      <c r="Q940" s="4"/>
      <c r="R940" s="4"/>
      <c r="S940" s="4"/>
      <c r="T940" s="4"/>
      <c r="U940" s="4"/>
      <c r="V940" s="4"/>
      <c r="W940" s="4"/>
      <c r="X940" s="4"/>
      <c r="Y940" s="4"/>
      <c r="Z940" s="4"/>
      <c r="AA940" s="4"/>
      <c r="AB940" s="4"/>
    </row>
    <row r="941" spans="1:28" ht="12.75" hidden="1">
      <c r="A941" s="4"/>
      <c r="B941" s="4"/>
      <c r="C941" s="4"/>
      <c r="D941" s="15"/>
      <c r="E941" s="4"/>
      <c r="F941" s="4"/>
      <c r="G941" s="4"/>
      <c r="H941" s="4"/>
      <c r="I941" s="4"/>
      <c r="J941" s="4"/>
      <c r="K941" s="4"/>
      <c r="L941" s="4"/>
      <c r="M941" s="4"/>
      <c r="N941" s="4"/>
      <c r="O941" s="4"/>
      <c r="P941" s="4"/>
      <c r="Q941" s="4"/>
      <c r="R941" s="4"/>
      <c r="S941" s="4"/>
      <c r="T941" s="4"/>
      <c r="U941" s="4"/>
      <c r="V941" s="4"/>
      <c r="W941" s="4"/>
      <c r="X941" s="4"/>
      <c r="Y941" s="4"/>
      <c r="Z941" s="4"/>
      <c r="AA941" s="4"/>
      <c r="AB941" s="4"/>
    </row>
    <row r="942" spans="1:28" ht="12.75" hidden="1">
      <c r="A942" s="4"/>
      <c r="B942" s="4"/>
      <c r="C942" s="4"/>
      <c r="D942" s="15"/>
      <c r="E942" s="4"/>
      <c r="F942" s="4"/>
      <c r="G942" s="4"/>
      <c r="H942" s="4"/>
      <c r="I942" s="4"/>
      <c r="J942" s="4"/>
      <c r="K942" s="4"/>
      <c r="L942" s="4"/>
      <c r="M942" s="4"/>
      <c r="N942" s="4"/>
      <c r="O942" s="4"/>
      <c r="P942" s="4"/>
      <c r="Q942" s="4"/>
      <c r="R942" s="4"/>
      <c r="S942" s="4"/>
      <c r="T942" s="4"/>
      <c r="U942" s="4"/>
      <c r="V942" s="4"/>
      <c r="W942" s="4"/>
      <c r="X942" s="4"/>
      <c r="Y942" s="4"/>
      <c r="Z942" s="4"/>
      <c r="AA942" s="4"/>
      <c r="AB942" s="4"/>
    </row>
    <row r="943" spans="1:28" ht="12.75" hidden="1">
      <c r="A943" s="4"/>
      <c r="B943" s="4"/>
      <c r="C943" s="4"/>
      <c r="D943" s="15"/>
      <c r="E943" s="4"/>
      <c r="F943" s="4"/>
      <c r="G943" s="4"/>
      <c r="H943" s="4"/>
      <c r="I943" s="4"/>
      <c r="J943" s="4"/>
      <c r="K943" s="4"/>
      <c r="L943" s="4"/>
      <c r="M943" s="4"/>
      <c r="N943" s="4"/>
      <c r="O943" s="4"/>
      <c r="P943" s="4"/>
      <c r="Q943" s="4"/>
      <c r="R943" s="4"/>
      <c r="S943" s="4"/>
      <c r="T943" s="4"/>
      <c r="U943" s="4"/>
      <c r="V943" s="4"/>
      <c r="W943" s="4"/>
      <c r="X943" s="4"/>
      <c r="Y943" s="4"/>
      <c r="Z943" s="4"/>
      <c r="AA943" s="4"/>
      <c r="AB943" s="4"/>
    </row>
    <row r="944" spans="1:28" ht="12.75" hidden="1">
      <c r="A944" s="4"/>
      <c r="B944" s="4"/>
      <c r="C944" s="4"/>
      <c r="D944" s="15"/>
      <c r="E944" s="4"/>
      <c r="F944" s="4"/>
      <c r="G944" s="4"/>
      <c r="H944" s="4"/>
      <c r="I944" s="4"/>
      <c r="J944" s="4"/>
      <c r="K944" s="4"/>
      <c r="L944" s="4"/>
      <c r="M944" s="4"/>
      <c r="N944" s="4"/>
      <c r="O944" s="4"/>
      <c r="P944" s="4"/>
      <c r="Q944" s="4"/>
      <c r="R944" s="4"/>
      <c r="S944" s="4"/>
      <c r="T944" s="4"/>
      <c r="U944" s="4"/>
      <c r="V944" s="4"/>
      <c r="W944" s="4"/>
      <c r="X944" s="4"/>
      <c r="Y944" s="4"/>
      <c r="Z944" s="4"/>
      <c r="AA944" s="4"/>
      <c r="AB944" s="4"/>
    </row>
    <row r="945" spans="1:28" ht="12.75" hidden="1">
      <c r="A945" s="4"/>
      <c r="B945" s="4"/>
      <c r="C945" s="4"/>
      <c r="D945" s="15"/>
      <c r="E945" s="4"/>
      <c r="F945" s="4"/>
      <c r="G945" s="4"/>
      <c r="H945" s="4"/>
      <c r="I945" s="4"/>
      <c r="J945" s="4"/>
      <c r="K945" s="4"/>
      <c r="L945" s="4"/>
      <c r="M945" s="4"/>
      <c r="N945" s="4"/>
      <c r="O945" s="4"/>
      <c r="P945" s="4"/>
      <c r="Q945" s="4"/>
      <c r="R945" s="4"/>
      <c r="S945" s="4"/>
      <c r="T945" s="4"/>
      <c r="U945" s="4"/>
      <c r="V945" s="4"/>
      <c r="W945" s="4"/>
      <c r="X945" s="4"/>
      <c r="Y945" s="4"/>
      <c r="Z945" s="4"/>
      <c r="AA945" s="4"/>
      <c r="AB945" s="4"/>
    </row>
    <row r="946" spans="1:28" ht="12.75" hidden="1">
      <c r="A946" s="4"/>
      <c r="B946" s="4"/>
      <c r="C946" s="4"/>
      <c r="D946" s="15"/>
      <c r="E946" s="4"/>
      <c r="F946" s="4"/>
      <c r="G946" s="4"/>
      <c r="H946" s="4"/>
      <c r="I946" s="4"/>
      <c r="J946" s="4"/>
      <c r="K946" s="4"/>
      <c r="L946" s="4"/>
      <c r="M946" s="4"/>
      <c r="N946" s="4"/>
      <c r="O946" s="4"/>
      <c r="P946" s="4"/>
      <c r="Q946" s="4"/>
      <c r="R946" s="4"/>
      <c r="S946" s="4"/>
      <c r="T946" s="4"/>
      <c r="U946" s="4"/>
      <c r="V946" s="4"/>
      <c r="W946" s="4"/>
      <c r="X946" s="4"/>
      <c r="Y946" s="4"/>
      <c r="Z946" s="4"/>
      <c r="AA946" s="4"/>
      <c r="AB946" s="4"/>
    </row>
    <row r="947" spans="1:28" ht="12.75" hidden="1">
      <c r="A947" s="4"/>
      <c r="B947" s="4"/>
      <c r="C947" s="4"/>
      <c r="D947" s="15"/>
      <c r="E947" s="4"/>
      <c r="F947" s="4"/>
      <c r="G947" s="4"/>
      <c r="H947" s="4"/>
      <c r="I947" s="4"/>
      <c r="J947" s="4"/>
      <c r="K947" s="4"/>
      <c r="L947" s="4"/>
      <c r="M947" s="4"/>
      <c r="N947" s="4"/>
      <c r="O947" s="4"/>
      <c r="P947" s="4"/>
      <c r="Q947" s="4"/>
      <c r="R947" s="4"/>
      <c r="S947" s="4"/>
      <c r="T947" s="4"/>
      <c r="U947" s="4"/>
      <c r="V947" s="4"/>
      <c r="W947" s="4"/>
      <c r="X947" s="4"/>
      <c r="Y947" s="4"/>
      <c r="Z947" s="4"/>
      <c r="AA947" s="4"/>
      <c r="AB947" s="4"/>
    </row>
    <row r="948" spans="1:28" ht="12.75" hidden="1">
      <c r="A948" s="4"/>
      <c r="B948" s="4"/>
      <c r="C948" s="4"/>
      <c r="D948" s="15"/>
      <c r="E948" s="4"/>
      <c r="F948" s="4"/>
      <c r="G948" s="4"/>
      <c r="H948" s="4"/>
      <c r="I948" s="4"/>
      <c r="J948" s="4"/>
      <c r="K948" s="4"/>
      <c r="L948" s="4"/>
      <c r="M948" s="4"/>
      <c r="N948" s="4"/>
      <c r="O948" s="4"/>
      <c r="P948" s="4"/>
      <c r="Q948" s="4"/>
      <c r="R948" s="4"/>
      <c r="S948" s="4"/>
      <c r="T948" s="4"/>
      <c r="U948" s="4"/>
      <c r="V948" s="4"/>
      <c r="W948" s="4"/>
      <c r="X948" s="4"/>
      <c r="Y948" s="4"/>
      <c r="Z948" s="4"/>
      <c r="AA948" s="4"/>
      <c r="AB948" s="4"/>
    </row>
    <row r="949" spans="1:28" ht="12.75" hidden="1">
      <c r="A949" s="4"/>
      <c r="B949" s="4"/>
      <c r="C949" s="4"/>
      <c r="D949" s="15"/>
      <c r="E949" s="4"/>
      <c r="F949" s="4"/>
      <c r="G949" s="4"/>
      <c r="H949" s="4"/>
      <c r="I949" s="4"/>
      <c r="J949" s="4"/>
      <c r="K949" s="4"/>
      <c r="L949" s="4"/>
      <c r="M949" s="4"/>
      <c r="N949" s="4"/>
      <c r="O949" s="4"/>
      <c r="P949" s="4"/>
      <c r="Q949" s="4"/>
      <c r="R949" s="4"/>
      <c r="S949" s="4"/>
      <c r="T949" s="4"/>
      <c r="U949" s="4"/>
      <c r="V949" s="4"/>
      <c r="W949" s="4"/>
      <c r="X949" s="4"/>
      <c r="Y949" s="4"/>
      <c r="Z949" s="4"/>
      <c r="AA949" s="4"/>
      <c r="AB949" s="4"/>
    </row>
    <row r="950" spans="1:28" ht="12.75" hidden="1">
      <c r="A950" s="4"/>
      <c r="B950" s="4"/>
      <c r="C950" s="4"/>
      <c r="D950" s="15"/>
      <c r="E950" s="4"/>
      <c r="F950" s="4"/>
      <c r="G950" s="4"/>
      <c r="H950" s="4"/>
      <c r="I950" s="4"/>
      <c r="J950" s="4"/>
      <c r="K950" s="4"/>
      <c r="L950" s="4"/>
      <c r="M950" s="4"/>
      <c r="N950" s="4"/>
      <c r="O950" s="4"/>
      <c r="P950" s="4"/>
      <c r="Q950" s="4"/>
      <c r="R950" s="4"/>
      <c r="S950" s="4"/>
      <c r="T950" s="4"/>
      <c r="U950" s="4"/>
      <c r="V950" s="4"/>
      <c r="W950" s="4"/>
      <c r="X950" s="4"/>
      <c r="Y950" s="4"/>
      <c r="Z950" s="4"/>
      <c r="AA950" s="4"/>
      <c r="AB950" s="4"/>
    </row>
    <row r="951" spans="1:28" ht="12.75" hidden="1">
      <c r="A951" s="4"/>
      <c r="B951" s="4"/>
      <c r="C951" s="4"/>
      <c r="D951" s="15"/>
      <c r="E951" s="4"/>
      <c r="F951" s="4"/>
      <c r="G951" s="4"/>
      <c r="H951" s="4"/>
      <c r="I951" s="4"/>
      <c r="J951" s="4"/>
      <c r="K951" s="4"/>
      <c r="L951" s="4"/>
      <c r="M951" s="4"/>
      <c r="N951" s="4"/>
      <c r="O951" s="4"/>
      <c r="P951" s="4"/>
      <c r="Q951" s="4"/>
      <c r="R951" s="4"/>
      <c r="S951" s="4"/>
      <c r="T951" s="4"/>
      <c r="U951" s="4"/>
      <c r="V951" s="4"/>
      <c r="W951" s="4"/>
      <c r="X951" s="4"/>
      <c r="Y951" s="4"/>
      <c r="Z951" s="4"/>
      <c r="AA951" s="4"/>
      <c r="AB951" s="4"/>
    </row>
    <row r="952" spans="1:28" ht="12.75" hidden="1">
      <c r="A952" s="4"/>
      <c r="B952" s="4"/>
      <c r="C952" s="4"/>
      <c r="D952" s="15"/>
      <c r="E952" s="4"/>
      <c r="F952" s="4"/>
      <c r="G952" s="4"/>
      <c r="H952" s="4"/>
      <c r="I952" s="4"/>
      <c r="J952" s="4"/>
      <c r="K952" s="4"/>
      <c r="L952" s="4"/>
      <c r="M952" s="4"/>
      <c r="N952" s="4"/>
      <c r="O952" s="4"/>
      <c r="P952" s="4"/>
      <c r="Q952" s="4"/>
      <c r="R952" s="4"/>
      <c r="S952" s="4"/>
      <c r="T952" s="4"/>
      <c r="U952" s="4"/>
      <c r="V952" s="4"/>
      <c r="W952" s="4"/>
      <c r="X952" s="4"/>
      <c r="Y952" s="4"/>
      <c r="Z952" s="4"/>
      <c r="AA952" s="4"/>
      <c r="AB952" s="4"/>
    </row>
    <row r="953" spans="1:28" ht="12.75" hidden="1">
      <c r="A953" s="4"/>
      <c r="B953" s="4"/>
      <c r="C953" s="4"/>
      <c r="D953" s="15"/>
      <c r="E953" s="4"/>
      <c r="F953" s="4"/>
      <c r="G953" s="4"/>
      <c r="H953" s="4"/>
      <c r="I953" s="4"/>
      <c r="J953" s="4"/>
      <c r="K953" s="4"/>
      <c r="L953" s="4"/>
      <c r="M953" s="4"/>
      <c r="N953" s="4"/>
      <c r="O953" s="4"/>
      <c r="P953" s="4"/>
      <c r="Q953" s="4"/>
      <c r="R953" s="4"/>
      <c r="S953" s="4"/>
      <c r="T953" s="4"/>
      <c r="U953" s="4"/>
      <c r="V953" s="4"/>
      <c r="W953" s="4"/>
      <c r="X953" s="4"/>
      <c r="Y953" s="4"/>
      <c r="Z953" s="4"/>
      <c r="AA953" s="4"/>
      <c r="AB953" s="4"/>
    </row>
    <row r="954" spans="1:28" ht="12.75" hidden="1">
      <c r="A954" s="4"/>
      <c r="B954" s="4"/>
      <c r="C954" s="4"/>
      <c r="D954" s="15"/>
      <c r="E954" s="4"/>
      <c r="F954" s="4"/>
      <c r="G954" s="4"/>
      <c r="H954" s="4"/>
      <c r="I954" s="4"/>
      <c r="J954" s="4"/>
      <c r="K954" s="4"/>
      <c r="L954" s="4"/>
      <c r="M954" s="4"/>
      <c r="N954" s="4"/>
      <c r="O954" s="4"/>
      <c r="P954" s="4"/>
      <c r="Q954" s="4"/>
      <c r="R954" s="4"/>
      <c r="S954" s="4"/>
      <c r="T954" s="4"/>
      <c r="U954" s="4"/>
      <c r="V954" s="4"/>
      <c r="W954" s="4"/>
      <c r="X954" s="4"/>
      <c r="Y954" s="4"/>
      <c r="Z954" s="4"/>
      <c r="AA954" s="4"/>
      <c r="AB954" s="4"/>
    </row>
    <row r="955" spans="1:28" ht="12.75" hidden="1">
      <c r="A955" s="4"/>
      <c r="B955" s="4"/>
      <c r="C955" s="4"/>
      <c r="D955" s="15"/>
      <c r="E955" s="4"/>
      <c r="F955" s="4"/>
      <c r="G955" s="4"/>
      <c r="H955" s="4"/>
      <c r="I955" s="4"/>
      <c r="J955" s="4"/>
      <c r="K955" s="4"/>
      <c r="L955" s="4"/>
      <c r="M955" s="4"/>
      <c r="N955" s="4"/>
      <c r="O955" s="4"/>
      <c r="P955" s="4"/>
      <c r="Q955" s="4"/>
      <c r="R955" s="4"/>
      <c r="S955" s="4"/>
      <c r="T955" s="4"/>
      <c r="U955" s="4"/>
      <c r="V955" s="4"/>
      <c r="W955" s="4"/>
      <c r="X955" s="4"/>
      <c r="Y955" s="4"/>
      <c r="Z955" s="4"/>
      <c r="AA955" s="4"/>
      <c r="AB955" s="4"/>
    </row>
    <row r="956" spans="1:28" ht="12.75" hidden="1">
      <c r="A956" s="4"/>
      <c r="B956" s="4"/>
      <c r="C956" s="4"/>
      <c r="D956" s="15"/>
      <c r="E956" s="4"/>
      <c r="F956" s="4"/>
      <c r="G956" s="4"/>
      <c r="H956" s="4"/>
      <c r="I956" s="4"/>
      <c r="J956" s="4"/>
      <c r="K956" s="4"/>
      <c r="L956" s="4"/>
      <c r="M956" s="4"/>
      <c r="N956" s="4"/>
      <c r="O956" s="4"/>
      <c r="P956" s="4"/>
      <c r="Q956" s="4"/>
      <c r="R956" s="4"/>
      <c r="S956" s="4"/>
      <c r="T956" s="4"/>
      <c r="U956" s="4"/>
      <c r="V956" s="4"/>
      <c r="W956" s="4"/>
      <c r="X956" s="4"/>
      <c r="Y956" s="4"/>
      <c r="Z956" s="4"/>
      <c r="AA956" s="4"/>
      <c r="AB956" s="4"/>
    </row>
    <row r="957" spans="1:28" ht="12.75" hidden="1">
      <c r="A957" s="4"/>
      <c r="B957" s="4"/>
      <c r="C957" s="4"/>
      <c r="D957" s="15"/>
      <c r="E957" s="4"/>
      <c r="F957" s="4"/>
      <c r="G957" s="4"/>
      <c r="H957" s="4"/>
      <c r="I957" s="4"/>
      <c r="J957" s="4"/>
      <c r="K957" s="4"/>
      <c r="L957" s="4"/>
      <c r="M957" s="4"/>
      <c r="N957" s="4"/>
      <c r="O957" s="4"/>
      <c r="P957" s="4"/>
      <c r="Q957" s="4"/>
      <c r="R957" s="4"/>
      <c r="S957" s="4"/>
      <c r="T957" s="4"/>
      <c r="U957" s="4"/>
      <c r="V957" s="4"/>
      <c r="W957" s="4"/>
      <c r="X957" s="4"/>
      <c r="Y957" s="4"/>
      <c r="Z957" s="4"/>
      <c r="AA957" s="4"/>
      <c r="AB957" s="4"/>
    </row>
    <row r="958" spans="1:28" ht="12.75" hidden="1">
      <c r="A958" s="4"/>
      <c r="B958" s="4"/>
      <c r="C958" s="4"/>
      <c r="D958" s="15"/>
      <c r="E958" s="4"/>
      <c r="F958" s="4"/>
      <c r="G958" s="4"/>
      <c r="H958" s="4"/>
      <c r="I958" s="4"/>
      <c r="J958" s="4"/>
      <c r="K958" s="4"/>
      <c r="L958" s="4"/>
      <c r="M958" s="4"/>
      <c r="N958" s="4"/>
      <c r="O958" s="4"/>
      <c r="P958" s="4"/>
      <c r="Q958" s="4"/>
      <c r="R958" s="4"/>
      <c r="S958" s="4"/>
      <c r="T958" s="4"/>
      <c r="U958" s="4"/>
      <c r="V958" s="4"/>
      <c r="W958" s="4"/>
      <c r="X958" s="4"/>
      <c r="Y958" s="4"/>
      <c r="Z958" s="4"/>
      <c r="AA958" s="4"/>
      <c r="AB958" s="4"/>
    </row>
    <row r="959" spans="1:28" ht="12.75" hidden="1">
      <c r="A959" s="4"/>
      <c r="B959" s="4"/>
      <c r="C959" s="4"/>
      <c r="D959" s="15"/>
      <c r="E959" s="4"/>
      <c r="F959" s="4"/>
      <c r="G959" s="4"/>
      <c r="H959" s="4"/>
      <c r="I959" s="4"/>
      <c r="J959" s="4"/>
      <c r="K959" s="4"/>
      <c r="L959" s="4"/>
      <c r="M959" s="4"/>
      <c r="N959" s="4"/>
      <c r="O959" s="4"/>
      <c r="P959" s="4"/>
      <c r="Q959" s="4"/>
      <c r="R959" s="4"/>
      <c r="S959" s="4"/>
      <c r="T959" s="4"/>
      <c r="U959" s="4"/>
      <c r="V959" s="4"/>
      <c r="W959" s="4"/>
      <c r="X959" s="4"/>
      <c r="Y959" s="4"/>
      <c r="Z959" s="4"/>
      <c r="AA959" s="4"/>
      <c r="AB959" s="4"/>
    </row>
    <row r="960" spans="1:28" ht="12.75" hidden="1">
      <c r="A960" s="4"/>
      <c r="B960" s="4"/>
      <c r="C960" s="4"/>
      <c r="D960" s="15"/>
      <c r="E960" s="4"/>
      <c r="F960" s="4"/>
      <c r="G960" s="4"/>
      <c r="H960" s="4"/>
      <c r="I960" s="4"/>
      <c r="J960" s="4"/>
      <c r="K960" s="4"/>
      <c r="L960" s="4"/>
      <c r="M960" s="4"/>
      <c r="N960" s="4"/>
      <c r="O960" s="4"/>
      <c r="P960" s="4"/>
      <c r="Q960" s="4"/>
      <c r="R960" s="4"/>
      <c r="S960" s="4"/>
      <c r="T960" s="4"/>
      <c r="U960" s="4"/>
      <c r="V960" s="4"/>
      <c r="W960" s="4"/>
      <c r="X960" s="4"/>
      <c r="Y960" s="4"/>
      <c r="Z960" s="4"/>
      <c r="AA960" s="4"/>
      <c r="AB960" s="4"/>
    </row>
    <row r="961" spans="1:28" ht="12.75" hidden="1">
      <c r="A961" s="4"/>
      <c r="B961" s="4"/>
      <c r="C961" s="4"/>
      <c r="D961" s="15"/>
      <c r="E961" s="4"/>
      <c r="F961" s="4"/>
      <c r="G961" s="4"/>
      <c r="H961" s="4"/>
      <c r="I961" s="4"/>
      <c r="J961" s="4"/>
      <c r="K961" s="4"/>
      <c r="L961" s="4"/>
      <c r="M961" s="4"/>
      <c r="N961" s="4"/>
      <c r="O961" s="4"/>
      <c r="P961" s="4"/>
      <c r="Q961" s="4"/>
      <c r="R961" s="4"/>
      <c r="S961" s="4"/>
      <c r="T961" s="4"/>
      <c r="U961" s="4"/>
      <c r="V961" s="4"/>
      <c r="W961" s="4"/>
      <c r="X961" s="4"/>
      <c r="Y961" s="4"/>
      <c r="Z961" s="4"/>
      <c r="AA961" s="4"/>
      <c r="AB961" s="4"/>
    </row>
    <row r="962" spans="1:28" ht="12.75" hidden="1">
      <c r="A962" s="4"/>
      <c r="B962" s="4"/>
      <c r="C962" s="4"/>
      <c r="D962" s="15"/>
      <c r="E962" s="4"/>
      <c r="F962" s="4"/>
      <c r="G962" s="4"/>
      <c r="H962" s="4"/>
      <c r="I962" s="4"/>
      <c r="J962" s="4"/>
      <c r="K962" s="4"/>
      <c r="L962" s="4"/>
      <c r="M962" s="4"/>
      <c r="N962" s="4"/>
      <c r="O962" s="4"/>
      <c r="P962" s="4"/>
      <c r="Q962" s="4"/>
      <c r="R962" s="4"/>
      <c r="S962" s="4"/>
      <c r="T962" s="4"/>
      <c r="U962" s="4"/>
      <c r="V962" s="4"/>
      <c r="W962" s="4"/>
      <c r="X962" s="4"/>
      <c r="Y962" s="4"/>
      <c r="Z962" s="4"/>
      <c r="AA962" s="4"/>
      <c r="AB962" s="4"/>
    </row>
    <row r="963" spans="1:28" ht="12.75" hidden="1">
      <c r="A963" s="4"/>
      <c r="B963" s="4"/>
      <c r="C963" s="4"/>
      <c r="D963" s="15"/>
      <c r="E963" s="4"/>
      <c r="F963" s="4"/>
      <c r="G963" s="4"/>
      <c r="H963" s="4"/>
      <c r="I963" s="4"/>
      <c r="J963" s="4"/>
      <c r="K963" s="4"/>
      <c r="L963" s="4"/>
      <c r="M963" s="4"/>
      <c r="N963" s="4"/>
      <c r="O963" s="4"/>
      <c r="P963" s="4"/>
      <c r="Q963" s="4"/>
      <c r="R963" s="4"/>
      <c r="S963" s="4"/>
      <c r="T963" s="4"/>
      <c r="U963" s="4"/>
      <c r="V963" s="4"/>
      <c r="W963" s="4"/>
      <c r="X963" s="4"/>
      <c r="Y963" s="4"/>
      <c r="Z963" s="4"/>
      <c r="AA963" s="4"/>
      <c r="AB963" s="4"/>
    </row>
    <row r="964" spans="1:28" ht="12.75" hidden="1">
      <c r="A964" s="4"/>
      <c r="B964" s="4"/>
      <c r="C964" s="4"/>
      <c r="D964" s="15"/>
      <c r="E964" s="4"/>
      <c r="F964" s="4"/>
      <c r="G964" s="4"/>
      <c r="H964" s="4"/>
      <c r="I964" s="4"/>
      <c r="J964" s="4"/>
      <c r="K964" s="4"/>
      <c r="L964" s="4"/>
      <c r="M964" s="4"/>
      <c r="N964" s="4"/>
      <c r="O964" s="4"/>
      <c r="P964" s="4"/>
      <c r="Q964" s="4"/>
      <c r="R964" s="4"/>
      <c r="S964" s="4"/>
      <c r="T964" s="4"/>
      <c r="U964" s="4"/>
      <c r="V964" s="4"/>
      <c r="W964" s="4"/>
      <c r="X964" s="4"/>
      <c r="Y964" s="4"/>
      <c r="Z964" s="4"/>
      <c r="AA964" s="4"/>
      <c r="AB964" s="4"/>
    </row>
    <row r="965" spans="1:28" ht="12.75" hidden="1">
      <c r="A965" s="4"/>
      <c r="B965" s="4"/>
      <c r="C965" s="4"/>
      <c r="D965" s="15"/>
      <c r="E965" s="4"/>
      <c r="F965" s="4"/>
      <c r="G965" s="4"/>
      <c r="H965" s="4"/>
      <c r="I965" s="4"/>
      <c r="J965" s="4"/>
      <c r="K965" s="4"/>
      <c r="L965" s="4"/>
      <c r="M965" s="4"/>
      <c r="N965" s="4"/>
      <c r="O965" s="4"/>
      <c r="P965" s="4"/>
      <c r="Q965" s="4"/>
      <c r="R965" s="4"/>
      <c r="S965" s="4"/>
      <c r="T965" s="4"/>
      <c r="U965" s="4"/>
      <c r="V965" s="4"/>
      <c r="W965" s="4"/>
      <c r="X965" s="4"/>
      <c r="Y965" s="4"/>
      <c r="Z965" s="4"/>
      <c r="AA965" s="4"/>
      <c r="AB965" s="4"/>
    </row>
    <row r="966" spans="1:28" ht="12.75" hidden="1">
      <c r="A966" s="4"/>
      <c r="B966" s="4"/>
      <c r="C966" s="4"/>
      <c r="D966" s="15"/>
      <c r="E966" s="4"/>
      <c r="F966" s="4"/>
      <c r="G966" s="4"/>
      <c r="H966" s="4"/>
      <c r="I966" s="4"/>
      <c r="J966" s="4"/>
      <c r="K966" s="4"/>
      <c r="L966" s="4"/>
      <c r="M966" s="4"/>
      <c r="N966" s="4"/>
      <c r="O966" s="4"/>
      <c r="P966" s="4"/>
      <c r="Q966" s="4"/>
      <c r="R966" s="4"/>
      <c r="S966" s="4"/>
      <c r="T966" s="4"/>
      <c r="U966" s="4"/>
      <c r="V966" s="4"/>
      <c r="W966" s="4"/>
      <c r="X966" s="4"/>
      <c r="Y966" s="4"/>
      <c r="Z966" s="4"/>
      <c r="AA966" s="4"/>
      <c r="AB966" s="4"/>
    </row>
    <row r="967" spans="1:28" ht="12.75" hidden="1">
      <c r="A967" s="4"/>
      <c r="B967" s="4"/>
      <c r="C967" s="4"/>
      <c r="D967" s="15"/>
      <c r="E967" s="4"/>
      <c r="F967" s="4"/>
      <c r="G967" s="4"/>
      <c r="H967" s="4"/>
      <c r="I967" s="4"/>
      <c r="J967" s="4"/>
      <c r="K967" s="4"/>
      <c r="L967" s="4"/>
      <c r="M967" s="4"/>
      <c r="N967" s="4"/>
      <c r="O967" s="4"/>
      <c r="P967" s="4"/>
      <c r="Q967" s="4"/>
      <c r="R967" s="4"/>
      <c r="S967" s="4"/>
      <c r="T967" s="4"/>
      <c r="U967" s="4"/>
      <c r="V967" s="4"/>
      <c r="W967" s="4"/>
      <c r="X967" s="4"/>
      <c r="Y967" s="4"/>
      <c r="Z967" s="4"/>
      <c r="AA967" s="4"/>
      <c r="AB967" s="4"/>
    </row>
    <row r="968" spans="1:28" ht="12.75" hidden="1">
      <c r="A968" s="4"/>
      <c r="B968" s="4"/>
      <c r="C968" s="4"/>
      <c r="D968" s="15"/>
      <c r="E968" s="4"/>
      <c r="F968" s="4"/>
      <c r="G968" s="4"/>
      <c r="H968" s="4"/>
      <c r="I968" s="4"/>
      <c r="J968" s="4"/>
      <c r="K968" s="4"/>
      <c r="L968" s="4"/>
      <c r="M968" s="4"/>
      <c r="N968" s="4"/>
      <c r="O968" s="4"/>
      <c r="P968" s="4"/>
      <c r="Q968" s="4"/>
      <c r="R968" s="4"/>
      <c r="S968" s="4"/>
      <c r="T968" s="4"/>
      <c r="U968" s="4"/>
      <c r="V968" s="4"/>
      <c r="W968" s="4"/>
      <c r="X968" s="4"/>
      <c r="Y968" s="4"/>
      <c r="Z968" s="4"/>
      <c r="AA968" s="4"/>
      <c r="AB968" s="4"/>
    </row>
    <row r="969" spans="1:28" ht="12.75" hidden="1">
      <c r="A969" s="4"/>
      <c r="B969" s="4"/>
      <c r="C969" s="4"/>
      <c r="D969" s="15"/>
      <c r="E969" s="4"/>
      <c r="F969" s="4"/>
      <c r="G969" s="4"/>
      <c r="H969" s="4"/>
      <c r="I969" s="4"/>
      <c r="J969" s="4"/>
      <c r="K969" s="4"/>
      <c r="L969" s="4"/>
      <c r="M969" s="4"/>
      <c r="N969" s="4"/>
      <c r="O969" s="4"/>
      <c r="P969" s="4"/>
      <c r="Q969" s="4"/>
      <c r="R969" s="4"/>
      <c r="S969" s="4"/>
      <c r="T969" s="4"/>
      <c r="U969" s="4"/>
      <c r="V969" s="4"/>
      <c r="W969" s="4"/>
      <c r="X969" s="4"/>
      <c r="Y969" s="4"/>
      <c r="Z969" s="4"/>
      <c r="AA969" s="4"/>
      <c r="AB969" s="4"/>
    </row>
    <row r="970" spans="1:28" ht="12.75" hidden="1">
      <c r="A970" s="4"/>
      <c r="B970" s="4"/>
      <c r="C970" s="4"/>
      <c r="D970" s="15"/>
      <c r="E970" s="4"/>
      <c r="F970" s="4"/>
      <c r="G970" s="4"/>
      <c r="H970" s="4"/>
      <c r="I970" s="4"/>
      <c r="J970" s="4"/>
      <c r="K970" s="4"/>
      <c r="L970" s="4"/>
      <c r="M970" s="4"/>
      <c r="N970" s="4"/>
      <c r="O970" s="4"/>
      <c r="P970" s="4"/>
      <c r="Q970" s="4"/>
      <c r="R970" s="4"/>
      <c r="S970" s="4"/>
      <c r="T970" s="4"/>
      <c r="U970" s="4"/>
      <c r="V970" s="4"/>
      <c r="W970" s="4"/>
      <c r="X970" s="4"/>
      <c r="Y970" s="4"/>
      <c r="Z970" s="4"/>
      <c r="AA970" s="4"/>
      <c r="AB970" s="4"/>
    </row>
    <row r="971" spans="1:28" ht="12.75" hidden="1">
      <c r="A971" s="4"/>
      <c r="B971" s="4"/>
      <c r="C971" s="4"/>
      <c r="D971" s="15"/>
      <c r="E971" s="4"/>
      <c r="F971" s="4"/>
      <c r="G971" s="4"/>
      <c r="H971" s="4"/>
      <c r="I971" s="4"/>
      <c r="J971" s="4"/>
      <c r="K971" s="4"/>
      <c r="L971" s="4"/>
      <c r="M971" s="4"/>
      <c r="N971" s="4"/>
      <c r="O971" s="4"/>
      <c r="P971" s="4"/>
      <c r="Q971" s="4"/>
      <c r="R971" s="4"/>
      <c r="S971" s="4"/>
      <c r="T971" s="4"/>
      <c r="U971" s="4"/>
      <c r="V971" s="4"/>
      <c r="W971" s="4"/>
      <c r="X971" s="4"/>
      <c r="Y971" s="4"/>
      <c r="Z971" s="4"/>
      <c r="AA971" s="4"/>
      <c r="AB971" s="4"/>
    </row>
    <row r="972" spans="1:28" ht="12.75" hidden="1">
      <c r="A972" s="4"/>
      <c r="B972" s="4"/>
      <c r="C972" s="4"/>
      <c r="D972" s="15"/>
      <c r="E972" s="4"/>
      <c r="F972" s="4"/>
      <c r="G972" s="4"/>
      <c r="H972" s="4"/>
      <c r="I972" s="4"/>
      <c r="J972" s="4"/>
      <c r="K972" s="4"/>
      <c r="L972" s="4"/>
      <c r="M972" s="4"/>
      <c r="N972" s="4"/>
      <c r="O972" s="4"/>
      <c r="P972" s="4"/>
      <c r="Q972" s="4"/>
      <c r="R972" s="4"/>
      <c r="S972" s="4"/>
      <c r="T972" s="4"/>
      <c r="U972" s="4"/>
      <c r="V972" s="4"/>
      <c r="W972" s="4"/>
      <c r="X972" s="4"/>
      <c r="Y972" s="4"/>
      <c r="Z972" s="4"/>
      <c r="AA972" s="4"/>
      <c r="AB972" s="4"/>
    </row>
    <row r="973" spans="1:28" ht="12.75" hidden="1">
      <c r="A973" s="4"/>
      <c r="B973" s="4"/>
      <c r="C973" s="4"/>
      <c r="D973" s="15"/>
      <c r="E973" s="4"/>
      <c r="F973" s="4"/>
      <c r="G973" s="4"/>
      <c r="H973" s="4"/>
      <c r="I973" s="4"/>
      <c r="J973" s="4"/>
      <c r="K973" s="4"/>
      <c r="L973" s="4"/>
      <c r="M973" s="4"/>
      <c r="N973" s="4"/>
      <c r="O973" s="4"/>
      <c r="P973" s="4"/>
      <c r="Q973" s="4"/>
      <c r="R973" s="4"/>
      <c r="S973" s="4"/>
      <c r="T973" s="4"/>
      <c r="U973" s="4"/>
      <c r="V973" s="4"/>
      <c r="W973" s="4"/>
      <c r="X973" s="4"/>
      <c r="Y973" s="4"/>
      <c r="Z973" s="4"/>
      <c r="AA973" s="4"/>
      <c r="AB973" s="4"/>
    </row>
    <row r="974" spans="1:28" ht="12.75" hidden="1">
      <c r="A974" s="4"/>
      <c r="B974" s="4"/>
      <c r="C974" s="4"/>
      <c r="D974" s="15"/>
      <c r="E974" s="4"/>
      <c r="F974" s="4"/>
      <c r="G974" s="4"/>
      <c r="H974" s="4"/>
      <c r="I974" s="4"/>
      <c r="J974" s="4"/>
      <c r="K974" s="4"/>
      <c r="L974" s="4"/>
      <c r="M974" s="4"/>
      <c r="N974" s="4"/>
      <c r="O974" s="4"/>
      <c r="P974" s="4"/>
      <c r="Q974" s="4"/>
      <c r="R974" s="4"/>
      <c r="S974" s="4"/>
      <c r="T974" s="4"/>
      <c r="U974" s="4"/>
      <c r="V974" s="4"/>
      <c r="W974" s="4"/>
      <c r="X974" s="4"/>
      <c r="Y974" s="4"/>
      <c r="Z974" s="4"/>
      <c r="AA974" s="4"/>
      <c r="AB974" s="4"/>
    </row>
    <row r="975" spans="1:28" ht="12.75" hidden="1">
      <c r="A975" s="4"/>
      <c r="B975" s="4"/>
      <c r="C975" s="4"/>
      <c r="D975" s="15"/>
      <c r="E975" s="4"/>
      <c r="F975" s="4"/>
      <c r="G975" s="4"/>
      <c r="H975" s="4"/>
      <c r="I975" s="4"/>
      <c r="J975" s="4"/>
      <c r="K975" s="4"/>
      <c r="L975" s="4"/>
      <c r="M975" s="4"/>
      <c r="N975" s="4"/>
      <c r="O975" s="4"/>
      <c r="P975" s="4"/>
      <c r="Q975" s="4"/>
      <c r="R975" s="4"/>
      <c r="S975" s="4"/>
      <c r="T975" s="4"/>
      <c r="U975" s="4"/>
      <c r="V975" s="4"/>
      <c r="W975" s="4"/>
      <c r="X975" s="4"/>
      <c r="Y975" s="4"/>
      <c r="Z975" s="4"/>
      <c r="AA975" s="4"/>
      <c r="AB975" s="4"/>
    </row>
    <row r="976" spans="1:28" ht="12.75" hidden="1">
      <c r="A976" s="4"/>
      <c r="B976" s="4"/>
      <c r="C976" s="4"/>
      <c r="D976" s="15"/>
      <c r="E976" s="4"/>
      <c r="F976" s="4"/>
      <c r="G976" s="4"/>
      <c r="H976" s="4"/>
      <c r="I976" s="4"/>
      <c r="J976" s="4"/>
      <c r="K976" s="4"/>
      <c r="L976" s="4"/>
      <c r="M976" s="4"/>
      <c r="N976" s="4"/>
      <c r="O976" s="4"/>
      <c r="P976" s="4"/>
      <c r="Q976" s="4"/>
      <c r="R976" s="4"/>
      <c r="S976" s="4"/>
      <c r="T976" s="4"/>
      <c r="U976" s="4"/>
      <c r="V976" s="4"/>
      <c r="W976" s="4"/>
      <c r="X976" s="4"/>
      <c r="Y976" s="4"/>
      <c r="Z976" s="4"/>
      <c r="AA976" s="4"/>
      <c r="AB976" s="4"/>
    </row>
    <row r="977" spans="1:28" ht="12.75" hidden="1">
      <c r="A977" s="4"/>
      <c r="B977" s="4"/>
      <c r="C977" s="4"/>
      <c r="D977" s="15"/>
      <c r="E977" s="4"/>
      <c r="F977" s="4"/>
      <c r="G977" s="4"/>
      <c r="H977" s="4"/>
      <c r="I977" s="4"/>
      <c r="J977" s="4"/>
      <c r="K977" s="4"/>
      <c r="L977" s="4"/>
      <c r="M977" s="4"/>
      <c r="N977" s="4"/>
      <c r="O977" s="4"/>
      <c r="P977" s="4"/>
      <c r="Q977" s="4"/>
      <c r="R977" s="4"/>
      <c r="S977" s="4"/>
      <c r="T977" s="4"/>
      <c r="U977" s="4"/>
      <c r="V977" s="4"/>
      <c r="W977" s="4"/>
      <c r="X977" s="4"/>
      <c r="Y977" s="4"/>
      <c r="Z977" s="4"/>
      <c r="AA977" s="4"/>
      <c r="AB977" s="4"/>
    </row>
    <row r="978" spans="1:28" ht="12.75" hidden="1">
      <c r="A978" s="4"/>
      <c r="B978" s="4"/>
      <c r="C978" s="4"/>
      <c r="D978" s="15"/>
      <c r="E978" s="4"/>
      <c r="F978" s="4"/>
      <c r="G978" s="4"/>
      <c r="H978" s="4"/>
      <c r="I978" s="4"/>
      <c r="J978" s="4"/>
      <c r="K978" s="4"/>
      <c r="L978" s="4"/>
      <c r="M978" s="4"/>
      <c r="N978" s="4"/>
      <c r="O978" s="4"/>
      <c r="P978" s="4"/>
      <c r="Q978" s="4"/>
      <c r="R978" s="4"/>
      <c r="S978" s="4"/>
      <c r="T978" s="4"/>
      <c r="U978" s="4"/>
      <c r="V978" s="4"/>
      <c r="W978" s="4"/>
      <c r="X978" s="4"/>
      <c r="Y978" s="4"/>
      <c r="Z978" s="4"/>
      <c r="AA978" s="4"/>
      <c r="AB978" s="4"/>
    </row>
    <row r="979" spans="1:28" ht="12.75" hidden="1">
      <c r="A979" s="4"/>
      <c r="B979" s="4"/>
      <c r="C979" s="4"/>
      <c r="D979" s="15"/>
      <c r="E979" s="4"/>
      <c r="F979" s="4"/>
      <c r="G979" s="4"/>
      <c r="H979" s="4"/>
      <c r="I979" s="4"/>
      <c r="J979" s="4"/>
      <c r="K979" s="4"/>
      <c r="L979" s="4"/>
      <c r="M979" s="4"/>
      <c r="N979" s="4"/>
      <c r="O979" s="4"/>
      <c r="P979" s="4"/>
      <c r="Q979" s="4"/>
      <c r="R979" s="4"/>
      <c r="S979" s="4"/>
      <c r="T979" s="4"/>
      <c r="U979" s="4"/>
      <c r="V979" s="4"/>
      <c r="W979" s="4"/>
      <c r="X979" s="4"/>
      <c r="Y979" s="4"/>
      <c r="Z979" s="4"/>
      <c r="AA979" s="4"/>
      <c r="AB979" s="4"/>
    </row>
    <row r="980" spans="1:28" ht="12.75" hidden="1">
      <c r="A980" s="4"/>
      <c r="B980" s="4"/>
      <c r="C980" s="4"/>
      <c r="D980" s="15"/>
      <c r="E980" s="4"/>
      <c r="F980" s="4"/>
      <c r="G980" s="4"/>
      <c r="H980" s="4"/>
      <c r="I980" s="4"/>
      <c r="J980" s="4"/>
      <c r="K980" s="4"/>
      <c r="L980" s="4"/>
      <c r="M980" s="4"/>
      <c r="N980" s="4"/>
      <c r="O980" s="4"/>
      <c r="P980" s="4"/>
      <c r="Q980" s="4"/>
      <c r="R980" s="4"/>
      <c r="S980" s="4"/>
      <c r="T980" s="4"/>
      <c r="U980" s="4"/>
      <c r="V980" s="4"/>
      <c r="W980" s="4"/>
      <c r="X980" s="4"/>
      <c r="Y980" s="4"/>
      <c r="Z980" s="4"/>
      <c r="AA980" s="4"/>
      <c r="AB980" s="4"/>
    </row>
    <row r="981" spans="1:28" ht="12.75" hidden="1">
      <c r="A981" s="4"/>
      <c r="B981" s="4"/>
      <c r="C981" s="4"/>
      <c r="D981" s="15"/>
      <c r="E981" s="4"/>
      <c r="F981" s="4"/>
      <c r="G981" s="4"/>
      <c r="H981" s="4"/>
      <c r="I981" s="4"/>
      <c r="J981" s="4"/>
      <c r="K981" s="4"/>
      <c r="L981" s="4"/>
      <c r="M981" s="4"/>
      <c r="N981" s="4"/>
      <c r="O981" s="4"/>
      <c r="P981" s="4"/>
      <c r="Q981" s="4"/>
      <c r="R981" s="4"/>
      <c r="S981" s="4"/>
      <c r="T981" s="4"/>
      <c r="U981" s="4"/>
      <c r="V981" s="4"/>
      <c r="W981" s="4"/>
      <c r="X981" s="4"/>
      <c r="Y981" s="4"/>
      <c r="Z981" s="4"/>
      <c r="AA981" s="4"/>
      <c r="AB981" s="4"/>
    </row>
    <row r="982" spans="1:28" ht="12.75" hidden="1">
      <c r="A982" s="4"/>
      <c r="B982" s="4"/>
      <c r="C982" s="4"/>
      <c r="D982" s="15"/>
      <c r="E982" s="4"/>
      <c r="F982" s="4"/>
      <c r="G982" s="4"/>
      <c r="H982" s="4"/>
      <c r="I982" s="4"/>
      <c r="J982" s="4"/>
      <c r="K982" s="4"/>
      <c r="L982" s="4"/>
      <c r="M982" s="4"/>
      <c r="N982" s="4"/>
      <c r="O982" s="4"/>
      <c r="P982" s="4"/>
      <c r="Q982" s="4"/>
      <c r="R982" s="4"/>
      <c r="S982" s="4"/>
      <c r="T982" s="4"/>
      <c r="U982" s="4"/>
      <c r="V982" s="4"/>
      <c r="W982" s="4"/>
      <c r="X982" s="4"/>
      <c r="Y982" s="4"/>
      <c r="Z982" s="4"/>
      <c r="AA982" s="4"/>
      <c r="AB982" s="4"/>
    </row>
    <row r="983" spans="1:28" ht="12.75" hidden="1">
      <c r="A983" s="4"/>
      <c r="B983" s="4"/>
      <c r="C983" s="4"/>
      <c r="D983" s="15"/>
      <c r="E983" s="4"/>
      <c r="F983" s="4"/>
      <c r="G983" s="4"/>
      <c r="H983" s="4"/>
      <c r="I983" s="4"/>
      <c r="J983" s="4"/>
      <c r="K983" s="4"/>
      <c r="L983" s="4"/>
      <c r="M983" s="4"/>
      <c r="N983" s="4"/>
      <c r="O983" s="4"/>
      <c r="P983" s="4"/>
      <c r="Q983" s="4"/>
      <c r="R983" s="4"/>
      <c r="S983" s="4"/>
      <c r="T983" s="4"/>
      <c r="U983" s="4"/>
      <c r="V983" s="4"/>
      <c r="W983" s="4"/>
      <c r="X983" s="4"/>
      <c r="Y983" s="4"/>
      <c r="Z983" s="4"/>
      <c r="AA983" s="4"/>
      <c r="AB983" s="4"/>
    </row>
    <row r="984" spans="1:28" ht="12.75" hidden="1">
      <c r="A984" s="4"/>
      <c r="B984" s="4"/>
      <c r="C984" s="4"/>
      <c r="D984" s="15"/>
      <c r="E984" s="4"/>
      <c r="F984" s="4"/>
      <c r="G984" s="4"/>
      <c r="H984" s="4"/>
      <c r="I984" s="4"/>
      <c r="J984" s="4"/>
      <c r="K984" s="4"/>
      <c r="L984" s="4"/>
      <c r="M984" s="4"/>
      <c r="N984" s="4"/>
      <c r="O984" s="4"/>
      <c r="P984" s="4"/>
      <c r="Q984" s="4"/>
      <c r="R984" s="4"/>
      <c r="S984" s="4"/>
      <c r="T984" s="4"/>
      <c r="U984" s="4"/>
      <c r="V984" s="4"/>
      <c r="W984" s="4"/>
      <c r="X984" s="4"/>
      <c r="Y984" s="4"/>
      <c r="Z984" s="4"/>
      <c r="AA984" s="4"/>
      <c r="AB984" s="4"/>
    </row>
    <row r="985" spans="1:28" ht="12.75" hidden="1">
      <c r="A985" s="4"/>
      <c r="B985" s="4"/>
      <c r="C985" s="4"/>
      <c r="D985" s="15"/>
      <c r="E985" s="4"/>
      <c r="F985" s="4"/>
      <c r="G985" s="4"/>
      <c r="H985" s="4"/>
      <c r="I985" s="4"/>
      <c r="J985" s="4"/>
      <c r="K985" s="4"/>
      <c r="L985" s="4"/>
      <c r="M985" s="4"/>
      <c r="N985" s="4"/>
      <c r="O985" s="4"/>
      <c r="P985" s="4"/>
      <c r="Q985" s="4"/>
      <c r="R985" s="4"/>
      <c r="S985" s="4"/>
      <c r="T985" s="4"/>
      <c r="U985" s="4"/>
      <c r="V985" s="4"/>
      <c r="W985" s="4"/>
      <c r="X985" s="4"/>
      <c r="Y985" s="4"/>
      <c r="Z985" s="4"/>
      <c r="AA985" s="4"/>
      <c r="AB985" s="4"/>
    </row>
    <row r="986" spans="1:28" ht="12.75" hidden="1">
      <c r="A986" s="4"/>
      <c r="B986" s="4"/>
      <c r="C986" s="4"/>
      <c r="D986" s="15"/>
      <c r="E986" s="4"/>
      <c r="F986" s="4"/>
      <c r="G986" s="4"/>
      <c r="H986" s="4"/>
      <c r="I986" s="4"/>
      <c r="J986" s="4"/>
      <c r="K986" s="4"/>
      <c r="L986" s="4"/>
      <c r="M986" s="4"/>
      <c r="N986" s="4"/>
      <c r="O986" s="4"/>
      <c r="P986" s="4"/>
      <c r="Q986" s="4"/>
      <c r="R986" s="4"/>
      <c r="S986" s="4"/>
      <c r="T986" s="4"/>
      <c r="U986" s="4"/>
      <c r="V986" s="4"/>
      <c r="W986" s="4"/>
      <c r="X986" s="4"/>
      <c r="Y986" s="4"/>
      <c r="Z986" s="4"/>
      <c r="AA986" s="4"/>
      <c r="AB986" s="4"/>
    </row>
    <row r="987" spans="1:28" ht="12.75" hidden="1">
      <c r="A987" s="4"/>
      <c r="B987" s="4"/>
      <c r="C987" s="4"/>
      <c r="D987" s="15"/>
      <c r="E987" s="4"/>
      <c r="F987" s="4"/>
      <c r="G987" s="4"/>
      <c r="H987" s="4"/>
      <c r="I987" s="4"/>
      <c r="J987" s="4"/>
      <c r="K987" s="4"/>
      <c r="L987" s="4"/>
      <c r="M987" s="4"/>
      <c r="N987" s="4"/>
      <c r="O987" s="4"/>
      <c r="P987" s="4"/>
      <c r="Q987" s="4"/>
      <c r="R987" s="4"/>
      <c r="S987" s="4"/>
      <c r="T987" s="4"/>
      <c r="U987" s="4"/>
      <c r="V987" s="4"/>
      <c r="W987" s="4"/>
      <c r="X987" s="4"/>
      <c r="Y987" s="4"/>
      <c r="Z987" s="4"/>
      <c r="AA987" s="4"/>
      <c r="AB987" s="4"/>
    </row>
    <row r="988" spans="1:28" ht="12.75" hidden="1">
      <c r="A988" s="4"/>
      <c r="B988" s="4"/>
      <c r="C988" s="4"/>
      <c r="D988" s="15"/>
      <c r="E988" s="4"/>
      <c r="F988" s="4"/>
      <c r="G988" s="4"/>
      <c r="H988" s="4"/>
      <c r="I988" s="4"/>
      <c r="J988" s="4"/>
      <c r="K988" s="4"/>
      <c r="L988" s="4"/>
      <c r="M988" s="4"/>
      <c r="N988" s="4"/>
      <c r="O988" s="4"/>
      <c r="P988" s="4"/>
      <c r="Q988" s="4"/>
      <c r="R988" s="4"/>
      <c r="S988" s="4"/>
      <c r="T988" s="4"/>
      <c r="U988" s="4"/>
      <c r="V988" s="4"/>
      <c r="W988" s="4"/>
      <c r="X988" s="4"/>
      <c r="Y988" s="4"/>
      <c r="Z988" s="4"/>
      <c r="AA988" s="4"/>
      <c r="AB988" s="4"/>
    </row>
    <row r="989" spans="1:28" ht="12.75" hidden="1">
      <c r="A989" s="4"/>
      <c r="B989" s="4"/>
      <c r="C989" s="4"/>
      <c r="D989" s="15"/>
      <c r="E989" s="4"/>
      <c r="F989" s="4"/>
      <c r="G989" s="4"/>
      <c r="H989" s="4"/>
      <c r="I989" s="4"/>
      <c r="J989" s="4"/>
      <c r="K989" s="4"/>
      <c r="L989" s="4"/>
      <c r="M989" s="4"/>
      <c r="N989" s="4"/>
      <c r="O989" s="4"/>
      <c r="P989" s="4"/>
      <c r="Q989" s="4"/>
      <c r="R989" s="4"/>
      <c r="S989" s="4"/>
      <c r="T989" s="4"/>
      <c r="U989" s="4"/>
      <c r="V989" s="4"/>
      <c r="W989" s="4"/>
      <c r="X989" s="4"/>
      <c r="Y989" s="4"/>
      <c r="Z989" s="4"/>
      <c r="AA989" s="4"/>
      <c r="AB989" s="4"/>
    </row>
    <row r="990" spans="1:28" ht="12.75" hidden="1">
      <c r="A990" s="4"/>
      <c r="B990" s="4"/>
      <c r="C990" s="4"/>
      <c r="D990" s="15"/>
      <c r="E990" s="4"/>
      <c r="F990" s="4"/>
      <c r="G990" s="4"/>
      <c r="H990" s="4"/>
      <c r="I990" s="4"/>
      <c r="J990" s="4"/>
      <c r="K990" s="4"/>
      <c r="L990" s="4"/>
      <c r="M990" s="4"/>
      <c r="N990" s="4"/>
      <c r="O990" s="4"/>
      <c r="P990" s="4"/>
      <c r="Q990" s="4"/>
      <c r="R990" s="4"/>
      <c r="S990" s="4"/>
      <c r="T990" s="4"/>
      <c r="U990" s="4"/>
      <c r="V990" s="4"/>
      <c r="W990" s="4"/>
      <c r="X990" s="4"/>
      <c r="Y990" s="4"/>
      <c r="Z990" s="4"/>
      <c r="AA990" s="4"/>
      <c r="AB990" s="4"/>
    </row>
    <row r="991" spans="1:28" ht="12.75" hidden="1">
      <c r="A991" s="4"/>
      <c r="B991" s="4"/>
      <c r="C991" s="4"/>
      <c r="D991" s="15"/>
      <c r="E991" s="4"/>
      <c r="F991" s="4"/>
      <c r="G991" s="4"/>
      <c r="H991" s="4"/>
      <c r="I991" s="4"/>
      <c r="J991" s="4"/>
      <c r="K991" s="4"/>
      <c r="L991" s="4"/>
      <c r="M991" s="4"/>
      <c r="N991" s="4"/>
      <c r="O991" s="4"/>
      <c r="P991" s="4"/>
      <c r="Q991" s="4"/>
      <c r="R991" s="4"/>
      <c r="S991" s="4"/>
      <c r="T991" s="4"/>
      <c r="U991" s="4"/>
      <c r="V991" s="4"/>
      <c r="W991" s="4"/>
      <c r="X991" s="4"/>
      <c r="Y991" s="4"/>
      <c r="Z991" s="4"/>
      <c r="AA991" s="4"/>
      <c r="AB991" s="4"/>
    </row>
    <row r="992" spans="1:28" ht="12.75" hidden="1">
      <c r="A992" s="4"/>
      <c r="B992" s="4"/>
      <c r="C992" s="4"/>
      <c r="D992" s="15"/>
      <c r="E992" s="4"/>
      <c r="F992" s="4"/>
      <c r="G992" s="4"/>
      <c r="H992" s="4"/>
      <c r="I992" s="4"/>
      <c r="J992" s="4"/>
      <c r="K992" s="4"/>
      <c r="L992" s="4"/>
      <c r="M992" s="4"/>
      <c r="N992" s="4"/>
      <c r="O992" s="4"/>
      <c r="P992" s="4"/>
      <c r="Q992" s="4"/>
      <c r="R992" s="4"/>
      <c r="S992" s="4"/>
      <c r="T992" s="4"/>
      <c r="U992" s="4"/>
      <c r="V992" s="4"/>
      <c r="W992" s="4"/>
      <c r="X992" s="4"/>
      <c r="Y992" s="4"/>
      <c r="Z992" s="4"/>
      <c r="AA992" s="4"/>
      <c r="AB992" s="4"/>
    </row>
    <row r="993" spans="1:28" ht="12.75" hidden="1">
      <c r="A993" s="4"/>
      <c r="B993" s="4"/>
      <c r="C993" s="4"/>
      <c r="D993" s="15"/>
      <c r="E993" s="4"/>
      <c r="F993" s="4"/>
      <c r="G993" s="4"/>
      <c r="H993" s="4"/>
      <c r="I993" s="4"/>
      <c r="J993" s="4"/>
      <c r="K993" s="4"/>
      <c r="L993" s="4"/>
      <c r="M993" s="4"/>
      <c r="N993" s="4"/>
      <c r="O993" s="4"/>
      <c r="P993" s="4"/>
      <c r="Q993" s="4"/>
      <c r="R993" s="4"/>
      <c r="S993" s="4"/>
      <c r="T993" s="4"/>
      <c r="U993" s="4"/>
      <c r="V993" s="4"/>
      <c r="W993" s="4"/>
      <c r="X993" s="4"/>
      <c r="Y993" s="4"/>
      <c r="Z993" s="4"/>
      <c r="AA993" s="4"/>
      <c r="AB993" s="4"/>
    </row>
    <row r="994" spans="1:28" ht="12.75" hidden="1">
      <c r="A994" s="4"/>
      <c r="B994" s="4"/>
      <c r="C994" s="4"/>
      <c r="D994" s="15"/>
      <c r="E994" s="4"/>
      <c r="F994" s="4"/>
      <c r="G994" s="4"/>
      <c r="H994" s="4"/>
      <c r="I994" s="4"/>
      <c r="J994" s="4"/>
      <c r="K994" s="4"/>
      <c r="L994" s="4"/>
      <c r="M994" s="4"/>
      <c r="N994" s="4"/>
      <c r="O994" s="4"/>
      <c r="P994" s="4"/>
      <c r="Q994" s="4"/>
      <c r="R994" s="4"/>
      <c r="S994" s="4"/>
      <c r="T994" s="4"/>
      <c r="U994" s="4"/>
      <c r="V994" s="4"/>
      <c r="W994" s="4"/>
      <c r="X994" s="4"/>
      <c r="Y994" s="4"/>
      <c r="Z994" s="4"/>
      <c r="AA994" s="4"/>
      <c r="AB994" s="4"/>
    </row>
    <row r="995" spans="1:28" ht="12.75" hidden="1">
      <c r="A995" s="4"/>
      <c r="B995" s="4"/>
      <c r="C995" s="4"/>
      <c r="D995" s="15"/>
      <c r="E995" s="4"/>
      <c r="F995" s="4"/>
      <c r="G995" s="4"/>
      <c r="H995" s="4"/>
      <c r="I995" s="4"/>
      <c r="J995" s="4"/>
      <c r="K995" s="4"/>
      <c r="L995" s="4"/>
      <c r="M995" s="4"/>
      <c r="N995" s="4"/>
      <c r="O995" s="4"/>
      <c r="P995" s="4"/>
      <c r="Q995" s="4"/>
      <c r="R995" s="4"/>
      <c r="S995" s="4"/>
      <c r="T995" s="4"/>
      <c r="U995" s="4"/>
      <c r="V995" s="4"/>
      <c r="W995" s="4"/>
      <c r="X995" s="4"/>
      <c r="Y995" s="4"/>
      <c r="Z995" s="4"/>
      <c r="AA995" s="4"/>
      <c r="AB995" s="4"/>
    </row>
    <row r="996" spans="1:28" ht="12.75" hidden="1">
      <c r="A996" s="4"/>
      <c r="B996" s="4"/>
      <c r="C996" s="4"/>
      <c r="D996" s="15"/>
      <c r="E996" s="4"/>
      <c r="F996" s="4"/>
      <c r="G996" s="4"/>
      <c r="H996" s="4"/>
      <c r="I996" s="4"/>
      <c r="J996" s="4"/>
      <c r="K996" s="4"/>
      <c r="L996" s="4"/>
      <c r="M996" s="4"/>
      <c r="N996" s="4"/>
      <c r="O996" s="4"/>
      <c r="P996" s="4"/>
      <c r="Q996" s="4"/>
      <c r="R996" s="4"/>
      <c r="S996" s="4"/>
      <c r="T996" s="4"/>
      <c r="U996" s="4"/>
      <c r="V996" s="4"/>
      <c r="W996" s="4"/>
      <c r="X996" s="4"/>
      <c r="Y996" s="4"/>
      <c r="Z996" s="4"/>
      <c r="AA996" s="4"/>
      <c r="AB996" s="4"/>
    </row>
    <row r="997" spans="1:28" ht="12.75" hidden="1">
      <c r="A997" s="4"/>
      <c r="B997" s="4"/>
      <c r="C997" s="4"/>
      <c r="D997" s="15"/>
      <c r="E997" s="4"/>
      <c r="F997" s="4"/>
      <c r="G997" s="4"/>
      <c r="H997" s="4"/>
      <c r="I997" s="4"/>
      <c r="J997" s="4"/>
      <c r="K997" s="4"/>
      <c r="L997" s="4"/>
      <c r="M997" s="4"/>
      <c r="N997" s="4"/>
      <c r="O997" s="4"/>
      <c r="P997" s="4"/>
      <c r="Q997" s="4"/>
      <c r="R997" s="4"/>
      <c r="S997" s="4"/>
      <c r="T997" s="4"/>
      <c r="U997" s="4"/>
      <c r="V997" s="4"/>
      <c r="W997" s="4"/>
      <c r="X997" s="4"/>
      <c r="Y997" s="4"/>
      <c r="Z997" s="4"/>
      <c r="AA997" s="4"/>
      <c r="AB997" s="4"/>
    </row>
    <row r="998" spans="1:28" ht="12.75" hidden="1">
      <c r="A998" s="4"/>
      <c r="B998" s="4"/>
      <c r="C998" s="4"/>
      <c r="D998" s="15"/>
      <c r="E998" s="4"/>
      <c r="F998" s="4"/>
      <c r="G998" s="4"/>
      <c r="H998" s="4"/>
      <c r="I998" s="4"/>
      <c r="J998" s="4"/>
      <c r="K998" s="4"/>
      <c r="L998" s="4"/>
      <c r="M998" s="4"/>
      <c r="N998" s="4"/>
      <c r="O998" s="4"/>
      <c r="P998" s="4"/>
      <c r="Q998" s="4"/>
      <c r="R998" s="4"/>
      <c r="S998" s="4"/>
      <c r="T998" s="4"/>
      <c r="U998" s="4"/>
      <c r="V998" s="4"/>
      <c r="W998" s="4"/>
      <c r="X998" s="4"/>
      <c r="Y998" s="4"/>
      <c r="Z998" s="4"/>
      <c r="AA998" s="4"/>
      <c r="AB998" s="4"/>
    </row>
    <row r="999" spans="1:28" ht="12.75" hidden="1">
      <c r="A999" s="4"/>
      <c r="B999" s="4"/>
      <c r="C999" s="4"/>
      <c r="D999" s="15"/>
      <c r="E999" s="4"/>
      <c r="F999" s="4"/>
      <c r="G999" s="4"/>
      <c r="H999" s="4"/>
      <c r="I999" s="4"/>
      <c r="J999" s="4"/>
      <c r="K999" s="4"/>
      <c r="L999" s="4"/>
      <c r="M999" s="4"/>
      <c r="N999" s="4"/>
      <c r="O999" s="4"/>
      <c r="P999" s="4"/>
      <c r="Q999" s="4"/>
      <c r="R999" s="4"/>
      <c r="S999" s="4"/>
      <c r="T999" s="4"/>
      <c r="U999" s="4"/>
      <c r="V999" s="4"/>
      <c r="W999" s="4"/>
      <c r="X999" s="4"/>
      <c r="Y999" s="4"/>
      <c r="Z999" s="4"/>
      <c r="AA999" s="4"/>
      <c r="AB999" s="4"/>
    </row>
    <row r="1000" spans="1:28" ht="12.75" hidden="1">
      <c r="A1000" s="4"/>
      <c r="B1000" s="4"/>
      <c r="C1000" s="4"/>
      <c r="D1000" s="15"/>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row>
    <row r="1001" spans="1:28" ht="12.75" hidden="1">
      <c r="A1001" s="4"/>
      <c r="B1001" s="4"/>
      <c r="C1001" s="4"/>
      <c r="D1001" s="15"/>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row>
    <row r="1002" spans="1:28" ht="12.75" hidden="1">
      <c r="A1002" s="4"/>
      <c r="B1002" s="4"/>
      <c r="C1002" s="4"/>
      <c r="D1002" s="15"/>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row>
    <row r="1003" spans="1:28" ht="12.75" hidden="1">
      <c r="A1003" s="4"/>
      <c r="B1003" s="4"/>
      <c r="C1003" s="4"/>
      <c r="D1003" s="15"/>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row>
    <row r="1004" spans="1:28" ht="12.75" hidden="1">
      <c r="A1004" s="4"/>
      <c r="B1004" s="4"/>
      <c r="C1004" s="4"/>
      <c r="D1004" s="15"/>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row>
    <row r="1005" spans="1:28" ht="12.75" hidden="1">
      <c r="A1005" s="4"/>
      <c r="B1005" s="4"/>
      <c r="C1005" s="4"/>
      <c r="D1005" s="15"/>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row>
  </sheetData>
  <mergeCells count="2">
    <mergeCell ref="B2:B5"/>
    <mergeCell ref="B7:B11"/>
  </mergeCells>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tabColor rgb="FFC9DAF8"/>
    <outlinePr summaryBelow="0" summaryRight="0"/>
  </sheetPr>
  <dimension ref="A1:Z995"/>
  <sheetViews>
    <sheetView showGridLines="0" workbookViewId="0">
      <selection activeCell="C20" sqref="C20"/>
    </sheetView>
  </sheetViews>
  <sheetFormatPr defaultColWidth="14.42578125" defaultRowHeight="15.75" customHeight="1"/>
  <cols>
    <col min="1" max="1" width="10.85546875" customWidth="1"/>
    <col min="2" max="2" width="21.85546875" customWidth="1"/>
    <col min="3" max="3" width="118.7109375" customWidth="1"/>
  </cols>
  <sheetData>
    <row r="1" spans="1:26" ht="15.75" customHeight="1">
      <c r="A1" s="7"/>
      <c r="B1" s="37" t="s">
        <v>34</v>
      </c>
      <c r="C1" s="38"/>
      <c r="D1" s="4"/>
      <c r="E1" s="4"/>
      <c r="F1" s="4"/>
      <c r="G1" s="4"/>
      <c r="H1" s="4"/>
      <c r="I1" s="4"/>
      <c r="J1" s="4"/>
      <c r="K1" s="4"/>
      <c r="L1" s="4"/>
      <c r="M1" s="4"/>
      <c r="N1" s="4"/>
      <c r="O1" s="4"/>
      <c r="P1" s="4"/>
      <c r="Q1" s="4"/>
      <c r="R1" s="4"/>
      <c r="S1" s="4"/>
      <c r="T1" s="4"/>
      <c r="U1" s="4"/>
      <c r="V1" s="4"/>
      <c r="W1" s="4"/>
      <c r="X1" s="4"/>
      <c r="Y1" s="4"/>
      <c r="Z1" s="4"/>
    </row>
    <row r="2" spans="1:26" ht="12.75">
      <c r="A2" s="8"/>
      <c r="B2" s="4"/>
      <c r="C2" s="4"/>
      <c r="D2" s="4"/>
      <c r="E2" s="4"/>
      <c r="F2" s="4"/>
      <c r="G2" s="4"/>
      <c r="H2" s="4"/>
      <c r="I2" s="4"/>
      <c r="J2" s="4"/>
      <c r="K2" s="4"/>
      <c r="L2" s="4"/>
      <c r="M2" s="4"/>
      <c r="N2" s="4"/>
      <c r="O2" s="4"/>
      <c r="P2" s="4"/>
      <c r="Q2" s="4"/>
      <c r="R2" s="4"/>
      <c r="S2" s="4"/>
      <c r="T2" s="4"/>
      <c r="U2" s="4"/>
      <c r="V2" s="4"/>
      <c r="W2" s="4"/>
      <c r="X2" s="4"/>
      <c r="Y2" s="4"/>
      <c r="Z2" s="4"/>
    </row>
    <row r="3" spans="1:26" ht="12.75">
      <c r="A3" s="4"/>
      <c r="B3" s="4"/>
      <c r="C3" s="15"/>
      <c r="D3" s="4"/>
      <c r="E3" s="4"/>
      <c r="F3" s="4"/>
      <c r="G3" s="4"/>
      <c r="H3" s="4"/>
      <c r="I3" s="4"/>
      <c r="J3" s="4"/>
      <c r="K3" s="4"/>
      <c r="L3" s="4"/>
      <c r="M3" s="4"/>
      <c r="N3" s="4"/>
      <c r="O3" s="4"/>
      <c r="P3" s="4"/>
      <c r="Q3" s="4"/>
      <c r="R3" s="4"/>
      <c r="S3" s="4"/>
      <c r="T3" s="4"/>
      <c r="U3" s="4"/>
      <c r="V3" s="4"/>
      <c r="W3" s="4"/>
      <c r="X3" s="4"/>
      <c r="Y3" s="4"/>
      <c r="Z3" s="4"/>
    </row>
    <row r="4" spans="1:26" ht="12.75">
      <c r="A4" s="4"/>
      <c r="B4" s="4"/>
      <c r="C4" s="15"/>
      <c r="D4" s="4"/>
      <c r="E4" s="4"/>
      <c r="F4" s="4"/>
      <c r="G4" s="4"/>
      <c r="H4" s="4"/>
      <c r="I4" s="4"/>
      <c r="J4" s="4"/>
      <c r="K4" s="4"/>
      <c r="L4" s="4"/>
      <c r="M4" s="4"/>
      <c r="N4" s="4"/>
      <c r="O4" s="4"/>
      <c r="P4" s="4"/>
      <c r="Q4" s="4"/>
      <c r="R4" s="4"/>
      <c r="S4" s="4"/>
      <c r="T4" s="4"/>
      <c r="U4" s="4"/>
      <c r="V4" s="4"/>
      <c r="W4" s="4"/>
      <c r="X4" s="4"/>
      <c r="Y4" s="4"/>
      <c r="Z4" s="4"/>
    </row>
    <row r="5" spans="1:26" ht="12.75">
      <c r="A5" s="4"/>
      <c r="B5" s="4" t="s">
        <v>168</v>
      </c>
      <c r="C5" s="15"/>
      <c r="D5" s="4"/>
      <c r="E5" s="4"/>
      <c r="F5" s="4"/>
      <c r="G5" s="4"/>
      <c r="H5" s="4"/>
      <c r="I5" s="4"/>
      <c r="J5" s="4"/>
      <c r="K5" s="4"/>
      <c r="L5" s="4"/>
      <c r="M5" s="4"/>
      <c r="N5" s="4"/>
      <c r="O5" s="4"/>
      <c r="P5" s="4"/>
      <c r="Q5" s="4"/>
      <c r="R5" s="4"/>
      <c r="S5" s="4"/>
      <c r="T5" s="4"/>
      <c r="U5" s="4"/>
      <c r="V5" s="4"/>
      <c r="W5" s="4"/>
      <c r="X5" s="4"/>
      <c r="Y5" s="4"/>
      <c r="Z5" s="4"/>
    </row>
    <row r="6" spans="1:26" ht="12.75">
      <c r="A6" s="4"/>
      <c r="B6" s="4"/>
      <c r="C6" s="15"/>
      <c r="D6" s="4"/>
      <c r="E6" s="4"/>
      <c r="F6" s="4"/>
      <c r="G6" s="4"/>
      <c r="H6" s="4"/>
      <c r="I6" s="4"/>
      <c r="J6" s="4"/>
      <c r="K6" s="4"/>
      <c r="L6" s="4"/>
      <c r="M6" s="4"/>
      <c r="N6" s="4"/>
      <c r="O6" s="4"/>
      <c r="P6" s="4"/>
      <c r="Q6" s="4"/>
      <c r="R6" s="4"/>
      <c r="S6" s="4"/>
      <c r="T6" s="4"/>
      <c r="U6" s="4"/>
      <c r="V6" s="4"/>
      <c r="W6" s="4"/>
      <c r="X6" s="4"/>
      <c r="Y6" s="4"/>
      <c r="Z6" s="4"/>
    </row>
    <row r="7" spans="1:26" ht="12.75">
      <c r="A7" s="16"/>
      <c r="C7" s="17"/>
      <c r="D7" s="4"/>
      <c r="E7" s="4"/>
      <c r="F7" s="4"/>
      <c r="G7" s="4"/>
      <c r="H7" s="4"/>
      <c r="I7" s="4"/>
      <c r="J7" s="4"/>
      <c r="K7" s="4"/>
      <c r="L7" s="4"/>
      <c r="M7" s="4"/>
      <c r="N7" s="4"/>
      <c r="O7" s="4"/>
      <c r="P7" s="4"/>
      <c r="Q7" s="4"/>
      <c r="R7" s="4"/>
      <c r="S7" s="4"/>
      <c r="T7" s="4"/>
      <c r="U7" s="4"/>
      <c r="V7" s="4"/>
      <c r="W7" s="4"/>
      <c r="X7" s="4"/>
      <c r="Y7" s="4"/>
      <c r="Z7" s="4"/>
    </row>
    <row r="8" spans="1:26" ht="12.75">
      <c r="A8" s="4"/>
      <c r="B8" s="4"/>
      <c r="C8" s="15"/>
      <c r="D8" s="4"/>
      <c r="E8" s="4"/>
      <c r="F8" s="4"/>
      <c r="G8" s="4"/>
      <c r="H8" s="4"/>
      <c r="I8" s="4"/>
      <c r="J8" s="4"/>
      <c r="K8" s="4"/>
      <c r="L8" s="4"/>
      <c r="M8" s="4"/>
      <c r="N8" s="4"/>
      <c r="O8" s="4"/>
      <c r="P8" s="4"/>
      <c r="Q8" s="4"/>
      <c r="R8" s="4"/>
      <c r="S8" s="4"/>
      <c r="T8" s="4"/>
      <c r="U8" s="4"/>
      <c r="V8" s="4"/>
      <c r="W8" s="4"/>
      <c r="X8" s="4"/>
      <c r="Y8" s="4"/>
      <c r="Z8" s="4"/>
    </row>
    <row r="9" spans="1:26" ht="12.75">
      <c r="A9" s="4"/>
      <c r="B9" s="4"/>
      <c r="C9" s="4"/>
      <c r="D9" s="4"/>
      <c r="E9" s="4"/>
      <c r="F9" s="4"/>
      <c r="G9" s="4"/>
      <c r="H9" s="4"/>
      <c r="I9" s="4"/>
      <c r="J9" s="4"/>
      <c r="K9" s="4"/>
      <c r="L9" s="4"/>
      <c r="M9" s="4"/>
      <c r="N9" s="4"/>
      <c r="O9" s="4"/>
      <c r="P9" s="4"/>
      <c r="Q9" s="4"/>
      <c r="R9" s="4"/>
      <c r="S9" s="4"/>
      <c r="T9" s="4"/>
      <c r="U9" s="4"/>
      <c r="V9" s="4"/>
      <c r="W9" s="4"/>
      <c r="X9" s="4"/>
      <c r="Y9" s="4"/>
      <c r="Z9" s="4"/>
    </row>
    <row r="10" spans="1:26" ht="12.75">
      <c r="A10" s="4"/>
      <c r="B10" s="4"/>
      <c r="C10" s="15"/>
      <c r="D10" s="4"/>
      <c r="E10" s="4"/>
      <c r="F10" s="4"/>
      <c r="G10" s="4"/>
      <c r="H10" s="4"/>
      <c r="I10" s="4"/>
      <c r="J10" s="4"/>
      <c r="K10" s="4"/>
      <c r="L10" s="4"/>
      <c r="M10" s="4"/>
      <c r="N10" s="4"/>
      <c r="O10" s="4"/>
      <c r="P10" s="4"/>
      <c r="Q10" s="4"/>
      <c r="R10" s="4"/>
      <c r="S10" s="4"/>
      <c r="T10" s="4"/>
      <c r="U10" s="4"/>
      <c r="V10" s="4"/>
      <c r="W10" s="4"/>
      <c r="X10" s="4"/>
      <c r="Y10" s="4"/>
      <c r="Z10" s="4"/>
    </row>
    <row r="11" spans="1:26" ht="12.75">
      <c r="A11" s="4"/>
      <c r="B11" s="4"/>
      <c r="C11" s="15"/>
      <c r="D11" s="4"/>
      <c r="E11" s="4"/>
      <c r="F11" s="4"/>
      <c r="G11" s="4"/>
      <c r="H11" s="4"/>
      <c r="I11" s="4"/>
      <c r="J11" s="4"/>
      <c r="K11" s="4"/>
      <c r="L11" s="4"/>
      <c r="M11" s="4"/>
      <c r="N11" s="4"/>
      <c r="O11" s="4"/>
      <c r="P11" s="4"/>
      <c r="Q11" s="4"/>
      <c r="R11" s="4"/>
      <c r="S11" s="4"/>
      <c r="T11" s="4"/>
      <c r="U11" s="4"/>
      <c r="V11" s="4"/>
      <c r="W11" s="4"/>
      <c r="X11" s="4"/>
      <c r="Y11" s="4"/>
      <c r="Z11" s="4"/>
    </row>
    <row r="12" spans="1:26" ht="12.75">
      <c r="A12" s="4"/>
      <c r="B12" s="4"/>
      <c r="C12" s="15"/>
      <c r="D12" s="4"/>
      <c r="E12" s="4"/>
      <c r="F12" s="4"/>
      <c r="G12" s="4"/>
      <c r="H12" s="4"/>
      <c r="I12" s="4"/>
      <c r="J12" s="4"/>
      <c r="K12" s="4"/>
      <c r="L12" s="4"/>
      <c r="M12" s="4"/>
      <c r="N12" s="4"/>
      <c r="O12" s="4"/>
      <c r="P12" s="4"/>
      <c r="Q12" s="4"/>
      <c r="R12" s="4"/>
      <c r="S12" s="4"/>
      <c r="T12" s="4"/>
      <c r="U12" s="4"/>
      <c r="V12" s="4"/>
      <c r="W12" s="4"/>
      <c r="X12" s="4"/>
      <c r="Y12" s="4"/>
      <c r="Z12" s="4"/>
    </row>
    <row r="13" spans="1:26" ht="12.75">
      <c r="A13" s="4"/>
      <c r="B13" s="4"/>
      <c r="C13" s="15"/>
      <c r="D13" s="4"/>
      <c r="E13" s="4"/>
      <c r="F13" s="4"/>
      <c r="G13" s="4"/>
      <c r="H13" s="4"/>
      <c r="I13" s="4"/>
      <c r="J13" s="4"/>
      <c r="K13" s="4"/>
      <c r="L13" s="4"/>
      <c r="M13" s="4"/>
      <c r="N13" s="4"/>
      <c r="O13" s="4"/>
      <c r="P13" s="4"/>
      <c r="Q13" s="4"/>
      <c r="R13" s="4"/>
      <c r="S13" s="4"/>
      <c r="T13" s="4"/>
      <c r="U13" s="4"/>
      <c r="V13" s="4"/>
      <c r="W13" s="4"/>
      <c r="X13" s="4"/>
      <c r="Y13" s="4"/>
      <c r="Z13" s="4"/>
    </row>
    <row r="14" spans="1:26" ht="12.75">
      <c r="A14" s="4"/>
      <c r="B14" s="4"/>
      <c r="C14" s="15"/>
      <c r="D14" s="4"/>
      <c r="E14" s="4"/>
      <c r="F14" s="4"/>
      <c r="G14" s="4"/>
      <c r="H14" s="4"/>
      <c r="I14" s="4"/>
      <c r="J14" s="4"/>
      <c r="K14" s="4"/>
      <c r="L14" s="4"/>
      <c r="M14" s="4"/>
      <c r="N14" s="4"/>
      <c r="O14" s="4"/>
      <c r="P14" s="4"/>
      <c r="Q14" s="4"/>
      <c r="R14" s="4"/>
      <c r="S14" s="4"/>
      <c r="T14" s="4"/>
      <c r="U14" s="4"/>
      <c r="V14" s="4"/>
      <c r="W14" s="4"/>
      <c r="X14" s="4"/>
      <c r="Y14" s="4"/>
      <c r="Z14" s="4"/>
    </row>
    <row r="15" spans="1:26" ht="12.75">
      <c r="A15" s="4"/>
      <c r="B15" s="4"/>
      <c r="C15" s="15"/>
      <c r="D15" s="4"/>
      <c r="E15" s="4"/>
      <c r="F15" s="4"/>
      <c r="G15" s="4"/>
      <c r="H15" s="4"/>
      <c r="I15" s="4"/>
      <c r="J15" s="4"/>
      <c r="K15" s="4"/>
      <c r="L15" s="4"/>
      <c r="M15" s="4"/>
      <c r="N15" s="4"/>
      <c r="O15" s="4"/>
      <c r="P15" s="4"/>
      <c r="Q15" s="4"/>
      <c r="R15" s="4"/>
      <c r="S15" s="4"/>
      <c r="T15" s="4"/>
      <c r="U15" s="4"/>
      <c r="V15" s="4"/>
      <c r="W15" s="4"/>
      <c r="X15" s="4"/>
      <c r="Y15" s="4"/>
      <c r="Z15" s="4"/>
    </row>
    <row r="16" spans="1:26" ht="12.75">
      <c r="A16" s="4"/>
      <c r="B16" s="4"/>
      <c r="C16" s="15"/>
      <c r="D16" s="4"/>
      <c r="E16" s="4"/>
      <c r="F16" s="4"/>
      <c r="G16" s="4"/>
      <c r="H16" s="4"/>
      <c r="I16" s="4"/>
      <c r="J16" s="4"/>
      <c r="K16" s="4"/>
      <c r="L16" s="4"/>
      <c r="M16" s="4"/>
      <c r="N16" s="4"/>
      <c r="O16" s="4"/>
      <c r="P16" s="4"/>
      <c r="Q16" s="4"/>
      <c r="R16" s="4"/>
      <c r="S16" s="4"/>
      <c r="T16" s="4"/>
      <c r="U16" s="4"/>
      <c r="V16" s="4"/>
      <c r="W16" s="4"/>
      <c r="X16" s="4"/>
      <c r="Y16" s="4"/>
      <c r="Z16" s="4"/>
    </row>
    <row r="17" spans="1:26" ht="12.75">
      <c r="A17" s="4"/>
      <c r="B17" s="4"/>
      <c r="C17" s="15"/>
      <c r="D17" s="4"/>
      <c r="E17" s="4"/>
      <c r="F17" s="4"/>
      <c r="G17" s="4"/>
      <c r="H17" s="4"/>
      <c r="I17" s="4"/>
      <c r="J17" s="4"/>
      <c r="K17" s="4"/>
      <c r="L17" s="4"/>
      <c r="M17" s="4"/>
      <c r="N17" s="4"/>
      <c r="O17" s="4"/>
      <c r="P17" s="4"/>
      <c r="Q17" s="4"/>
      <c r="R17" s="4"/>
      <c r="S17" s="4"/>
      <c r="T17" s="4"/>
      <c r="U17" s="4"/>
      <c r="V17" s="4"/>
      <c r="W17" s="4"/>
      <c r="X17" s="4"/>
      <c r="Y17" s="4"/>
      <c r="Z17" s="4"/>
    </row>
    <row r="18" spans="1:26" ht="12.75">
      <c r="A18" s="4"/>
      <c r="B18" s="4"/>
      <c r="C18" s="15"/>
      <c r="D18" s="4"/>
      <c r="E18" s="4"/>
      <c r="F18" s="4"/>
      <c r="G18" s="4"/>
      <c r="H18" s="4"/>
      <c r="I18" s="4"/>
      <c r="J18" s="4"/>
      <c r="K18" s="4"/>
      <c r="L18" s="4"/>
      <c r="M18" s="4"/>
      <c r="N18" s="4"/>
      <c r="O18" s="4"/>
      <c r="P18" s="4"/>
      <c r="Q18" s="4"/>
      <c r="R18" s="4"/>
      <c r="S18" s="4"/>
      <c r="T18" s="4"/>
      <c r="U18" s="4"/>
      <c r="V18" s="4"/>
      <c r="W18" s="4"/>
      <c r="X18" s="4"/>
      <c r="Y18" s="4"/>
      <c r="Z18" s="4"/>
    </row>
    <row r="19" spans="1:26" ht="12.75">
      <c r="A19" s="4"/>
      <c r="B19" s="4"/>
      <c r="C19" s="15"/>
      <c r="D19" s="4"/>
      <c r="E19" s="4"/>
      <c r="F19" s="4"/>
      <c r="G19" s="4"/>
      <c r="H19" s="4"/>
      <c r="I19" s="4"/>
      <c r="J19" s="4"/>
      <c r="K19" s="4"/>
      <c r="L19" s="4"/>
      <c r="M19" s="4"/>
      <c r="N19" s="4"/>
      <c r="O19" s="4"/>
      <c r="P19" s="4"/>
      <c r="Q19" s="4"/>
      <c r="R19" s="4"/>
      <c r="S19" s="4"/>
      <c r="T19" s="4"/>
      <c r="U19" s="4"/>
      <c r="V19" s="4"/>
      <c r="W19" s="4"/>
      <c r="X19" s="4"/>
      <c r="Y19" s="4"/>
      <c r="Z19" s="4"/>
    </row>
    <row r="20" spans="1:26" ht="12.75">
      <c r="A20" s="4"/>
      <c r="B20" s="4"/>
      <c r="C20" s="15"/>
      <c r="D20" s="4"/>
      <c r="E20" s="4"/>
      <c r="F20" s="4"/>
      <c r="G20" s="4"/>
      <c r="H20" s="4"/>
      <c r="I20" s="4"/>
      <c r="J20" s="4"/>
      <c r="K20" s="4"/>
      <c r="L20" s="4"/>
      <c r="M20" s="4"/>
      <c r="N20" s="4"/>
      <c r="O20" s="4"/>
      <c r="P20" s="4"/>
      <c r="Q20" s="4"/>
      <c r="R20" s="4"/>
      <c r="S20" s="4"/>
      <c r="T20" s="4"/>
      <c r="U20" s="4"/>
      <c r="V20" s="4"/>
      <c r="W20" s="4"/>
      <c r="X20" s="4"/>
      <c r="Y20" s="4"/>
      <c r="Z20" s="4"/>
    </row>
    <row r="21" spans="1:26" ht="12.75">
      <c r="A21" s="4"/>
      <c r="B21" s="4"/>
      <c r="C21" s="15"/>
      <c r="D21" s="4"/>
      <c r="E21" s="4"/>
      <c r="F21" s="4"/>
      <c r="G21" s="4"/>
      <c r="H21" s="4"/>
      <c r="I21" s="4"/>
      <c r="J21" s="4"/>
      <c r="K21" s="4"/>
      <c r="L21" s="4"/>
      <c r="M21" s="4"/>
      <c r="N21" s="4"/>
      <c r="O21" s="4"/>
      <c r="P21" s="4"/>
      <c r="Q21" s="4"/>
      <c r="R21" s="4"/>
      <c r="S21" s="4"/>
      <c r="T21" s="4"/>
      <c r="U21" s="4"/>
      <c r="V21" s="4"/>
      <c r="W21" s="4"/>
      <c r="X21" s="4"/>
      <c r="Y21" s="4"/>
      <c r="Z21" s="4"/>
    </row>
    <row r="22" spans="1:26" ht="12.75">
      <c r="A22" s="4"/>
      <c r="B22" s="4"/>
      <c r="C22" s="15"/>
      <c r="D22" s="4"/>
      <c r="E22" s="4"/>
      <c r="F22" s="4"/>
      <c r="G22" s="4"/>
      <c r="H22" s="4"/>
      <c r="I22" s="4"/>
      <c r="J22" s="4"/>
      <c r="K22" s="4"/>
      <c r="L22" s="4"/>
      <c r="M22" s="4"/>
      <c r="N22" s="4"/>
      <c r="O22" s="4"/>
      <c r="P22" s="4"/>
      <c r="Q22" s="4"/>
      <c r="R22" s="4"/>
      <c r="S22" s="4"/>
      <c r="T22" s="4"/>
      <c r="U22" s="4"/>
      <c r="V22" s="4"/>
      <c r="W22" s="4"/>
      <c r="X22" s="4"/>
      <c r="Y22" s="4"/>
      <c r="Z22" s="4"/>
    </row>
    <row r="23" spans="1:26" ht="12.75">
      <c r="A23" s="4"/>
      <c r="B23" s="4"/>
      <c r="C23" s="15"/>
      <c r="D23" s="4"/>
      <c r="E23" s="4"/>
      <c r="F23" s="4"/>
      <c r="G23" s="4"/>
      <c r="H23" s="4"/>
      <c r="I23" s="4"/>
      <c r="J23" s="4"/>
      <c r="K23" s="4"/>
      <c r="L23" s="4"/>
      <c r="M23" s="4"/>
      <c r="N23" s="4"/>
      <c r="O23" s="4"/>
      <c r="P23" s="4"/>
      <c r="Q23" s="4"/>
      <c r="R23" s="4"/>
      <c r="S23" s="4"/>
      <c r="T23" s="4"/>
      <c r="U23" s="4"/>
      <c r="V23" s="4"/>
      <c r="W23" s="4"/>
      <c r="X23" s="4"/>
      <c r="Y23" s="4"/>
      <c r="Z23" s="4"/>
    </row>
    <row r="24" spans="1:26" ht="12.75">
      <c r="A24" s="4"/>
      <c r="B24" s="4"/>
      <c r="C24" s="15"/>
      <c r="D24" s="4"/>
      <c r="E24" s="4"/>
      <c r="F24" s="4"/>
      <c r="G24" s="4"/>
      <c r="H24" s="4"/>
      <c r="I24" s="4"/>
      <c r="J24" s="4"/>
      <c r="K24" s="4"/>
      <c r="L24" s="4"/>
      <c r="M24" s="4"/>
      <c r="N24" s="4"/>
      <c r="O24" s="4"/>
      <c r="P24" s="4"/>
      <c r="Q24" s="4"/>
      <c r="R24" s="4"/>
      <c r="S24" s="4"/>
      <c r="T24" s="4"/>
      <c r="U24" s="4"/>
      <c r="V24" s="4"/>
      <c r="W24" s="4"/>
      <c r="X24" s="4"/>
      <c r="Y24" s="4"/>
      <c r="Z24" s="4"/>
    </row>
    <row r="25" spans="1:26" ht="12.75">
      <c r="A25" s="4"/>
      <c r="B25" s="4"/>
      <c r="C25" s="15"/>
      <c r="D25" s="4"/>
      <c r="E25" s="4"/>
      <c r="F25" s="4"/>
      <c r="G25" s="4"/>
      <c r="H25" s="4"/>
      <c r="I25" s="4"/>
      <c r="J25" s="4"/>
      <c r="K25" s="4"/>
      <c r="L25" s="4"/>
      <c r="M25" s="4"/>
      <c r="N25" s="4"/>
      <c r="O25" s="4"/>
      <c r="P25" s="4"/>
      <c r="Q25" s="4"/>
      <c r="R25" s="4"/>
      <c r="S25" s="4"/>
      <c r="T25" s="4"/>
      <c r="U25" s="4"/>
      <c r="V25" s="4"/>
      <c r="W25" s="4"/>
      <c r="X25" s="4"/>
      <c r="Y25" s="4"/>
      <c r="Z25" s="4"/>
    </row>
    <row r="26" spans="1:26" ht="12.75">
      <c r="A26" s="4"/>
      <c r="B26" s="4"/>
      <c r="C26" s="15"/>
      <c r="D26" s="4"/>
      <c r="E26" s="4"/>
      <c r="F26" s="4"/>
      <c r="G26" s="4"/>
      <c r="H26" s="4"/>
      <c r="I26" s="4"/>
      <c r="J26" s="4"/>
      <c r="K26" s="4"/>
      <c r="L26" s="4"/>
      <c r="M26" s="4"/>
      <c r="N26" s="4"/>
      <c r="O26" s="4"/>
      <c r="P26" s="4"/>
      <c r="Q26" s="4"/>
      <c r="R26" s="4"/>
      <c r="S26" s="4"/>
      <c r="T26" s="4"/>
      <c r="U26" s="4"/>
      <c r="V26" s="4"/>
      <c r="W26" s="4"/>
      <c r="X26" s="4"/>
      <c r="Y26" s="4"/>
      <c r="Z26" s="4"/>
    </row>
    <row r="27" spans="1:26" ht="12.75">
      <c r="A27" s="4"/>
      <c r="B27" s="4"/>
      <c r="C27" s="15"/>
      <c r="D27" s="4"/>
      <c r="E27" s="4"/>
      <c r="F27" s="4"/>
      <c r="G27" s="4"/>
      <c r="H27" s="4"/>
      <c r="I27" s="4"/>
      <c r="J27" s="4"/>
      <c r="K27" s="4"/>
      <c r="L27" s="4"/>
      <c r="M27" s="4"/>
      <c r="N27" s="4"/>
      <c r="O27" s="4"/>
      <c r="P27" s="4"/>
      <c r="Q27" s="4"/>
      <c r="R27" s="4"/>
      <c r="S27" s="4"/>
      <c r="T27" s="4"/>
      <c r="U27" s="4"/>
      <c r="V27" s="4"/>
      <c r="W27" s="4"/>
      <c r="X27" s="4"/>
      <c r="Y27" s="4"/>
      <c r="Z27" s="4"/>
    </row>
    <row r="28" spans="1:26" ht="12.75">
      <c r="A28" s="4"/>
      <c r="B28" s="4"/>
      <c r="C28" s="15"/>
      <c r="D28" s="4"/>
      <c r="E28" s="4"/>
      <c r="F28" s="4"/>
      <c r="G28" s="4"/>
      <c r="H28" s="4"/>
      <c r="I28" s="4"/>
      <c r="J28" s="4"/>
      <c r="K28" s="4"/>
      <c r="L28" s="4"/>
      <c r="M28" s="4"/>
      <c r="N28" s="4"/>
      <c r="O28" s="4"/>
      <c r="P28" s="4"/>
      <c r="Q28" s="4"/>
      <c r="R28" s="4"/>
      <c r="S28" s="4"/>
      <c r="T28" s="4"/>
      <c r="U28" s="4"/>
      <c r="V28" s="4"/>
      <c r="W28" s="4"/>
      <c r="X28" s="4"/>
      <c r="Y28" s="4"/>
      <c r="Z28" s="4"/>
    </row>
    <row r="29" spans="1:26" ht="12.75">
      <c r="A29" s="4"/>
      <c r="B29" s="4"/>
      <c r="C29" s="15"/>
      <c r="D29" s="4"/>
      <c r="E29" s="4"/>
      <c r="F29" s="4"/>
      <c r="G29" s="4"/>
      <c r="H29" s="4"/>
      <c r="I29" s="4"/>
      <c r="J29" s="4"/>
      <c r="K29" s="4"/>
      <c r="L29" s="4"/>
      <c r="M29" s="4"/>
      <c r="N29" s="4"/>
      <c r="O29" s="4"/>
      <c r="P29" s="4"/>
      <c r="Q29" s="4"/>
      <c r="R29" s="4"/>
      <c r="S29" s="4"/>
      <c r="T29" s="4"/>
      <c r="U29" s="4"/>
      <c r="V29" s="4"/>
      <c r="W29" s="4"/>
      <c r="X29" s="4"/>
      <c r="Y29" s="4"/>
      <c r="Z29" s="4"/>
    </row>
    <row r="30" spans="1:26" ht="12.75">
      <c r="A30" s="4"/>
      <c r="B30" s="4"/>
      <c r="C30" s="15"/>
      <c r="D30" s="4"/>
      <c r="E30" s="4"/>
      <c r="F30" s="4"/>
      <c r="G30" s="4"/>
      <c r="H30" s="4"/>
      <c r="I30" s="4"/>
      <c r="J30" s="4"/>
      <c r="K30" s="4"/>
      <c r="L30" s="4"/>
      <c r="M30" s="4"/>
      <c r="N30" s="4"/>
      <c r="O30" s="4"/>
      <c r="P30" s="4"/>
      <c r="Q30" s="4"/>
      <c r="R30" s="4"/>
      <c r="S30" s="4"/>
      <c r="T30" s="4"/>
      <c r="U30" s="4"/>
      <c r="V30" s="4"/>
      <c r="W30" s="4"/>
      <c r="X30" s="4"/>
      <c r="Y30" s="4"/>
      <c r="Z30" s="4"/>
    </row>
    <row r="31" spans="1:26" ht="12.75">
      <c r="A31" s="4"/>
      <c r="B31" s="4"/>
      <c r="C31" s="15"/>
      <c r="D31" s="4"/>
      <c r="E31" s="4"/>
      <c r="F31" s="4"/>
      <c r="G31" s="4"/>
      <c r="H31" s="4"/>
      <c r="I31" s="4"/>
      <c r="J31" s="4"/>
      <c r="K31" s="4"/>
      <c r="L31" s="4"/>
      <c r="M31" s="4"/>
      <c r="N31" s="4"/>
      <c r="O31" s="4"/>
      <c r="P31" s="4"/>
      <c r="Q31" s="4"/>
      <c r="R31" s="4"/>
      <c r="S31" s="4"/>
      <c r="T31" s="4"/>
      <c r="U31" s="4"/>
      <c r="V31" s="4"/>
      <c r="W31" s="4"/>
      <c r="X31" s="4"/>
      <c r="Y31" s="4"/>
      <c r="Z31" s="4"/>
    </row>
    <row r="32" spans="1:26" ht="12.75">
      <c r="A32" s="4"/>
      <c r="B32" s="4"/>
      <c r="C32" s="15"/>
      <c r="D32" s="4"/>
      <c r="E32" s="4"/>
      <c r="F32" s="4"/>
      <c r="G32" s="4"/>
      <c r="H32" s="4"/>
      <c r="I32" s="4"/>
      <c r="J32" s="4"/>
      <c r="K32" s="4"/>
      <c r="L32" s="4"/>
      <c r="M32" s="4"/>
      <c r="N32" s="4"/>
      <c r="O32" s="4"/>
      <c r="P32" s="4"/>
      <c r="Q32" s="4"/>
      <c r="R32" s="4"/>
      <c r="S32" s="4"/>
      <c r="T32" s="4"/>
      <c r="U32" s="4"/>
      <c r="V32" s="4"/>
      <c r="W32" s="4"/>
      <c r="X32" s="4"/>
      <c r="Y32" s="4"/>
      <c r="Z32" s="4"/>
    </row>
    <row r="33" spans="1:26" ht="12.75">
      <c r="A33" s="4"/>
      <c r="B33" s="4"/>
      <c r="C33" s="15"/>
      <c r="D33" s="4"/>
      <c r="E33" s="4"/>
      <c r="F33" s="4"/>
      <c r="G33" s="4"/>
      <c r="H33" s="4"/>
      <c r="I33" s="4"/>
      <c r="J33" s="4"/>
      <c r="K33" s="4"/>
      <c r="L33" s="4"/>
      <c r="M33" s="4"/>
      <c r="N33" s="4"/>
      <c r="O33" s="4"/>
      <c r="P33" s="4"/>
      <c r="Q33" s="4"/>
      <c r="R33" s="4"/>
      <c r="S33" s="4"/>
      <c r="T33" s="4"/>
      <c r="U33" s="4"/>
      <c r="V33" s="4"/>
      <c r="W33" s="4"/>
      <c r="X33" s="4"/>
      <c r="Y33" s="4"/>
      <c r="Z33" s="4"/>
    </row>
    <row r="34" spans="1:26" ht="12.75">
      <c r="A34" s="4"/>
      <c r="B34" s="4"/>
      <c r="C34" s="15"/>
      <c r="D34" s="4"/>
      <c r="E34" s="4"/>
      <c r="F34" s="4"/>
      <c r="G34" s="4"/>
      <c r="H34" s="4"/>
      <c r="I34" s="4"/>
      <c r="J34" s="4"/>
      <c r="K34" s="4"/>
      <c r="L34" s="4"/>
      <c r="M34" s="4"/>
      <c r="N34" s="4"/>
      <c r="O34" s="4"/>
      <c r="P34" s="4"/>
      <c r="Q34" s="4"/>
      <c r="R34" s="4"/>
      <c r="S34" s="4"/>
      <c r="T34" s="4"/>
      <c r="U34" s="4"/>
      <c r="V34" s="4"/>
      <c r="W34" s="4"/>
      <c r="X34" s="4"/>
      <c r="Y34" s="4"/>
      <c r="Z34" s="4"/>
    </row>
    <row r="35" spans="1:26" ht="12.75">
      <c r="A35" s="4"/>
      <c r="B35" s="4"/>
      <c r="C35" s="15"/>
      <c r="D35" s="4"/>
      <c r="E35" s="4"/>
      <c r="F35" s="4"/>
      <c r="G35" s="4"/>
      <c r="H35" s="4"/>
      <c r="I35" s="4"/>
      <c r="J35" s="4"/>
      <c r="K35" s="4"/>
      <c r="L35" s="4"/>
      <c r="M35" s="4"/>
      <c r="N35" s="4"/>
      <c r="O35" s="4"/>
      <c r="P35" s="4"/>
      <c r="Q35" s="4"/>
      <c r="R35" s="4"/>
      <c r="S35" s="4"/>
      <c r="T35" s="4"/>
      <c r="U35" s="4"/>
      <c r="V35" s="4"/>
      <c r="W35" s="4"/>
      <c r="X35" s="4"/>
      <c r="Y35" s="4"/>
      <c r="Z35" s="4"/>
    </row>
    <row r="36" spans="1:26" ht="12.75">
      <c r="A36" s="4"/>
      <c r="B36" s="4"/>
      <c r="C36" s="15"/>
      <c r="D36" s="4"/>
      <c r="E36" s="4"/>
      <c r="F36" s="4"/>
      <c r="G36" s="4"/>
      <c r="H36" s="4"/>
      <c r="I36" s="4"/>
      <c r="J36" s="4"/>
      <c r="K36" s="4"/>
      <c r="L36" s="4"/>
      <c r="M36" s="4"/>
      <c r="N36" s="4"/>
      <c r="O36" s="4"/>
      <c r="P36" s="4"/>
      <c r="Q36" s="4"/>
      <c r="R36" s="4"/>
      <c r="S36" s="4"/>
      <c r="T36" s="4"/>
      <c r="U36" s="4"/>
      <c r="V36" s="4"/>
      <c r="W36" s="4"/>
      <c r="X36" s="4"/>
      <c r="Y36" s="4"/>
      <c r="Z36" s="4"/>
    </row>
    <row r="37" spans="1:26" ht="12.75">
      <c r="A37" s="4"/>
      <c r="B37" s="4"/>
      <c r="C37" s="15"/>
      <c r="D37" s="4"/>
      <c r="E37" s="4"/>
      <c r="F37" s="4"/>
      <c r="G37" s="4"/>
      <c r="H37" s="4"/>
      <c r="I37" s="4"/>
      <c r="J37" s="4"/>
      <c r="K37" s="4"/>
      <c r="L37" s="4"/>
      <c r="M37" s="4"/>
      <c r="N37" s="4"/>
      <c r="O37" s="4"/>
      <c r="P37" s="4"/>
      <c r="Q37" s="4"/>
      <c r="R37" s="4"/>
      <c r="S37" s="4"/>
      <c r="T37" s="4"/>
      <c r="U37" s="4"/>
      <c r="V37" s="4"/>
      <c r="W37" s="4"/>
      <c r="X37" s="4"/>
      <c r="Y37" s="4"/>
      <c r="Z37" s="4"/>
    </row>
    <row r="38" spans="1:26" ht="12.75">
      <c r="A38" s="4"/>
      <c r="B38" s="4"/>
      <c r="C38" s="15"/>
      <c r="D38" s="4"/>
      <c r="E38" s="4"/>
      <c r="F38" s="4"/>
      <c r="G38" s="4"/>
      <c r="H38" s="4"/>
      <c r="I38" s="4"/>
      <c r="J38" s="4"/>
      <c r="K38" s="4"/>
      <c r="L38" s="4"/>
      <c r="M38" s="4"/>
      <c r="N38" s="4"/>
      <c r="O38" s="4"/>
      <c r="P38" s="4"/>
      <c r="Q38" s="4"/>
      <c r="R38" s="4"/>
      <c r="S38" s="4"/>
      <c r="T38" s="4"/>
      <c r="U38" s="4"/>
      <c r="V38" s="4"/>
      <c r="W38" s="4"/>
      <c r="X38" s="4"/>
      <c r="Y38" s="4"/>
      <c r="Z38" s="4"/>
    </row>
    <row r="39" spans="1:26" ht="12.75">
      <c r="A39" s="4"/>
      <c r="B39" s="4"/>
      <c r="C39" s="15"/>
      <c r="D39" s="4"/>
      <c r="E39" s="4"/>
      <c r="F39" s="4"/>
      <c r="G39" s="4"/>
      <c r="H39" s="4"/>
      <c r="I39" s="4"/>
      <c r="J39" s="4"/>
      <c r="K39" s="4"/>
      <c r="L39" s="4"/>
      <c r="M39" s="4"/>
      <c r="N39" s="4"/>
      <c r="O39" s="4"/>
      <c r="P39" s="4"/>
      <c r="Q39" s="4"/>
      <c r="R39" s="4"/>
      <c r="S39" s="4"/>
      <c r="T39" s="4"/>
      <c r="U39" s="4"/>
      <c r="V39" s="4"/>
      <c r="W39" s="4"/>
      <c r="X39" s="4"/>
      <c r="Y39" s="4"/>
      <c r="Z39" s="4"/>
    </row>
    <row r="40" spans="1:26" ht="12.75">
      <c r="A40" s="4"/>
      <c r="B40" s="4"/>
      <c r="C40" s="15"/>
      <c r="D40" s="4"/>
      <c r="E40" s="4"/>
      <c r="F40" s="4"/>
      <c r="G40" s="4"/>
      <c r="H40" s="4"/>
      <c r="I40" s="4"/>
      <c r="J40" s="4"/>
      <c r="K40" s="4"/>
      <c r="L40" s="4"/>
      <c r="M40" s="4"/>
      <c r="N40" s="4"/>
      <c r="O40" s="4"/>
      <c r="P40" s="4"/>
      <c r="Q40" s="4"/>
      <c r="R40" s="4"/>
      <c r="S40" s="4"/>
      <c r="T40" s="4"/>
      <c r="U40" s="4"/>
      <c r="V40" s="4"/>
      <c r="W40" s="4"/>
      <c r="X40" s="4"/>
      <c r="Y40" s="4"/>
      <c r="Z40" s="4"/>
    </row>
    <row r="41" spans="1:26" ht="12.75">
      <c r="A41" s="4"/>
      <c r="B41" s="4"/>
      <c r="C41" s="15"/>
      <c r="D41" s="4"/>
      <c r="E41" s="4"/>
      <c r="F41" s="4"/>
      <c r="G41" s="4"/>
      <c r="H41" s="4"/>
      <c r="I41" s="4"/>
      <c r="J41" s="4"/>
      <c r="K41" s="4"/>
      <c r="L41" s="4"/>
      <c r="M41" s="4"/>
      <c r="N41" s="4"/>
      <c r="O41" s="4"/>
      <c r="P41" s="4"/>
      <c r="Q41" s="4"/>
      <c r="R41" s="4"/>
      <c r="S41" s="4"/>
      <c r="T41" s="4"/>
      <c r="U41" s="4"/>
      <c r="V41" s="4"/>
      <c r="W41" s="4"/>
      <c r="X41" s="4"/>
      <c r="Y41" s="4"/>
      <c r="Z41" s="4"/>
    </row>
    <row r="42" spans="1:26" ht="12.75">
      <c r="A42" s="4"/>
      <c r="B42" s="4"/>
      <c r="C42" s="15"/>
      <c r="D42" s="4"/>
      <c r="E42" s="4"/>
      <c r="F42" s="4"/>
      <c r="G42" s="4"/>
      <c r="H42" s="4"/>
      <c r="I42" s="4"/>
      <c r="J42" s="4"/>
      <c r="K42" s="4"/>
      <c r="L42" s="4"/>
      <c r="M42" s="4"/>
      <c r="N42" s="4"/>
      <c r="O42" s="4"/>
      <c r="P42" s="4"/>
      <c r="Q42" s="4"/>
      <c r="R42" s="4"/>
      <c r="S42" s="4"/>
      <c r="T42" s="4"/>
      <c r="U42" s="4"/>
      <c r="V42" s="4"/>
      <c r="W42" s="4"/>
      <c r="X42" s="4"/>
      <c r="Y42" s="4"/>
      <c r="Z42" s="4"/>
    </row>
    <row r="43" spans="1:26" ht="12.75">
      <c r="A43" s="4"/>
      <c r="B43" s="4"/>
      <c r="C43" s="15"/>
      <c r="D43" s="4"/>
      <c r="E43" s="4"/>
      <c r="F43" s="4"/>
      <c r="G43" s="4"/>
      <c r="H43" s="4"/>
      <c r="I43" s="4"/>
      <c r="J43" s="4"/>
      <c r="K43" s="4"/>
      <c r="L43" s="4"/>
      <c r="M43" s="4"/>
      <c r="N43" s="4"/>
      <c r="O43" s="4"/>
      <c r="P43" s="4"/>
      <c r="Q43" s="4"/>
      <c r="R43" s="4"/>
      <c r="S43" s="4"/>
      <c r="T43" s="4"/>
      <c r="U43" s="4"/>
      <c r="V43" s="4"/>
      <c r="W43" s="4"/>
      <c r="X43" s="4"/>
      <c r="Y43" s="4"/>
      <c r="Z43" s="4"/>
    </row>
    <row r="44" spans="1:26" ht="12.75">
      <c r="A44" s="4"/>
      <c r="B44" s="4"/>
      <c r="C44" s="15"/>
      <c r="D44" s="4"/>
      <c r="E44" s="4"/>
      <c r="F44" s="4"/>
      <c r="G44" s="4"/>
      <c r="H44" s="4"/>
      <c r="I44" s="4"/>
      <c r="J44" s="4"/>
      <c r="K44" s="4"/>
      <c r="L44" s="4"/>
      <c r="M44" s="4"/>
      <c r="N44" s="4"/>
      <c r="O44" s="4"/>
      <c r="P44" s="4"/>
      <c r="Q44" s="4"/>
      <c r="R44" s="4"/>
      <c r="S44" s="4"/>
      <c r="T44" s="4"/>
      <c r="U44" s="4"/>
      <c r="V44" s="4"/>
      <c r="W44" s="4"/>
      <c r="X44" s="4"/>
      <c r="Y44" s="4"/>
      <c r="Z44" s="4"/>
    </row>
    <row r="45" spans="1:26" ht="12.75">
      <c r="A45" s="4"/>
      <c r="B45" s="4"/>
      <c r="C45" s="15"/>
      <c r="D45" s="4"/>
      <c r="E45" s="4"/>
      <c r="F45" s="4"/>
      <c r="G45" s="4"/>
      <c r="H45" s="4"/>
      <c r="I45" s="4"/>
      <c r="J45" s="4"/>
      <c r="K45" s="4"/>
      <c r="L45" s="4"/>
      <c r="M45" s="4"/>
      <c r="N45" s="4"/>
      <c r="O45" s="4"/>
      <c r="P45" s="4"/>
      <c r="Q45" s="4"/>
      <c r="R45" s="4"/>
      <c r="S45" s="4"/>
      <c r="T45" s="4"/>
      <c r="U45" s="4"/>
      <c r="V45" s="4"/>
      <c r="W45" s="4"/>
      <c r="X45" s="4"/>
      <c r="Y45" s="4"/>
      <c r="Z45" s="4"/>
    </row>
    <row r="46" spans="1:26" ht="12.75">
      <c r="A46" s="4"/>
      <c r="B46" s="4"/>
      <c r="C46" s="15"/>
      <c r="D46" s="4"/>
      <c r="E46" s="4"/>
      <c r="F46" s="4"/>
      <c r="G46" s="4"/>
      <c r="H46" s="4"/>
      <c r="I46" s="4"/>
      <c r="J46" s="4"/>
      <c r="K46" s="4"/>
      <c r="L46" s="4"/>
      <c r="M46" s="4"/>
      <c r="N46" s="4"/>
      <c r="O46" s="4"/>
      <c r="P46" s="4"/>
      <c r="Q46" s="4"/>
      <c r="R46" s="4"/>
      <c r="S46" s="4"/>
      <c r="T46" s="4"/>
      <c r="U46" s="4"/>
      <c r="V46" s="4"/>
      <c r="W46" s="4"/>
      <c r="X46" s="4"/>
      <c r="Y46" s="4"/>
      <c r="Z46" s="4"/>
    </row>
    <row r="47" spans="1:26" ht="12.75">
      <c r="A47" s="4"/>
      <c r="B47" s="4"/>
      <c r="C47" s="15"/>
      <c r="D47" s="4"/>
      <c r="E47" s="4"/>
      <c r="F47" s="4"/>
      <c r="G47" s="4"/>
      <c r="H47" s="4"/>
      <c r="I47" s="4"/>
      <c r="J47" s="4"/>
      <c r="K47" s="4"/>
      <c r="L47" s="4"/>
      <c r="M47" s="4"/>
      <c r="N47" s="4"/>
      <c r="O47" s="4"/>
      <c r="P47" s="4"/>
      <c r="Q47" s="4"/>
      <c r="R47" s="4"/>
      <c r="S47" s="4"/>
      <c r="T47" s="4"/>
      <c r="U47" s="4"/>
      <c r="V47" s="4"/>
      <c r="W47" s="4"/>
      <c r="X47" s="4"/>
      <c r="Y47" s="4"/>
      <c r="Z47" s="4"/>
    </row>
    <row r="48" spans="1:26" ht="12.75">
      <c r="A48" s="4"/>
      <c r="B48" s="4"/>
      <c r="C48" s="15"/>
      <c r="D48" s="4"/>
      <c r="E48" s="4"/>
      <c r="F48" s="4"/>
      <c r="G48" s="4"/>
      <c r="H48" s="4"/>
      <c r="I48" s="4"/>
      <c r="J48" s="4"/>
      <c r="K48" s="4"/>
      <c r="L48" s="4"/>
      <c r="M48" s="4"/>
      <c r="N48" s="4"/>
      <c r="O48" s="4"/>
      <c r="P48" s="4"/>
      <c r="Q48" s="4"/>
      <c r="R48" s="4"/>
      <c r="S48" s="4"/>
      <c r="T48" s="4"/>
      <c r="U48" s="4"/>
      <c r="V48" s="4"/>
      <c r="W48" s="4"/>
      <c r="X48" s="4"/>
      <c r="Y48" s="4"/>
      <c r="Z48" s="4"/>
    </row>
    <row r="49" spans="1:26" ht="12.75">
      <c r="A49" s="4"/>
      <c r="B49" s="4"/>
      <c r="C49" s="15"/>
      <c r="D49" s="4"/>
      <c r="E49" s="4"/>
      <c r="F49" s="4"/>
      <c r="G49" s="4"/>
      <c r="H49" s="4"/>
      <c r="I49" s="4"/>
      <c r="J49" s="4"/>
      <c r="K49" s="4"/>
      <c r="L49" s="4"/>
      <c r="M49" s="4"/>
      <c r="N49" s="4"/>
      <c r="O49" s="4"/>
      <c r="P49" s="4"/>
      <c r="Q49" s="4"/>
      <c r="R49" s="4"/>
      <c r="S49" s="4"/>
      <c r="T49" s="4"/>
      <c r="U49" s="4"/>
      <c r="V49" s="4"/>
      <c r="W49" s="4"/>
      <c r="X49" s="4"/>
      <c r="Y49" s="4"/>
      <c r="Z49" s="4"/>
    </row>
    <row r="50" spans="1:26" ht="12.75">
      <c r="A50" s="4"/>
      <c r="B50" s="4"/>
      <c r="C50" s="15"/>
      <c r="D50" s="4"/>
      <c r="E50" s="4"/>
      <c r="F50" s="4"/>
      <c r="G50" s="4"/>
      <c r="H50" s="4"/>
      <c r="I50" s="4"/>
      <c r="J50" s="4"/>
      <c r="K50" s="4"/>
      <c r="L50" s="4"/>
      <c r="M50" s="4"/>
      <c r="N50" s="4"/>
      <c r="O50" s="4"/>
      <c r="P50" s="4"/>
      <c r="Q50" s="4"/>
      <c r="R50" s="4"/>
      <c r="S50" s="4"/>
      <c r="T50" s="4"/>
      <c r="U50" s="4"/>
      <c r="V50" s="4"/>
      <c r="W50" s="4"/>
      <c r="X50" s="4"/>
      <c r="Y50" s="4"/>
      <c r="Z50" s="4"/>
    </row>
    <row r="51" spans="1:26" ht="12.75">
      <c r="A51" s="4"/>
      <c r="B51" s="4"/>
      <c r="C51" s="15"/>
      <c r="D51" s="4"/>
      <c r="E51" s="4"/>
      <c r="F51" s="4"/>
      <c r="G51" s="4"/>
      <c r="H51" s="4"/>
      <c r="I51" s="4"/>
      <c r="J51" s="4"/>
      <c r="K51" s="4"/>
      <c r="L51" s="4"/>
      <c r="M51" s="4"/>
      <c r="N51" s="4"/>
      <c r="O51" s="4"/>
      <c r="P51" s="4"/>
      <c r="Q51" s="4"/>
      <c r="R51" s="4"/>
      <c r="S51" s="4"/>
      <c r="T51" s="4"/>
      <c r="U51" s="4"/>
      <c r="V51" s="4"/>
      <c r="W51" s="4"/>
      <c r="X51" s="4"/>
      <c r="Y51" s="4"/>
      <c r="Z51" s="4"/>
    </row>
    <row r="52" spans="1:26" ht="12.75">
      <c r="A52" s="4"/>
      <c r="B52" s="4"/>
      <c r="C52" s="15"/>
      <c r="D52" s="4"/>
      <c r="E52" s="4"/>
      <c r="F52" s="4"/>
      <c r="G52" s="4"/>
      <c r="H52" s="4"/>
      <c r="I52" s="4"/>
      <c r="J52" s="4"/>
      <c r="K52" s="4"/>
      <c r="L52" s="4"/>
      <c r="M52" s="4"/>
      <c r="N52" s="4"/>
      <c r="O52" s="4"/>
      <c r="P52" s="4"/>
      <c r="Q52" s="4"/>
      <c r="R52" s="4"/>
      <c r="S52" s="4"/>
      <c r="T52" s="4"/>
      <c r="U52" s="4"/>
      <c r="V52" s="4"/>
      <c r="W52" s="4"/>
      <c r="X52" s="4"/>
      <c r="Y52" s="4"/>
      <c r="Z52" s="4"/>
    </row>
    <row r="53" spans="1:26" ht="12.75">
      <c r="A53" s="4"/>
      <c r="B53" s="4"/>
      <c r="C53" s="15"/>
      <c r="D53" s="4"/>
      <c r="E53" s="4"/>
      <c r="F53" s="4"/>
      <c r="G53" s="4"/>
      <c r="H53" s="4"/>
      <c r="I53" s="4"/>
      <c r="J53" s="4"/>
      <c r="K53" s="4"/>
      <c r="L53" s="4"/>
      <c r="M53" s="4"/>
      <c r="N53" s="4"/>
      <c r="O53" s="4"/>
      <c r="P53" s="4"/>
      <c r="Q53" s="4"/>
      <c r="R53" s="4"/>
      <c r="S53" s="4"/>
      <c r="T53" s="4"/>
      <c r="U53" s="4"/>
      <c r="V53" s="4"/>
      <c r="W53" s="4"/>
      <c r="X53" s="4"/>
      <c r="Y53" s="4"/>
      <c r="Z53" s="4"/>
    </row>
    <row r="54" spans="1:26" ht="12.75">
      <c r="A54" s="4"/>
      <c r="B54" s="4"/>
      <c r="C54" s="15"/>
      <c r="D54" s="4"/>
      <c r="E54" s="4"/>
      <c r="F54" s="4"/>
      <c r="G54" s="4"/>
      <c r="H54" s="4"/>
      <c r="I54" s="4"/>
      <c r="J54" s="4"/>
      <c r="K54" s="4"/>
      <c r="L54" s="4"/>
      <c r="M54" s="4"/>
      <c r="N54" s="4"/>
      <c r="O54" s="4"/>
      <c r="P54" s="4"/>
      <c r="Q54" s="4"/>
      <c r="R54" s="4"/>
      <c r="S54" s="4"/>
      <c r="T54" s="4"/>
      <c r="U54" s="4"/>
      <c r="V54" s="4"/>
      <c r="W54" s="4"/>
      <c r="X54" s="4"/>
      <c r="Y54" s="4"/>
      <c r="Z54" s="4"/>
    </row>
    <row r="55" spans="1:26" ht="12.75">
      <c r="A55" s="4"/>
      <c r="B55" s="4"/>
      <c r="C55" s="15"/>
      <c r="D55" s="4"/>
      <c r="E55" s="4"/>
      <c r="F55" s="4"/>
      <c r="G55" s="4"/>
      <c r="H55" s="4"/>
      <c r="I55" s="4"/>
      <c r="J55" s="4"/>
      <c r="K55" s="4"/>
      <c r="L55" s="4"/>
      <c r="M55" s="4"/>
      <c r="N55" s="4"/>
      <c r="O55" s="4"/>
      <c r="P55" s="4"/>
      <c r="Q55" s="4"/>
      <c r="R55" s="4"/>
      <c r="S55" s="4"/>
      <c r="T55" s="4"/>
      <c r="U55" s="4"/>
      <c r="V55" s="4"/>
      <c r="W55" s="4"/>
      <c r="X55" s="4"/>
      <c r="Y55" s="4"/>
      <c r="Z55" s="4"/>
    </row>
    <row r="56" spans="1:26" ht="12.75">
      <c r="A56" s="4"/>
      <c r="B56" s="4"/>
      <c r="C56" s="15"/>
      <c r="D56" s="4"/>
      <c r="E56" s="4"/>
      <c r="F56" s="4"/>
      <c r="G56" s="4"/>
      <c r="H56" s="4"/>
      <c r="I56" s="4"/>
      <c r="J56" s="4"/>
      <c r="K56" s="4"/>
      <c r="L56" s="4"/>
      <c r="M56" s="4"/>
      <c r="N56" s="4"/>
      <c r="O56" s="4"/>
      <c r="P56" s="4"/>
      <c r="Q56" s="4"/>
      <c r="R56" s="4"/>
      <c r="S56" s="4"/>
      <c r="T56" s="4"/>
      <c r="U56" s="4"/>
      <c r="V56" s="4"/>
      <c r="W56" s="4"/>
      <c r="X56" s="4"/>
      <c r="Y56" s="4"/>
      <c r="Z56" s="4"/>
    </row>
    <row r="57" spans="1:26" ht="12.75">
      <c r="A57" s="4"/>
      <c r="B57" s="4"/>
      <c r="C57" s="15"/>
      <c r="D57" s="4"/>
      <c r="E57" s="4"/>
      <c r="F57" s="4"/>
      <c r="G57" s="4"/>
      <c r="H57" s="4"/>
      <c r="I57" s="4"/>
      <c r="J57" s="4"/>
      <c r="K57" s="4"/>
      <c r="L57" s="4"/>
      <c r="M57" s="4"/>
      <c r="N57" s="4"/>
      <c r="O57" s="4"/>
      <c r="P57" s="4"/>
      <c r="Q57" s="4"/>
      <c r="R57" s="4"/>
      <c r="S57" s="4"/>
      <c r="T57" s="4"/>
      <c r="U57" s="4"/>
      <c r="V57" s="4"/>
      <c r="W57" s="4"/>
      <c r="X57" s="4"/>
      <c r="Y57" s="4"/>
      <c r="Z57" s="4"/>
    </row>
    <row r="58" spans="1:26" ht="12.75">
      <c r="A58" s="4"/>
      <c r="B58" s="4"/>
      <c r="C58" s="15"/>
      <c r="D58" s="4"/>
      <c r="E58" s="4"/>
      <c r="F58" s="4"/>
      <c r="G58" s="4"/>
      <c r="H58" s="4"/>
      <c r="I58" s="4"/>
      <c r="J58" s="4"/>
      <c r="K58" s="4"/>
      <c r="L58" s="4"/>
      <c r="M58" s="4"/>
      <c r="N58" s="4"/>
      <c r="O58" s="4"/>
      <c r="P58" s="4"/>
      <c r="Q58" s="4"/>
      <c r="R58" s="4"/>
      <c r="S58" s="4"/>
      <c r="T58" s="4"/>
      <c r="U58" s="4"/>
      <c r="V58" s="4"/>
      <c r="W58" s="4"/>
      <c r="X58" s="4"/>
      <c r="Y58" s="4"/>
      <c r="Z58" s="4"/>
    </row>
    <row r="59" spans="1:26" ht="12.75">
      <c r="A59" s="4"/>
      <c r="B59" s="4"/>
      <c r="C59" s="15"/>
      <c r="D59" s="4"/>
      <c r="E59" s="4"/>
      <c r="F59" s="4"/>
      <c r="G59" s="4"/>
      <c r="H59" s="4"/>
      <c r="I59" s="4"/>
      <c r="J59" s="4"/>
      <c r="K59" s="4"/>
      <c r="L59" s="4"/>
      <c r="M59" s="4"/>
      <c r="N59" s="4"/>
      <c r="O59" s="4"/>
      <c r="P59" s="4"/>
      <c r="Q59" s="4"/>
      <c r="R59" s="4"/>
      <c r="S59" s="4"/>
      <c r="T59" s="4"/>
      <c r="U59" s="4"/>
      <c r="V59" s="4"/>
      <c r="W59" s="4"/>
      <c r="X59" s="4"/>
      <c r="Y59" s="4"/>
      <c r="Z59" s="4"/>
    </row>
    <row r="60" spans="1:26" ht="12.75">
      <c r="A60" s="4"/>
      <c r="B60" s="4"/>
      <c r="C60" s="15"/>
      <c r="D60" s="4"/>
      <c r="E60" s="4"/>
      <c r="F60" s="4"/>
      <c r="G60" s="4"/>
      <c r="H60" s="4"/>
      <c r="I60" s="4"/>
      <c r="J60" s="4"/>
      <c r="K60" s="4"/>
      <c r="L60" s="4"/>
      <c r="M60" s="4"/>
      <c r="N60" s="4"/>
      <c r="O60" s="4"/>
      <c r="P60" s="4"/>
      <c r="Q60" s="4"/>
      <c r="R60" s="4"/>
      <c r="S60" s="4"/>
      <c r="T60" s="4"/>
      <c r="U60" s="4"/>
      <c r="V60" s="4"/>
      <c r="W60" s="4"/>
      <c r="X60" s="4"/>
      <c r="Y60" s="4"/>
      <c r="Z60" s="4"/>
    </row>
    <row r="61" spans="1:26" ht="12.75">
      <c r="A61" s="4"/>
      <c r="B61" s="4"/>
      <c r="C61" s="15"/>
      <c r="D61" s="4"/>
      <c r="E61" s="4"/>
      <c r="F61" s="4"/>
      <c r="G61" s="4"/>
      <c r="H61" s="4"/>
      <c r="I61" s="4"/>
      <c r="J61" s="4"/>
      <c r="K61" s="4"/>
      <c r="L61" s="4"/>
      <c r="M61" s="4"/>
      <c r="N61" s="4"/>
      <c r="O61" s="4"/>
      <c r="P61" s="4"/>
      <c r="Q61" s="4"/>
      <c r="R61" s="4"/>
      <c r="S61" s="4"/>
      <c r="T61" s="4"/>
      <c r="U61" s="4"/>
      <c r="V61" s="4"/>
      <c r="W61" s="4"/>
      <c r="X61" s="4"/>
      <c r="Y61" s="4"/>
      <c r="Z61" s="4"/>
    </row>
    <row r="62" spans="1:26" ht="12.75">
      <c r="A62" s="4"/>
      <c r="B62" s="4"/>
      <c r="C62" s="15"/>
      <c r="D62" s="4"/>
      <c r="E62" s="4"/>
      <c r="F62" s="4"/>
      <c r="G62" s="4"/>
      <c r="H62" s="4"/>
      <c r="I62" s="4"/>
      <c r="J62" s="4"/>
      <c r="K62" s="4"/>
      <c r="L62" s="4"/>
      <c r="M62" s="4"/>
      <c r="N62" s="4"/>
      <c r="O62" s="4"/>
      <c r="P62" s="4"/>
      <c r="Q62" s="4"/>
      <c r="R62" s="4"/>
      <c r="S62" s="4"/>
      <c r="T62" s="4"/>
      <c r="U62" s="4"/>
      <c r="V62" s="4"/>
      <c r="W62" s="4"/>
      <c r="X62" s="4"/>
      <c r="Y62" s="4"/>
      <c r="Z62" s="4"/>
    </row>
    <row r="63" spans="1:26" ht="12.75">
      <c r="A63" s="4"/>
      <c r="B63" s="4"/>
      <c r="C63" s="15"/>
      <c r="D63" s="4"/>
      <c r="E63" s="4"/>
      <c r="F63" s="4"/>
      <c r="G63" s="4"/>
      <c r="H63" s="4"/>
      <c r="I63" s="4"/>
      <c r="J63" s="4"/>
      <c r="K63" s="4"/>
      <c r="L63" s="4"/>
      <c r="M63" s="4"/>
      <c r="N63" s="4"/>
      <c r="O63" s="4"/>
      <c r="P63" s="4"/>
      <c r="Q63" s="4"/>
      <c r="R63" s="4"/>
      <c r="S63" s="4"/>
      <c r="T63" s="4"/>
      <c r="U63" s="4"/>
      <c r="V63" s="4"/>
      <c r="W63" s="4"/>
      <c r="X63" s="4"/>
      <c r="Y63" s="4"/>
      <c r="Z63" s="4"/>
    </row>
    <row r="64" spans="1:26" ht="12.75">
      <c r="A64" s="4"/>
      <c r="B64" s="4"/>
      <c r="C64" s="15"/>
      <c r="D64" s="4"/>
      <c r="E64" s="4"/>
      <c r="F64" s="4"/>
      <c r="G64" s="4"/>
      <c r="H64" s="4"/>
      <c r="I64" s="4"/>
      <c r="J64" s="4"/>
      <c r="K64" s="4"/>
      <c r="L64" s="4"/>
      <c r="M64" s="4"/>
      <c r="N64" s="4"/>
      <c r="O64" s="4"/>
      <c r="P64" s="4"/>
      <c r="Q64" s="4"/>
      <c r="R64" s="4"/>
      <c r="S64" s="4"/>
      <c r="T64" s="4"/>
      <c r="U64" s="4"/>
      <c r="V64" s="4"/>
      <c r="W64" s="4"/>
      <c r="X64" s="4"/>
      <c r="Y64" s="4"/>
      <c r="Z64" s="4"/>
    </row>
    <row r="65" spans="1:26" ht="12.75">
      <c r="A65" s="4"/>
      <c r="B65" s="4"/>
      <c r="C65" s="15"/>
      <c r="D65" s="4"/>
      <c r="E65" s="4"/>
      <c r="F65" s="4"/>
      <c r="G65" s="4"/>
      <c r="H65" s="4"/>
      <c r="I65" s="4"/>
      <c r="J65" s="4"/>
      <c r="K65" s="4"/>
      <c r="L65" s="4"/>
      <c r="M65" s="4"/>
      <c r="N65" s="4"/>
      <c r="O65" s="4"/>
      <c r="P65" s="4"/>
      <c r="Q65" s="4"/>
      <c r="R65" s="4"/>
      <c r="S65" s="4"/>
      <c r="T65" s="4"/>
      <c r="U65" s="4"/>
      <c r="V65" s="4"/>
      <c r="W65" s="4"/>
      <c r="X65" s="4"/>
      <c r="Y65" s="4"/>
      <c r="Z65" s="4"/>
    </row>
    <row r="66" spans="1:26" ht="12.75">
      <c r="A66" s="4"/>
      <c r="B66" s="4"/>
      <c r="C66" s="15"/>
      <c r="D66" s="4"/>
      <c r="E66" s="4"/>
      <c r="F66" s="4"/>
      <c r="G66" s="4"/>
      <c r="H66" s="4"/>
      <c r="I66" s="4"/>
      <c r="J66" s="4"/>
      <c r="K66" s="4"/>
      <c r="L66" s="4"/>
      <c r="M66" s="4"/>
      <c r="N66" s="4"/>
      <c r="O66" s="4"/>
      <c r="P66" s="4"/>
      <c r="Q66" s="4"/>
      <c r="R66" s="4"/>
      <c r="S66" s="4"/>
      <c r="T66" s="4"/>
      <c r="U66" s="4"/>
      <c r="V66" s="4"/>
      <c r="W66" s="4"/>
      <c r="X66" s="4"/>
      <c r="Y66" s="4"/>
      <c r="Z66" s="4"/>
    </row>
    <row r="67" spans="1:26" ht="12.75">
      <c r="A67" s="4"/>
      <c r="B67" s="4"/>
      <c r="C67" s="15"/>
      <c r="D67" s="4"/>
      <c r="E67" s="4"/>
      <c r="F67" s="4"/>
      <c r="G67" s="4"/>
      <c r="H67" s="4"/>
      <c r="I67" s="4"/>
      <c r="J67" s="4"/>
      <c r="K67" s="4"/>
      <c r="L67" s="4"/>
      <c r="M67" s="4"/>
      <c r="N67" s="4"/>
      <c r="O67" s="4"/>
      <c r="P67" s="4"/>
      <c r="Q67" s="4"/>
      <c r="R67" s="4"/>
      <c r="S67" s="4"/>
      <c r="T67" s="4"/>
      <c r="U67" s="4"/>
      <c r="V67" s="4"/>
      <c r="W67" s="4"/>
      <c r="X67" s="4"/>
      <c r="Y67" s="4"/>
      <c r="Z67" s="4"/>
    </row>
    <row r="68" spans="1:26" ht="12.75">
      <c r="A68" s="4"/>
      <c r="B68" s="4"/>
      <c r="C68" s="15"/>
      <c r="D68" s="4"/>
      <c r="E68" s="4"/>
      <c r="F68" s="4"/>
      <c r="G68" s="4"/>
      <c r="H68" s="4"/>
      <c r="I68" s="4"/>
      <c r="J68" s="4"/>
      <c r="K68" s="4"/>
      <c r="L68" s="4"/>
      <c r="M68" s="4"/>
      <c r="N68" s="4"/>
      <c r="O68" s="4"/>
      <c r="P68" s="4"/>
      <c r="Q68" s="4"/>
      <c r="R68" s="4"/>
      <c r="S68" s="4"/>
      <c r="T68" s="4"/>
      <c r="U68" s="4"/>
      <c r="V68" s="4"/>
      <c r="W68" s="4"/>
      <c r="X68" s="4"/>
      <c r="Y68" s="4"/>
      <c r="Z68" s="4"/>
    </row>
    <row r="69" spans="1:26" ht="12.75">
      <c r="A69" s="4"/>
      <c r="B69" s="4"/>
      <c r="C69" s="15"/>
      <c r="D69" s="4"/>
      <c r="E69" s="4"/>
      <c r="F69" s="4"/>
      <c r="G69" s="4"/>
      <c r="H69" s="4"/>
      <c r="I69" s="4"/>
      <c r="J69" s="4"/>
      <c r="K69" s="4"/>
      <c r="L69" s="4"/>
      <c r="M69" s="4"/>
      <c r="N69" s="4"/>
      <c r="O69" s="4"/>
      <c r="P69" s="4"/>
      <c r="Q69" s="4"/>
      <c r="R69" s="4"/>
      <c r="S69" s="4"/>
      <c r="T69" s="4"/>
      <c r="U69" s="4"/>
      <c r="V69" s="4"/>
      <c r="W69" s="4"/>
      <c r="X69" s="4"/>
      <c r="Y69" s="4"/>
      <c r="Z69" s="4"/>
    </row>
    <row r="70" spans="1:26" ht="12.75">
      <c r="A70" s="4"/>
      <c r="B70" s="4"/>
      <c r="C70" s="15"/>
      <c r="D70" s="4"/>
      <c r="E70" s="4"/>
      <c r="F70" s="4"/>
      <c r="G70" s="4"/>
      <c r="H70" s="4"/>
      <c r="I70" s="4"/>
      <c r="J70" s="4"/>
      <c r="K70" s="4"/>
      <c r="L70" s="4"/>
      <c r="M70" s="4"/>
      <c r="N70" s="4"/>
      <c r="O70" s="4"/>
      <c r="P70" s="4"/>
      <c r="Q70" s="4"/>
      <c r="R70" s="4"/>
      <c r="S70" s="4"/>
      <c r="T70" s="4"/>
      <c r="U70" s="4"/>
      <c r="V70" s="4"/>
      <c r="W70" s="4"/>
      <c r="X70" s="4"/>
      <c r="Y70" s="4"/>
      <c r="Z70" s="4"/>
    </row>
    <row r="71" spans="1:26" ht="12.75">
      <c r="A71" s="4"/>
      <c r="B71" s="4"/>
      <c r="C71" s="15"/>
      <c r="D71" s="4"/>
      <c r="E71" s="4"/>
      <c r="F71" s="4"/>
      <c r="G71" s="4"/>
      <c r="H71" s="4"/>
      <c r="I71" s="4"/>
      <c r="J71" s="4"/>
      <c r="K71" s="4"/>
      <c r="L71" s="4"/>
      <c r="M71" s="4"/>
      <c r="N71" s="4"/>
      <c r="O71" s="4"/>
      <c r="P71" s="4"/>
      <c r="Q71" s="4"/>
      <c r="R71" s="4"/>
      <c r="S71" s="4"/>
      <c r="T71" s="4"/>
      <c r="U71" s="4"/>
      <c r="V71" s="4"/>
      <c r="W71" s="4"/>
      <c r="X71" s="4"/>
      <c r="Y71" s="4"/>
      <c r="Z71" s="4"/>
    </row>
    <row r="72" spans="1:26" ht="12.75">
      <c r="A72" s="4"/>
      <c r="B72" s="4"/>
      <c r="C72" s="15"/>
      <c r="D72" s="4"/>
      <c r="E72" s="4"/>
      <c r="F72" s="4"/>
      <c r="G72" s="4"/>
      <c r="H72" s="4"/>
      <c r="I72" s="4"/>
      <c r="J72" s="4"/>
      <c r="K72" s="4"/>
      <c r="L72" s="4"/>
      <c r="M72" s="4"/>
      <c r="N72" s="4"/>
      <c r="O72" s="4"/>
      <c r="P72" s="4"/>
      <c r="Q72" s="4"/>
      <c r="R72" s="4"/>
      <c r="S72" s="4"/>
      <c r="T72" s="4"/>
      <c r="U72" s="4"/>
      <c r="V72" s="4"/>
      <c r="W72" s="4"/>
      <c r="X72" s="4"/>
      <c r="Y72" s="4"/>
      <c r="Z72" s="4"/>
    </row>
    <row r="73" spans="1:26" ht="12.75">
      <c r="A73" s="4"/>
      <c r="B73" s="4"/>
      <c r="C73" s="15"/>
      <c r="D73" s="4"/>
      <c r="E73" s="4"/>
      <c r="F73" s="4"/>
      <c r="G73" s="4"/>
      <c r="H73" s="4"/>
      <c r="I73" s="4"/>
      <c r="J73" s="4"/>
      <c r="K73" s="4"/>
      <c r="L73" s="4"/>
      <c r="M73" s="4"/>
      <c r="N73" s="4"/>
      <c r="O73" s="4"/>
      <c r="P73" s="4"/>
      <c r="Q73" s="4"/>
      <c r="R73" s="4"/>
      <c r="S73" s="4"/>
      <c r="T73" s="4"/>
      <c r="U73" s="4"/>
      <c r="V73" s="4"/>
      <c r="W73" s="4"/>
      <c r="X73" s="4"/>
      <c r="Y73" s="4"/>
      <c r="Z73" s="4"/>
    </row>
    <row r="74" spans="1:26" ht="12.75">
      <c r="A74" s="4"/>
      <c r="B74" s="4"/>
      <c r="C74" s="15"/>
      <c r="D74" s="4"/>
      <c r="E74" s="4"/>
      <c r="F74" s="4"/>
      <c r="G74" s="4"/>
      <c r="H74" s="4"/>
      <c r="I74" s="4"/>
      <c r="J74" s="4"/>
      <c r="K74" s="4"/>
      <c r="L74" s="4"/>
      <c r="M74" s="4"/>
      <c r="N74" s="4"/>
      <c r="O74" s="4"/>
      <c r="P74" s="4"/>
      <c r="Q74" s="4"/>
      <c r="R74" s="4"/>
      <c r="S74" s="4"/>
      <c r="T74" s="4"/>
      <c r="U74" s="4"/>
      <c r="V74" s="4"/>
      <c r="W74" s="4"/>
      <c r="X74" s="4"/>
      <c r="Y74" s="4"/>
      <c r="Z74" s="4"/>
    </row>
    <row r="75" spans="1:26" ht="12.75">
      <c r="A75" s="4"/>
      <c r="B75" s="4"/>
      <c r="C75" s="15"/>
      <c r="D75" s="4"/>
      <c r="E75" s="4"/>
      <c r="F75" s="4"/>
      <c r="G75" s="4"/>
      <c r="H75" s="4"/>
      <c r="I75" s="4"/>
      <c r="J75" s="4"/>
      <c r="K75" s="4"/>
      <c r="L75" s="4"/>
      <c r="M75" s="4"/>
      <c r="N75" s="4"/>
      <c r="O75" s="4"/>
      <c r="P75" s="4"/>
      <c r="Q75" s="4"/>
      <c r="R75" s="4"/>
      <c r="S75" s="4"/>
      <c r="T75" s="4"/>
      <c r="U75" s="4"/>
      <c r="V75" s="4"/>
      <c r="W75" s="4"/>
      <c r="X75" s="4"/>
      <c r="Y75" s="4"/>
      <c r="Z75" s="4"/>
    </row>
    <row r="76" spans="1:26" ht="12.75">
      <c r="A76" s="4"/>
      <c r="B76" s="4"/>
      <c r="C76" s="15"/>
      <c r="D76" s="4"/>
      <c r="E76" s="4"/>
      <c r="F76" s="4"/>
      <c r="G76" s="4"/>
      <c r="H76" s="4"/>
      <c r="I76" s="4"/>
      <c r="J76" s="4"/>
      <c r="K76" s="4"/>
      <c r="L76" s="4"/>
      <c r="M76" s="4"/>
      <c r="N76" s="4"/>
      <c r="O76" s="4"/>
      <c r="P76" s="4"/>
      <c r="Q76" s="4"/>
      <c r="R76" s="4"/>
      <c r="S76" s="4"/>
      <c r="T76" s="4"/>
      <c r="U76" s="4"/>
      <c r="V76" s="4"/>
      <c r="W76" s="4"/>
      <c r="X76" s="4"/>
      <c r="Y76" s="4"/>
      <c r="Z76" s="4"/>
    </row>
    <row r="77" spans="1:26" ht="12.75">
      <c r="A77" s="4"/>
      <c r="B77" s="4"/>
      <c r="C77" s="15"/>
      <c r="D77" s="4"/>
      <c r="E77" s="4"/>
      <c r="F77" s="4"/>
      <c r="G77" s="4"/>
      <c r="H77" s="4"/>
      <c r="I77" s="4"/>
      <c r="J77" s="4"/>
      <c r="K77" s="4"/>
      <c r="L77" s="4"/>
      <c r="M77" s="4"/>
      <c r="N77" s="4"/>
      <c r="O77" s="4"/>
      <c r="P77" s="4"/>
      <c r="Q77" s="4"/>
      <c r="R77" s="4"/>
      <c r="S77" s="4"/>
      <c r="T77" s="4"/>
      <c r="U77" s="4"/>
      <c r="V77" s="4"/>
      <c r="W77" s="4"/>
      <c r="X77" s="4"/>
      <c r="Y77" s="4"/>
      <c r="Z77" s="4"/>
    </row>
    <row r="78" spans="1:26" ht="12.75">
      <c r="A78" s="4"/>
      <c r="B78" s="4"/>
      <c r="C78" s="15"/>
      <c r="D78" s="4"/>
      <c r="E78" s="4"/>
      <c r="F78" s="4"/>
      <c r="G78" s="4"/>
      <c r="H78" s="4"/>
      <c r="I78" s="4"/>
      <c r="J78" s="4"/>
      <c r="K78" s="4"/>
      <c r="L78" s="4"/>
      <c r="M78" s="4"/>
      <c r="N78" s="4"/>
      <c r="O78" s="4"/>
      <c r="P78" s="4"/>
      <c r="Q78" s="4"/>
      <c r="R78" s="4"/>
      <c r="S78" s="4"/>
      <c r="T78" s="4"/>
      <c r="U78" s="4"/>
      <c r="V78" s="4"/>
      <c r="W78" s="4"/>
      <c r="X78" s="4"/>
      <c r="Y78" s="4"/>
      <c r="Z78" s="4"/>
    </row>
    <row r="79" spans="1:26" ht="12.75">
      <c r="A79" s="4"/>
      <c r="B79" s="4"/>
      <c r="C79" s="15"/>
      <c r="D79" s="4"/>
      <c r="E79" s="4"/>
      <c r="F79" s="4"/>
      <c r="G79" s="4"/>
      <c r="H79" s="4"/>
      <c r="I79" s="4"/>
      <c r="J79" s="4"/>
      <c r="K79" s="4"/>
      <c r="L79" s="4"/>
      <c r="M79" s="4"/>
      <c r="N79" s="4"/>
      <c r="O79" s="4"/>
      <c r="P79" s="4"/>
      <c r="Q79" s="4"/>
      <c r="R79" s="4"/>
      <c r="S79" s="4"/>
      <c r="T79" s="4"/>
      <c r="U79" s="4"/>
      <c r="V79" s="4"/>
      <c r="W79" s="4"/>
      <c r="X79" s="4"/>
      <c r="Y79" s="4"/>
      <c r="Z79" s="4"/>
    </row>
    <row r="80" spans="1:26" ht="12.75">
      <c r="A80" s="4"/>
      <c r="B80" s="4"/>
      <c r="C80" s="15"/>
      <c r="D80" s="4"/>
      <c r="E80" s="4"/>
      <c r="F80" s="4"/>
      <c r="G80" s="4"/>
      <c r="H80" s="4"/>
      <c r="I80" s="4"/>
      <c r="J80" s="4"/>
      <c r="K80" s="4"/>
      <c r="L80" s="4"/>
      <c r="M80" s="4"/>
      <c r="N80" s="4"/>
      <c r="O80" s="4"/>
      <c r="P80" s="4"/>
      <c r="Q80" s="4"/>
      <c r="R80" s="4"/>
      <c r="S80" s="4"/>
      <c r="T80" s="4"/>
      <c r="U80" s="4"/>
      <c r="V80" s="4"/>
      <c r="W80" s="4"/>
      <c r="X80" s="4"/>
      <c r="Y80" s="4"/>
      <c r="Z80" s="4"/>
    </row>
    <row r="81" spans="1:26" ht="12.75">
      <c r="A81" s="4"/>
      <c r="B81" s="4"/>
      <c r="C81" s="15"/>
      <c r="D81" s="4"/>
      <c r="E81" s="4"/>
      <c r="F81" s="4"/>
      <c r="G81" s="4"/>
      <c r="H81" s="4"/>
      <c r="I81" s="4"/>
      <c r="J81" s="4"/>
      <c r="K81" s="4"/>
      <c r="L81" s="4"/>
      <c r="M81" s="4"/>
      <c r="N81" s="4"/>
      <c r="O81" s="4"/>
      <c r="P81" s="4"/>
      <c r="Q81" s="4"/>
      <c r="R81" s="4"/>
      <c r="S81" s="4"/>
      <c r="T81" s="4"/>
      <c r="U81" s="4"/>
      <c r="V81" s="4"/>
      <c r="W81" s="4"/>
      <c r="X81" s="4"/>
      <c r="Y81" s="4"/>
      <c r="Z81" s="4"/>
    </row>
    <row r="82" spans="1:26" ht="12.75">
      <c r="A82" s="4"/>
      <c r="B82" s="4"/>
      <c r="C82" s="15"/>
      <c r="D82" s="4"/>
      <c r="E82" s="4"/>
      <c r="F82" s="4"/>
      <c r="G82" s="4"/>
      <c r="H82" s="4"/>
      <c r="I82" s="4"/>
      <c r="J82" s="4"/>
      <c r="K82" s="4"/>
      <c r="L82" s="4"/>
      <c r="M82" s="4"/>
      <c r="N82" s="4"/>
      <c r="O82" s="4"/>
      <c r="P82" s="4"/>
      <c r="Q82" s="4"/>
      <c r="R82" s="4"/>
      <c r="S82" s="4"/>
      <c r="T82" s="4"/>
      <c r="U82" s="4"/>
      <c r="V82" s="4"/>
      <c r="W82" s="4"/>
      <c r="X82" s="4"/>
      <c r="Y82" s="4"/>
      <c r="Z82" s="4"/>
    </row>
    <row r="83" spans="1:26" ht="12.75">
      <c r="A83" s="4"/>
      <c r="B83" s="4"/>
      <c r="C83" s="15"/>
      <c r="D83" s="4"/>
      <c r="E83" s="4"/>
      <c r="F83" s="4"/>
      <c r="G83" s="4"/>
      <c r="H83" s="4"/>
      <c r="I83" s="4"/>
      <c r="J83" s="4"/>
      <c r="K83" s="4"/>
      <c r="L83" s="4"/>
      <c r="M83" s="4"/>
      <c r="N83" s="4"/>
      <c r="O83" s="4"/>
      <c r="P83" s="4"/>
      <c r="Q83" s="4"/>
      <c r="R83" s="4"/>
      <c r="S83" s="4"/>
      <c r="T83" s="4"/>
      <c r="U83" s="4"/>
      <c r="V83" s="4"/>
      <c r="W83" s="4"/>
      <c r="X83" s="4"/>
      <c r="Y83" s="4"/>
      <c r="Z83" s="4"/>
    </row>
    <row r="84" spans="1:26" ht="12.75">
      <c r="A84" s="4"/>
      <c r="B84" s="4"/>
      <c r="C84" s="15"/>
      <c r="D84" s="4"/>
      <c r="E84" s="4"/>
      <c r="F84" s="4"/>
      <c r="G84" s="4"/>
      <c r="H84" s="4"/>
      <c r="I84" s="4"/>
      <c r="J84" s="4"/>
      <c r="K84" s="4"/>
      <c r="L84" s="4"/>
      <c r="M84" s="4"/>
      <c r="N84" s="4"/>
      <c r="O84" s="4"/>
      <c r="P84" s="4"/>
      <c r="Q84" s="4"/>
      <c r="R84" s="4"/>
      <c r="S84" s="4"/>
      <c r="T84" s="4"/>
      <c r="U84" s="4"/>
      <c r="V84" s="4"/>
      <c r="W84" s="4"/>
      <c r="X84" s="4"/>
      <c r="Y84" s="4"/>
      <c r="Z84" s="4"/>
    </row>
    <row r="85" spans="1:26" ht="12.75">
      <c r="A85" s="4"/>
      <c r="B85" s="4"/>
      <c r="C85" s="15"/>
      <c r="D85" s="4"/>
      <c r="E85" s="4"/>
      <c r="F85" s="4"/>
      <c r="G85" s="4"/>
      <c r="H85" s="4"/>
      <c r="I85" s="4"/>
      <c r="J85" s="4"/>
      <c r="K85" s="4"/>
      <c r="L85" s="4"/>
      <c r="M85" s="4"/>
      <c r="N85" s="4"/>
      <c r="O85" s="4"/>
      <c r="P85" s="4"/>
      <c r="Q85" s="4"/>
      <c r="R85" s="4"/>
      <c r="S85" s="4"/>
      <c r="T85" s="4"/>
      <c r="U85" s="4"/>
      <c r="V85" s="4"/>
      <c r="W85" s="4"/>
      <c r="X85" s="4"/>
      <c r="Y85" s="4"/>
      <c r="Z85" s="4"/>
    </row>
    <row r="86" spans="1:26" ht="12.75">
      <c r="A86" s="4"/>
      <c r="B86" s="4"/>
      <c r="C86" s="15"/>
      <c r="D86" s="4"/>
      <c r="E86" s="4"/>
      <c r="F86" s="4"/>
      <c r="G86" s="4"/>
      <c r="H86" s="4"/>
      <c r="I86" s="4"/>
      <c r="J86" s="4"/>
      <c r="K86" s="4"/>
      <c r="L86" s="4"/>
      <c r="M86" s="4"/>
      <c r="N86" s="4"/>
      <c r="O86" s="4"/>
      <c r="P86" s="4"/>
      <c r="Q86" s="4"/>
      <c r="R86" s="4"/>
      <c r="S86" s="4"/>
      <c r="T86" s="4"/>
      <c r="U86" s="4"/>
      <c r="V86" s="4"/>
      <c r="W86" s="4"/>
      <c r="X86" s="4"/>
      <c r="Y86" s="4"/>
      <c r="Z86" s="4"/>
    </row>
    <row r="87" spans="1:26" ht="12.75">
      <c r="A87" s="4"/>
      <c r="B87" s="4"/>
      <c r="C87" s="15"/>
      <c r="D87" s="4"/>
      <c r="E87" s="4"/>
      <c r="F87" s="4"/>
      <c r="G87" s="4"/>
      <c r="H87" s="4"/>
      <c r="I87" s="4"/>
      <c r="J87" s="4"/>
      <c r="K87" s="4"/>
      <c r="L87" s="4"/>
      <c r="M87" s="4"/>
      <c r="N87" s="4"/>
      <c r="O87" s="4"/>
      <c r="P87" s="4"/>
      <c r="Q87" s="4"/>
      <c r="R87" s="4"/>
      <c r="S87" s="4"/>
      <c r="T87" s="4"/>
      <c r="U87" s="4"/>
      <c r="V87" s="4"/>
      <c r="W87" s="4"/>
      <c r="X87" s="4"/>
      <c r="Y87" s="4"/>
      <c r="Z87" s="4"/>
    </row>
    <row r="88" spans="1:26" ht="12.75">
      <c r="A88" s="4"/>
      <c r="B88" s="4"/>
      <c r="C88" s="15"/>
      <c r="D88" s="4"/>
      <c r="E88" s="4"/>
      <c r="F88" s="4"/>
      <c r="G88" s="4"/>
      <c r="H88" s="4"/>
      <c r="I88" s="4"/>
      <c r="J88" s="4"/>
      <c r="K88" s="4"/>
      <c r="L88" s="4"/>
      <c r="M88" s="4"/>
      <c r="N88" s="4"/>
      <c r="O88" s="4"/>
      <c r="P88" s="4"/>
      <c r="Q88" s="4"/>
      <c r="R88" s="4"/>
      <c r="S88" s="4"/>
      <c r="T88" s="4"/>
      <c r="U88" s="4"/>
      <c r="V88" s="4"/>
      <c r="W88" s="4"/>
      <c r="X88" s="4"/>
      <c r="Y88" s="4"/>
      <c r="Z88" s="4"/>
    </row>
    <row r="89" spans="1:26" ht="12.75">
      <c r="A89" s="4"/>
      <c r="B89" s="4"/>
      <c r="C89" s="15"/>
      <c r="D89" s="4"/>
      <c r="E89" s="4"/>
      <c r="F89" s="4"/>
      <c r="G89" s="4"/>
      <c r="H89" s="4"/>
      <c r="I89" s="4"/>
      <c r="J89" s="4"/>
      <c r="K89" s="4"/>
      <c r="L89" s="4"/>
      <c r="M89" s="4"/>
      <c r="N89" s="4"/>
      <c r="O89" s="4"/>
      <c r="P89" s="4"/>
      <c r="Q89" s="4"/>
      <c r="R89" s="4"/>
      <c r="S89" s="4"/>
      <c r="T89" s="4"/>
      <c r="U89" s="4"/>
      <c r="V89" s="4"/>
      <c r="W89" s="4"/>
      <c r="X89" s="4"/>
      <c r="Y89" s="4"/>
      <c r="Z89" s="4"/>
    </row>
    <row r="90" spans="1:26" ht="12.75">
      <c r="A90" s="4"/>
      <c r="B90" s="4"/>
      <c r="C90" s="15"/>
      <c r="D90" s="4"/>
      <c r="E90" s="4"/>
      <c r="F90" s="4"/>
      <c r="G90" s="4"/>
      <c r="H90" s="4"/>
      <c r="I90" s="4"/>
      <c r="J90" s="4"/>
      <c r="K90" s="4"/>
      <c r="L90" s="4"/>
      <c r="M90" s="4"/>
      <c r="N90" s="4"/>
      <c r="O90" s="4"/>
      <c r="P90" s="4"/>
      <c r="Q90" s="4"/>
      <c r="R90" s="4"/>
      <c r="S90" s="4"/>
      <c r="T90" s="4"/>
      <c r="U90" s="4"/>
      <c r="V90" s="4"/>
      <c r="W90" s="4"/>
      <c r="X90" s="4"/>
      <c r="Y90" s="4"/>
      <c r="Z90" s="4"/>
    </row>
    <row r="91" spans="1:26" ht="12.75">
      <c r="A91" s="4"/>
      <c r="B91" s="4"/>
      <c r="C91" s="15"/>
      <c r="D91" s="4"/>
      <c r="E91" s="4"/>
      <c r="F91" s="4"/>
      <c r="G91" s="4"/>
      <c r="H91" s="4"/>
      <c r="I91" s="4"/>
      <c r="J91" s="4"/>
      <c r="K91" s="4"/>
      <c r="L91" s="4"/>
      <c r="M91" s="4"/>
      <c r="N91" s="4"/>
      <c r="O91" s="4"/>
      <c r="P91" s="4"/>
      <c r="Q91" s="4"/>
      <c r="R91" s="4"/>
      <c r="S91" s="4"/>
      <c r="T91" s="4"/>
      <c r="U91" s="4"/>
      <c r="V91" s="4"/>
      <c r="W91" s="4"/>
      <c r="X91" s="4"/>
      <c r="Y91" s="4"/>
      <c r="Z91" s="4"/>
    </row>
    <row r="92" spans="1:26" ht="12.75">
      <c r="A92" s="4"/>
      <c r="B92" s="4"/>
      <c r="C92" s="15"/>
      <c r="D92" s="4"/>
      <c r="E92" s="4"/>
      <c r="F92" s="4"/>
      <c r="G92" s="4"/>
      <c r="H92" s="4"/>
      <c r="I92" s="4"/>
      <c r="J92" s="4"/>
      <c r="K92" s="4"/>
      <c r="L92" s="4"/>
      <c r="M92" s="4"/>
      <c r="N92" s="4"/>
      <c r="O92" s="4"/>
      <c r="P92" s="4"/>
      <c r="Q92" s="4"/>
      <c r="R92" s="4"/>
      <c r="S92" s="4"/>
      <c r="T92" s="4"/>
      <c r="U92" s="4"/>
      <c r="V92" s="4"/>
      <c r="W92" s="4"/>
      <c r="X92" s="4"/>
      <c r="Y92" s="4"/>
      <c r="Z92" s="4"/>
    </row>
    <row r="93" spans="1:26" ht="12.75">
      <c r="A93" s="4"/>
      <c r="B93" s="4"/>
      <c r="C93" s="15"/>
      <c r="D93" s="4"/>
      <c r="E93" s="4"/>
      <c r="F93" s="4"/>
      <c r="G93" s="4"/>
      <c r="H93" s="4"/>
      <c r="I93" s="4"/>
      <c r="J93" s="4"/>
      <c r="K93" s="4"/>
      <c r="L93" s="4"/>
      <c r="M93" s="4"/>
      <c r="N93" s="4"/>
      <c r="O93" s="4"/>
      <c r="P93" s="4"/>
      <c r="Q93" s="4"/>
      <c r="R93" s="4"/>
      <c r="S93" s="4"/>
      <c r="T93" s="4"/>
      <c r="U93" s="4"/>
      <c r="V93" s="4"/>
      <c r="W93" s="4"/>
      <c r="X93" s="4"/>
      <c r="Y93" s="4"/>
      <c r="Z93" s="4"/>
    </row>
    <row r="94" spans="1:26" ht="12.75">
      <c r="A94" s="4"/>
      <c r="B94" s="4"/>
      <c r="C94" s="15"/>
      <c r="D94" s="4"/>
      <c r="E94" s="4"/>
      <c r="F94" s="4"/>
      <c r="G94" s="4"/>
      <c r="H94" s="4"/>
      <c r="I94" s="4"/>
      <c r="J94" s="4"/>
      <c r="K94" s="4"/>
      <c r="L94" s="4"/>
      <c r="M94" s="4"/>
      <c r="N94" s="4"/>
      <c r="O94" s="4"/>
      <c r="P94" s="4"/>
      <c r="Q94" s="4"/>
      <c r="R94" s="4"/>
      <c r="S94" s="4"/>
      <c r="T94" s="4"/>
      <c r="U94" s="4"/>
      <c r="V94" s="4"/>
      <c r="W94" s="4"/>
      <c r="X94" s="4"/>
      <c r="Y94" s="4"/>
      <c r="Z94" s="4"/>
    </row>
    <row r="95" spans="1:26" ht="12.75">
      <c r="A95" s="4"/>
      <c r="B95" s="4"/>
      <c r="C95" s="15"/>
      <c r="D95" s="4"/>
      <c r="E95" s="4"/>
      <c r="F95" s="4"/>
      <c r="G95" s="4"/>
      <c r="H95" s="4"/>
      <c r="I95" s="4"/>
      <c r="J95" s="4"/>
      <c r="K95" s="4"/>
      <c r="L95" s="4"/>
      <c r="M95" s="4"/>
      <c r="N95" s="4"/>
      <c r="O95" s="4"/>
      <c r="P95" s="4"/>
      <c r="Q95" s="4"/>
      <c r="R95" s="4"/>
      <c r="S95" s="4"/>
      <c r="T95" s="4"/>
      <c r="U95" s="4"/>
      <c r="V95" s="4"/>
      <c r="W95" s="4"/>
      <c r="X95" s="4"/>
      <c r="Y95" s="4"/>
      <c r="Z95" s="4"/>
    </row>
    <row r="96" spans="1:26" ht="12.75">
      <c r="A96" s="4"/>
      <c r="B96" s="4"/>
      <c r="C96" s="15"/>
      <c r="D96" s="4"/>
      <c r="E96" s="4"/>
      <c r="F96" s="4"/>
      <c r="G96" s="4"/>
      <c r="H96" s="4"/>
      <c r="I96" s="4"/>
      <c r="J96" s="4"/>
      <c r="K96" s="4"/>
      <c r="L96" s="4"/>
      <c r="M96" s="4"/>
      <c r="N96" s="4"/>
      <c r="O96" s="4"/>
      <c r="P96" s="4"/>
      <c r="Q96" s="4"/>
      <c r="R96" s="4"/>
      <c r="S96" s="4"/>
      <c r="T96" s="4"/>
      <c r="U96" s="4"/>
      <c r="V96" s="4"/>
      <c r="W96" s="4"/>
      <c r="X96" s="4"/>
      <c r="Y96" s="4"/>
      <c r="Z96" s="4"/>
    </row>
    <row r="97" spans="1:26" ht="12.75">
      <c r="A97" s="4"/>
      <c r="B97" s="4"/>
      <c r="C97" s="15"/>
      <c r="D97" s="4"/>
      <c r="E97" s="4"/>
      <c r="F97" s="4"/>
      <c r="G97" s="4"/>
      <c r="H97" s="4"/>
      <c r="I97" s="4"/>
      <c r="J97" s="4"/>
      <c r="K97" s="4"/>
      <c r="L97" s="4"/>
      <c r="M97" s="4"/>
      <c r="N97" s="4"/>
      <c r="O97" s="4"/>
      <c r="P97" s="4"/>
      <c r="Q97" s="4"/>
      <c r="R97" s="4"/>
      <c r="S97" s="4"/>
      <c r="T97" s="4"/>
      <c r="U97" s="4"/>
      <c r="V97" s="4"/>
      <c r="W97" s="4"/>
      <c r="X97" s="4"/>
      <c r="Y97" s="4"/>
      <c r="Z97" s="4"/>
    </row>
    <row r="98" spans="1:26" ht="12.75">
      <c r="A98" s="4"/>
      <c r="B98" s="4"/>
      <c r="C98" s="15"/>
      <c r="D98" s="4"/>
      <c r="E98" s="4"/>
      <c r="F98" s="4"/>
      <c r="G98" s="4"/>
      <c r="H98" s="4"/>
      <c r="I98" s="4"/>
      <c r="J98" s="4"/>
      <c r="K98" s="4"/>
      <c r="L98" s="4"/>
      <c r="M98" s="4"/>
      <c r="N98" s="4"/>
      <c r="O98" s="4"/>
      <c r="P98" s="4"/>
      <c r="Q98" s="4"/>
      <c r="R98" s="4"/>
      <c r="S98" s="4"/>
      <c r="T98" s="4"/>
      <c r="U98" s="4"/>
      <c r="V98" s="4"/>
      <c r="W98" s="4"/>
      <c r="X98" s="4"/>
      <c r="Y98" s="4"/>
      <c r="Z98" s="4"/>
    </row>
    <row r="99" spans="1:26" ht="12.75">
      <c r="A99" s="4"/>
      <c r="B99" s="4"/>
      <c r="C99" s="15"/>
      <c r="D99" s="4"/>
      <c r="E99" s="4"/>
      <c r="F99" s="4"/>
      <c r="G99" s="4"/>
      <c r="H99" s="4"/>
      <c r="I99" s="4"/>
      <c r="J99" s="4"/>
      <c r="K99" s="4"/>
      <c r="L99" s="4"/>
      <c r="M99" s="4"/>
      <c r="N99" s="4"/>
      <c r="O99" s="4"/>
      <c r="P99" s="4"/>
      <c r="Q99" s="4"/>
      <c r="R99" s="4"/>
      <c r="S99" s="4"/>
      <c r="T99" s="4"/>
      <c r="U99" s="4"/>
      <c r="V99" s="4"/>
      <c r="W99" s="4"/>
      <c r="X99" s="4"/>
      <c r="Y99" s="4"/>
      <c r="Z99" s="4"/>
    </row>
    <row r="100" spans="1:26" ht="12.75">
      <c r="A100" s="4"/>
      <c r="B100" s="4"/>
      <c r="C100" s="15"/>
      <c r="D100" s="4"/>
      <c r="E100" s="4"/>
      <c r="F100" s="4"/>
      <c r="G100" s="4"/>
      <c r="H100" s="4"/>
      <c r="I100" s="4"/>
      <c r="J100" s="4"/>
      <c r="K100" s="4"/>
      <c r="L100" s="4"/>
      <c r="M100" s="4"/>
      <c r="N100" s="4"/>
      <c r="O100" s="4"/>
      <c r="P100" s="4"/>
      <c r="Q100" s="4"/>
      <c r="R100" s="4"/>
      <c r="S100" s="4"/>
      <c r="T100" s="4"/>
      <c r="U100" s="4"/>
      <c r="V100" s="4"/>
      <c r="W100" s="4"/>
      <c r="X100" s="4"/>
      <c r="Y100" s="4"/>
      <c r="Z100" s="4"/>
    </row>
    <row r="101" spans="1:26" ht="12.75">
      <c r="A101" s="4"/>
      <c r="B101" s="4"/>
      <c r="C101" s="15"/>
      <c r="D101" s="4"/>
      <c r="E101" s="4"/>
      <c r="F101" s="4"/>
      <c r="G101" s="4"/>
      <c r="H101" s="4"/>
      <c r="I101" s="4"/>
      <c r="J101" s="4"/>
      <c r="K101" s="4"/>
      <c r="L101" s="4"/>
      <c r="M101" s="4"/>
      <c r="N101" s="4"/>
      <c r="O101" s="4"/>
      <c r="P101" s="4"/>
      <c r="Q101" s="4"/>
      <c r="R101" s="4"/>
      <c r="S101" s="4"/>
      <c r="T101" s="4"/>
      <c r="U101" s="4"/>
      <c r="V101" s="4"/>
      <c r="W101" s="4"/>
      <c r="X101" s="4"/>
      <c r="Y101" s="4"/>
      <c r="Z101" s="4"/>
    </row>
    <row r="102" spans="1:26" ht="12.75">
      <c r="A102" s="4"/>
      <c r="B102" s="4"/>
      <c r="C102" s="15"/>
      <c r="D102" s="4"/>
      <c r="E102" s="4"/>
      <c r="F102" s="4"/>
      <c r="G102" s="4"/>
      <c r="H102" s="4"/>
      <c r="I102" s="4"/>
      <c r="J102" s="4"/>
      <c r="K102" s="4"/>
      <c r="L102" s="4"/>
      <c r="M102" s="4"/>
      <c r="N102" s="4"/>
      <c r="O102" s="4"/>
      <c r="P102" s="4"/>
      <c r="Q102" s="4"/>
      <c r="R102" s="4"/>
      <c r="S102" s="4"/>
      <c r="T102" s="4"/>
      <c r="U102" s="4"/>
      <c r="V102" s="4"/>
      <c r="W102" s="4"/>
      <c r="X102" s="4"/>
      <c r="Y102" s="4"/>
      <c r="Z102" s="4"/>
    </row>
    <row r="103" spans="1:26" ht="12.75">
      <c r="A103" s="4"/>
      <c r="B103" s="4"/>
      <c r="C103" s="15"/>
      <c r="D103" s="4"/>
      <c r="E103" s="4"/>
      <c r="F103" s="4"/>
      <c r="G103" s="4"/>
      <c r="H103" s="4"/>
      <c r="I103" s="4"/>
      <c r="J103" s="4"/>
      <c r="K103" s="4"/>
      <c r="L103" s="4"/>
      <c r="M103" s="4"/>
      <c r="N103" s="4"/>
      <c r="O103" s="4"/>
      <c r="P103" s="4"/>
      <c r="Q103" s="4"/>
      <c r="R103" s="4"/>
      <c r="S103" s="4"/>
      <c r="T103" s="4"/>
      <c r="U103" s="4"/>
      <c r="V103" s="4"/>
      <c r="W103" s="4"/>
      <c r="X103" s="4"/>
      <c r="Y103" s="4"/>
      <c r="Z103" s="4"/>
    </row>
    <row r="104" spans="1:26" ht="12.75">
      <c r="A104" s="4"/>
      <c r="B104" s="4"/>
      <c r="C104" s="15"/>
      <c r="D104" s="4"/>
      <c r="E104" s="4"/>
      <c r="F104" s="4"/>
      <c r="G104" s="4"/>
      <c r="H104" s="4"/>
      <c r="I104" s="4"/>
      <c r="J104" s="4"/>
      <c r="K104" s="4"/>
      <c r="L104" s="4"/>
      <c r="M104" s="4"/>
      <c r="N104" s="4"/>
      <c r="O104" s="4"/>
      <c r="P104" s="4"/>
      <c r="Q104" s="4"/>
      <c r="R104" s="4"/>
      <c r="S104" s="4"/>
      <c r="T104" s="4"/>
      <c r="U104" s="4"/>
      <c r="V104" s="4"/>
      <c r="W104" s="4"/>
      <c r="X104" s="4"/>
      <c r="Y104" s="4"/>
      <c r="Z104" s="4"/>
    </row>
    <row r="105" spans="1:26" ht="12.75">
      <c r="A105" s="4"/>
      <c r="B105" s="4"/>
      <c r="C105" s="15"/>
      <c r="D105" s="4"/>
      <c r="E105" s="4"/>
      <c r="F105" s="4"/>
      <c r="G105" s="4"/>
      <c r="H105" s="4"/>
      <c r="I105" s="4"/>
      <c r="J105" s="4"/>
      <c r="K105" s="4"/>
      <c r="L105" s="4"/>
      <c r="M105" s="4"/>
      <c r="N105" s="4"/>
      <c r="O105" s="4"/>
      <c r="P105" s="4"/>
      <c r="Q105" s="4"/>
      <c r="R105" s="4"/>
      <c r="S105" s="4"/>
      <c r="T105" s="4"/>
      <c r="U105" s="4"/>
      <c r="V105" s="4"/>
      <c r="W105" s="4"/>
      <c r="X105" s="4"/>
      <c r="Y105" s="4"/>
      <c r="Z105" s="4"/>
    </row>
    <row r="106" spans="1:26" ht="12.75">
      <c r="A106" s="4"/>
      <c r="B106" s="4"/>
      <c r="C106" s="15"/>
      <c r="D106" s="4"/>
      <c r="E106" s="4"/>
      <c r="F106" s="4"/>
      <c r="G106" s="4"/>
      <c r="H106" s="4"/>
      <c r="I106" s="4"/>
      <c r="J106" s="4"/>
      <c r="K106" s="4"/>
      <c r="L106" s="4"/>
      <c r="M106" s="4"/>
      <c r="N106" s="4"/>
      <c r="O106" s="4"/>
      <c r="P106" s="4"/>
      <c r="Q106" s="4"/>
      <c r="R106" s="4"/>
      <c r="S106" s="4"/>
      <c r="T106" s="4"/>
      <c r="U106" s="4"/>
      <c r="V106" s="4"/>
      <c r="W106" s="4"/>
      <c r="X106" s="4"/>
      <c r="Y106" s="4"/>
      <c r="Z106" s="4"/>
    </row>
    <row r="107" spans="1:26" ht="12.75">
      <c r="A107" s="4"/>
      <c r="B107" s="4"/>
      <c r="C107" s="15"/>
      <c r="D107" s="4"/>
      <c r="E107" s="4"/>
      <c r="F107" s="4"/>
      <c r="G107" s="4"/>
      <c r="H107" s="4"/>
      <c r="I107" s="4"/>
      <c r="J107" s="4"/>
      <c r="K107" s="4"/>
      <c r="L107" s="4"/>
      <c r="M107" s="4"/>
      <c r="N107" s="4"/>
      <c r="O107" s="4"/>
      <c r="P107" s="4"/>
      <c r="Q107" s="4"/>
      <c r="R107" s="4"/>
      <c r="S107" s="4"/>
      <c r="T107" s="4"/>
      <c r="U107" s="4"/>
      <c r="V107" s="4"/>
      <c r="W107" s="4"/>
      <c r="X107" s="4"/>
      <c r="Y107" s="4"/>
      <c r="Z107" s="4"/>
    </row>
    <row r="108" spans="1:26" ht="12.75">
      <c r="A108" s="4"/>
      <c r="B108" s="4"/>
      <c r="C108" s="15"/>
      <c r="D108" s="4"/>
      <c r="E108" s="4"/>
      <c r="F108" s="4"/>
      <c r="G108" s="4"/>
      <c r="H108" s="4"/>
      <c r="I108" s="4"/>
      <c r="J108" s="4"/>
      <c r="K108" s="4"/>
      <c r="L108" s="4"/>
      <c r="M108" s="4"/>
      <c r="N108" s="4"/>
      <c r="O108" s="4"/>
      <c r="P108" s="4"/>
      <c r="Q108" s="4"/>
      <c r="R108" s="4"/>
      <c r="S108" s="4"/>
      <c r="T108" s="4"/>
      <c r="U108" s="4"/>
      <c r="V108" s="4"/>
      <c r="W108" s="4"/>
      <c r="X108" s="4"/>
      <c r="Y108" s="4"/>
      <c r="Z108" s="4"/>
    </row>
    <row r="109" spans="1:26" ht="12.75">
      <c r="A109" s="4"/>
      <c r="B109" s="4"/>
      <c r="C109" s="15"/>
      <c r="D109" s="4"/>
      <c r="E109" s="4"/>
      <c r="F109" s="4"/>
      <c r="G109" s="4"/>
      <c r="H109" s="4"/>
      <c r="I109" s="4"/>
      <c r="J109" s="4"/>
      <c r="K109" s="4"/>
      <c r="L109" s="4"/>
      <c r="M109" s="4"/>
      <c r="N109" s="4"/>
      <c r="O109" s="4"/>
      <c r="P109" s="4"/>
      <c r="Q109" s="4"/>
      <c r="R109" s="4"/>
      <c r="S109" s="4"/>
      <c r="T109" s="4"/>
      <c r="U109" s="4"/>
      <c r="V109" s="4"/>
      <c r="W109" s="4"/>
      <c r="X109" s="4"/>
      <c r="Y109" s="4"/>
      <c r="Z109" s="4"/>
    </row>
    <row r="110" spans="1:26" ht="12.75">
      <c r="A110" s="4"/>
      <c r="B110" s="4"/>
      <c r="C110" s="15"/>
      <c r="D110" s="4"/>
      <c r="E110" s="4"/>
      <c r="F110" s="4"/>
      <c r="G110" s="4"/>
      <c r="H110" s="4"/>
      <c r="I110" s="4"/>
      <c r="J110" s="4"/>
      <c r="K110" s="4"/>
      <c r="L110" s="4"/>
      <c r="M110" s="4"/>
      <c r="N110" s="4"/>
      <c r="O110" s="4"/>
      <c r="P110" s="4"/>
      <c r="Q110" s="4"/>
      <c r="R110" s="4"/>
      <c r="S110" s="4"/>
      <c r="T110" s="4"/>
      <c r="U110" s="4"/>
      <c r="V110" s="4"/>
      <c r="W110" s="4"/>
      <c r="X110" s="4"/>
      <c r="Y110" s="4"/>
      <c r="Z110" s="4"/>
    </row>
    <row r="111" spans="1:26" ht="12.75">
      <c r="A111" s="4"/>
      <c r="B111" s="4"/>
      <c r="C111" s="15"/>
      <c r="D111" s="4"/>
      <c r="E111" s="4"/>
      <c r="F111" s="4"/>
      <c r="G111" s="4"/>
      <c r="H111" s="4"/>
      <c r="I111" s="4"/>
      <c r="J111" s="4"/>
      <c r="K111" s="4"/>
      <c r="L111" s="4"/>
      <c r="M111" s="4"/>
      <c r="N111" s="4"/>
      <c r="O111" s="4"/>
      <c r="P111" s="4"/>
      <c r="Q111" s="4"/>
      <c r="R111" s="4"/>
      <c r="S111" s="4"/>
      <c r="T111" s="4"/>
      <c r="U111" s="4"/>
      <c r="V111" s="4"/>
      <c r="W111" s="4"/>
      <c r="X111" s="4"/>
      <c r="Y111" s="4"/>
      <c r="Z111" s="4"/>
    </row>
    <row r="112" spans="1:26" ht="12.75">
      <c r="A112" s="4"/>
      <c r="B112" s="4"/>
      <c r="C112" s="15"/>
      <c r="D112" s="4"/>
      <c r="E112" s="4"/>
      <c r="F112" s="4"/>
      <c r="G112" s="4"/>
      <c r="H112" s="4"/>
      <c r="I112" s="4"/>
      <c r="J112" s="4"/>
      <c r="K112" s="4"/>
      <c r="L112" s="4"/>
      <c r="M112" s="4"/>
      <c r="N112" s="4"/>
      <c r="O112" s="4"/>
      <c r="P112" s="4"/>
      <c r="Q112" s="4"/>
      <c r="R112" s="4"/>
      <c r="S112" s="4"/>
      <c r="T112" s="4"/>
      <c r="U112" s="4"/>
      <c r="V112" s="4"/>
      <c r="W112" s="4"/>
      <c r="X112" s="4"/>
      <c r="Y112" s="4"/>
      <c r="Z112" s="4"/>
    </row>
    <row r="113" spans="1:26" ht="12.75">
      <c r="A113" s="4"/>
      <c r="B113" s="4"/>
      <c r="C113" s="15"/>
      <c r="D113" s="4"/>
      <c r="E113" s="4"/>
      <c r="F113" s="4"/>
      <c r="G113" s="4"/>
      <c r="H113" s="4"/>
      <c r="I113" s="4"/>
      <c r="J113" s="4"/>
      <c r="K113" s="4"/>
      <c r="L113" s="4"/>
      <c r="M113" s="4"/>
      <c r="N113" s="4"/>
      <c r="O113" s="4"/>
      <c r="P113" s="4"/>
      <c r="Q113" s="4"/>
      <c r="R113" s="4"/>
      <c r="S113" s="4"/>
      <c r="T113" s="4"/>
      <c r="U113" s="4"/>
      <c r="V113" s="4"/>
      <c r="W113" s="4"/>
      <c r="X113" s="4"/>
      <c r="Y113" s="4"/>
      <c r="Z113" s="4"/>
    </row>
    <row r="114" spans="1:26" ht="12.75">
      <c r="A114" s="4"/>
      <c r="B114" s="4"/>
      <c r="C114" s="15"/>
      <c r="D114" s="4"/>
      <c r="E114" s="4"/>
      <c r="F114" s="4"/>
      <c r="G114" s="4"/>
      <c r="H114" s="4"/>
      <c r="I114" s="4"/>
      <c r="J114" s="4"/>
      <c r="K114" s="4"/>
      <c r="L114" s="4"/>
      <c r="M114" s="4"/>
      <c r="N114" s="4"/>
      <c r="O114" s="4"/>
      <c r="P114" s="4"/>
      <c r="Q114" s="4"/>
      <c r="R114" s="4"/>
      <c r="S114" s="4"/>
      <c r="T114" s="4"/>
      <c r="U114" s="4"/>
      <c r="V114" s="4"/>
      <c r="W114" s="4"/>
      <c r="X114" s="4"/>
      <c r="Y114" s="4"/>
      <c r="Z114" s="4"/>
    </row>
    <row r="115" spans="1:26" ht="12.75">
      <c r="A115" s="4"/>
      <c r="B115" s="4"/>
      <c r="C115" s="15"/>
      <c r="D115" s="4"/>
      <c r="E115" s="4"/>
      <c r="F115" s="4"/>
      <c r="G115" s="4"/>
      <c r="H115" s="4"/>
      <c r="I115" s="4"/>
      <c r="J115" s="4"/>
      <c r="K115" s="4"/>
      <c r="L115" s="4"/>
      <c r="M115" s="4"/>
      <c r="N115" s="4"/>
      <c r="O115" s="4"/>
      <c r="P115" s="4"/>
      <c r="Q115" s="4"/>
      <c r="R115" s="4"/>
      <c r="S115" s="4"/>
      <c r="T115" s="4"/>
      <c r="U115" s="4"/>
      <c r="V115" s="4"/>
      <c r="W115" s="4"/>
      <c r="X115" s="4"/>
      <c r="Y115" s="4"/>
      <c r="Z115" s="4"/>
    </row>
    <row r="116" spans="1:26" ht="12.75">
      <c r="A116" s="4"/>
      <c r="B116" s="4"/>
      <c r="C116" s="15"/>
      <c r="D116" s="4"/>
      <c r="E116" s="4"/>
      <c r="F116" s="4"/>
      <c r="G116" s="4"/>
      <c r="H116" s="4"/>
      <c r="I116" s="4"/>
      <c r="J116" s="4"/>
      <c r="K116" s="4"/>
      <c r="L116" s="4"/>
      <c r="M116" s="4"/>
      <c r="N116" s="4"/>
      <c r="O116" s="4"/>
      <c r="P116" s="4"/>
      <c r="Q116" s="4"/>
      <c r="R116" s="4"/>
      <c r="S116" s="4"/>
      <c r="T116" s="4"/>
      <c r="U116" s="4"/>
      <c r="V116" s="4"/>
      <c r="W116" s="4"/>
      <c r="X116" s="4"/>
      <c r="Y116" s="4"/>
      <c r="Z116" s="4"/>
    </row>
    <row r="117" spans="1:26" ht="12.75">
      <c r="A117" s="4"/>
      <c r="B117" s="4"/>
      <c r="C117" s="15"/>
      <c r="D117" s="4"/>
      <c r="E117" s="4"/>
      <c r="F117" s="4"/>
      <c r="G117" s="4"/>
      <c r="H117" s="4"/>
      <c r="I117" s="4"/>
      <c r="J117" s="4"/>
      <c r="K117" s="4"/>
      <c r="L117" s="4"/>
      <c r="M117" s="4"/>
      <c r="N117" s="4"/>
      <c r="O117" s="4"/>
      <c r="P117" s="4"/>
      <c r="Q117" s="4"/>
      <c r="R117" s="4"/>
      <c r="S117" s="4"/>
      <c r="T117" s="4"/>
      <c r="U117" s="4"/>
      <c r="V117" s="4"/>
      <c r="W117" s="4"/>
      <c r="X117" s="4"/>
      <c r="Y117" s="4"/>
      <c r="Z117" s="4"/>
    </row>
    <row r="118" spans="1:26" ht="12.75">
      <c r="A118" s="4"/>
      <c r="B118" s="4"/>
      <c r="C118" s="15"/>
      <c r="D118" s="4"/>
      <c r="E118" s="4"/>
      <c r="F118" s="4"/>
      <c r="G118" s="4"/>
      <c r="H118" s="4"/>
      <c r="I118" s="4"/>
      <c r="J118" s="4"/>
      <c r="K118" s="4"/>
      <c r="L118" s="4"/>
      <c r="M118" s="4"/>
      <c r="N118" s="4"/>
      <c r="O118" s="4"/>
      <c r="P118" s="4"/>
      <c r="Q118" s="4"/>
      <c r="R118" s="4"/>
      <c r="S118" s="4"/>
      <c r="T118" s="4"/>
      <c r="U118" s="4"/>
      <c r="V118" s="4"/>
      <c r="W118" s="4"/>
      <c r="X118" s="4"/>
      <c r="Y118" s="4"/>
      <c r="Z118" s="4"/>
    </row>
    <row r="119" spans="1:26" ht="12.75">
      <c r="A119" s="4"/>
      <c r="B119" s="4"/>
      <c r="C119" s="15"/>
      <c r="D119" s="4"/>
      <c r="E119" s="4"/>
      <c r="F119" s="4"/>
      <c r="G119" s="4"/>
      <c r="H119" s="4"/>
      <c r="I119" s="4"/>
      <c r="J119" s="4"/>
      <c r="K119" s="4"/>
      <c r="L119" s="4"/>
      <c r="M119" s="4"/>
      <c r="N119" s="4"/>
      <c r="O119" s="4"/>
      <c r="P119" s="4"/>
      <c r="Q119" s="4"/>
      <c r="R119" s="4"/>
      <c r="S119" s="4"/>
      <c r="T119" s="4"/>
      <c r="U119" s="4"/>
      <c r="V119" s="4"/>
      <c r="W119" s="4"/>
      <c r="X119" s="4"/>
      <c r="Y119" s="4"/>
      <c r="Z119" s="4"/>
    </row>
    <row r="120" spans="1:26" ht="12.75">
      <c r="A120" s="4"/>
      <c r="B120" s="4"/>
      <c r="C120" s="15"/>
      <c r="D120" s="4"/>
      <c r="E120" s="4"/>
      <c r="F120" s="4"/>
      <c r="G120" s="4"/>
      <c r="H120" s="4"/>
      <c r="I120" s="4"/>
      <c r="J120" s="4"/>
      <c r="K120" s="4"/>
      <c r="L120" s="4"/>
      <c r="M120" s="4"/>
      <c r="N120" s="4"/>
      <c r="O120" s="4"/>
      <c r="P120" s="4"/>
      <c r="Q120" s="4"/>
      <c r="R120" s="4"/>
      <c r="S120" s="4"/>
      <c r="T120" s="4"/>
      <c r="U120" s="4"/>
      <c r="V120" s="4"/>
      <c r="W120" s="4"/>
      <c r="X120" s="4"/>
      <c r="Y120" s="4"/>
      <c r="Z120" s="4"/>
    </row>
    <row r="121" spans="1:26" ht="12.75">
      <c r="A121" s="4"/>
      <c r="B121" s="4"/>
      <c r="C121" s="15"/>
      <c r="D121" s="4"/>
      <c r="E121" s="4"/>
      <c r="F121" s="4"/>
      <c r="G121" s="4"/>
      <c r="H121" s="4"/>
      <c r="I121" s="4"/>
      <c r="J121" s="4"/>
      <c r="K121" s="4"/>
      <c r="L121" s="4"/>
      <c r="M121" s="4"/>
      <c r="N121" s="4"/>
      <c r="O121" s="4"/>
      <c r="P121" s="4"/>
      <c r="Q121" s="4"/>
      <c r="R121" s="4"/>
      <c r="S121" s="4"/>
      <c r="T121" s="4"/>
      <c r="U121" s="4"/>
      <c r="V121" s="4"/>
      <c r="W121" s="4"/>
      <c r="X121" s="4"/>
      <c r="Y121" s="4"/>
      <c r="Z121" s="4"/>
    </row>
    <row r="122" spans="1:26" ht="12.75">
      <c r="A122" s="4"/>
      <c r="B122" s="4"/>
      <c r="C122" s="15"/>
      <c r="D122" s="4"/>
      <c r="E122" s="4"/>
      <c r="F122" s="4"/>
      <c r="G122" s="4"/>
      <c r="H122" s="4"/>
      <c r="I122" s="4"/>
      <c r="J122" s="4"/>
      <c r="K122" s="4"/>
      <c r="L122" s="4"/>
      <c r="M122" s="4"/>
      <c r="N122" s="4"/>
      <c r="O122" s="4"/>
      <c r="P122" s="4"/>
      <c r="Q122" s="4"/>
      <c r="R122" s="4"/>
      <c r="S122" s="4"/>
      <c r="T122" s="4"/>
      <c r="U122" s="4"/>
      <c r="V122" s="4"/>
      <c r="W122" s="4"/>
      <c r="X122" s="4"/>
      <c r="Y122" s="4"/>
      <c r="Z122" s="4"/>
    </row>
    <row r="123" spans="1:26" ht="12.75">
      <c r="A123" s="4"/>
      <c r="B123" s="4"/>
      <c r="C123" s="15"/>
      <c r="D123" s="4"/>
      <c r="E123" s="4"/>
      <c r="F123" s="4"/>
      <c r="G123" s="4"/>
      <c r="H123" s="4"/>
      <c r="I123" s="4"/>
      <c r="J123" s="4"/>
      <c r="K123" s="4"/>
      <c r="L123" s="4"/>
      <c r="M123" s="4"/>
      <c r="N123" s="4"/>
      <c r="O123" s="4"/>
      <c r="P123" s="4"/>
      <c r="Q123" s="4"/>
      <c r="R123" s="4"/>
      <c r="S123" s="4"/>
      <c r="T123" s="4"/>
      <c r="U123" s="4"/>
      <c r="V123" s="4"/>
      <c r="W123" s="4"/>
      <c r="X123" s="4"/>
      <c r="Y123" s="4"/>
      <c r="Z123" s="4"/>
    </row>
    <row r="124" spans="1:26" ht="12.75">
      <c r="A124" s="4"/>
      <c r="B124" s="4"/>
      <c r="C124" s="15"/>
      <c r="D124" s="4"/>
      <c r="E124" s="4"/>
      <c r="F124" s="4"/>
      <c r="G124" s="4"/>
      <c r="H124" s="4"/>
      <c r="I124" s="4"/>
      <c r="J124" s="4"/>
      <c r="K124" s="4"/>
      <c r="L124" s="4"/>
      <c r="M124" s="4"/>
      <c r="N124" s="4"/>
      <c r="O124" s="4"/>
      <c r="P124" s="4"/>
      <c r="Q124" s="4"/>
      <c r="R124" s="4"/>
      <c r="S124" s="4"/>
      <c r="T124" s="4"/>
      <c r="U124" s="4"/>
      <c r="V124" s="4"/>
      <c r="W124" s="4"/>
      <c r="X124" s="4"/>
      <c r="Y124" s="4"/>
      <c r="Z124" s="4"/>
    </row>
    <row r="125" spans="1:26" ht="12.75">
      <c r="A125" s="4"/>
      <c r="B125" s="4"/>
      <c r="C125" s="15"/>
      <c r="D125" s="4"/>
      <c r="E125" s="4"/>
      <c r="F125" s="4"/>
      <c r="G125" s="4"/>
      <c r="H125" s="4"/>
      <c r="I125" s="4"/>
      <c r="J125" s="4"/>
      <c r="K125" s="4"/>
      <c r="L125" s="4"/>
      <c r="M125" s="4"/>
      <c r="N125" s="4"/>
      <c r="O125" s="4"/>
      <c r="P125" s="4"/>
      <c r="Q125" s="4"/>
      <c r="R125" s="4"/>
      <c r="S125" s="4"/>
      <c r="T125" s="4"/>
      <c r="U125" s="4"/>
      <c r="V125" s="4"/>
      <c r="W125" s="4"/>
      <c r="X125" s="4"/>
      <c r="Y125" s="4"/>
      <c r="Z125" s="4"/>
    </row>
    <row r="126" spans="1:26" ht="12.75">
      <c r="A126" s="4"/>
      <c r="B126" s="4"/>
      <c r="C126" s="15"/>
      <c r="D126" s="4"/>
      <c r="E126" s="4"/>
      <c r="F126" s="4"/>
      <c r="G126" s="4"/>
      <c r="H126" s="4"/>
      <c r="I126" s="4"/>
      <c r="J126" s="4"/>
      <c r="K126" s="4"/>
      <c r="L126" s="4"/>
      <c r="M126" s="4"/>
      <c r="N126" s="4"/>
      <c r="O126" s="4"/>
      <c r="P126" s="4"/>
      <c r="Q126" s="4"/>
      <c r="R126" s="4"/>
      <c r="S126" s="4"/>
      <c r="T126" s="4"/>
      <c r="U126" s="4"/>
      <c r="V126" s="4"/>
      <c r="W126" s="4"/>
      <c r="X126" s="4"/>
      <c r="Y126" s="4"/>
      <c r="Z126" s="4"/>
    </row>
    <row r="127" spans="1:26" ht="12.75">
      <c r="A127" s="4"/>
      <c r="B127" s="4"/>
      <c r="C127" s="15"/>
      <c r="D127" s="4"/>
      <c r="E127" s="4"/>
      <c r="F127" s="4"/>
      <c r="G127" s="4"/>
      <c r="H127" s="4"/>
      <c r="I127" s="4"/>
      <c r="J127" s="4"/>
      <c r="K127" s="4"/>
      <c r="L127" s="4"/>
      <c r="M127" s="4"/>
      <c r="N127" s="4"/>
      <c r="O127" s="4"/>
      <c r="P127" s="4"/>
      <c r="Q127" s="4"/>
      <c r="R127" s="4"/>
      <c r="S127" s="4"/>
      <c r="T127" s="4"/>
      <c r="U127" s="4"/>
      <c r="V127" s="4"/>
      <c r="W127" s="4"/>
      <c r="X127" s="4"/>
      <c r="Y127" s="4"/>
      <c r="Z127" s="4"/>
    </row>
    <row r="128" spans="1:26" ht="12.75">
      <c r="A128" s="4"/>
      <c r="B128" s="4"/>
      <c r="C128" s="15"/>
      <c r="D128" s="4"/>
      <c r="E128" s="4"/>
      <c r="F128" s="4"/>
      <c r="G128" s="4"/>
      <c r="H128" s="4"/>
      <c r="I128" s="4"/>
      <c r="J128" s="4"/>
      <c r="K128" s="4"/>
      <c r="L128" s="4"/>
      <c r="M128" s="4"/>
      <c r="N128" s="4"/>
      <c r="O128" s="4"/>
      <c r="P128" s="4"/>
      <c r="Q128" s="4"/>
      <c r="R128" s="4"/>
      <c r="S128" s="4"/>
      <c r="T128" s="4"/>
      <c r="U128" s="4"/>
      <c r="V128" s="4"/>
      <c r="W128" s="4"/>
      <c r="X128" s="4"/>
      <c r="Y128" s="4"/>
      <c r="Z128" s="4"/>
    </row>
    <row r="129" spans="1:26" ht="12.75">
      <c r="A129" s="4"/>
      <c r="B129" s="4"/>
      <c r="C129" s="15"/>
      <c r="D129" s="4"/>
      <c r="E129" s="4"/>
      <c r="F129" s="4"/>
      <c r="G129" s="4"/>
      <c r="H129" s="4"/>
      <c r="I129" s="4"/>
      <c r="J129" s="4"/>
      <c r="K129" s="4"/>
      <c r="L129" s="4"/>
      <c r="M129" s="4"/>
      <c r="N129" s="4"/>
      <c r="O129" s="4"/>
      <c r="P129" s="4"/>
      <c r="Q129" s="4"/>
      <c r="R129" s="4"/>
      <c r="S129" s="4"/>
      <c r="T129" s="4"/>
      <c r="U129" s="4"/>
      <c r="V129" s="4"/>
      <c r="W129" s="4"/>
      <c r="X129" s="4"/>
      <c r="Y129" s="4"/>
      <c r="Z129" s="4"/>
    </row>
    <row r="130" spans="1:26" ht="12.75">
      <c r="A130" s="4"/>
      <c r="B130" s="4"/>
      <c r="C130" s="15"/>
      <c r="D130" s="4"/>
      <c r="E130" s="4"/>
      <c r="F130" s="4"/>
      <c r="G130" s="4"/>
      <c r="H130" s="4"/>
      <c r="I130" s="4"/>
      <c r="J130" s="4"/>
      <c r="K130" s="4"/>
      <c r="L130" s="4"/>
      <c r="M130" s="4"/>
      <c r="N130" s="4"/>
      <c r="O130" s="4"/>
      <c r="P130" s="4"/>
      <c r="Q130" s="4"/>
      <c r="R130" s="4"/>
      <c r="S130" s="4"/>
      <c r="T130" s="4"/>
      <c r="U130" s="4"/>
      <c r="V130" s="4"/>
      <c r="W130" s="4"/>
      <c r="X130" s="4"/>
      <c r="Y130" s="4"/>
      <c r="Z130" s="4"/>
    </row>
    <row r="131" spans="1:26" ht="12.75">
      <c r="A131" s="4"/>
      <c r="B131" s="4"/>
      <c r="C131" s="15"/>
      <c r="D131" s="4"/>
      <c r="E131" s="4"/>
      <c r="F131" s="4"/>
      <c r="G131" s="4"/>
      <c r="H131" s="4"/>
      <c r="I131" s="4"/>
      <c r="J131" s="4"/>
      <c r="K131" s="4"/>
      <c r="L131" s="4"/>
      <c r="M131" s="4"/>
      <c r="N131" s="4"/>
      <c r="O131" s="4"/>
      <c r="P131" s="4"/>
      <c r="Q131" s="4"/>
      <c r="R131" s="4"/>
      <c r="S131" s="4"/>
      <c r="T131" s="4"/>
      <c r="U131" s="4"/>
      <c r="V131" s="4"/>
      <c r="W131" s="4"/>
      <c r="X131" s="4"/>
      <c r="Y131" s="4"/>
      <c r="Z131" s="4"/>
    </row>
    <row r="132" spans="1:26" ht="12.75">
      <c r="A132" s="4"/>
      <c r="B132" s="4"/>
      <c r="C132" s="15"/>
      <c r="D132" s="4"/>
      <c r="E132" s="4"/>
      <c r="F132" s="4"/>
      <c r="G132" s="4"/>
      <c r="H132" s="4"/>
      <c r="I132" s="4"/>
      <c r="J132" s="4"/>
      <c r="K132" s="4"/>
      <c r="L132" s="4"/>
      <c r="M132" s="4"/>
      <c r="N132" s="4"/>
      <c r="O132" s="4"/>
      <c r="P132" s="4"/>
      <c r="Q132" s="4"/>
      <c r="R132" s="4"/>
      <c r="S132" s="4"/>
      <c r="T132" s="4"/>
      <c r="U132" s="4"/>
      <c r="V132" s="4"/>
      <c r="W132" s="4"/>
      <c r="X132" s="4"/>
      <c r="Y132" s="4"/>
      <c r="Z132" s="4"/>
    </row>
    <row r="133" spans="1:26" ht="12.75">
      <c r="A133" s="4"/>
      <c r="B133" s="4"/>
      <c r="C133" s="15"/>
      <c r="D133" s="4"/>
      <c r="E133" s="4"/>
      <c r="F133" s="4"/>
      <c r="G133" s="4"/>
      <c r="H133" s="4"/>
      <c r="I133" s="4"/>
      <c r="J133" s="4"/>
      <c r="K133" s="4"/>
      <c r="L133" s="4"/>
      <c r="M133" s="4"/>
      <c r="N133" s="4"/>
      <c r="O133" s="4"/>
      <c r="P133" s="4"/>
      <c r="Q133" s="4"/>
      <c r="R133" s="4"/>
      <c r="S133" s="4"/>
      <c r="T133" s="4"/>
      <c r="U133" s="4"/>
      <c r="V133" s="4"/>
      <c r="W133" s="4"/>
      <c r="X133" s="4"/>
      <c r="Y133" s="4"/>
      <c r="Z133" s="4"/>
    </row>
    <row r="134" spans="1:26" ht="12.75">
      <c r="A134" s="4"/>
      <c r="B134" s="4"/>
      <c r="C134" s="15"/>
      <c r="D134" s="4"/>
      <c r="E134" s="4"/>
      <c r="F134" s="4"/>
      <c r="G134" s="4"/>
      <c r="H134" s="4"/>
      <c r="I134" s="4"/>
      <c r="J134" s="4"/>
      <c r="K134" s="4"/>
      <c r="L134" s="4"/>
      <c r="M134" s="4"/>
      <c r="N134" s="4"/>
      <c r="O134" s="4"/>
      <c r="P134" s="4"/>
      <c r="Q134" s="4"/>
      <c r="R134" s="4"/>
      <c r="S134" s="4"/>
      <c r="T134" s="4"/>
      <c r="U134" s="4"/>
      <c r="V134" s="4"/>
      <c r="W134" s="4"/>
      <c r="X134" s="4"/>
      <c r="Y134" s="4"/>
      <c r="Z134" s="4"/>
    </row>
    <row r="135" spans="1:26" ht="12.75">
      <c r="A135" s="4"/>
      <c r="B135" s="4"/>
      <c r="C135" s="15"/>
      <c r="D135" s="4"/>
      <c r="E135" s="4"/>
      <c r="F135" s="4"/>
      <c r="G135" s="4"/>
      <c r="H135" s="4"/>
      <c r="I135" s="4"/>
      <c r="J135" s="4"/>
      <c r="K135" s="4"/>
      <c r="L135" s="4"/>
      <c r="M135" s="4"/>
      <c r="N135" s="4"/>
      <c r="O135" s="4"/>
      <c r="P135" s="4"/>
      <c r="Q135" s="4"/>
      <c r="R135" s="4"/>
      <c r="S135" s="4"/>
      <c r="T135" s="4"/>
      <c r="U135" s="4"/>
      <c r="V135" s="4"/>
      <c r="W135" s="4"/>
      <c r="X135" s="4"/>
      <c r="Y135" s="4"/>
      <c r="Z135" s="4"/>
    </row>
    <row r="136" spans="1:26" ht="12.75">
      <c r="A136" s="4"/>
      <c r="B136" s="4"/>
      <c r="C136" s="15"/>
      <c r="D136" s="4"/>
      <c r="E136" s="4"/>
      <c r="F136" s="4"/>
      <c r="G136" s="4"/>
      <c r="H136" s="4"/>
      <c r="I136" s="4"/>
      <c r="J136" s="4"/>
      <c r="K136" s="4"/>
      <c r="L136" s="4"/>
      <c r="M136" s="4"/>
      <c r="N136" s="4"/>
      <c r="O136" s="4"/>
      <c r="P136" s="4"/>
      <c r="Q136" s="4"/>
      <c r="R136" s="4"/>
      <c r="S136" s="4"/>
      <c r="T136" s="4"/>
      <c r="U136" s="4"/>
      <c r="V136" s="4"/>
      <c r="W136" s="4"/>
      <c r="X136" s="4"/>
      <c r="Y136" s="4"/>
      <c r="Z136" s="4"/>
    </row>
    <row r="137" spans="1:26" ht="12.75">
      <c r="A137" s="4"/>
      <c r="B137" s="4"/>
      <c r="C137" s="15"/>
      <c r="D137" s="4"/>
      <c r="E137" s="4"/>
      <c r="F137" s="4"/>
      <c r="G137" s="4"/>
      <c r="H137" s="4"/>
      <c r="I137" s="4"/>
      <c r="J137" s="4"/>
      <c r="K137" s="4"/>
      <c r="L137" s="4"/>
      <c r="M137" s="4"/>
      <c r="N137" s="4"/>
      <c r="O137" s="4"/>
      <c r="P137" s="4"/>
      <c r="Q137" s="4"/>
      <c r="R137" s="4"/>
      <c r="S137" s="4"/>
      <c r="T137" s="4"/>
      <c r="U137" s="4"/>
      <c r="V137" s="4"/>
      <c r="W137" s="4"/>
      <c r="X137" s="4"/>
      <c r="Y137" s="4"/>
      <c r="Z137" s="4"/>
    </row>
    <row r="138" spans="1:26" ht="12.75">
      <c r="A138" s="4"/>
      <c r="B138" s="4"/>
      <c r="C138" s="15"/>
      <c r="D138" s="4"/>
      <c r="E138" s="4"/>
      <c r="F138" s="4"/>
      <c r="G138" s="4"/>
      <c r="H138" s="4"/>
      <c r="I138" s="4"/>
      <c r="J138" s="4"/>
      <c r="K138" s="4"/>
      <c r="L138" s="4"/>
      <c r="M138" s="4"/>
      <c r="N138" s="4"/>
      <c r="O138" s="4"/>
      <c r="P138" s="4"/>
      <c r="Q138" s="4"/>
      <c r="R138" s="4"/>
      <c r="S138" s="4"/>
      <c r="T138" s="4"/>
      <c r="U138" s="4"/>
      <c r="V138" s="4"/>
      <c r="W138" s="4"/>
      <c r="X138" s="4"/>
      <c r="Y138" s="4"/>
      <c r="Z138" s="4"/>
    </row>
    <row r="139" spans="1:26" ht="12.75">
      <c r="A139" s="4"/>
      <c r="B139" s="4"/>
      <c r="C139" s="15"/>
      <c r="D139" s="4"/>
      <c r="E139" s="4"/>
      <c r="F139" s="4"/>
      <c r="G139" s="4"/>
      <c r="H139" s="4"/>
      <c r="I139" s="4"/>
      <c r="J139" s="4"/>
      <c r="K139" s="4"/>
      <c r="L139" s="4"/>
      <c r="M139" s="4"/>
      <c r="N139" s="4"/>
      <c r="O139" s="4"/>
      <c r="P139" s="4"/>
      <c r="Q139" s="4"/>
      <c r="R139" s="4"/>
      <c r="S139" s="4"/>
      <c r="T139" s="4"/>
      <c r="U139" s="4"/>
      <c r="V139" s="4"/>
      <c r="W139" s="4"/>
      <c r="X139" s="4"/>
      <c r="Y139" s="4"/>
      <c r="Z139" s="4"/>
    </row>
    <row r="140" spans="1:26" ht="12.75">
      <c r="A140" s="4"/>
      <c r="B140" s="4"/>
      <c r="C140" s="15"/>
      <c r="D140" s="4"/>
      <c r="E140" s="4"/>
      <c r="F140" s="4"/>
      <c r="G140" s="4"/>
      <c r="H140" s="4"/>
      <c r="I140" s="4"/>
      <c r="J140" s="4"/>
      <c r="K140" s="4"/>
      <c r="L140" s="4"/>
      <c r="M140" s="4"/>
      <c r="N140" s="4"/>
      <c r="O140" s="4"/>
      <c r="P140" s="4"/>
      <c r="Q140" s="4"/>
      <c r="R140" s="4"/>
      <c r="S140" s="4"/>
      <c r="T140" s="4"/>
      <c r="U140" s="4"/>
      <c r="V140" s="4"/>
      <c r="W140" s="4"/>
      <c r="X140" s="4"/>
      <c r="Y140" s="4"/>
      <c r="Z140" s="4"/>
    </row>
    <row r="141" spans="1:26" ht="12.75">
      <c r="A141" s="4"/>
      <c r="B141" s="4"/>
      <c r="C141" s="15"/>
      <c r="D141" s="4"/>
      <c r="E141" s="4"/>
      <c r="F141" s="4"/>
      <c r="G141" s="4"/>
      <c r="H141" s="4"/>
      <c r="I141" s="4"/>
      <c r="J141" s="4"/>
      <c r="K141" s="4"/>
      <c r="L141" s="4"/>
      <c r="M141" s="4"/>
      <c r="N141" s="4"/>
      <c r="O141" s="4"/>
      <c r="P141" s="4"/>
      <c r="Q141" s="4"/>
      <c r="R141" s="4"/>
      <c r="S141" s="4"/>
      <c r="T141" s="4"/>
      <c r="U141" s="4"/>
      <c r="V141" s="4"/>
      <c r="W141" s="4"/>
      <c r="X141" s="4"/>
      <c r="Y141" s="4"/>
      <c r="Z141" s="4"/>
    </row>
    <row r="142" spans="1:26" ht="12.75">
      <c r="A142" s="4"/>
      <c r="B142" s="4"/>
      <c r="C142" s="15"/>
      <c r="D142" s="4"/>
      <c r="E142" s="4"/>
      <c r="F142" s="4"/>
      <c r="G142" s="4"/>
      <c r="H142" s="4"/>
      <c r="I142" s="4"/>
      <c r="J142" s="4"/>
      <c r="K142" s="4"/>
      <c r="L142" s="4"/>
      <c r="M142" s="4"/>
      <c r="N142" s="4"/>
      <c r="O142" s="4"/>
      <c r="P142" s="4"/>
      <c r="Q142" s="4"/>
      <c r="R142" s="4"/>
      <c r="S142" s="4"/>
      <c r="T142" s="4"/>
      <c r="U142" s="4"/>
      <c r="V142" s="4"/>
      <c r="W142" s="4"/>
      <c r="X142" s="4"/>
      <c r="Y142" s="4"/>
      <c r="Z142" s="4"/>
    </row>
    <row r="143" spans="1:26" ht="12.75">
      <c r="A143" s="4"/>
      <c r="B143" s="4"/>
      <c r="C143" s="15"/>
      <c r="D143" s="4"/>
      <c r="E143" s="4"/>
      <c r="F143" s="4"/>
      <c r="G143" s="4"/>
      <c r="H143" s="4"/>
      <c r="I143" s="4"/>
      <c r="J143" s="4"/>
      <c r="K143" s="4"/>
      <c r="L143" s="4"/>
      <c r="M143" s="4"/>
      <c r="N143" s="4"/>
      <c r="O143" s="4"/>
      <c r="P143" s="4"/>
      <c r="Q143" s="4"/>
      <c r="R143" s="4"/>
      <c r="S143" s="4"/>
      <c r="T143" s="4"/>
      <c r="U143" s="4"/>
      <c r="V143" s="4"/>
      <c r="W143" s="4"/>
      <c r="X143" s="4"/>
      <c r="Y143" s="4"/>
      <c r="Z143" s="4"/>
    </row>
    <row r="144" spans="1:26" ht="12.75">
      <c r="A144" s="4"/>
      <c r="B144" s="4"/>
      <c r="C144" s="15"/>
      <c r="D144" s="4"/>
      <c r="E144" s="4"/>
      <c r="F144" s="4"/>
      <c r="G144" s="4"/>
      <c r="H144" s="4"/>
      <c r="I144" s="4"/>
      <c r="J144" s="4"/>
      <c r="K144" s="4"/>
      <c r="L144" s="4"/>
      <c r="M144" s="4"/>
      <c r="N144" s="4"/>
      <c r="O144" s="4"/>
      <c r="P144" s="4"/>
      <c r="Q144" s="4"/>
      <c r="R144" s="4"/>
      <c r="S144" s="4"/>
      <c r="T144" s="4"/>
      <c r="U144" s="4"/>
      <c r="V144" s="4"/>
      <c r="W144" s="4"/>
      <c r="X144" s="4"/>
      <c r="Y144" s="4"/>
      <c r="Z144" s="4"/>
    </row>
    <row r="145" spans="1:26" ht="12.75">
      <c r="A145" s="4"/>
      <c r="B145" s="4"/>
      <c r="C145" s="15"/>
      <c r="D145" s="4"/>
      <c r="E145" s="4"/>
      <c r="F145" s="4"/>
      <c r="G145" s="4"/>
      <c r="H145" s="4"/>
      <c r="I145" s="4"/>
      <c r="J145" s="4"/>
      <c r="K145" s="4"/>
      <c r="L145" s="4"/>
      <c r="M145" s="4"/>
      <c r="N145" s="4"/>
      <c r="O145" s="4"/>
      <c r="P145" s="4"/>
      <c r="Q145" s="4"/>
      <c r="R145" s="4"/>
      <c r="S145" s="4"/>
      <c r="T145" s="4"/>
      <c r="U145" s="4"/>
      <c r="V145" s="4"/>
      <c r="W145" s="4"/>
      <c r="X145" s="4"/>
      <c r="Y145" s="4"/>
      <c r="Z145" s="4"/>
    </row>
    <row r="146" spans="1:26" ht="12.75">
      <c r="A146" s="4"/>
      <c r="B146" s="4"/>
      <c r="C146" s="15"/>
      <c r="D146" s="4"/>
      <c r="E146" s="4"/>
      <c r="F146" s="4"/>
      <c r="G146" s="4"/>
      <c r="H146" s="4"/>
      <c r="I146" s="4"/>
      <c r="J146" s="4"/>
      <c r="K146" s="4"/>
      <c r="L146" s="4"/>
      <c r="M146" s="4"/>
      <c r="N146" s="4"/>
      <c r="O146" s="4"/>
      <c r="P146" s="4"/>
      <c r="Q146" s="4"/>
      <c r="R146" s="4"/>
      <c r="S146" s="4"/>
      <c r="T146" s="4"/>
      <c r="U146" s="4"/>
      <c r="V146" s="4"/>
      <c r="W146" s="4"/>
      <c r="X146" s="4"/>
      <c r="Y146" s="4"/>
      <c r="Z146" s="4"/>
    </row>
    <row r="147" spans="1:26" ht="12.75">
      <c r="A147" s="4"/>
      <c r="B147" s="4"/>
      <c r="C147" s="15"/>
      <c r="D147" s="4"/>
      <c r="E147" s="4"/>
      <c r="F147" s="4"/>
      <c r="G147" s="4"/>
      <c r="H147" s="4"/>
      <c r="I147" s="4"/>
      <c r="J147" s="4"/>
      <c r="K147" s="4"/>
      <c r="L147" s="4"/>
      <c r="M147" s="4"/>
      <c r="N147" s="4"/>
      <c r="O147" s="4"/>
      <c r="P147" s="4"/>
      <c r="Q147" s="4"/>
      <c r="R147" s="4"/>
      <c r="S147" s="4"/>
      <c r="T147" s="4"/>
      <c r="U147" s="4"/>
      <c r="V147" s="4"/>
      <c r="W147" s="4"/>
      <c r="X147" s="4"/>
      <c r="Y147" s="4"/>
      <c r="Z147" s="4"/>
    </row>
    <row r="148" spans="1:26" ht="12.75">
      <c r="A148" s="4"/>
      <c r="B148" s="4"/>
      <c r="C148" s="15"/>
      <c r="D148" s="4"/>
      <c r="E148" s="4"/>
      <c r="F148" s="4"/>
      <c r="G148" s="4"/>
      <c r="H148" s="4"/>
      <c r="I148" s="4"/>
      <c r="J148" s="4"/>
      <c r="K148" s="4"/>
      <c r="L148" s="4"/>
      <c r="M148" s="4"/>
      <c r="N148" s="4"/>
      <c r="O148" s="4"/>
      <c r="P148" s="4"/>
      <c r="Q148" s="4"/>
      <c r="R148" s="4"/>
      <c r="S148" s="4"/>
      <c r="T148" s="4"/>
      <c r="U148" s="4"/>
      <c r="V148" s="4"/>
      <c r="W148" s="4"/>
      <c r="X148" s="4"/>
      <c r="Y148" s="4"/>
      <c r="Z148" s="4"/>
    </row>
    <row r="149" spans="1:26" ht="12.75">
      <c r="A149" s="4"/>
      <c r="B149" s="4"/>
      <c r="C149" s="15"/>
      <c r="D149" s="4"/>
      <c r="E149" s="4"/>
      <c r="F149" s="4"/>
      <c r="G149" s="4"/>
      <c r="H149" s="4"/>
      <c r="I149" s="4"/>
      <c r="J149" s="4"/>
      <c r="K149" s="4"/>
      <c r="L149" s="4"/>
      <c r="M149" s="4"/>
      <c r="N149" s="4"/>
      <c r="O149" s="4"/>
      <c r="P149" s="4"/>
      <c r="Q149" s="4"/>
      <c r="R149" s="4"/>
      <c r="S149" s="4"/>
      <c r="T149" s="4"/>
      <c r="U149" s="4"/>
      <c r="V149" s="4"/>
      <c r="W149" s="4"/>
      <c r="X149" s="4"/>
      <c r="Y149" s="4"/>
      <c r="Z149" s="4"/>
    </row>
    <row r="150" spans="1:26" ht="12.75">
      <c r="A150" s="4"/>
      <c r="B150" s="4"/>
      <c r="C150" s="15"/>
      <c r="D150" s="4"/>
      <c r="E150" s="4"/>
      <c r="F150" s="4"/>
      <c r="G150" s="4"/>
      <c r="H150" s="4"/>
      <c r="I150" s="4"/>
      <c r="J150" s="4"/>
      <c r="K150" s="4"/>
      <c r="L150" s="4"/>
      <c r="M150" s="4"/>
      <c r="N150" s="4"/>
      <c r="O150" s="4"/>
      <c r="P150" s="4"/>
      <c r="Q150" s="4"/>
      <c r="R150" s="4"/>
      <c r="S150" s="4"/>
      <c r="T150" s="4"/>
      <c r="U150" s="4"/>
      <c r="V150" s="4"/>
      <c r="W150" s="4"/>
      <c r="X150" s="4"/>
      <c r="Y150" s="4"/>
      <c r="Z150" s="4"/>
    </row>
    <row r="151" spans="1:26" ht="12.75">
      <c r="A151" s="4"/>
      <c r="B151" s="4"/>
      <c r="C151" s="15"/>
      <c r="D151" s="4"/>
      <c r="E151" s="4"/>
      <c r="F151" s="4"/>
      <c r="G151" s="4"/>
      <c r="H151" s="4"/>
      <c r="I151" s="4"/>
      <c r="J151" s="4"/>
      <c r="K151" s="4"/>
      <c r="L151" s="4"/>
      <c r="M151" s="4"/>
      <c r="N151" s="4"/>
      <c r="O151" s="4"/>
      <c r="P151" s="4"/>
      <c r="Q151" s="4"/>
      <c r="R151" s="4"/>
      <c r="S151" s="4"/>
      <c r="T151" s="4"/>
      <c r="U151" s="4"/>
      <c r="V151" s="4"/>
      <c r="W151" s="4"/>
      <c r="X151" s="4"/>
      <c r="Y151" s="4"/>
      <c r="Z151" s="4"/>
    </row>
    <row r="152" spans="1:26" ht="12.75">
      <c r="A152" s="4"/>
      <c r="B152" s="4"/>
      <c r="C152" s="15"/>
      <c r="D152" s="4"/>
      <c r="E152" s="4"/>
      <c r="F152" s="4"/>
      <c r="G152" s="4"/>
      <c r="H152" s="4"/>
      <c r="I152" s="4"/>
      <c r="J152" s="4"/>
      <c r="K152" s="4"/>
      <c r="L152" s="4"/>
      <c r="M152" s="4"/>
      <c r="N152" s="4"/>
      <c r="O152" s="4"/>
      <c r="P152" s="4"/>
      <c r="Q152" s="4"/>
      <c r="R152" s="4"/>
      <c r="S152" s="4"/>
      <c r="T152" s="4"/>
      <c r="U152" s="4"/>
      <c r="V152" s="4"/>
      <c r="W152" s="4"/>
      <c r="X152" s="4"/>
      <c r="Y152" s="4"/>
      <c r="Z152" s="4"/>
    </row>
    <row r="153" spans="1:26" ht="12.75">
      <c r="A153" s="4"/>
      <c r="B153" s="4"/>
      <c r="C153" s="15"/>
      <c r="D153" s="4"/>
      <c r="E153" s="4"/>
      <c r="F153" s="4"/>
      <c r="G153" s="4"/>
      <c r="H153" s="4"/>
      <c r="I153" s="4"/>
      <c r="J153" s="4"/>
      <c r="K153" s="4"/>
      <c r="L153" s="4"/>
      <c r="M153" s="4"/>
      <c r="N153" s="4"/>
      <c r="O153" s="4"/>
      <c r="P153" s="4"/>
      <c r="Q153" s="4"/>
      <c r="R153" s="4"/>
      <c r="S153" s="4"/>
      <c r="T153" s="4"/>
      <c r="U153" s="4"/>
      <c r="V153" s="4"/>
      <c r="W153" s="4"/>
      <c r="X153" s="4"/>
      <c r="Y153" s="4"/>
      <c r="Z153" s="4"/>
    </row>
    <row r="154" spans="1:26" ht="12.75">
      <c r="A154" s="4"/>
      <c r="B154" s="4"/>
      <c r="C154" s="15"/>
      <c r="D154" s="4"/>
      <c r="E154" s="4"/>
      <c r="F154" s="4"/>
      <c r="G154" s="4"/>
      <c r="H154" s="4"/>
      <c r="I154" s="4"/>
      <c r="J154" s="4"/>
      <c r="K154" s="4"/>
      <c r="L154" s="4"/>
      <c r="M154" s="4"/>
      <c r="N154" s="4"/>
      <c r="O154" s="4"/>
      <c r="P154" s="4"/>
      <c r="Q154" s="4"/>
      <c r="R154" s="4"/>
      <c r="S154" s="4"/>
      <c r="T154" s="4"/>
      <c r="U154" s="4"/>
      <c r="V154" s="4"/>
      <c r="W154" s="4"/>
      <c r="X154" s="4"/>
      <c r="Y154" s="4"/>
      <c r="Z154" s="4"/>
    </row>
    <row r="155" spans="1:26" ht="12.75">
      <c r="A155" s="4"/>
      <c r="B155" s="4"/>
      <c r="C155" s="15"/>
      <c r="D155" s="4"/>
      <c r="E155" s="4"/>
      <c r="F155" s="4"/>
      <c r="G155" s="4"/>
      <c r="H155" s="4"/>
      <c r="I155" s="4"/>
      <c r="J155" s="4"/>
      <c r="K155" s="4"/>
      <c r="L155" s="4"/>
      <c r="M155" s="4"/>
      <c r="N155" s="4"/>
      <c r="O155" s="4"/>
      <c r="P155" s="4"/>
      <c r="Q155" s="4"/>
      <c r="R155" s="4"/>
      <c r="S155" s="4"/>
      <c r="T155" s="4"/>
      <c r="U155" s="4"/>
      <c r="V155" s="4"/>
      <c r="W155" s="4"/>
      <c r="X155" s="4"/>
      <c r="Y155" s="4"/>
      <c r="Z155" s="4"/>
    </row>
    <row r="156" spans="1:26" ht="12.75">
      <c r="A156" s="4"/>
      <c r="B156" s="4"/>
      <c r="C156" s="15"/>
      <c r="D156" s="4"/>
      <c r="E156" s="4"/>
      <c r="F156" s="4"/>
      <c r="G156" s="4"/>
      <c r="H156" s="4"/>
      <c r="I156" s="4"/>
      <c r="J156" s="4"/>
      <c r="K156" s="4"/>
      <c r="L156" s="4"/>
      <c r="M156" s="4"/>
      <c r="N156" s="4"/>
      <c r="O156" s="4"/>
      <c r="P156" s="4"/>
      <c r="Q156" s="4"/>
      <c r="R156" s="4"/>
      <c r="S156" s="4"/>
      <c r="T156" s="4"/>
      <c r="U156" s="4"/>
      <c r="V156" s="4"/>
      <c r="W156" s="4"/>
      <c r="X156" s="4"/>
      <c r="Y156" s="4"/>
      <c r="Z156" s="4"/>
    </row>
    <row r="157" spans="1:26" ht="12.75">
      <c r="A157" s="4"/>
      <c r="B157" s="4"/>
      <c r="C157" s="15"/>
      <c r="D157" s="4"/>
      <c r="E157" s="4"/>
      <c r="F157" s="4"/>
      <c r="G157" s="4"/>
      <c r="H157" s="4"/>
      <c r="I157" s="4"/>
      <c r="J157" s="4"/>
      <c r="K157" s="4"/>
      <c r="L157" s="4"/>
      <c r="M157" s="4"/>
      <c r="N157" s="4"/>
      <c r="O157" s="4"/>
      <c r="P157" s="4"/>
      <c r="Q157" s="4"/>
      <c r="R157" s="4"/>
      <c r="S157" s="4"/>
      <c r="T157" s="4"/>
      <c r="U157" s="4"/>
      <c r="V157" s="4"/>
      <c r="W157" s="4"/>
      <c r="X157" s="4"/>
      <c r="Y157" s="4"/>
      <c r="Z157" s="4"/>
    </row>
    <row r="158" spans="1:26" ht="12.75">
      <c r="A158" s="4"/>
      <c r="B158" s="4"/>
      <c r="C158" s="15"/>
      <c r="D158" s="4"/>
      <c r="E158" s="4"/>
      <c r="F158" s="4"/>
      <c r="G158" s="4"/>
      <c r="H158" s="4"/>
      <c r="I158" s="4"/>
      <c r="J158" s="4"/>
      <c r="K158" s="4"/>
      <c r="L158" s="4"/>
      <c r="M158" s="4"/>
      <c r="N158" s="4"/>
      <c r="O158" s="4"/>
      <c r="P158" s="4"/>
      <c r="Q158" s="4"/>
      <c r="R158" s="4"/>
      <c r="S158" s="4"/>
      <c r="T158" s="4"/>
      <c r="U158" s="4"/>
      <c r="V158" s="4"/>
      <c r="W158" s="4"/>
      <c r="X158" s="4"/>
      <c r="Y158" s="4"/>
      <c r="Z158" s="4"/>
    </row>
    <row r="159" spans="1:26" ht="12.75">
      <c r="A159" s="4"/>
      <c r="B159" s="4"/>
      <c r="C159" s="15"/>
      <c r="D159" s="4"/>
      <c r="E159" s="4"/>
      <c r="F159" s="4"/>
      <c r="G159" s="4"/>
      <c r="H159" s="4"/>
      <c r="I159" s="4"/>
      <c r="J159" s="4"/>
      <c r="K159" s="4"/>
      <c r="L159" s="4"/>
      <c r="M159" s="4"/>
      <c r="N159" s="4"/>
      <c r="O159" s="4"/>
      <c r="P159" s="4"/>
      <c r="Q159" s="4"/>
      <c r="R159" s="4"/>
      <c r="S159" s="4"/>
      <c r="T159" s="4"/>
      <c r="U159" s="4"/>
      <c r="V159" s="4"/>
      <c r="W159" s="4"/>
      <c r="X159" s="4"/>
      <c r="Y159" s="4"/>
      <c r="Z159" s="4"/>
    </row>
    <row r="160" spans="1:26" ht="12.75">
      <c r="A160" s="4"/>
      <c r="B160" s="4"/>
      <c r="C160" s="15"/>
      <c r="D160" s="4"/>
      <c r="E160" s="4"/>
      <c r="F160" s="4"/>
      <c r="G160" s="4"/>
      <c r="H160" s="4"/>
      <c r="I160" s="4"/>
      <c r="J160" s="4"/>
      <c r="K160" s="4"/>
      <c r="L160" s="4"/>
      <c r="M160" s="4"/>
      <c r="N160" s="4"/>
      <c r="O160" s="4"/>
      <c r="P160" s="4"/>
      <c r="Q160" s="4"/>
      <c r="R160" s="4"/>
      <c r="S160" s="4"/>
      <c r="T160" s="4"/>
      <c r="U160" s="4"/>
      <c r="V160" s="4"/>
      <c r="W160" s="4"/>
      <c r="X160" s="4"/>
      <c r="Y160" s="4"/>
      <c r="Z160" s="4"/>
    </row>
    <row r="161" spans="1:26" ht="12.75">
      <c r="A161" s="4"/>
      <c r="B161" s="4"/>
      <c r="C161" s="15"/>
      <c r="D161" s="4"/>
      <c r="E161" s="4"/>
      <c r="F161" s="4"/>
      <c r="G161" s="4"/>
      <c r="H161" s="4"/>
      <c r="I161" s="4"/>
      <c r="J161" s="4"/>
      <c r="K161" s="4"/>
      <c r="L161" s="4"/>
      <c r="M161" s="4"/>
      <c r="N161" s="4"/>
      <c r="O161" s="4"/>
      <c r="P161" s="4"/>
      <c r="Q161" s="4"/>
      <c r="R161" s="4"/>
      <c r="S161" s="4"/>
      <c r="T161" s="4"/>
      <c r="U161" s="4"/>
      <c r="V161" s="4"/>
      <c r="W161" s="4"/>
      <c r="X161" s="4"/>
      <c r="Y161" s="4"/>
      <c r="Z161" s="4"/>
    </row>
    <row r="162" spans="1:26" ht="12.75">
      <c r="A162" s="4"/>
      <c r="B162" s="4"/>
      <c r="C162" s="15"/>
      <c r="D162" s="4"/>
      <c r="E162" s="4"/>
      <c r="F162" s="4"/>
      <c r="G162" s="4"/>
      <c r="H162" s="4"/>
      <c r="I162" s="4"/>
      <c r="J162" s="4"/>
      <c r="K162" s="4"/>
      <c r="L162" s="4"/>
      <c r="M162" s="4"/>
      <c r="N162" s="4"/>
      <c r="O162" s="4"/>
      <c r="P162" s="4"/>
      <c r="Q162" s="4"/>
      <c r="R162" s="4"/>
      <c r="S162" s="4"/>
      <c r="T162" s="4"/>
      <c r="U162" s="4"/>
      <c r="V162" s="4"/>
      <c r="W162" s="4"/>
      <c r="X162" s="4"/>
      <c r="Y162" s="4"/>
      <c r="Z162" s="4"/>
    </row>
    <row r="163" spans="1:26" ht="12.75">
      <c r="A163" s="4"/>
      <c r="B163" s="4"/>
      <c r="C163" s="15"/>
      <c r="D163" s="4"/>
      <c r="E163" s="4"/>
      <c r="F163" s="4"/>
      <c r="G163" s="4"/>
      <c r="H163" s="4"/>
      <c r="I163" s="4"/>
      <c r="J163" s="4"/>
      <c r="K163" s="4"/>
      <c r="L163" s="4"/>
      <c r="M163" s="4"/>
      <c r="N163" s="4"/>
      <c r="O163" s="4"/>
      <c r="P163" s="4"/>
      <c r="Q163" s="4"/>
      <c r="R163" s="4"/>
      <c r="S163" s="4"/>
      <c r="T163" s="4"/>
      <c r="U163" s="4"/>
      <c r="V163" s="4"/>
      <c r="W163" s="4"/>
      <c r="X163" s="4"/>
      <c r="Y163" s="4"/>
      <c r="Z163" s="4"/>
    </row>
    <row r="164" spans="1:26" ht="12.75">
      <c r="A164" s="4"/>
      <c r="B164" s="4"/>
      <c r="C164" s="15"/>
      <c r="D164" s="4"/>
      <c r="E164" s="4"/>
      <c r="F164" s="4"/>
      <c r="G164" s="4"/>
      <c r="H164" s="4"/>
      <c r="I164" s="4"/>
      <c r="J164" s="4"/>
      <c r="K164" s="4"/>
      <c r="L164" s="4"/>
      <c r="M164" s="4"/>
      <c r="N164" s="4"/>
      <c r="O164" s="4"/>
      <c r="P164" s="4"/>
      <c r="Q164" s="4"/>
      <c r="R164" s="4"/>
      <c r="S164" s="4"/>
      <c r="T164" s="4"/>
      <c r="U164" s="4"/>
      <c r="V164" s="4"/>
      <c r="W164" s="4"/>
      <c r="X164" s="4"/>
      <c r="Y164" s="4"/>
      <c r="Z164" s="4"/>
    </row>
    <row r="165" spans="1:26" ht="12.75">
      <c r="A165" s="4"/>
      <c r="B165" s="4"/>
      <c r="C165" s="15"/>
      <c r="D165" s="4"/>
      <c r="E165" s="4"/>
      <c r="F165" s="4"/>
      <c r="G165" s="4"/>
      <c r="H165" s="4"/>
      <c r="I165" s="4"/>
      <c r="J165" s="4"/>
      <c r="K165" s="4"/>
      <c r="L165" s="4"/>
      <c r="M165" s="4"/>
      <c r="N165" s="4"/>
      <c r="O165" s="4"/>
      <c r="P165" s="4"/>
      <c r="Q165" s="4"/>
      <c r="R165" s="4"/>
      <c r="S165" s="4"/>
      <c r="T165" s="4"/>
      <c r="U165" s="4"/>
      <c r="V165" s="4"/>
      <c r="W165" s="4"/>
      <c r="X165" s="4"/>
      <c r="Y165" s="4"/>
      <c r="Z165" s="4"/>
    </row>
    <row r="166" spans="1:26" ht="12.75">
      <c r="A166" s="4"/>
      <c r="B166" s="4"/>
      <c r="C166" s="15"/>
      <c r="D166" s="4"/>
      <c r="E166" s="4"/>
      <c r="F166" s="4"/>
      <c r="G166" s="4"/>
      <c r="H166" s="4"/>
      <c r="I166" s="4"/>
      <c r="J166" s="4"/>
      <c r="K166" s="4"/>
      <c r="L166" s="4"/>
      <c r="M166" s="4"/>
      <c r="N166" s="4"/>
      <c r="O166" s="4"/>
      <c r="P166" s="4"/>
      <c r="Q166" s="4"/>
      <c r="R166" s="4"/>
      <c r="S166" s="4"/>
      <c r="T166" s="4"/>
      <c r="U166" s="4"/>
      <c r="V166" s="4"/>
      <c r="W166" s="4"/>
      <c r="X166" s="4"/>
      <c r="Y166" s="4"/>
      <c r="Z166" s="4"/>
    </row>
    <row r="167" spans="1:26" ht="12.75">
      <c r="A167" s="4"/>
      <c r="B167" s="4"/>
      <c r="C167" s="15"/>
      <c r="D167" s="4"/>
      <c r="E167" s="4"/>
      <c r="F167" s="4"/>
      <c r="G167" s="4"/>
      <c r="H167" s="4"/>
      <c r="I167" s="4"/>
      <c r="J167" s="4"/>
      <c r="K167" s="4"/>
      <c r="L167" s="4"/>
      <c r="M167" s="4"/>
      <c r="N167" s="4"/>
      <c r="O167" s="4"/>
      <c r="P167" s="4"/>
      <c r="Q167" s="4"/>
      <c r="R167" s="4"/>
      <c r="S167" s="4"/>
      <c r="T167" s="4"/>
      <c r="U167" s="4"/>
      <c r="V167" s="4"/>
      <c r="W167" s="4"/>
      <c r="X167" s="4"/>
      <c r="Y167" s="4"/>
      <c r="Z167" s="4"/>
    </row>
    <row r="168" spans="1:26" ht="12.75">
      <c r="A168" s="4"/>
      <c r="B168" s="4"/>
      <c r="C168" s="15"/>
      <c r="D168" s="4"/>
      <c r="E168" s="4"/>
      <c r="F168" s="4"/>
      <c r="G168" s="4"/>
      <c r="H168" s="4"/>
      <c r="I168" s="4"/>
      <c r="J168" s="4"/>
      <c r="K168" s="4"/>
      <c r="L168" s="4"/>
      <c r="M168" s="4"/>
      <c r="N168" s="4"/>
      <c r="O168" s="4"/>
      <c r="P168" s="4"/>
      <c r="Q168" s="4"/>
      <c r="R168" s="4"/>
      <c r="S168" s="4"/>
      <c r="T168" s="4"/>
      <c r="U168" s="4"/>
      <c r="V168" s="4"/>
      <c r="W168" s="4"/>
      <c r="X168" s="4"/>
      <c r="Y168" s="4"/>
      <c r="Z168" s="4"/>
    </row>
    <row r="169" spans="1:26" ht="12.75">
      <c r="A169" s="4"/>
      <c r="B169" s="4"/>
      <c r="C169" s="15"/>
      <c r="D169" s="4"/>
      <c r="E169" s="4"/>
      <c r="F169" s="4"/>
      <c r="G169" s="4"/>
      <c r="H169" s="4"/>
      <c r="I169" s="4"/>
      <c r="J169" s="4"/>
      <c r="K169" s="4"/>
      <c r="L169" s="4"/>
      <c r="M169" s="4"/>
      <c r="N169" s="4"/>
      <c r="O169" s="4"/>
      <c r="P169" s="4"/>
      <c r="Q169" s="4"/>
      <c r="R169" s="4"/>
      <c r="S169" s="4"/>
      <c r="T169" s="4"/>
      <c r="U169" s="4"/>
      <c r="V169" s="4"/>
      <c r="W169" s="4"/>
      <c r="X169" s="4"/>
      <c r="Y169" s="4"/>
      <c r="Z169" s="4"/>
    </row>
    <row r="170" spans="1:26" ht="12.75">
      <c r="A170" s="4"/>
      <c r="B170" s="4"/>
      <c r="C170" s="15"/>
      <c r="D170" s="4"/>
      <c r="E170" s="4"/>
      <c r="F170" s="4"/>
      <c r="G170" s="4"/>
      <c r="H170" s="4"/>
      <c r="I170" s="4"/>
      <c r="J170" s="4"/>
      <c r="K170" s="4"/>
      <c r="L170" s="4"/>
      <c r="M170" s="4"/>
      <c r="N170" s="4"/>
      <c r="O170" s="4"/>
      <c r="P170" s="4"/>
      <c r="Q170" s="4"/>
      <c r="R170" s="4"/>
      <c r="S170" s="4"/>
      <c r="T170" s="4"/>
      <c r="U170" s="4"/>
      <c r="V170" s="4"/>
      <c r="W170" s="4"/>
      <c r="X170" s="4"/>
      <c r="Y170" s="4"/>
      <c r="Z170" s="4"/>
    </row>
    <row r="171" spans="1:26" ht="12.75">
      <c r="A171" s="4"/>
      <c r="B171" s="4"/>
      <c r="C171" s="15"/>
      <c r="D171" s="4"/>
      <c r="E171" s="4"/>
      <c r="F171" s="4"/>
      <c r="G171" s="4"/>
      <c r="H171" s="4"/>
      <c r="I171" s="4"/>
      <c r="J171" s="4"/>
      <c r="K171" s="4"/>
      <c r="L171" s="4"/>
      <c r="M171" s="4"/>
      <c r="N171" s="4"/>
      <c r="O171" s="4"/>
      <c r="P171" s="4"/>
      <c r="Q171" s="4"/>
      <c r="R171" s="4"/>
      <c r="S171" s="4"/>
      <c r="T171" s="4"/>
      <c r="U171" s="4"/>
      <c r="V171" s="4"/>
      <c r="W171" s="4"/>
      <c r="X171" s="4"/>
      <c r="Y171" s="4"/>
      <c r="Z171" s="4"/>
    </row>
    <row r="172" spans="1:26" ht="12.75">
      <c r="A172" s="4"/>
      <c r="B172" s="4"/>
      <c r="C172" s="15"/>
      <c r="D172" s="4"/>
      <c r="E172" s="4"/>
      <c r="F172" s="4"/>
      <c r="G172" s="4"/>
      <c r="H172" s="4"/>
      <c r="I172" s="4"/>
      <c r="J172" s="4"/>
      <c r="K172" s="4"/>
      <c r="L172" s="4"/>
      <c r="M172" s="4"/>
      <c r="N172" s="4"/>
      <c r="O172" s="4"/>
      <c r="P172" s="4"/>
      <c r="Q172" s="4"/>
      <c r="R172" s="4"/>
      <c r="S172" s="4"/>
      <c r="T172" s="4"/>
      <c r="U172" s="4"/>
      <c r="V172" s="4"/>
      <c r="W172" s="4"/>
      <c r="X172" s="4"/>
      <c r="Y172" s="4"/>
      <c r="Z172" s="4"/>
    </row>
    <row r="173" spans="1:26" ht="12.75">
      <c r="A173" s="4"/>
      <c r="B173" s="4"/>
      <c r="C173" s="15"/>
      <c r="D173" s="4"/>
      <c r="E173" s="4"/>
      <c r="F173" s="4"/>
      <c r="G173" s="4"/>
      <c r="H173" s="4"/>
      <c r="I173" s="4"/>
      <c r="J173" s="4"/>
      <c r="K173" s="4"/>
      <c r="L173" s="4"/>
      <c r="M173" s="4"/>
      <c r="N173" s="4"/>
      <c r="O173" s="4"/>
      <c r="P173" s="4"/>
      <c r="Q173" s="4"/>
      <c r="R173" s="4"/>
      <c r="S173" s="4"/>
      <c r="T173" s="4"/>
      <c r="U173" s="4"/>
      <c r="V173" s="4"/>
      <c r="W173" s="4"/>
      <c r="X173" s="4"/>
      <c r="Y173" s="4"/>
      <c r="Z173" s="4"/>
    </row>
    <row r="174" spans="1:26" ht="12.75">
      <c r="A174" s="4"/>
      <c r="B174" s="4"/>
      <c r="C174" s="15"/>
      <c r="D174" s="4"/>
      <c r="E174" s="4"/>
      <c r="F174" s="4"/>
      <c r="G174" s="4"/>
      <c r="H174" s="4"/>
      <c r="I174" s="4"/>
      <c r="J174" s="4"/>
      <c r="K174" s="4"/>
      <c r="L174" s="4"/>
      <c r="M174" s="4"/>
      <c r="N174" s="4"/>
      <c r="O174" s="4"/>
      <c r="P174" s="4"/>
      <c r="Q174" s="4"/>
      <c r="R174" s="4"/>
      <c r="S174" s="4"/>
      <c r="T174" s="4"/>
      <c r="U174" s="4"/>
      <c r="V174" s="4"/>
      <c r="W174" s="4"/>
      <c r="X174" s="4"/>
      <c r="Y174" s="4"/>
      <c r="Z174" s="4"/>
    </row>
    <row r="175" spans="1:26" ht="12.75">
      <c r="A175" s="4"/>
      <c r="B175" s="4"/>
      <c r="C175" s="15"/>
      <c r="D175" s="4"/>
      <c r="E175" s="4"/>
      <c r="F175" s="4"/>
      <c r="G175" s="4"/>
      <c r="H175" s="4"/>
      <c r="I175" s="4"/>
      <c r="J175" s="4"/>
      <c r="K175" s="4"/>
      <c r="L175" s="4"/>
      <c r="M175" s="4"/>
      <c r="N175" s="4"/>
      <c r="O175" s="4"/>
      <c r="P175" s="4"/>
      <c r="Q175" s="4"/>
      <c r="R175" s="4"/>
      <c r="S175" s="4"/>
      <c r="T175" s="4"/>
      <c r="U175" s="4"/>
      <c r="V175" s="4"/>
      <c r="W175" s="4"/>
      <c r="X175" s="4"/>
      <c r="Y175" s="4"/>
      <c r="Z175" s="4"/>
    </row>
    <row r="176" spans="1:26" ht="12.75">
      <c r="A176" s="4"/>
      <c r="B176" s="4"/>
      <c r="C176" s="15"/>
      <c r="D176" s="4"/>
      <c r="E176" s="4"/>
      <c r="F176" s="4"/>
      <c r="G176" s="4"/>
      <c r="H176" s="4"/>
      <c r="I176" s="4"/>
      <c r="J176" s="4"/>
      <c r="K176" s="4"/>
      <c r="L176" s="4"/>
      <c r="M176" s="4"/>
      <c r="N176" s="4"/>
      <c r="O176" s="4"/>
      <c r="P176" s="4"/>
      <c r="Q176" s="4"/>
      <c r="R176" s="4"/>
      <c r="S176" s="4"/>
      <c r="T176" s="4"/>
      <c r="U176" s="4"/>
      <c r="V176" s="4"/>
      <c r="W176" s="4"/>
      <c r="X176" s="4"/>
      <c r="Y176" s="4"/>
      <c r="Z176" s="4"/>
    </row>
    <row r="177" spans="1:26" ht="12.75">
      <c r="A177" s="4"/>
      <c r="B177" s="4"/>
      <c r="C177" s="15"/>
      <c r="D177" s="4"/>
      <c r="E177" s="4"/>
      <c r="F177" s="4"/>
      <c r="G177" s="4"/>
      <c r="H177" s="4"/>
      <c r="I177" s="4"/>
      <c r="J177" s="4"/>
      <c r="K177" s="4"/>
      <c r="L177" s="4"/>
      <c r="M177" s="4"/>
      <c r="N177" s="4"/>
      <c r="O177" s="4"/>
      <c r="P177" s="4"/>
      <c r="Q177" s="4"/>
      <c r="R177" s="4"/>
      <c r="S177" s="4"/>
      <c r="T177" s="4"/>
      <c r="U177" s="4"/>
      <c r="V177" s="4"/>
      <c r="W177" s="4"/>
      <c r="X177" s="4"/>
      <c r="Y177" s="4"/>
      <c r="Z177" s="4"/>
    </row>
    <row r="178" spans="1:26" ht="12.75">
      <c r="A178" s="4"/>
      <c r="B178" s="4"/>
      <c r="C178" s="15"/>
      <c r="D178" s="4"/>
      <c r="E178" s="4"/>
      <c r="F178" s="4"/>
      <c r="G178" s="4"/>
      <c r="H178" s="4"/>
      <c r="I178" s="4"/>
      <c r="J178" s="4"/>
      <c r="K178" s="4"/>
      <c r="L178" s="4"/>
      <c r="M178" s="4"/>
      <c r="N178" s="4"/>
      <c r="O178" s="4"/>
      <c r="P178" s="4"/>
      <c r="Q178" s="4"/>
      <c r="R178" s="4"/>
      <c r="S178" s="4"/>
      <c r="T178" s="4"/>
      <c r="U178" s="4"/>
      <c r="V178" s="4"/>
      <c r="W178" s="4"/>
      <c r="X178" s="4"/>
      <c r="Y178" s="4"/>
      <c r="Z178" s="4"/>
    </row>
    <row r="179" spans="1:26" ht="12.75">
      <c r="A179" s="4"/>
      <c r="B179" s="4"/>
      <c r="C179" s="15"/>
      <c r="D179" s="4"/>
      <c r="E179" s="4"/>
      <c r="F179" s="4"/>
      <c r="G179" s="4"/>
      <c r="H179" s="4"/>
      <c r="I179" s="4"/>
      <c r="J179" s="4"/>
      <c r="K179" s="4"/>
      <c r="L179" s="4"/>
      <c r="M179" s="4"/>
      <c r="N179" s="4"/>
      <c r="O179" s="4"/>
      <c r="P179" s="4"/>
      <c r="Q179" s="4"/>
      <c r="R179" s="4"/>
      <c r="S179" s="4"/>
      <c r="T179" s="4"/>
      <c r="U179" s="4"/>
      <c r="V179" s="4"/>
      <c r="W179" s="4"/>
      <c r="X179" s="4"/>
      <c r="Y179" s="4"/>
      <c r="Z179" s="4"/>
    </row>
    <row r="180" spans="1:26" ht="12.75">
      <c r="A180" s="4"/>
      <c r="B180" s="4"/>
      <c r="C180" s="15"/>
      <c r="D180" s="4"/>
      <c r="E180" s="4"/>
      <c r="F180" s="4"/>
      <c r="G180" s="4"/>
      <c r="H180" s="4"/>
      <c r="I180" s="4"/>
      <c r="J180" s="4"/>
      <c r="K180" s="4"/>
      <c r="L180" s="4"/>
      <c r="M180" s="4"/>
      <c r="N180" s="4"/>
      <c r="O180" s="4"/>
      <c r="P180" s="4"/>
      <c r="Q180" s="4"/>
      <c r="R180" s="4"/>
      <c r="S180" s="4"/>
      <c r="T180" s="4"/>
      <c r="U180" s="4"/>
      <c r="V180" s="4"/>
      <c r="W180" s="4"/>
      <c r="X180" s="4"/>
      <c r="Y180" s="4"/>
      <c r="Z180" s="4"/>
    </row>
    <row r="181" spans="1:26" ht="12.75">
      <c r="A181" s="4"/>
      <c r="B181" s="4"/>
      <c r="C181" s="15"/>
      <c r="D181" s="4"/>
      <c r="E181" s="4"/>
      <c r="F181" s="4"/>
      <c r="G181" s="4"/>
      <c r="H181" s="4"/>
      <c r="I181" s="4"/>
      <c r="J181" s="4"/>
      <c r="K181" s="4"/>
      <c r="L181" s="4"/>
      <c r="M181" s="4"/>
      <c r="N181" s="4"/>
      <c r="O181" s="4"/>
      <c r="P181" s="4"/>
      <c r="Q181" s="4"/>
      <c r="R181" s="4"/>
      <c r="S181" s="4"/>
      <c r="T181" s="4"/>
      <c r="U181" s="4"/>
      <c r="V181" s="4"/>
      <c r="W181" s="4"/>
      <c r="X181" s="4"/>
      <c r="Y181" s="4"/>
      <c r="Z181" s="4"/>
    </row>
    <row r="182" spans="1:26" ht="12.75">
      <c r="A182" s="4"/>
      <c r="B182" s="4"/>
      <c r="C182" s="15"/>
      <c r="D182" s="4"/>
      <c r="E182" s="4"/>
      <c r="F182" s="4"/>
      <c r="G182" s="4"/>
      <c r="H182" s="4"/>
      <c r="I182" s="4"/>
      <c r="J182" s="4"/>
      <c r="K182" s="4"/>
      <c r="L182" s="4"/>
      <c r="M182" s="4"/>
      <c r="N182" s="4"/>
      <c r="O182" s="4"/>
      <c r="P182" s="4"/>
      <c r="Q182" s="4"/>
      <c r="R182" s="4"/>
      <c r="S182" s="4"/>
      <c r="T182" s="4"/>
      <c r="U182" s="4"/>
      <c r="V182" s="4"/>
      <c r="W182" s="4"/>
      <c r="X182" s="4"/>
      <c r="Y182" s="4"/>
      <c r="Z182" s="4"/>
    </row>
    <row r="183" spans="1:26" ht="12.75">
      <c r="A183" s="4"/>
      <c r="B183" s="4"/>
      <c r="C183" s="15"/>
      <c r="D183" s="4"/>
      <c r="E183" s="4"/>
      <c r="F183" s="4"/>
      <c r="G183" s="4"/>
      <c r="H183" s="4"/>
      <c r="I183" s="4"/>
      <c r="J183" s="4"/>
      <c r="K183" s="4"/>
      <c r="L183" s="4"/>
      <c r="M183" s="4"/>
      <c r="N183" s="4"/>
      <c r="O183" s="4"/>
      <c r="P183" s="4"/>
      <c r="Q183" s="4"/>
      <c r="R183" s="4"/>
      <c r="S183" s="4"/>
      <c r="T183" s="4"/>
      <c r="U183" s="4"/>
      <c r="V183" s="4"/>
      <c r="W183" s="4"/>
      <c r="X183" s="4"/>
      <c r="Y183" s="4"/>
      <c r="Z183" s="4"/>
    </row>
    <row r="184" spans="1:26" ht="12.75">
      <c r="A184" s="4"/>
      <c r="B184" s="4"/>
      <c r="C184" s="15"/>
      <c r="D184" s="4"/>
      <c r="E184" s="4"/>
      <c r="F184" s="4"/>
      <c r="G184" s="4"/>
      <c r="H184" s="4"/>
      <c r="I184" s="4"/>
      <c r="J184" s="4"/>
      <c r="K184" s="4"/>
      <c r="L184" s="4"/>
      <c r="M184" s="4"/>
      <c r="N184" s="4"/>
      <c r="O184" s="4"/>
      <c r="P184" s="4"/>
      <c r="Q184" s="4"/>
      <c r="R184" s="4"/>
      <c r="S184" s="4"/>
      <c r="T184" s="4"/>
      <c r="U184" s="4"/>
      <c r="V184" s="4"/>
      <c r="W184" s="4"/>
      <c r="X184" s="4"/>
      <c r="Y184" s="4"/>
      <c r="Z184" s="4"/>
    </row>
    <row r="185" spans="1:26" ht="12.75">
      <c r="A185" s="4"/>
      <c r="B185" s="4"/>
      <c r="C185" s="15"/>
      <c r="D185" s="4"/>
      <c r="E185" s="4"/>
      <c r="F185" s="4"/>
      <c r="G185" s="4"/>
      <c r="H185" s="4"/>
      <c r="I185" s="4"/>
      <c r="J185" s="4"/>
      <c r="K185" s="4"/>
      <c r="L185" s="4"/>
      <c r="M185" s="4"/>
      <c r="N185" s="4"/>
      <c r="O185" s="4"/>
      <c r="P185" s="4"/>
      <c r="Q185" s="4"/>
      <c r="R185" s="4"/>
      <c r="S185" s="4"/>
      <c r="T185" s="4"/>
      <c r="U185" s="4"/>
      <c r="V185" s="4"/>
      <c r="W185" s="4"/>
      <c r="X185" s="4"/>
      <c r="Y185" s="4"/>
      <c r="Z185" s="4"/>
    </row>
    <row r="186" spans="1:26" ht="12.75">
      <c r="A186" s="4"/>
      <c r="B186" s="4"/>
      <c r="C186" s="15"/>
      <c r="D186" s="4"/>
      <c r="E186" s="4"/>
      <c r="F186" s="4"/>
      <c r="G186" s="4"/>
      <c r="H186" s="4"/>
      <c r="I186" s="4"/>
      <c r="J186" s="4"/>
      <c r="K186" s="4"/>
      <c r="L186" s="4"/>
      <c r="M186" s="4"/>
      <c r="N186" s="4"/>
      <c r="O186" s="4"/>
      <c r="P186" s="4"/>
      <c r="Q186" s="4"/>
      <c r="R186" s="4"/>
      <c r="S186" s="4"/>
      <c r="T186" s="4"/>
      <c r="U186" s="4"/>
      <c r="V186" s="4"/>
      <c r="W186" s="4"/>
      <c r="X186" s="4"/>
      <c r="Y186" s="4"/>
      <c r="Z186" s="4"/>
    </row>
    <row r="187" spans="1:26" ht="12.75">
      <c r="A187" s="4"/>
      <c r="B187" s="4"/>
      <c r="C187" s="15"/>
      <c r="D187" s="4"/>
      <c r="E187" s="4"/>
      <c r="F187" s="4"/>
      <c r="G187" s="4"/>
      <c r="H187" s="4"/>
      <c r="I187" s="4"/>
      <c r="J187" s="4"/>
      <c r="K187" s="4"/>
      <c r="L187" s="4"/>
      <c r="M187" s="4"/>
      <c r="N187" s="4"/>
      <c r="O187" s="4"/>
      <c r="P187" s="4"/>
      <c r="Q187" s="4"/>
      <c r="R187" s="4"/>
      <c r="S187" s="4"/>
      <c r="T187" s="4"/>
      <c r="U187" s="4"/>
      <c r="V187" s="4"/>
      <c r="W187" s="4"/>
      <c r="X187" s="4"/>
      <c r="Y187" s="4"/>
      <c r="Z187" s="4"/>
    </row>
    <row r="188" spans="1:26" ht="12.75">
      <c r="A188" s="4"/>
      <c r="B188" s="4"/>
      <c r="C188" s="15"/>
      <c r="D188" s="4"/>
      <c r="E188" s="4"/>
      <c r="F188" s="4"/>
      <c r="G188" s="4"/>
      <c r="H188" s="4"/>
      <c r="I188" s="4"/>
      <c r="J188" s="4"/>
      <c r="K188" s="4"/>
      <c r="L188" s="4"/>
      <c r="M188" s="4"/>
      <c r="N188" s="4"/>
      <c r="O188" s="4"/>
      <c r="P188" s="4"/>
      <c r="Q188" s="4"/>
      <c r="R188" s="4"/>
      <c r="S188" s="4"/>
      <c r="T188" s="4"/>
      <c r="U188" s="4"/>
      <c r="V188" s="4"/>
      <c r="W188" s="4"/>
      <c r="X188" s="4"/>
      <c r="Y188" s="4"/>
      <c r="Z188" s="4"/>
    </row>
    <row r="189" spans="1:26" ht="12.75">
      <c r="A189" s="4"/>
      <c r="B189" s="4"/>
      <c r="C189" s="15"/>
      <c r="D189" s="4"/>
      <c r="E189" s="4"/>
      <c r="F189" s="4"/>
      <c r="G189" s="4"/>
      <c r="H189" s="4"/>
      <c r="I189" s="4"/>
      <c r="J189" s="4"/>
      <c r="K189" s="4"/>
      <c r="L189" s="4"/>
      <c r="M189" s="4"/>
      <c r="N189" s="4"/>
      <c r="O189" s="4"/>
      <c r="P189" s="4"/>
      <c r="Q189" s="4"/>
      <c r="R189" s="4"/>
      <c r="S189" s="4"/>
      <c r="T189" s="4"/>
      <c r="U189" s="4"/>
      <c r="V189" s="4"/>
      <c r="W189" s="4"/>
      <c r="X189" s="4"/>
      <c r="Y189" s="4"/>
      <c r="Z189" s="4"/>
    </row>
    <row r="190" spans="1:26" ht="12.75">
      <c r="A190" s="4"/>
      <c r="B190" s="4"/>
      <c r="C190" s="15"/>
      <c r="D190" s="4"/>
      <c r="E190" s="4"/>
      <c r="F190" s="4"/>
      <c r="G190" s="4"/>
      <c r="H190" s="4"/>
      <c r="I190" s="4"/>
      <c r="J190" s="4"/>
      <c r="K190" s="4"/>
      <c r="L190" s="4"/>
      <c r="M190" s="4"/>
      <c r="N190" s="4"/>
      <c r="O190" s="4"/>
      <c r="P190" s="4"/>
      <c r="Q190" s="4"/>
      <c r="R190" s="4"/>
      <c r="S190" s="4"/>
      <c r="T190" s="4"/>
      <c r="U190" s="4"/>
      <c r="V190" s="4"/>
      <c r="W190" s="4"/>
      <c r="X190" s="4"/>
      <c r="Y190" s="4"/>
      <c r="Z190" s="4"/>
    </row>
    <row r="191" spans="1:26" ht="12.75">
      <c r="A191" s="4"/>
      <c r="B191" s="4"/>
      <c r="C191" s="15"/>
      <c r="D191" s="4"/>
      <c r="E191" s="4"/>
      <c r="F191" s="4"/>
      <c r="G191" s="4"/>
      <c r="H191" s="4"/>
      <c r="I191" s="4"/>
      <c r="J191" s="4"/>
      <c r="K191" s="4"/>
      <c r="L191" s="4"/>
      <c r="M191" s="4"/>
      <c r="N191" s="4"/>
      <c r="O191" s="4"/>
      <c r="P191" s="4"/>
      <c r="Q191" s="4"/>
      <c r="R191" s="4"/>
      <c r="S191" s="4"/>
      <c r="T191" s="4"/>
      <c r="U191" s="4"/>
      <c r="V191" s="4"/>
      <c r="W191" s="4"/>
      <c r="X191" s="4"/>
      <c r="Y191" s="4"/>
      <c r="Z191" s="4"/>
    </row>
    <row r="192" spans="1:26" ht="12.75">
      <c r="A192" s="4"/>
      <c r="B192" s="4"/>
      <c r="C192" s="15"/>
      <c r="D192" s="4"/>
      <c r="E192" s="4"/>
      <c r="F192" s="4"/>
      <c r="G192" s="4"/>
      <c r="H192" s="4"/>
      <c r="I192" s="4"/>
      <c r="J192" s="4"/>
      <c r="K192" s="4"/>
      <c r="L192" s="4"/>
      <c r="M192" s="4"/>
      <c r="N192" s="4"/>
      <c r="O192" s="4"/>
      <c r="P192" s="4"/>
      <c r="Q192" s="4"/>
      <c r="R192" s="4"/>
      <c r="S192" s="4"/>
      <c r="T192" s="4"/>
      <c r="U192" s="4"/>
      <c r="V192" s="4"/>
      <c r="W192" s="4"/>
      <c r="X192" s="4"/>
      <c r="Y192" s="4"/>
      <c r="Z192" s="4"/>
    </row>
    <row r="193" spans="1:26" ht="12.75">
      <c r="A193" s="4"/>
      <c r="B193" s="4"/>
      <c r="C193" s="15"/>
      <c r="D193" s="4"/>
      <c r="E193" s="4"/>
      <c r="F193" s="4"/>
      <c r="G193" s="4"/>
      <c r="H193" s="4"/>
      <c r="I193" s="4"/>
      <c r="J193" s="4"/>
      <c r="K193" s="4"/>
      <c r="L193" s="4"/>
      <c r="M193" s="4"/>
      <c r="N193" s="4"/>
      <c r="O193" s="4"/>
      <c r="P193" s="4"/>
      <c r="Q193" s="4"/>
      <c r="R193" s="4"/>
      <c r="S193" s="4"/>
      <c r="T193" s="4"/>
      <c r="U193" s="4"/>
      <c r="V193" s="4"/>
      <c r="W193" s="4"/>
      <c r="X193" s="4"/>
      <c r="Y193" s="4"/>
      <c r="Z193" s="4"/>
    </row>
    <row r="194" spans="1:26" ht="12.75">
      <c r="A194" s="4"/>
      <c r="B194" s="4"/>
      <c r="C194" s="15"/>
      <c r="D194" s="4"/>
      <c r="E194" s="4"/>
      <c r="F194" s="4"/>
      <c r="G194" s="4"/>
      <c r="H194" s="4"/>
      <c r="I194" s="4"/>
      <c r="J194" s="4"/>
      <c r="K194" s="4"/>
      <c r="L194" s="4"/>
      <c r="M194" s="4"/>
      <c r="N194" s="4"/>
      <c r="O194" s="4"/>
      <c r="P194" s="4"/>
      <c r="Q194" s="4"/>
      <c r="R194" s="4"/>
      <c r="S194" s="4"/>
      <c r="T194" s="4"/>
      <c r="U194" s="4"/>
      <c r="V194" s="4"/>
      <c r="W194" s="4"/>
      <c r="X194" s="4"/>
      <c r="Y194" s="4"/>
      <c r="Z194" s="4"/>
    </row>
    <row r="195" spans="1:26" ht="12.75">
      <c r="A195" s="4"/>
      <c r="B195" s="4"/>
      <c r="C195" s="15"/>
      <c r="D195" s="4"/>
      <c r="E195" s="4"/>
      <c r="F195" s="4"/>
      <c r="G195" s="4"/>
      <c r="H195" s="4"/>
      <c r="I195" s="4"/>
      <c r="J195" s="4"/>
      <c r="K195" s="4"/>
      <c r="L195" s="4"/>
      <c r="M195" s="4"/>
      <c r="N195" s="4"/>
      <c r="O195" s="4"/>
      <c r="P195" s="4"/>
      <c r="Q195" s="4"/>
      <c r="R195" s="4"/>
      <c r="S195" s="4"/>
      <c r="T195" s="4"/>
      <c r="U195" s="4"/>
      <c r="V195" s="4"/>
      <c r="W195" s="4"/>
      <c r="X195" s="4"/>
      <c r="Y195" s="4"/>
      <c r="Z195" s="4"/>
    </row>
    <row r="196" spans="1:26" ht="12.75">
      <c r="A196" s="4"/>
      <c r="B196" s="4"/>
      <c r="C196" s="15"/>
      <c r="D196" s="4"/>
      <c r="E196" s="4"/>
      <c r="F196" s="4"/>
      <c r="G196" s="4"/>
      <c r="H196" s="4"/>
      <c r="I196" s="4"/>
      <c r="J196" s="4"/>
      <c r="K196" s="4"/>
      <c r="L196" s="4"/>
      <c r="M196" s="4"/>
      <c r="N196" s="4"/>
      <c r="O196" s="4"/>
      <c r="P196" s="4"/>
      <c r="Q196" s="4"/>
      <c r="R196" s="4"/>
      <c r="S196" s="4"/>
      <c r="T196" s="4"/>
      <c r="U196" s="4"/>
      <c r="V196" s="4"/>
      <c r="W196" s="4"/>
      <c r="X196" s="4"/>
      <c r="Y196" s="4"/>
      <c r="Z196" s="4"/>
    </row>
    <row r="197" spans="1:26" ht="12.75">
      <c r="A197" s="4"/>
      <c r="B197" s="4"/>
      <c r="C197" s="15"/>
      <c r="D197" s="4"/>
      <c r="E197" s="4"/>
      <c r="F197" s="4"/>
      <c r="G197" s="4"/>
      <c r="H197" s="4"/>
      <c r="I197" s="4"/>
      <c r="J197" s="4"/>
      <c r="K197" s="4"/>
      <c r="L197" s="4"/>
      <c r="M197" s="4"/>
      <c r="N197" s="4"/>
      <c r="O197" s="4"/>
      <c r="P197" s="4"/>
      <c r="Q197" s="4"/>
      <c r="R197" s="4"/>
      <c r="S197" s="4"/>
      <c r="T197" s="4"/>
      <c r="U197" s="4"/>
      <c r="V197" s="4"/>
      <c r="W197" s="4"/>
      <c r="X197" s="4"/>
      <c r="Y197" s="4"/>
      <c r="Z197" s="4"/>
    </row>
    <row r="198" spans="1:26" ht="12.75">
      <c r="A198" s="4"/>
      <c r="B198" s="4"/>
      <c r="C198" s="15"/>
      <c r="D198" s="4"/>
      <c r="E198" s="4"/>
      <c r="F198" s="4"/>
      <c r="G198" s="4"/>
      <c r="H198" s="4"/>
      <c r="I198" s="4"/>
      <c r="J198" s="4"/>
      <c r="K198" s="4"/>
      <c r="L198" s="4"/>
      <c r="M198" s="4"/>
      <c r="N198" s="4"/>
      <c r="O198" s="4"/>
      <c r="P198" s="4"/>
      <c r="Q198" s="4"/>
      <c r="R198" s="4"/>
      <c r="S198" s="4"/>
      <c r="T198" s="4"/>
      <c r="U198" s="4"/>
      <c r="V198" s="4"/>
      <c r="W198" s="4"/>
      <c r="X198" s="4"/>
      <c r="Y198" s="4"/>
      <c r="Z198" s="4"/>
    </row>
    <row r="199" spans="1:26" ht="12.75">
      <c r="A199" s="4"/>
      <c r="B199" s="4"/>
      <c r="C199" s="15"/>
      <c r="D199" s="4"/>
      <c r="E199" s="4"/>
      <c r="F199" s="4"/>
      <c r="G199" s="4"/>
      <c r="H199" s="4"/>
      <c r="I199" s="4"/>
      <c r="J199" s="4"/>
      <c r="K199" s="4"/>
      <c r="L199" s="4"/>
      <c r="M199" s="4"/>
      <c r="N199" s="4"/>
      <c r="O199" s="4"/>
      <c r="P199" s="4"/>
      <c r="Q199" s="4"/>
      <c r="R199" s="4"/>
      <c r="S199" s="4"/>
      <c r="T199" s="4"/>
      <c r="U199" s="4"/>
      <c r="V199" s="4"/>
      <c r="W199" s="4"/>
      <c r="X199" s="4"/>
      <c r="Y199" s="4"/>
      <c r="Z199" s="4"/>
    </row>
    <row r="200" spans="1:26" ht="12.75">
      <c r="A200" s="4"/>
      <c r="B200" s="4"/>
      <c r="C200" s="15"/>
      <c r="D200" s="4"/>
      <c r="E200" s="4"/>
      <c r="F200" s="4"/>
      <c r="G200" s="4"/>
      <c r="H200" s="4"/>
      <c r="I200" s="4"/>
      <c r="J200" s="4"/>
      <c r="K200" s="4"/>
      <c r="L200" s="4"/>
      <c r="M200" s="4"/>
      <c r="N200" s="4"/>
      <c r="O200" s="4"/>
      <c r="P200" s="4"/>
      <c r="Q200" s="4"/>
      <c r="R200" s="4"/>
      <c r="S200" s="4"/>
      <c r="T200" s="4"/>
      <c r="U200" s="4"/>
      <c r="V200" s="4"/>
      <c r="W200" s="4"/>
      <c r="X200" s="4"/>
      <c r="Y200" s="4"/>
      <c r="Z200" s="4"/>
    </row>
    <row r="201" spans="1:26" ht="12.75">
      <c r="A201" s="4"/>
      <c r="B201" s="4"/>
      <c r="C201" s="15"/>
      <c r="D201" s="4"/>
      <c r="E201" s="4"/>
      <c r="F201" s="4"/>
      <c r="G201" s="4"/>
      <c r="H201" s="4"/>
      <c r="I201" s="4"/>
      <c r="J201" s="4"/>
      <c r="K201" s="4"/>
      <c r="L201" s="4"/>
      <c r="M201" s="4"/>
      <c r="N201" s="4"/>
      <c r="O201" s="4"/>
      <c r="P201" s="4"/>
      <c r="Q201" s="4"/>
      <c r="R201" s="4"/>
      <c r="S201" s="4"/>
      <c r="T201" s="4"/>
      <c r="U201" s="4"/>
      <c r="V201" s="4"/>
      <c r="W201" s="4"/>
      <c r="X201" s="4"/>
      <c r="Y201" s="4"/>
      <c r="Z201" s="4"/>
    </row>
    <row r="202" spans="1:26" ht="12.75">
      <c r="A202" s="4"/>
      <c r="B202" s="4"/>
      <c r="C202" s="15"/>
      <c r="D202" s="4"/>
      <c r="E202" s="4"/>
      <c r="F202" s="4"/>
      <c r="G202" s="4"/>
      <c r="H202" s="4"/>
      <c r="I202" s="4"/>
      <c r="J202" s="4"/>
      <c r="K202" s="4"/>
      <c r="L202" s="4"/>
      <c r="M202" s="4"/>
      <c r="N202" s="4"/>
      <c r="O202" s="4"/>
      <c r="P202" s="4"/>
      <c r="Q202" s="4"/>
      <c r="R202" s="4"/>
      <c r="S202" s="4"/>
      <c r="T202" s="4"/>
      <c r="U202" s="4"/>
      <c r="V202" s="4"/>
      <c r="W202" s="4"/>
      <c r="X202" s="4"/>
      <c r="Y202" s="4"/>
      <c r="Z202" s="4"/>
    </row>
    <row r="203" spans="1:26" ht="12.75">
      <c r="A203" s="4"/>
      <c r="B203" s="4"/>
      <c r="C203" s="15"/>
      <c r="D203" s="4"/>
      <c r="E203" s="4"/>
      <c r="F203" s="4"/>
      <c r="G203" s="4"/>
      <c r="H203" s="4"/>
      <c r="I203" s="4"/>
      <c r="J203" s="4"/>
      <c r="K203" s="4"/>
      <c r="L203" s="4"/>
      <c r="M203" s="4"/>
      <c r="N203" s="4"/>
      <c r="O203" s="4"/>
      <c r="P203" s="4"/>
      <c r="Q203" s="4"/>
      <c r="R203" s="4"/>
      <c r="S203" s="4"/>
      <c r="T203" s="4"/>
      <c r="U203" s="4"/>
      <c r="V203" s="4"/>
      <c r="W203" s="4"/>
      <c r="X203" s="4"/>
      <c r="Y203" s="4"/>
      <c r="Z203" s="4"/>
    </row>
    <row r="204" spans="1:26" ht="12.75">
      <c r="A204" s="4"/>
      <c r="B204" s="4"/>
      <c r="C204" s="15"/>
      <c r="D204" s="4"/>
      <c r="E204" s="4"/>
      <c r="F204" s="4"/>
      <c r="G204" s="4"/>
      <c r="H204" s="4"/>
      <c r="I204" s="4"/>
      <c r="J204" s="4"/>
      <c r="K204" s="4"/>
      <c r="L204" s="4"/>
      <c r="M204" s="4"/>
      <c r="N204" s="4"/>
      <c r="O204" s="4"/>
      <c r="P204" s="4"/>
      <c r="Q204" s="4"/>
      <c r="R204" s="4"/>
      <c r="S204" s="4"/>
      <c r="T204" s="4"/>
      <c r="U204" s="4"/>
      <c r="V204" s="4"/>
      <c r="W204" s="4"/>
      <c r="X204" s="4"/>
      <c r="Y204" s="4"/>
      <c r="Z204" s="4"/>
    </row>
    <row r="205" spans="1:26" ht="12.75">
      <c r="A205" s="4"/>
      <c r="B205" s="4"/>
      <c r="C205" s="15"/>
      <c r="D205" s="4"/>
      <c r="E205" s="4"/>
      <c r="F205" s="4"/>
      <c r="G205" s="4"/>
      <c r="H205" s="4"/>
      <c r="I205" s="4"/>
      <c r="J205" s="4"/>
      <c r="K205" s="4"/>
      <c r="L205" s="4"/>
      <c r="M205" s="4"/>
      <c r="N205" s="4"/>
      <c r="O205" s="4"/>
      <c r="P205" s="4"/>
      <c r="Q205" s="4"/>
      <c r="R205" s="4"/>
      <c r="S205" s="4"/>
      <c r="T205" s="4"/>
      <c r="U205" s="4"/>
      <c r="V205" s="4"/>
      <c r="W205" s="4"/>
      <c r="X205" s="4"/>
      <c r="Y205" s="4"/>
      <c r="Z205" s="4"/>
    </row>
    <row r="206" spans="1:26" ht="12.75">
      <c r="A206" s="4"/>
      <c r="B206" s="4"/>
      <c r="C206" s="15"/>
      <c r="D206" s="4"/>
      <c r="E206" s="4"/>
      <c r="F206" s="4"/>
      <c r="G206" s="4"/>
      <c r="H206" s="4"/>
      <c r="I206" s="4"/>
      <c r="J206" s="4"/>
      <c r="K206" s="4"/>
      <c r="L206" s="4"/>
      <c r="M206" s="4"/>
      <c r="N206" s="4"/>
      <c r="O206" s="4"/>
      <c r="P206" s="4"/>
      <c r="Q206" s="4"/>
      <c r="R206" s="4"/>
      <c r="S206" s="4"/>
      <c r="T206" s="4"/>
      <c r="U206" s="4"/>
      <c r="V206" s="4"/>
      <c r="W206" s="4"/>
      <c r="X206" s="4"/>
      <c r="Y206" s="4"/>
      <c r="Z206" s="4"/>
    </row>
    <row r="207" spans="1:26" ht="12.75">
      <c r="A207" s="4"/>
      <c r="B207" s="4"/>
      <c r="C207" s="15"/>
      <c r="D207" s="4"/>
      <c r="E207" s="4"/>
      <c r="F207" s="4"/>
      <c r="G207" s="4"/>
      <c r="H207" s="4"/>
      <c r="I207" s="4"/>
      <c r="J207" s="4"/>
      <c r="K207" s="4"/>
      <c r="L207" s="4"/>
      <c r="M207" s="4"/>
      <c r="N207" s="4"/>
      <c r="O207" s="4"/>
      <c r="P207" s="4"/>
      <c r="Q207" s="4"/>
      <c r="R207" s="4"/>
      <c r="S207" s="4"/>
      <c r="T207" s="4"/>
      <c r="U207" s="4"/>
      <c r="V207" s="4"/>
      <c r="W207" s="4"/>
      <c r="X207" s="4"/>
      <c r="Y207" s="4"/>
      <c r="Z207" s="4"/>
    </row>
    <row r="208" spans="1:26" ht="12.75">
      <c r="A208" s="4"/>
      <c r="B208" s="4"/>
      <c r="C208" s="15"/>
      <c r="D208" s="4"/>
      <c r="E208" s="4"/>
      <c r="F208" s="4"/>
      <c r="G208" s="4"/>
      <c r="H208" s="4"/>
      <c r="I208" s="4"/>
      <c r="J208" s="4"/>
      <c r="K208" s="4"/>
      <c r="L208" s="4"/>
      <c r="M208" s="4"/>
      <c r="N208" s="4"/>
      <c r="O208" s="4"/>
      <c r="P208" s="4"/>
      <c r="Q208" s="4"/>
      <c r="R208" s="4"/>
      <c r="S208" s="4"/>
      <c r="T208" s="4"/>
      <c r="U208" s="4"/>
      <c r="V208" s="4"/>
      <c r="W208" s="4"/>
      <c r="X208" s="4"/>
      <c r="Y208" s="4"/>
      <c r="Z208" s="4"/>
    </row>
    <row r="209" spans="1:26" ht="12.75">
      <c r="A209" s="4"/>
      <c r="B209" s="4"/>
      <c r="C209" s="15"/>
      <c r="D209" s="4"/>
      <c r="E209" s="4"/>
      <c r="F209" s="4"/>
      <c r="G209" s="4"/>
      <c r="H209" s="4"/>
      <c r="I209" s="4"/>
      <c r="J209" s="4"/>
      <c r="K209" s="4"/>
      <c r="L209" s="4"/>
      <c r="M209" s="4"/>
      <c r="N209" s="4"/>
      <c r="O209" s="4"/>
      <c r="P209" s="4"/>
      <c r="Q209" s="4"/>
      <c r="R209" s="4"/>
      <c r="S209" s="4"/>
      <c r="T209" s="4"/>
      <c r="U209" s="4"/>
      <c r="V209" s="4"/>
      <c r="W209" s="4"/>
      <c r="X209" s="4"/>
      <c r="Y209" s="4"/>
      <c r="Z209" s="4"/>
    </row>
    <row r="210" spans="1:26" ht="12.75">
      <c r="A210" s="4"/>
      <c r="B210" s="4"/>
      <c r="C210" s="15"/>
      <c r="D210" s="4"/>
      <c r="E210" s="4"/>
      <c r="F210" s="4"/>
      <c r="G210" s="4"/>
      <c r="H210" s="4"/>
      <c r="I210" s="4"/>
      <c r="J210" s="4"/>
      <c r="K210" s="4"/>
      <c r="L210" s="4"/>
      <c r="M210" s="4"/>
      <c r="N210" s="4"/>
      <c r="O210" s="4"/>
      <c r="P210" s="4"/>
      <c r="Q210" s="4"/>
      <c r="R210" s="4"/>
      <c r="S210" s="4"/>
      <c r="T210" s="4"/>
      <c r="U210" s="4"/>
      <c r="V210" s="4"/>
      <c r="W210" s="4"/>
      <c r="X210" s="4"/>
      <c r="Y210" s="4"/>
      <c r="Z210" s="4"/>
    </row>
    <row r="211" spans="1:26" ht="12.75">
      <c r="A211" s="4"/>
      <c r="B211" s="4"/>
      <c r="C211" s="15"/>
      <c r="D211" s="4"/>
      <c r="E211" s="4"/>
      <c r="F211" s="4"/>
      <c r="G211" s="4"/>
      <c r="H211" s="4"/>
      <c r="I211" s="4"/>
      <c r="J211" s="4"/>
      <c r="K211" s="4"/>
      <c r="L211" s="4"/>
      <c r="M211" s="4"/>
      <c r="N211" s="4"/>
      <c r="O211" s="4"/>
      <c r="P211" s="4"/>
      <c r="Q211" s="4"/>
      <c r="R211" s="4"/>
      <c r="S211" s="4"/>
      <c r="T211" s="4"/>
      <c r="U211" s="4"/>
      <c r="V211" s="4"/>
      <c r="W211" s="4"/>
      <c r="X211" s="4"/>
      <c r="Y211" s="4"/>
      <c r="Z211" s="4"/>
    </row>
    <row r="212" spans="1:26" ht="12.75">
      <c r="A212" s="4"/>
      <c r="B212" s="4"/>
      <c r="C212" s="15"/>
      <c r="D212" s="4"/>
      <c r="E212" s="4"/>
      <c r="F212" s="4"/>
      <c r="G212" s="4"/>
      <c r="H212" s="4"/>
      <c r="I212" s="4"/>
      <c r="J212" s="4"/>
      <c r="K212" s="4"/>
      <c r="L212" s="4"/>
      <c r="M212" s="4"/>
      <c r="N212" s="4"/>
      <c r="O212" s="4"/>
      <c r="P212" s="4"/>
      <c r="Q212" s="4"/>
      <c r="R212" s="4"/>
      <c r="S212" s="4"/>
      <c r="T212" s="4"/>
      <c r="U212" s="4"/>
      <c r="V212" s="4"/>
      <c r="W212" s="4"/>
      <c r="X212" s="4"/>
      <c r="Y212" s="4"/>
      <c r="Z212" s="4"/>
    </row>
    <row r="213" spans="1:26" ht="12.75">
      <c r="A213" s="4"/>
      <c r="B213" s="4"/>
      <c r="C213" s="15"/>
      <c r="D213" s="4"/>
      <c r="E213" s="4"/>
      <c r="F213" s="4"/>
      <c r="G213" s="4"/>
      <c r="H213" s="4"/>
      <c r="I213" s="4"/>
      <c r="J213" s="4"/>
      <c r="K213" s="4"/>
      <c r="L213" s="4"/>
      <c r="M213" s="4"/>
      <c r="N213" s="4"/>
      <c r="O213" s="4"/>
      <c r="P213" s="4"/>
      <c r="Q213" s="4"/>
      <c r="R213" s="4"/>
      <c r="S213" s="4"/>
      <c r="T213" s="4"/>
      <c r="U213" s="4"/>
      <c r="V213" s="4"/>
      <c r="W213" s="4"/>
      <c r="X213" s="4"/>
      <c r="Y213" s="4"/>
      <c r="Z213" s="4"/>
    </row>
    <row r="214" spans="1:26" ht="12.75">
      <c r="A214" s="4"/>
      <c r="B214" s="4"/>
      <c r="C214" s="15"/>
      <c r="D214" s="4"/>
      <c r="E214" s="4"/>
      <c r="F214" s="4"/>
      <c r="G214" s="4"/>
      <c r="H214" s="4"/>
      <c r="I214" s="4"/>
      <c r="J214" s="4"/>
      <c r="K214" s="4"/>
      <c r="L214" s="4"/>
      <c r="M214" s="4"/>
      <c r="N214" s="4"/>
      <c r="O214" s="4"/>
      <c r="P214" s="4"/>
      <c r="Q214" s="4"/>
      <c r="R214" s="4"/>
      <c r="S214" s="4"/>
      <c r="T214" s="4"/>
      <c r="U214" s="4"/>
      <c r="V214" s="4"/>
      <c r="W214" s="4"/>
      <c r="X214" s="4"/>
      <c r="Y214" s="4"/>
      <c r="Z214" s="4"/>
    </row>
    <row r="215" spans="1:26" ht="12.75">
      <c r="A215" s="4"/>
      <c r="B215" s="4"/>
      <c r="C215" s="15"/>
      <c r="D215" s="4"/>
      <c r="E215" s="4"/>
      <c r="F215" s="4"/>
      <c r="G215" s="4"/>
      <c r="H215" s="4"/>
      <c r="I215" s="4"/>
      <c r="J215" s="4"/>
      <c r="K215" s="4"/>
      <c r="L215" s="4"/>
      <c r="M215" s="4"/>
      <c r="N215" s="4"/>
      <c r="O215" s="4"/>
      <c r="P215" s="4"/>
      <c r="Q215" s="4"/>
      <c r="R215" s="4"/>
      <c r="S215" s="4"/>
      <c r="T215" s="4"/>
      <c r="U215" s="4"/>
      <c r="V215" s="4"/>
      <c r="W215" s="4"/>
      <c r="X215" s="4"/>
      <c r="Y215" s="4"/>
      <c r="Z215" s="4"/>
    </row>
    <row r="216" spans="1:26" ht="12.75">
      <c r="A216" s="4"/>
      <c r="B216" s="4"/>
      <c r="C216" s="15"/>
      <c r="D216" s="4"/>
      <c r="E216" s="4"/>
      <c r="F216" s="4"/>
      <c r="G216" s="4"/>
      <c r="H216" s="4"/>
      <c r="I216" s="4"/>
      <c r="J216" s="4"/>
      <c r="K216" s="4"/>
      <c r="L216" s="4"/>
      <c r="M216" s="4"/>
      <c r="N216" s="4"/>
      <c r="O216" s="4"/>
      <c r="P216" s="4"/>
      <c r="Q216" s="4"/>
      <c r="R216" s="4"/>
      <c r="S216" s="4"/>
      <c r="T216" s="4"/>
      <c r="U216" s="4"/>
      <c r="V216" s="4"/>
      <c r="W216" s="4"/>
      <c r="X216" s="4"/>
      <c r="Y216" s="4"/>
      <c r="Z216" s="4"/>
    </row>
    <row r="217" spans="1:26" ht="12.75">
      <c r="A217" s="4"/>
      <c r="B217" s="4"/>
      <c r="C217" s="15"/>
      <c r="D217" s="4"/>
      <c r="E217" s="4"/>
      <c r="F217" s="4"/>
      <c r="G217" s="4"/>
      <c r="H217" s="4"/>
      <c r="I217" s="4"/>
      <c r="J217" s="4"/>
      <c r="K217" s="4"/>
      <c r="L217" s="4"/>
      <c r="M217" s="4"/>
      <c r="N217" s="4"/>
      <c r="O217" s="4"/>
      <c r="P217" s="4"/>
      <c r="Q217" s="4"/>
      <c r="R217" s="4"/>
      <c r="S217" s="4"/>
      <c r="T217" s="4"/>
      <c r="U217" s="4"/>
      <c r="V217" s="4"/>
      <c r="W217" s="4"/>
      <c r="X217" s="4"/>
      <c r="Y217" s="4"/>
      <c r="Z217" s="4"/>
    </row>
    <row r="218" spans="1:26" ht="12.75">
      <c r="A218" s="4"/>
      <c r="B218" s="4"/>
      <c r="C218" s="15"/>
      <c r="D218" s="4"/>
      <c r="E218" s="4"/>
      <c r="F218" s="4"/>
      <c r="G218" s="4"/>
      <c r="H218" s="4"/>
      <c r="I218" s="4"/>
      <c r="J218" s="4"/>
      <c r="K218" s="4"/>
      <c r="L218" s="4"/>
      <c r="M218" s="4"/>
      <c r="N218" s="4"/>
      <c r="O218" s="4"/>
      <c r="P218" s="4"/>
      <c r="Q218" s="4"/>
      <c r="R218" s="4"/>
      <c r="S218" s="4"/>
      <c r="T218" s="4"/>
      <c r="U218" s="4"/>
      <c r="V218" s="4"/>
      <c r="W218" s="4"/>
      <c r="X218" s="4"/>
      <c r="Y218" s="4"/>
      <c r="Z218" s="4"/>
    </row>
    <row r="219" spans="1:26" ht="12.75">
      <c r="A219" s="4"/>
      <c r="B219" s="4"/>
      <c r="C219" s="15"/>
      <c r="D219" s="4"/>
      <c r="E219" s="4"/>
      <c r="F219" s="4"/>
      <c r="G219" s="4"/>
      <c r="H219" s="4"/>
      <c r="I219" s="4"/>
      <c r="J219" s="4"/>
      <c r="K219" s="4"/>
      <c r="L219" s="4"/>
      <c r="M219" s="4"/>
      <c r="N219" s="4"/>
      <c r="O219" s="4"/>
      <c r="P219" s="4"/>
      <c r="Q219" s="4"/>
      <c r="R219" s="4"/>
      <c r="S219" s="4"/>
      <c r="T219" s="4"/>
      <c r="U219" s="4"/>
      <c r="V219" s="4"/>
      <c r="W219" s="4"/>
      <c r="X219" s="4"/>
      <c r="Y219" s="4"/>
      <c r="Z219" s="4"/>
    </row>
    <row r="220" spans="1:26" ht="12.75">
      <c r="A220" s="4"/>
      <c r="B220" s="4"/>
      <c r="C220" s="15"/>
      <c r="D220" s="4"/>
      <c r="E220" s="4"/>
      <c r="F220" s="4"/>
      <c r="G220" s="4"/>
      <c r="H220" s="4"/>
      <c r="I220" s="4"/>
      <c r="J220" s="4"/>
      <c r="K220" s="4"/>
      <c r="L220" s="4"/>
      <c r="M220" s="4"/>
      <c r="N220" s="4"/>
      <c r="O220" s="4"/>
      <c r="P220" s="4"/>
      <c r="Q220" s="4"/>
      <c r="R220" s="4"/>
      <c r="S220" s="4"/>
      <c r="T220" s="4"/>
      <c r="U220" s="4"/>
      <c r="V220" s="4"/>
      <c r="W220" s="4"/>
      <c r="X220" s="4"/>
      <c r="Y220" s="4"/>
      <c r="Z220" s="4"/>
    </row>
    <row r="221" spans="1:26" ht="12.75">
      <c r="A221" s="4"/>
      <c r="B221" s="4"/>
      <c r="C221" s="15"/>
      <c r="D221" s="4"/>
      <c r="E221" s="4"/>
      <c r="F221" s="4"/>
      <c r="G221" s="4"/>
      <c r="H221" s="4"/>
      <c r="I221" s="4"/>
      <c r="J221" s="4"/>
      <c r="K221" s="4"/>
      <c r="L221" s="4"/>
      <c r="M221" s="4"/>
      <c r="N221" s="4"/>
      <c r="O221" s="4"/>
      <c r="P221" s="4"/>
      <c r="Q221" s="4"/>
      <c r="R221" s="4"/>
      <c r="S221" s="4"/>
      <c r="T221" s="4"/>
      <c r="U221" s="4"/>
      <c r="V221" s="4"/>
      <c r="W221" s="4"/>
      <c r="X221" s="4"/>
      <c r="Y221" s="4"/>
      <c r="Z221" s="4"/>
    </row>
    <row r="222" spans="1:26" ht="12.75">
      <c r="A222" s="4"/>
      <c r="B222" s="4"/>
      <c r="C222" s="15"/>
      <c r="D222" s="4"/>
      <c r="E222" s="4"/>
      <c r="F222" s="4"/>
      <c r="G222" s="4"/>
      <c r="H222" s="4"/>
      <c r="I222" s="4"/>
      <c r="J222" s="4"/>
      <c r="K222" s="4"/>
      <c r="L222" s="4"/>
      <c r="M222" s="4"/>
      <c r="N222" s="4"/>
      <c r="O222" s="4"/>
      <c r="P222" s="4"/>
      <c r="Q222" s="4"/>
      <c r="R222" s="4"/>
      <c r="S222" s="4"/>
      <c r="T222" s="4"/>
      <c r="U222" s="4"/>
      <c r="V222" s="4"/>
      <c r="W222" s="4"/>
      <c r="X222" s="4"/>
      <c r="Y222" s="4"/>
      <c r="Z222" s="4"/>
    </row>
    <row r="223" spans="1:26" ht="12.75">
      <c r="A223" s="4"/>
      <c r="B223" s="4"/>
      <c r="C223" s="15"/>
      <c r="D223" s="4"/>
      <c r="E223" s="4"/>
      <c r="F223" s="4"/>
      <c r="G223" s="4"/>
      <c r="H223" s="4"/>
      <c r="I223" s="4"/>
      <c r="J223" s="4"/>
      <c r="K223" s="4"/>
      <c r="L223" s="4"/>
      <c r="M223" s="4"/>
      <c r="N223" s="4"/>
      <c r="O223" s="4"/>
      <c r="P223" s="4"/>
      <c r="Q223" s="4"/>
      <c r="R223" s="4"/>
      <c r="S223" s="4"/>
      <c r="T223" s="4"/>
      <c r="U223" s="4"/>
      <c r="V223" s="4"/>
      <c r="W223" s="4"/>
      <c r="X223" s="4"/>
      <c r="Y223" s="4"/>
      <c r="Z223" s="4"/>
    </row>
    <row r="224" spans="1:26" ht="12.75">
      <c r="A224" s="4"/>
      <c r="B224" s="4"/>
      <c r="C224" s="15"/>
      <c r="D224" s="4"/>
      <c r="E224" s="4"/>
      <c r="F224" s="4"/>
      <c r="G224" s="4"/>
      <c r="H224" s="4"/>
      <c r="I224" s="4"/>
      <c r="J224" s="4"/>
      <c r="K224" s="4"/>
      <c r="L224" s="4"/>
      <c r="M224" s="4"/>
      <c r="N224" s="4"/>
      <c r="O224" s="4"/>
      <c r="P224" s="4"/>
      <c r="Q224" s="4"/>
      <c r="R224" s="4"/>
      <c r="S224" s="4"/>
      <c r="T224" s="4"/>
      <c r="U224" s="4"/>
      <c r="V224" s="4"/>
      <c r="W224" s="4"/>
      <c r="X224" s="4"/>
      <c r="Y224" s="4"/>
      <c r="Z224" s="4"/>
    </row>
    <row r="225" spans="1:26" ht="12.75">
      <c r="A225" s="4"/>
      <c r="B225" s="4"/>
      <c r="C225" s="15"/>
      <c r="D225" s="4"/>
      <c r="E225" s="4"/>
      <c r="F225" s="4"/>
      <c r="G225" s="4"/>
      <c r="H225" s="4"/>
      <c r="I225" s="4"/>
      <c r="J225" s="4"/>
      <c r="K225" s="4"/>
      <c r="L225" s="4"/>
      <c r="M225" s="4"/>
      <c r="N225" s="4"/>
      <c r="O225" s="4"/>
      <c r="P225" s="4"/>
      <c r="Q225" s="4"/>
      <c r="R225" s="4"/>
      <c r="S225" s="4"/>
      <c r="T225" s="4"/>
      <c r="U225" s="4"/>
      <c r="V225" s="4"/>
      <c r="W225" s="4"/>
      <c r="X225" s="4"/>
      <c r="Y225" s="4"/>
      <c r="Z225" s="4"/>
    </row>
    <row r="226" spans="1:26" ht="12.75">
      <c r="A226" s="4"/>
      <c r="B226" s="4"/>
      <c r="C226" s="15"/>
      <c r="D226" s="4"/>
      <c r="E226" s="4"/>
      <c r="F226" s="4"/>
      <c r="G226" s="4"/>
      <c r="H226" s="4"/>
      <c r="I226" s="4"/>
      <c r="J226" s="4"/>
      <c r="K226" s="4"/>
      <c r="L226" s="4"/>
      <c r="M226" s="4"/>
      <c r="N226" s="4"/>
      <c r="O226" s="4"/>
      <c r="P226" s="4"/>
      <c r="Q226" s="4"/>
      <c r="R226" s="4"/>
      <c r="S226" s="4"/>
      <c r="T226" s="4"/>
      <c r="U226" s="4"/>
      <c r="V226" s="4"/>
      <c r="W226" s="4"/>
      <c r="X226" s="4"/>
      <c r="Y226" s="4"/>
      <c r="Z226" s="4"/>
    </row>
    <row r="227" spans="1:26" ht="12.75">
      <c r="A227" s="4"/>
      <c r="B227" s="4"/>
      <c r="C227" s="15"/>
      <c r="D227" s="4"/>
      <c r="E227" s="4"/>
      <c r="F227" s="4"/>
      <c r="G227" s="4"/>
      <c r="H227" s="4"/>
      <c r="I227" s="4"/>
      <c r="J227" s="4"/>
      <c r="K227" s="4"/>
      <c r="L227" s="4"/>
      <c r="M227" s="4"/>
      <c r="N227" s="4"/>
      <c r="O227" s="4"/>
      <c r="P227" s="4"/>
      <c r="Q227" s="4"/>
      <c r="R227" s="4"/>
      <c r="S227" s="4"/>
      <c r="T227" s="4"/>
      <c r="U227" s="4"/>
      <c r="V227" s="4"/>
      <c r="W227" s="4"/>
      <c r="X227" s="4"/>
      <c r="Y227" s="4"/>
      <c r="Z227" s="4"/>
    </row>
    <row r="228" spans="1:26" ht="12.75">
      <c r="A228" s="4"/>
      <c r="B228" s="4"/>
      <c r="C228" s="15"/>
      <c r="D228" s="4"/>
      <c r="E228" s="4"/>
      <c r="F228" s="4"/>
      <c r="G228" s="4"/>
      <c r="H228" s="4"/>
      <c r="I228" s="4"/>
      <c r="J228" s="4"/>
      <c r="K228" s="4"/>
      <c r="L228" s="4"/>
      <c r="M228" s="4"/>
      <c r="N228" s="4"/>
      <c r="O228" s="4"/>
      <c r="P228" s="4"/>
      <c r="Q228" s="4"/>
      <c r="R228" s="4"/>
      <c r="S228" s="4"/>
      <c r="T228" s="4"/>
      <c r="U228" s="4"/>
      <c r="V228" s="4"/>
      <c r="W228" s="4"/>
      <c r="X228" s="4"/>
      <c r="Y228" s="4"/>
      <c r="Z228" s="4"/>
    </row>
    <row r="229" spans="1:26" ht="12.75">
      <c r="A229" s="4"/>
      <c r="B229" s="4"/>
      <c r="C229" s="15"/>
      <c r="D229" s="4"/>
      <c r="E229" s="4"/>
      <c r="F229" s="4"/>
      <c r="G229" s="4"/>
      <c r="H229" s="4"/>
      <c r="I229" s="4"/>
      <c r="J229" s="4"/>
      <c r="K229" s="4"/>
      <c r="L229" s="4"/>
      <c r="M229" s="4"/>
      <c r="N229" s="4"/>
      <c r="O229" s="4"/>
      <c r="P229" s="4"/>
      <c r="Q229" s="4"/>
      <c r="R229" s="4"/>
      <c r="S229" s="4"/>
      <c r="T229" s="4"/>
      <c r="U229" s="4"/>
      <c r="V229" s="4"/>
      <c r="W229" s="4"/>
      <c r="X229" s="4"/>
      <c r="Y229" s="4"/>
      <c r="Z229" s="4"/>
    </row>
    <row r="230" spans="1:26" ht="12.75">
      <c r="A230" s="4"/>
      <c r="B230" s="4"/>
      <c r="C230" s="15"/>
      <c r="D230" s="4"/>
      <c r="E230" s="4"/>
      <c r="F230" s="4"/>
      <c r="G230" s="4"/>
      <c r="H230" s="4"/>
      <c r="I230" s="4"/>
      <c r="J230" s="4"/>
      <c r="K230" s="4"/>
      <c r="L230" s="4"/>
      <c r="M230" s="4"/>
      <c r="N230" s="4"/>
      <c r="O230" s="4"/>
      <c r="P230" s="4"/>
      <c r="Q230" s="4"/>
      <c r="R230" s="4"/>
      <c r="S230" s="4"/>
      <c r="T230" s="4"/>
      <c r="U230" s="4"/>
      <c r="V230" s="4"/>
      <c r="W230" s="4"/>
      <c r="X230" s="4"/>
      <c r="Y230" s="4"/>
      <c r="Z230" s="4"/>
    </row>
    <row r="231" spans="1:26" ht="12.75">
      <c r="A231" s="4"/>
      <c r="B231" s="4"/>
      <c r="C231" s="15"/>
      <c r="D231" s="4"/>
      <c r="E231" s="4"/>
      <c r="F231" s="4"/>
      <c r="G231" s="4"/>
      <c r="H231" s="4"/>
      <c r="I231" s="4"/>
      <c r="J231" s="4"/>
      <c r="K231" s="4"/>
      <c r="L231" s="4"/>
      <c r="M231" s="4"/>
      <c r="N231" s="4"/>
      <c r="O231" s="4"/>
      <c r="P231" s="4"/>
      <c r="Q231" s="4"/>
      <c r="R231" s="4"/>
      <c r="S231" s="4"/>
      <c r="T231" s="4"/>
      <c r="U231" s="4"/>
      <c r="V231" s="4"/>
      <c r="W231" s="4"/>
      <c r="X231" s="4"/>
      <c r="Y231" s="4"/>
      <c r="Z231" s="4"/>
    </row>
    <row r="232" spans="1:26" ht="12.75">
      <c r="A232" s="4"/>
      <c r="B232" s="4"/>
      <c r="C232" s="15"/>
      <c r="D232" s="4"/>
      <c r="E232" s="4"/>
      <c r="F232" s="4"/>
      <c r="G232" s="4"/>
      <c r="H232" s="4"/>
      <c r="I232" s="4"/>
      <c r="J232" s="4"/>
      <c r="K232" s="4"/>
      <c r="L232" s="4"/>
      <c r="M232" s="4"/>
      <c r="N232" s="4"/>
      <c r="O232" s="4"/>
      <c r="P232" s="4"/>
      <c r="Q232" s="4"/>
      <c r="R232" s="4"/>
      <c r="S232" s="4"/>
      <c r="T232" s="4"/>
      <c r="U232" s="4"/>
      <c r="V232" s="4"/>
      <c r="W232" s="4"/>
      <c r="X232" s="4"/>
      <c r="Y232" s="4"/>
      <c r="Z232" s="4"/>
    </row>
    <row r="233" spans="1:26" ht="12.75">
      <c r="A233" s="4"/>
      <c r="B233" s="4"/>
      <c r="C233" s="15"/>
      <c r="D233" s="4"/>
      <c r="E233" s="4"/>
      <c r="F233" s="4"/>
      <c r="G233" s="4"/>
      <c r="H233" s="4"/>
      <c r="I233" s="4"/>
      <c r="J233" s="4"/>
      <c r="K233" s="4"/>
      <c r="L233" s="4"/>
      <c r="M233" s="4"/>
      <c r="N233" s="4"/>
      <c r="O233" s="4"/>
      <c r="P233" s="4"/>
      <c r="Q233" s="4"/>
      <c r="R233" s="4"/>
      <c r="S233" s="4"/>
      <c r="T233" s="4"/>
      <c r="U233" s="4"/>
      <c r="V233" s="4"/>
      <c r="W233" s="4"/>
      <c r="X233" s="4"/>
      <c r="Y233" s="4"/>
      <c r="Z233" s="4"/>
    </row>
    <row r="234" spans="1:26" ht="12.75">
      <c r="A234" s="4"/>
      <c r="B234" s="4"/>
      <c r="C234" s="15"/>
      <c r="D234" s="4"/>
      <c r="E234" s="4"/>
      <c r="F234" s="4"/>
      <c r="G234" s="4"/>
      <c r="H234" s="4"/>
      <c r="I234" s="4"/>
      <c r="J234" s="4"/>
      <c r="K234" s="4"/>
      <c r="L234" s="4"/>
      <c r="M234" s="4"/>
      <c r="N234" s="4"/>
      <c r="O234" s="4"/>
      <c r="P234" s="4"/>
      <c r="Q234" s="4"/>
      <c r="R234" s="4"/>
      <c r="S234" s="4"/>
      <c r="T234" s="4"/>
      <c r="U234" s="4"/>
      <c r="V234" s="4"/>
      <c r="W234" s="4"/>
      <c r="X234" s="4"/>
      <c r="Y234" s="4"/>
      <c r="Z234" s="4"/>
    </row>
    <row r="235" spans="1:26" ht="12.75">
      <c r="A235" s="4"/>
      <c r="B235" s="4"/>
      <c r="C235" s="15"/>
      <c r="D235" s="4"/>
      <c r="E235" s="4"/>
      <c r="F235" s="4"/>
      <c r="G235" s="4"/>
      <c r="H235" s="4"/>
      <c r="I235" s="4"/>
      <c r="J235" s="4"/>
      <c r="K235" s="4"/>
      <c r="L235" s="4"/>
      <c r="M235" s="4"/>
      <c r="N235" s="4"/>
      <c r="O235" s="4"/>
      <c r="P235" s="4"/>
      <c r="Q235" s="4"/>
      <c r="R235" s="4"/>
      <c r="S235" s="4"/>
      <c r="T235" s="4"/>
      <c r="U235" s="4"/>
      <c r="V235" s="4"/>
      <c r="W235" s="4"/>
      <c r="X235" s="4"/>
      <c r="Y235" s="4"/>
      <c r="Z235" s="4"/>
    </row>
    <row r="236" spans="1:26" ht="12.75">
      <c r="A236" s="4"/>
      <c r="B236" s="4"/>
      <c r="C236" s="15"/>
      <c r="D236" s="4"/>
      <c r="E236" s="4"/>
      <c r="F236" s="4"/>
      <c r="G236" s="4"/>
      <c r="H236" s="4"/>
      <c r="I236" s="4"/>
      <c r="J236" s="4"/>
      <c r="K236" s="4"/>
      <c r="L236" s="4"/>
      <c r="M236" s="4"/>
      <c r="N236" s="4"/>
      <c r="O236" s="4"/>
      <c r="P236" s="4"/>
      <c r="Q236" s="4"/>
      <c r="R236" s="4"/>
      <c r="S236" s="4"/>
      <c r="T236" s="4"/>
      <c r="U236" s="4"/>
      <c r="V236" s="4"/>
      <c r="W236" s="4"/>
      <c r="X236" s="4"/>
      <c r="Y236" s="4"/>
      <c r="Z236" s="4"/>
    </row>
    <row r="237" spans="1:26" ht="12.75">
      <c r="A237" s="4"/>
      <c r="B237" s="4"/>
      <c r="C237" s="15"/>
      <c r="D237" s="4"/>
      <c r="E237" s="4"/>
      <c r="F237" s="4"/>
      <c r="G237" s="4"/>
      <c r="H237" s="4"/>
      <c r="I237" s="4"/>
      <c r="J237" s="4"/>
      <c r="K237" s="4"/>
      <c r="L237" s="4"/>
      <c r="M237" s="4"/>
      <c r="N237" s="4"/>
      <c r="O237" s="4"/>
      <c r="P237" s="4"/>
      <c r="Q237" s="4"/>
      <c r="R237" s="4"/>
      <c r="S237" s="4"/>
      <c r="T237" s="4"/>
      <c r="U237" s="4"/>
      <c r="V237" s="4"/>
      <c r="W237" s="4"/>
      <c r="X237" s="4"/>
      <c r="Y237" s="4"/>
      <c r="Z237" s="4"/>
    </row>
    <row r="238" spans="1:26" ht="12.75">
      <c r="A238" s="4"/>
      <c r="B238" s="4"/>
      <c r="C238" s="15"/>
      <c r="D238" s="4"/>
      <c r="E238" s="4"/>
      <c r="F238" s="4"/>
      <c r="G238" s="4"/>
      <c r="H238" s="4"/>
      <c r="I238" s="4"/>
      <c r="J238" s="4"/>
      <c r="K238" s="4"/>
      <c r="L238" s="4"/>
      <c r="M238" s="4"/>
      <c r="N238" s="4"/>
      <c r="O238" s="4"/>
      <c r="P238" s="4"/>
      <c r="Q238" s="4"/>
      <c r="R238" s="4"/>
      <c r="S238" s="4"/>
      <c r="T238" s="4"/>
      <c r="U238" s="4"/>
      <c r="V238" s="4"/>
      <c r="W238" s="4"/>
      <c r="X238" s="4"/>
      <c r="Y238" s="4"/>
      <c r="Z238" s="4"/>
    </row>
    <row r="239" spans="1:26" ht="12.75">
      <c r="A239" s="4"/>
      <c r="B239" s="4"/>
      <c r="C239" s="15"/>
      <c r="D239" s="4"/>
      <c r="E239" s="4"/>
      <c r="F239" s="4"/>
      <c r="G239" s="4"/>
      <c r="H239" s="4"/>
      <c r="I239" s="4"/>
      <c r="J239" s="4"/>
      <c r="K239" s="4"/>
      <c r="L239" s="4"/>
      <c r="M239" s="4"/>
      <c r="N239" s="4"/>
      <c r="O239" s="4"/>
      <c r="P239" s="4"/>
      <c r="Q239" s="4"/>
      <c r="R239" s="4"/>
      <c r="S239" s="4"/>
      <c r="T239" s="4"/>
      <c r="U239" s="4"/>
      <c r="V239" s="4"/>
      <c r="W239" s="4"/>
      <c r="X239" s="4"/>
      <c r="Y239" s="4"/>
      <c r="Z239" s="4"/>
    </row>
    <row r="240" spans="1:26" ht="12.75">
      <c r="A240" s="4"/>
      <c r="B240" s="4"/>
      <c r="C240" s="15"/>
      <c r="D240" s="4"/>
      <c r="E240" s="4"/>
      <c r="F240" s="4"/>
      <c r="G240" s="4"/>
      <c r="H240" s="4"/>
      <c r="I240" s="4"/>
      <c r="J240" s="4"/>
      <c r="K240" s="4"/>
      <c r="L240" s="4"/>
      <c r="M240" s="4"/>
      <c r="N240" s="4"/>
      <c r="O240" s="4"/>
      <c r="P240" s="4"/>
      <c r="Q240" s="4"/>
      <c r="R240" s="4"/>
      <c r="S240" s="4"/>
      <c r="T240" s="4"/>
      <c r="U240" s="4"/>
      <c r="V240" s="4"/>
      <c r="W240" s="4"/>
      <c r="X240" s="4"/>
      <c r="Y240" s="4"/>
      <c r="Z240" s="4"/>
    </row>
    <row r="241" spans="1:26" ht="12.75">
      <c r="A241" s="4"/>
      <c r="B241" s="4"/>
      <c r="C241" s="15"/>
      <c r="D241" s="4"/>
      <c r="E241" s="4"/>
      <c r="F241" s="4"/>
      <c r="G241" s="4"/>
      <c r="H241" s="4"/>
      <c r="I241" s="4"/>
      <c r="J241" s="4"/>
      <c r="K241" s="4"/>
      <c r="L241" s="4"/>
      <c r="M241" s="4"/>
      <c r="N241" s="4"/>
      <c r="O241" s="4"/>
      <c r="P241" s="4"/>
      <c r="Q241" s="4"/>
      <c r="R241" s="4"/>
      <c r="S241" s="4"/>
      <c r="T241" s="4"/>
      <c r="U241" s="4"/>
      <c r="V241" s="4"/>
      <c r="W241" s="4"/>
      <c r="X241" s="4"/>
      <c r="Y241" s="4"/>
      <c r="Z241" s="4"/>
    </row>
    <row r="242" spans="1:26" ht="12.75">
      <c r="A242" s="4"/>
      <c r="B242" s="4"/>
      <c r="C242" s="15"/>
      <c r="D242" s="4"/>
      <c r="E242" s="4"/>
      <c r="F242" s="4"/>
      <c r="G242" s="4"/>
      <c r="H242" s="4"/>
      <c r="I242" s="4"/>
      <c r="J242" s="4"/>
      <c r="K242" s="4"/>
      <c r="L242" s="4"/>
      <c r="M242" s="4"/>
      <c r="N242" s="4"/>
      <c r="O242" s="4"/>
      <c r="P242" s="4"/>
      <c r="Q242" s="4"/>
      <c r="R242" s="4"/>
      <c r="S242" s="4"/>
      <c r="T242" s="4"/>
      <c r="U242" s="4"/>
      <c r="V242" s="4"/>
      <c r="W242" s="4"/>
      <c r="X242" s="4"/>
      <c r="Y242" s="4"/>
      <c r="Z242" s="4"/>
    </row>
    <row r="243" spans="1:26" ht="12.75">
      <c r="A243" s="4"/>
      <c r="B243" s="4"/>
      <c r="C243" s="15"/>
      <c r="D243" s="4"/>
      <c r="E243" s="4"/>
      <c r="F243" s="4"/>
      <c r="G243" s="4"/>
      <c r="H243" s="4"/>
      <c r="I243" s="4"/>
      <c r="J243" s="4"/>
      <c r="K243" s="4"/>
      <c r="L243" s="4"/>
      <c r="M243" s="4"/>
      <c r="N243" s="4"/>
      <c r="O243" s="4"/>
      <c r="P243" s="4"/>
      <c r="Q243" s="4"/>
      <c r="R243" s="4"/>
      <c r="S243" s="4"/>
      <c r="T243" s="4"/>
      <c r="U243" s="4"/>
      <c r="V243" s="4"/>
      <c r="W243" s="4"/>
      <c r="X243" s="4"/>
      <c r="Y243" s="4"/>
      <c r="Z243" s="4"/>
    </row>
    <row r="244" spans="1:26" ht="12.75">
      <c r="A244" s="4"/>
      <c r="B244" s="4"/>
      <c r="C244" s="15"/>
      <c r="D244" s="4"/>
      <c r="E244" s="4"/>
      <c r="F244" s="4"/>
      <c r="G244" s="4"/>
      <c r="H244" s="4"/>
      <c r="I244" s="4"/>
      <c r="J244" s="4"/>
      <c r="K244" s="4"/>
      <c r="L244" s="4"/>
      <c r="M244" s="4"/>
      <c r="N244" s="4"/>
      <c r="O244" s="4"/>
      <c r="P244" s="4"/>
      <c r="Q244" s="4"/>
      <c r="R244" s="4"/>
      <c r="S244" s="4"/>
      <c r="T244" s="4"/>
      <c r="U244" s="4"/>
      <c r="V244" s="4"/>
      <c r="W244" s="4"/>
      <c r="X244" s="4"/>
      <c r="Y244" s="4"/>
      <c r="Z244" s="4"/>
    </row>
    <row r="245" spans="1:26" ht="12.75">
      <c r="A245" s="4"/>
      <c r="B245" s="4"/>
      <c r="C245" s="15"/>
      <c r="D245" s="4"/>
      <c r="E245" s="4"/>
      <c r="F245" s="4"/>
      <c r="G245" s="4"/>
      <c r="H245" s="4"/>
      <c r="I245" s="4"/>
      <c r="J245" s="4"/>
      <c r="K245" s="4"/>
      <c r="L245" s="4"/>
      <c r="M245" s="4"/>
      <c r="N245" s="4"/>
      <c r="O245" s="4"/>
      <c r="P245" s="4"/>
      <c r="Q245" s="4"/>
      <c r="R245" s="4"/>
      <c r="S245" s="4"/>
      <c r="T245" s="4"/>
      <c r="U245" s="4"/>
      <c r="V245" s="4"/>
      <c r="W245" s="4"/>
      <c r="X245" s="4"/>
      <c r="Y245" s="4"/>
      <c r="Z245" s="4"/>
    </row>
    <row r="246" spans="1:26" ht="12.75">
      <c r="A246" s="4"/>
      <c r="B246" s="4"/>
      <c r="C246" s="15"/>
      <c r="D246" s="4"/>
      <c r="E246" s="4"/>
      <c r="F246" s="4"/>
      <c r="G246" s="4"/>
      <c r="H246" s="4"/>
      <c r="I246" s="4"/>
      <c r="J246" s="4"/>
      <c r="K246" s="4"/>
      <c r="L246" s="4"/>
      <c r="M246" s="4"/>
      <c r="N246" s="4"/>
      <c r="O246" s="4"/>
      <c r="P246" s="4"/>
      <c r="Q246" s="4"/>
      <c r="R246" s="4"/>
      <c r="S246" s="4"/>
      <c r="T246" s="4"/>
      <c r="U246" s="4"/>
      <c r="V246" s="4"/>
      <c r="W246" s="4"/>
      <c r="X246" s="4"/>
      <c r="Y246" s="4"/>
      <c r="Z246" s="4"/>
    </row>
    <row r="247" spans="1:26" ht="12.75">
      <c r="A247" s="4"/>
      <c r="B247" s="4"/>
      <c r="C247" s="15"/>
      <c r="D247" s="4"/>
      <c r="E247" s="4"/>
      <c r="F247" s="4"/>
      <c r="G247" s="4"/>
      <c r="H247" s="4"/>
      <c r="I247" s="4"/>
      <c r="J247" s="4"/>
      <c r="K247" s="4"/>
      <c r="L247" s="4"/>
      <c r="M247" s="4"/>
      <c r="N247" s="4"/>
      <c r="O247" s="4"/>
      <c r="P247" s="4"/>
      <c r="Q247" s="4"/>
      <c r="R247" s="4"/>
      <c r="S247" s="4"/>
      <c r="T247" s="4"/>
      <c r="U247" s="4"/>
      <c r="V247" s="4"/>
      <c r="W247" s="4"/>
      <c r="X247" s="4"/>
      <c r="Y247" s="4"/>
      <c r="Z247" s="4"/>
    </row>
    <row r="248" spans="1:26" ht="12.75">
      <c r="A248" s="4"/>
      <c r="B248" s="4"/>
      <c r="C248" s="15"/>
      <c r="D248" s="4"/>
      <c r="E248" s="4"/>
      <c r="F248" s="4"/>
      <c r="G248" s="4"/>
      <c r="H248" s="4"/>
      <c r="I248" s="4"/>
      <c r="J248" s="4"/>
      <c r="K248" s="4"/>
      <c r="L248" s="4"/>
      <c r="M248" s="4"/>
      <c r="N248" s="4"/>
      <c r="O248" s="4"/>
      <c r="P248" s="4"/>
      <c r="Q248" s="4"/>
      <c r="R248" s="4"/>
      <c r="S248" s="4"/>
      <c r="T248" s="4"/>
      <c r="U248" s="4"/>
      <c r="V248" s="4"/>
      <c r="W248" s="4"/>
      <c r="X248" s="4"/>
      <c r="Y248" s="4"/>
      <c r="Z248" s="4"/>
    </row>
    <row r="249" spans="1:26" ht="12.75">
      <c r="A249" s="4"/>
      <c r="B249" s="4"/>
      <c r="C249" s="15"/>
      <c r="D249" s="4"/>
      <c r="E249" s="4"/>
      <c r="F249" s="4"/>
      <c r="G249" s="4"/>
      <c r="H249" s="4"/>
      <c r="I249" s="4"/>
      <c r="J249" s="4"/>
      <c r="K249" s="4"/>
      <c r="L249" s="4"/>
      <c r="M249" s="4"/>
      <c r="N249" s="4"/>
      <c r="O249" s="4"/>
      <c r="P249" s="4"/>
      <c r="Q249" s="4"/>
      <c r="R249" s="4"/>
      <c r="S249" s="4"/>
      <c r="T249" s="4"/>
      <c r="U249" s="4"/>
      <c r="V249" s="4"/>
      <c r="W249" s="4"/>
      <c r="X249" s="4"/>
      <c r="Y249" s="4"/>
      <c r="Z249" s="4"/>
    </row>
    <row r="250" spans="1:26" ht="12.75">
      <c r="A250" s="4"/>
      <c r="B250" s="4"/>
      <c r="C250" s="15"/>
      <c r="D250" s="4"/>
      <c r="E250" s="4"/>
      <c r="F250" s="4"/>
      <c r="G250" s="4"/>
      <c r="H250" s="4"/>
      <c r="I250" s="4"/>
      <c r="J250" s="4"/>
      <c r="K250" s="4"/>
      <c r="L250" s="4"/>
      <c r="M250" s="4"/>
      <c r="N250" s="4"/>
      <c r="O250" s="4"/>
      <c r="P250" s="4"/>
      <c r="Q250" s="4"/>
      <c r="R250" s="4"/>
      <c r="S250" s="4"/>
      <c r="T250" s="4"/>
      <c r="U250" s="4"/>
      <c r="V250" s="4"/>
      <c r="W250" s="4"/>
      <c r="X250" s="4"/>
      <c r="Y250" s="4"/>
      <c r="Z250" s="4"/>
    </row>
    <row r="251" spans="1:26" ht="12.75">
      <c r="A251" s="4"/>
      <c r="B251" s="4"/>
      <c r="C251" s="15"/>
      <c r="D251" s="4"/>
      <c r="E251" s="4"/>
      <c r="F251" s="4"/>
      <c r="G251" s="4"/>
      <c r="H251" s="4"/>
      <c r="I251" s="4"/>
      <c r="J251" s="4"/>
      <c r="K251" s="4"/>
      <c r="L251" s="4"/>
      <c r="M251" s="4"/>
      <c r="N251" s="4"/>
      <c r="O251" s="4"/>
      <c r="P251" s="4"/>
      <c r="Q251" s="4"/>
      <c r="R251" s="4"/>
      <c r="S251" s="4"/>
      <c r="T251" s="4"/>
      <c r="U251" s="4"/>
      <c r="V251" s="4"/>
      <c r="W251" s="4"/>
      <c r="X251" s="4"/>
      <c r="Y251" s="4"/>
      <c r="Z251" s="4"/>
    </row>
    <row r="252" spans="1:26" ht="12.75">
      <c r="A252" s="4"/>
      <c r="B252" s="4"/>
      <c r="C252" s="15"/>
      <c r="D252" s="4"/>
      <c r="E252" s="4"/>
      <c r="F252" s="4"/>
      <c r="G252" s="4"/>
      <c r="H252" s="4"/>
      <c r="I252" s="4"/>
      <c r="J252" s="4"/>
      <c r="K252" s="4"/>
      <c r="L252" s="4"/>
      <c r="M252" s="4"/>
      <c r="N252" s="4"/>
      <c r="O252" s="4"/>
      <c r="P252" s="4"/>
      <c r="Q252" s="4"/>
      <c r="R252" s="4"/>
      <c r="S252" s="4"/>
      <c r="T252" s="4"/>
      <c r="U252" s="4"/>
      <c r="V252" s="4"/>
      <c r="W252" s="4"/>
      <c r="X252" s="4"/>
      <c r="Y252" s="4"/>
      <c r="Z252" s="4"/>
    </row>
    <row r="253" spans="1:26" ht="12.75">
      <c r="A253" s="4"/>
      <c r="B253" s="4"/>
      <c r="C253" s="15"/>
      <c r="D253" s="4"/>
      <c r="E253" s="4"/>
      <c r="F253" s="4"/>
      <c r="G253" s="4"/>
      <c r="H253" s="4"/>
      <c r="I253" s="4"/>
      <c r="J253" s="4"/>
      <c r="K253" s="4"/>
      <c r="L253" s="4"/>
      <c r="M253" s="4"/>
      <c r="N253" s="4"/>
      <c r="O253" s="4"/>
      <c r="P253" s="4"/>
      <c r="Q253" s="4"/>
      <c r="R253" s="4"/>
      <c r="S253" s="4"/>
      <c r="T253" s="4"/>
      <c r="U253" s="4"/>
      <c r="V253" s="4"/>
      <c r="W253" s="4"/>
      <c r="X253" s="4"/>
      <c r="Y253" s="4"/>
      <c r="Z253" s="4"/>
    </row>
    <row r="254" spans="1:26" ht="12.75">
      <c r="A254" s="4"/>
      <c r="B254" s="4"/>
      <c r="C254" s="15"/>
      <c r="D254" s="4"/>
      <c r="E254" s="4"/>
      <c r="F254" s="4"/>
      <c r="G254" s="4"/>
      <c r="H254" s="4"/>
      <c r="I254" s="4"/>
      <c r="J254" s="4"/>
      <c r="K254" s="4"/>
      <c r="L254" s="4"/>
      <c r="M254" s="4"/>
      <c r="N254" s="4"/>
      <c r="O254" s="4"/>
      <c r="P254" s="4"/>
      <c r="Q254" s="4"/>
      <c r="R254" s="4"/>
      <c r="S254" s="4"/>
      <c r="T254" s="4"/>
      <c r="U254" s="4"/>
      <c r="V254" s="4"/>
      <c r="W254" s="4"/>
      <c r="X254" s="4"/>
      <c r="Y254" s="4"/>
      <c r="Z254" s="4"/>
    </row>
    <row r="255" spans="1:26" ht="12.75">
      <c r="A255" s="4"/>
      <c r="B255" s="4"/>
      <c r="C255" s="15"/>
      <c r="D255" s="4"/>
      <c r="E255" s="4"/>
      <c r="F255" s="4"/>
      <c r="G255" s="4"/>
      <c r="H255" s="4"/>
      <c r="I255" s="4"/>
      <c r="J255" s="4"/>
      <c r="K255" s="4"/>
      <c r="L255" s="4"/>
      <c r="M255" s="4"/>
      <c r="N255" s="4"/>
      <c r="O255" s="4"/>
      <c r="P255" s="4"/>
      <c r="Q255" s="4"/>
      <c r="R255" s="4"/>
      <c r="S255" s="4"/>
      <c r="T255" s="4"/>
      <c r="U255" s="4"/>
      <c r="V255" s="4"/>
      <c r="W255" s="4"/>
      <c r="X255" s="4"/>
      <c r="Y255" s="4"/>
      <c r="Z255" s="4"/>
    </row>
    <row r="256" spans="1:26" ht="12.75">
      <c r="A256" s="4"/>
      <c r="B256" s="4"/>
      <c r="C256" s="15"/>
      <c r="D256" s="4"/>
      <c r="E256" s="4"/>
      <c r="F256" s="4"/>
      <c r="G256" s="4"/>
      <c r="H256" s="4"/>
      <c r="I256" s="4"/>
      <c r="J256" s="4"/>
      <c r="K256" s="4"/>
      <c r="L256" s="4"/>
      <c r="M256" s="4"/>
      <c r="N256" s="4"/>
      <c r="O256" s="4"/>
      <c r="P256" s="4"/>
      <c r="Q256" s="4"/>
      <c r="R256" s="4"/>
      <c r="S256" s="4"/>
      <c r="T256" s="4"/>
      <c r="U256" s="4"/>
      <c r="V256" s="4"/>
      <c r="W256" s="4"/>
      <c r="X256" s="4"/>
      <c r="Y256" s="4"/>
      <c r="Z256" s="4"/>
    </row>
    <row r="257" spans="1:26" ht="12.75">
      <c r="A257" s="4"/>
      <c r="B257" s="4"/>
      <c r="C257" s="15"/>
      <c r="D257" s="4"/>
      <c r="E257" s="4"/>
      <c r="F257" s="4"/>
      <c r="G257" s="4"/>
      <c r="H257" s="4"/>
      <c r="I257" s="4"/>
      <c r="J257" s="4"/>
      <c r="K257" s="4"/>
      <c r="L257" s="4"/>
      <c r="M257" s="4"/>
      <c r="N257" s="4"/>
      <c r="O257" s="4"/>
      <c r="P257" s="4"/>
      <c r="Q257" s="4"/>
      <c r="R257" s="4"/>
      <c r="S257" s="4"/>
      <c r="T257" s="4"/>
      <c r="U257" s="4"/>
      <c r="V257" s="4"/>
      <c r="W257" s="4"/>
      <c r="X257" s="4"/>
      <c r="Y257" s="4"/>
      <c r="Z257" s="4"/>
    </row>
    <row r="258" spans="1:26" ht="12.75">
      <c r="A258" s="4"/>
      <c r="B258" s="4"/>
      <c r="C258" s="15"/>
      <c r="D258" s="4"/>
      <c r="E258" s="4"/>
      <c r="F258" s="4"/>
      <c r="G258" s="4"/>
      <c r="H258" s="4"/>
      <c r="I258" s="4"/>
      <c r="J258" s="4"/>
      <c r="K258" s="4"/>
      <c r="L258" s="4"/>
      <c r="M258" s="4"/>
      <c r="N258" s="4"/>
      <c r="O258" s="4"/>
      <c r="P258" s="4"/>
      <c r="Q258" s="4"/>
      <c r="R258" s="4"/>
      <c r="S258" s="4"/>
      <c r="T258" s="4"/>
      <c r="U258" s="4"/>
      <c r="V258" s="4"/>
      <c r="W258" s="4"/>
      <c r="X258" s="4"/>
      <c r="Y258" s="4"/>
      <c r="Z258" s="4"/>
    </row>
    <row r="259" spans="1:26" ht="12.75">
      <c r="A259" s="4"/>
      <c r="B259" s="4"/>
      <c r="C259" s="15"/>
      <c r="D259" s="4"/>
      <c r="E259" s="4"/>
      <c r="F259" s="4"/>
      <c r="G259" s="4"/>
      <c r="H259" s="4"/>
      <c r="I259" s="4"/>
      <c r="J259" s="4"/>
      <c r="K259" s="4"/>
      <c r="L259" s="4"/>
      <c r="M259" s="4"/>
      <c r="N259" s="4"/>
      <c r="O259" s="4"/>
      <c r="P259" s="4"/>
      <c r="Q259" s="4"/>
      <c r="R259" s="4"/>
      <c r="S259" s="4"/>
      <c r="T259" s="4"/>
      <c r="U259" s="4"/>
      <c r="V259" s="4"/>
      <c r="W259" s="4"/>
      <c r="X259" s="4"/>
      <c r="Y259" s="4"/>
      <c r="Z259" s="4"/>
    </row>
    <row r="260" spans="1:26" ht="12.75">
      <c r="A260" s="4"/>
      <c r="B260" s="4"/>
      <c r="C260" s="15"/>
      <c r="D260" s="4"/>
      <c r="E260" s="4"/>
      <c r="F260" s="4"/>
      <c r="G260" s="4"/>
      <c r="H260" s="4"/>
      <c r="I260" s="4"/>
      <c r="J260" s="4"/>
      <c r="K260" s="4"/>
      <c r="L260" s="4"/>
      <c r="M260" s="4"/>
      <c r="N260" s="4"/>
      <c r="O260" s="4"/>
      <c r="P260" s="4"/>
      <c r="Q260" s="4"/>
      <c r="R260" s="4"/>
      <c r="S260" s="4"/>
      <c r="T260" s="4"/>
      <c r="U260" s="4"/>
      <c r="V260" s="4"/>
      <c r="W260" s="4"/>
      <c r="X260" s="4"/>
      <c r="Y260" s="4"/>
      <c r="Z260" s="4"/>
    </row>
    <row r="261" spans="1:26" ht="12.75">
      <c r="A261" s="4"/>
      <c r="B261" s="4"/>
      <c r="C261" s="15"/>
      <c r="D261" s="4"/>
      <c r="E261" s="4"/>
      <c r="F261" s="4"/>
      <c r="G261" s="4"/>
      <c r="H261" s="4"/>
      <c r="I261" s="4"/>
      <c r="J261" s="4"/>
      <c r="K261" s="4"/>
      <c r="L261" s="4"/>
      <c r="M261" s="4"/>
      <c r="N261" s="4"/>
      <c r="O261" s="4"/>
      <c r="P261" s="4"/>
      <c r="Q261" s="4"/>
      <c r="R261" s="4"/>
      <c r="S261" s="4"/>
      <c r="T261" s="4"/>
      <c r="U261" s="4"/>
      <c r="V261" s="4"/>
      <c r="W261" s="4"/>
      <c r="X261" s="4"/>
      <c r="Y261" s="4"/>
      <c r="Z261" s="4"/>
    </row>
    <row r="262" spans="1:26" ht="12.75">
      <c r="A262" s="4"/>
      <c r="B262" s="4"/>
      <c r="C262" s="15"/>
      <c r="D262" s="4"/>
      <c r="E262" s="4"/>
      <c r="F262" s="4"/>
      <c r="G262" s="4"/>
      <c r="H262" s="4"/>
      <c r="I262" s="4"/>
      <c r="J262" s="4"/>
      <c r="K262" s="4"/>
      <c r="L262" s="4"/>
      <c r="M262" s="4"/>
      <c r="N262" s="4"/>
      <c r="O262" s="4"/>
      <c r="P262" s="4"/>
      <c r="Q262" s="4"/>
      <c r="R262" s="4"/>
      <c r="S262" s="4"/>
      <c r="T262" s="4"/>
      <c r="U262" s="4"/>
      <c r="V262" s="4"/>
      <c r="W262" s="4"/>
      <c r="X262" s="4"/>
      <c r="Y262" s="4"/>
      <c r="Z262" s="4"/>
    </row>
    <row r="263" spans="1:26" ht="12.75">
      <c r="A263" s="4"/>
      <c r="B263" s="4"/>
      <c r="C263" s="15"/>
      <c r="D263" s="4"/>
      <c r="E263" s="4"/>
      <c r="F263" s="4"/>
      <c r="G263" s="4"/>
      <c r="H263" s="4"/>
      <c r="I263" s="4"/>
      <c r="J263" s="4"/>
      <c r="K263" s="4"/>
      <c r="L263" s="4"/>
      <c r="M263" s="4"/>
      <c r="N263" s="4"/>
      <c r="O263" s="4"/>
      <c r="P263" s="4"/>
      <c r="Q263" s="4"/>
      <c r="R263" s="4"/>
      <c r="S263" s="4"/>
      <c r="T263" s="4"/>
      <c r="U263" s="4"/>
      <c r="V263" s="4"/>
      <c r="W263" s="4"/>
      <c r="X263" s="4"/>
      <c r="Y263" s="4"/>
      <c r="Z263" s="4"/>
    </row>
    <row r="264" spans="1:26" ht="12.75">
      <c r="A264" s="4"/>
      <c r="B264" s="4"/>
      <c r="C264" s="15"/>
      <c r="D264" s="4"/>
      <c r="E264" s="4"/>
      <c r="F264" s="4"/>
      <c r="G264" s="4"/>
      <c r="H264" s="4"/>
      <c r="I264" s="4"/>
      <c r="J264" s="4"/>
      <c r="K264" s="4"/>
      <c r="L264" s="4"/>
      <c r="M264" s="4"/>
      <c r="N264" s="4"/>
      <c r="O264" s="4"/>
      <c r="P264" s="4"/>
      <c r="Q264" s="4"/>
      <c r="R264" s="4"/>
      <c r="S264" s="4"/>
      <c r="T264" s="4"/>
      <c r="U264" s="4"/>
      <c r="V264" s="4"/>
      <c r="W264" s="4"/>
      <c r="X264" s="4"/>
      <c r="Y264" s="4"/>
      <c r="Z264" s="4"/>
    </row>
    <row r="265" spans="1:26" ht="12.75">
      <c r="A265" s="4"/>
      <c r="B265" s="4"/>
      <c r="C265" s="15"/>
      <c r="D265" s="4"/>
      <c r="E265" s="4"/>
      <c r="F265" s="4"/>
      <c r="G265" s="4"/>
      <c r="H265" s="4"/>
      <c r="I265" s="4"/>
      <c r="J265" s="4"/>
      <c r="K265" s="4"/>
      <c r="L265" s="4"/>
      <c r="M265" s="4"/>
      <c r="N265" s="4"/>
      <c r="O265" s="4"/>
      <c r="P265" s="4"/>
      <c r="Q265" s="4"/>
      <c r="R265" s="4"/>
      <c r="S265" s="4"/>
      <c r="T265" s="4"/>
      <c r="U265" s="4"/>
      <c r="V265" s="4"/>
      <c r="W265" s="4"/>
      <c r="X265" s="4"/>
      <c r="Y265" s="4"/>
      <c r="Z265" s="4"/>
    </row>
    <row r="266" spans="1:26" ht="12.75">
      <c r="A266" s="4"/>
      <c r="B266" s="4"/>
      <c r="C266" s="15"/>
      <c r="D266" s="4"/>
      <c r="E266" s="4"/>
      <c r="F266" s="4"/>
      <c r="G266" s="4"/>
      <c r="H266" s="4"/>
      <c r="I266" s="4"/>
      <c r="J266" s="4"/>
      <c r="K266" s="4"/>
      <c r="L266" s="4"/>
      <c r="M266" s="4"/>
      <c r="N266" s="4"/>
      <c r="O266" s="4"/>
      <c r="P266" s="4"/>
      <c r="Q266" s="4"/>
      <c r="R266" s="4"/>
      <c r="S266" s="4"/>
      <c r="T266" s="4"/>
      <c r="U266" s="4"/>
      <c r="V266" s="4"/>
      <c r="W266" s="4"/>
      <c r="X266" s="4"/>
      <c r="Y266" s="4"/>
      <c r="Z266" s="4"/>
    </row>
    <row r="267" spans="1:26" ht="12.75">
      <c r="A267" s="4"/>
      <c r="B267" s="4"/>
      <c r="C267" s="15"/>
      <c r="D267" s="4"/>
      <c r="E267" s="4"/>
      <c r="F267" s="4"/>
      <c r="G267" s="4"/>
      <c r="H267" s="4"/>
      <c r="I267" s="4"/>
      <c r="J267" s="4"/>
      <c r="K267" s="4"/>
      <c r="L267" s="4"/>
      <c r="M267" s="4"/>
      <c r="N267" s="4"/>
      <c r="O267" s="4"/>
      <c r="P267" s="4"/>
      <c r="Q267" s="4"/>
      <c r="R267" s="4"/>
      <c r="S267" s="4"/>
      <c r="T267" s="4"/>
      <c r="U267" s="4"/>
      <c r="V267" s="4"/>
      <c r="W267" s="4"/>
      <c r="X267" s="4"/>
      <c r="Y267" s="4"/>
      <c r="Z267" s="4"/>
    </row>
    <row r="268" spans="1:26" ht="12.75">
      <c r="A268" s="4"/>
      <c r="B268" s="4"/>
      <c r="C268" s="15"/>
      <c r="D268" s="4"/>
      <c r="E268" s="4"/>
      <c r="F268" s="4"/>
      <c r="G268" s="4"/>
      <c r="H268" s="4"/>
      <c r="I268" s="4"/>
      <c r="J268" s="4"/>
      <c r="K268" s="4"/>
      <c r="L268" s="4"/>
      <c r="M268" s="4"/>
      <c r="N268" s="4"/>
      <c r="O268" s="4"/>
      <c r="P268" s="4"/>
      <c r="Q268" s="4"/>
      <c r="R268" s="4"/>
      <c r="S268" s="4"/>
      <c r="T268" s="4"/>
      <c r="U268" s="4"/>
      <c r="V268" s="4"/>
      <c r="W268" s="4"/>
      <c r="X268" s="4"/>
      <c r="Y268" s="4"/>
      <c r="Z268" s="4"/>
    </row>
    <row r="269" spans="1:26" ht="12.75">
      <c r="A269" s="4"/>
      <c r="B269" s="4"/>
      <c r="C269" s="15"/>
      <c r="D269" s="4"/>
      <c r="E269" s="4"/>
      <c r="F269" s="4"/>
      <c r="G269" s="4"/>
      <c r="H269" s="4"/>
      <c r="I269" s="4"/>
      <c r="J269" s="4"/>
      <c r="K269" s="4"/>
      <c r="L269" s="4"/>
      <c r="M269" s="4"/>
      <c r="N269" s="4"/>
      <c r="O269" s="4"/>
      <c r="P269" s="4"/>
      <c r="Q269" s="4"/>
      <c r="R269" s="4"/>
      <c r="S269" s="4"/>
      <c r="T269" s="4"/>
      <c r="U269" s="4"/>
      <c r="V269" s="4"/>
      <c r="W269" s="4"/>
      <c r="X269" s="4"/>
      <c r="Y269" s="4"/>
      <c r="Z269" s="4"/>
    </row>
    <row r="270" spans="1:26" ht="12.75">
      <c r="A270" s="4"/>
      <c r="B270" s="4"/>
      <c r="C270" s="15"/>
      <c r="D270" s="4"/>
      <c r="E270" s="4"/>
      <c r="F270" s="4"/>
      <c r="G270" s="4"/>
      <c r="H270" s="4"/>
      <c r="I270" s="4"/>
      <c r="J270" s="4"/>
      <c r="K270" s="4"/>
      <c r="L270" s="4"/>
      <c r="M270" s="4"/>
      <c r="N270" s="4"/>
      <c r="O270" s="4"/>
      <c r="P270" s="4"/>
      <c r="Q270" s="4"/>
      <c r="R270" s="4"/>
      <c r="S270" s="4"/>
      <c r="T270" s="4"/>
      <c r="U270" s="4"/>
      <c r="V270" s="4"/>
      <c r="W270" s="4"/>
      <c r="X270" s="4"/>
      <c r="Y270" s="4"/>
      <c r="Z270" s="4"/>
    </row>
    <row r="271" spans="1:26" ht="12.75">
      <c r="A271" s="4"/>
      <c r="B271" s="4"/>
      <c r="C271" s="15"/>
      <c r="D271" s="4"/>
      <c r="E271" s="4"/>
      <c r="F271" s="4"/>
      <c r="G271" s="4"/>
      <c r="H271" s="4"/>
      <c r="I271" s="4"/>
      <c r="J271" s="4"/>
      <c r="K271" s="4"/>
      <c r="L271" s="4"/>
      <c r="M271" s="4"/>
      <c r="N271" s="4"/>
      <c r="O271" s="4"/>
      <c r="P271" s="4"/>
      <c r="Q271" s="4"/>
      <c r="R271" s="4"/>
      <c r="S271" s="4"/>
      <c r="T271" s="4"/>
      <c r="U271" s="4"/>
      <c r="V271" s="4"/>
      <c r="W271" s="4"/>
      <c r="X271" s="4"/>
      <c r="Y271" s="4"/>
      <c r="Z271" s="4"/>
    </row>
    <row r="272" spans="1:26" ht="12.75">
      <c r="A272" s="4"/>
      <c r="B272" s="4"/>
      <c r="C272" s="15"/>
      <c r="D272" s="4"/>
      <c r="E272" s="4"/>
      <c r="F272" s="4"/>
      <c r="G272" s="4"/>
      <c r="H272" s="4"/>
      <c r="I272" s="4"/>
      <c r="J272" s="4"/>
      <c r="K272" s="4"/>
      <c r="L272" s="4"/>
      <c r="M272" s="4"/>
      <c r="N272" s="4"/>
      <c r="O272" s="4"/>
      <c r="P272" s="4"/>
      <c r="Q272" s="4"/>
      <c r="R272" s="4"/>
      <c r="S272" s="4"/>
      <c r="T272" s="4"/>
      <c r="U272" s="4"/>
      <c r="V272" s="4"/>
      <c r="W272" s="4"/>
      <c r="X272" s="4"/>
      <c r="Y272" s="4"/>
      <c r="Z272" s="4"/>
    </row>
    <row r="273" spans="1:26" ht="12.75">
      <c r="A273" s="4"/>
      <c r="B273" s="4"/>
      <c r="C273" s="15"/>
      <c r="D273" s="4"/>
      <c r="E273" s="4"/>
      <c r="F273" s="4"/>
      <c r="G273" s="4"/>
      <c r="H273" s="4"/>
      <c r="I273" s="4"/>
      <c r="J273" s="4"/>
      <c r="K273" s="4"/>
      <c r="L273" s="4"/>
      <c r="M273" s="4"/>
      <c r="N273" s="4"/>
      <c r="O273" s="4"/>
      <c r="P273" s="4"/>
      <c r="Q273" s="4"/>
      <c r="R273" s="4"/>
      <c r="S273" s="4"/>
      <c r="T273" s="4"/>
      <c r="U273" s="4"/>
      <c r="V273" s="4"/>
      <c r="W273" s="4"/>
      <c r="X273" s="4"/>
      <c r="Y273" s="4"/>
      <c r="Z273" s="4"/>
    </row>
    <row r="274" spans="1:26" ht="12.75">
      <c r="A274" s="4"/>
      <c r="B274" s="4"/>
      <c r="C274" s="15"/>
      <c r="D274" s="4"/>
      <c r="E274" s="4"/>
      <c r="F274" s="4"/>
      <c r="G274" s="4"/>
      <c r="H274" s="4"/>
      <c r="I274" s="4"/>
      <c r="J274" s="4"/>
      <c r="K274" s="4"/>
      <c r="L274" s="4"/>
      <c r="M274" s="4"/>
      <c r="N274" s="4"/>
      <c r="O274" s="4"/>
      <c r="P274" s="4"/>
      <c r="Q274" s="4"/>
      <c r="R274" s="4"/>
      <c r="S274" s="4"/>
      <c r="T274" s="4"/>
      <c r="U274" s="4"/>
      <c r="V274" s="4"/>
      <c r="W274" s="4"/>
      <c r="X274" s="4"/>
      <c r="Y274" s="4"/>
      <c r="Z274" s="4"/>
    </row>
    <row r="275" spans="1:26" ht="12.75">
      <c r="A275" s="4"/>
      <c r="B275" s="4"/>
      <c r="C275" s="15"/>
      <c r="D275" s="4"/>
      <c r="E275" s="4"/>
      <c r="F275" s="4"/>
      <c r="G275" s="4"/>
      <c r="H275" s="4"/>
      <c r="I275" s="4"/>
      <c r="J275" s="4"/>
      <c r="K275" s="4"/>
      <c r="L275" s="4"/>
      <c r="M275" s="4"/>
      <c r="N275" s="4"/>
      <c r="O275" s="4"/>
      <c r="P275" s="4"/>
      <c r="Q275" s="4"/>
      <c r="R275" s="4"/>
      <c r="S275" s="4"/>
      <c r="T275" s="4"/>
      <c r="U275" s="4"/>
      <c r="V275" s="4"/>
      <c r="W275" s="4"/>
      <c r="X275" s="4"/>
      <c r="Y275" s="4"/>
      <c r="Z275" s="4"/>
    </row>
    <row r="276" spans="1:26" ht="12.75">
      <c r="A276" s="4"/>
      <c r="B276" s="4"/>
      <c r="C276" s="15"/>
      <c r="D276" s="4"/>
      <c r="E276" s="4"/>
      <c r="F276" s="4"/>
      <c r="G276" s="4"/>
      <c r="H276" s="4"/>
      <c r="I276" s="4"/>
      <c r="J276" s="4"/>
      <c r="K276" s="4"/>
      <c r="L276" s="4"/>
      <c r="M276" s="4"/>
      <c r="N276" s="4"/>
      <c r="O276" s="4"/>
      <c r="P276" s="4"/>
      <c r="Q276" s="4"/>
      <c r="R276" s="4"/>
      <c r="S276" s="4"/>
      <c r="T276" s="4"/>
      <c r="U276" s="4"/>
      <c r="V276" s="4"/>
      <c r="W276" s="4"/>
      <c r="X276" s="4"/>
      <c r="Y276" s="4"/>
      <c r="Z276" s="4"/>
    </row>
    <row r="277" spans="1:26" ht="12.75">
      <c r="A277" s="4"/>
      <c r="B277" s="4"/>
      <c r="C277" s="15"/>
      <c r="D277" s="4"/>
      <c r="E277" s="4"/>
      <c r="F277" s="4"/>
      <c r="G277" s="4"/>
      <c r="H277" s="4"/>
      <c r="I277" s="4"/>
      <c r="J277" s="4"/>
      <c r="K277" s="4"/>
      <c r="L277" s="4"/>
      <c r="M277" s="4"/>
      <c r="N277" s="4"/>
      <c r="O277" s="4"/>
      <c r="P277" s="4"/>
      <c r="Q277" s="4"/>
      <c r="R277" s="4"/>
      <c r="S277" s="4"/>
      <c r="T277" s="4"/>
      <c r="U277" s="4"/>
      <c r="V277" s="4"/>
      <c r="W277" s="4"/>
      <c r="X277" s="4"/>
      <c r="Y277" s="4"/>
      <c r="Z277" s="4"/>
    </row>
    <row r="278" spans="1:26" ht="12.75">
      <c r="A278" s="4"/>
      <c r="B278" s="4"/>
      <c r="C278" s="15"/>
      <c r="D278" s="4"/>
      <c r="E278" s="4"/>
      <c r="F278" s="4"/>
      <c r="G278" s="4"/>
      <c r="H278" s="4"/>
      <c r="I278" s="4"/>
      <c r="J278" s="4"/>
      <c r="K278" s="4"/>
      <c r="L278" s="4"/>
      <c r="M278" s="4"/>
      <c r="N278" s="4"/>
      <c r="O278" s="4"/>
      <c r="P278" s="4"/>
      <c r="Q278" s="4"/>
      <c r="R278" s="4"/>
      <c r="S278" s="4"/>
      <c r="T278" s="4"/>
      <c r="U278" s="4"/>
      <c r="V278" s="4"/>
      <c r="W278" s="4"/>
      <c r="X278" s="4"/>
      <c r="Y278" s="4"/>
      <c r="Z278" s="4"/>
    </row>
    <row r="279" spans="1:26" ht="12.75">
      <c r="A279" s="4"/>
      <c r="B279" s="4"/>
      <c r="C279" s="15"/>
      <c r="D279" s="4"/>
      <c r="E279" s="4"/>
      <c r="F279" s="4"/>
      <c r="G279" s="4"/>
      <c r="H279" s="4"/>
      <c r="I279" s="4"/>
      <c r="J279" s="4"/>
      <c r="K279" s="4"/>
      <c r="L279" s="4"/>
      <c r="M279" s="4"/>
      <c r="N279" s="4"/>
      <c r="O279" s="4"/>
      <c r="P279" s="4"/>
      <c r="Q279" s="4"/>
      <c r="R279" s="4"/>
      <c r="S279" s="4"/>
      <c r="T279" s="4"/>
      <c r="U279" s="4"/>
      <c r="V279" s="4"/>
      <c r="W279" s="4"/>
      <c r="X279" s="4"/>
      <c r="Y279" s="4"/>
      <c r="Z279" s="4"/>
    </row>
    <row r="280" spans="1:26" ht="12.75">
      <c r="A280" s="4"/>
      <c r="B280" s="4"/>
      <c r="C280" s="15"/>
      <c r="D280" s="4"/>
      <c r="E280" s="4"/>
      <c r="F280" s="4"/>
      <c r="G280" s="4"/>
      <c r="H280" s="4"/>
      <c r="I280" s="4"/>
      <c r="J280" s="4"/>
      <c r="K280" s="4"/>
      <c r="L280" s="4"/>
      <c r="M280" s="4"/>
      <c r="N280" s="4"/>
      <c r="O280" s="4"/>
      <c r="P280" s="4"/>
      <c r="Q280" s="4"/>
      <c r="R280" s="4"/>
      <c r="S280" s="4"/>
      <c r="T280" s="4"/>
      <c r="U280" s="4"/>
      <c r="V280" s="4"/>
      <c r="W280" s="4"/>
      <c r="X280" s="4"/>
      <c r="Y280" s="4"/>
      <c r="Z280" s="4"/>
    </row>
    <row r="281" spans="1:26" ht="12.75">
      <c r="A281" s="4"/>
      <c r="B281" s="4"/>
      <c r="C281" s="15"/>
      <c r="D281" s="4"/>
      <c r="E281" s="4"/>
      <c r="F281" s="4"/>
      <c r="G281" s="4"/>
      <c r="H281" s="4"/>
      <c r="I281" s="4"/>
      <c r="J281" s="4"/>
      <c r="K281" s="4"/>
      <c r="L281" s="4"/>
      <c r="M281" s="4"/>
      <c r="N281" s="4"/>
      <c r="O281" s="4"/>
      <c r="P281" s="4"/>
      <c r="Q281" s="4"/>
      <c r="R281" s="4"/>
      <c r="S281" s="4"/>
      <c r="T281" s="4"/>
      <c r="U281" s="4"/>
      <c r="V281" s="4"/>
      <c r="W281" s="4"/>
      <c r="X281" s="4"/>
      <c r="Y281" s="4"/>
      <c r="Z281" s="4"/>
    </row>
    <row r="282" spans="1:26" ht="12.75">
      <c r="A282" s="4"/>
      <c r="B282" s="4"/>
      <c r="C282" s="15"/>
      <c r="D282" s="4"/>
      <c r="E282" s="4"/>
      <c r="F282" s="4"/>
      <c r="G282" s="4"/>
      <c r="H282" s="4"/>
      <c r="I282" s="4"/>
      <c r="J282" s="4"/>
      <c r="K282" s="4"/>
      <c r="L282" s="4"/>
      <c r="M282" s="4"/>
      <c r="N282" s="4"/>
      <c r="O282" s="4"/>
      <c r="P282" s="4"/>
      <c r="Q282" s="4"/>
      <c r="R282" s="4"/>
      <c r="S282" s="4"/>
      <c r="T282" s="4"/>
      <c r="U282" s="4"/>
      <c r="V282" s="4"/>
      <c r="W282" s="4"/>
      <c r="X282" s="4"/>
      <c r="Y282" s="4"/>
      <c r="Z282" s="4"/>
    </row>
    <row r="283" spans="1:26" ht="12.75">
      <c r="A283" s="4"/>
      <c r="B283" s="4"/>
      <c r="C283" s="15"/>
      <c r="D283" s="4"/>
      <c r="E283" s="4"/>
      <c r="F283" s="4"/>
      <c r="G283" s="4"/>
      <c r="H283" s="4"/>
      <c r="I283" s="4"/>
      <c r="J283" s="4"/>
      <c r="K283" s="4"/>
      <c r="L283" s="4"/>
      <c r="M283" s="4"/>
      <c r="N283" s="4"/>
      <c r="O283" s="4"/>
      <c r="P283" s="4"/>
      <c r="Q283" s="4"/>
      <c r="R283" s="4"/>
      <c r="S283" s="4"/>
      <c r="T283" s="4"/>
      <c r="U283" s="4"/>
      <c r="V283" s="4"/>
      <c r="W283" s="4"/>
      <c r="X283" s="4"/>
      <c r="Y283" s="4"/>
      <c r="Z283" s="4"/>
    </row>
    <row r="284" spans="1:26" ht="12.75">
      <c r="A284" s="4"/>
      <c r="B284" s="4"/>
      <c r="C284" s="15"/>
      <c r="D284" s="4"/>
      <c r="E284" s="4"/>
      <c r="F284" s="4"/>
      <c r="G284" s="4"/>
      <c r="H284" s="4"/>
      <c r="I284" s="4"/>
      <c r="J284" s="4"/>
      <c r="K284" s="4"/>
      <c r="L284" s="4"/>
      <c r="M284" s="4"/>
      <c r="N284" s="4"/>
      <c r="O284" s="4"/>
      <c r="P284" s="4"/>
      <c r="Q284" s="4"/>
      <c r="R284" s="4"/>
      <c r="S284" s="4"/>
      <c r="T284" s="4"/>
      <c r="U284" s="4"/>
      <c r="V284" s="4"/>
      <c r="W284" s="4"/>
      <c r="X284" s="4"/>
      <c r="Y284" s="4"/>
      <c r="Z284" s="4"/>
    </row>
    <row r="285" spans="1:26" ht="12.75">
      <c r="A285" s="4"/>
      <c r="B285" s="4"/>
      <c r="C285" s="15"/>
      <c r="D285" s="4"/>
      <c r="E285" s="4"/>
      <c r="F285" s="4"/>
      <c r="G285" s="4"/>
      <c r="H285" s="4"/>
      <c r="I285" s="4"/>
      <c r="J285" s="4"/>
      <c r="K285" s="4"/>
      <c r="L285" s="4"/>
      <c r="M285" s="4"/>
      <c r="N285" s="4"/>
      <c r="O285" s="4"/>
      <c r="P285" s="4"/>
      <c r="Q285" s="4"/>
      <c r="R285" s="4"/>
      <c r="S285" s="4"/>
      <c r="T285" s="4"/>
      <c r="U285" s="4"/>
      <c r="V285" s="4"/>
      <c r="W285" s="4"/>
      <c r="X285" s="4"/>
      <c r="Y285" s="4"/>
      <c r="Z285" s="4"/>
    </row>
    <row r="286" spans="1:26" ht="12.75">
      <c r="A286" s="4"/>
      <c r="B286" s="4"/>
      <c r="C286" s="15"/>
      <c r="D286" s="4"/>
      <c r="E286" s="4"/>
      <c r="F286" s="4"/>
      <c r="G286" s="4"/>
      <c r="H286" s="4"/>
      <c r="I286" s="4"/>
      <c r="J286" s="4"/>
      <c r="K286" s="4"/>
      <c r="L286" s="4"/>
      <c r="M286" s="4"/>
      <c r="N286" s="4"/>
      <c r="O286" s="4"/>
      <c r="P286" s="4"/>
      <c r="Q286" s="4"/>
      <c r="R286" s="4"/>
      <c r="S286" s="4"/>
      <c r="T286" s="4"/>
      <c r="U286" s="4"/>
      <c r="V286" s="4"/>
      <c r="W286" s="4"/>
      <c r="X286" s="4"/>
      <c r="Y286" s="4"/>
      <c r="Z286" s="4"/>
    </row>
    <row r="287" spans="1:26" ht="12.75">
      <c r="A287" s="4"/>
      <c r="B287" s="4"/>
      <c r="C287" s="15"/>
      <c r="D287" s="4"/>
      <c r="E287" s="4"/>
      <c r="F287" s="4"/>
      <c r="G287" s="4"/>
      <c r="H287" s="4"/>
      <c r="I287" s="4"/>
      <c r="J287" s="4"/>
      <c r="K287" s="4"/>
      <c r="L287" s="4"/>
      <c r="M287" s="4"/>
      <c r="N287" s="4"/>
      <c r="O287" s="4"/>
      <c r="P287" s="4"/>
      <c r="Q287" s="4"/>
      <c r="R287" s="4"/>
      <c r="S287" s="4"/>
      <c r="T287" s="4"/>
      <c r="U287" s="4"/>
      <c r="V287" s="4"/>
      <c r="W287" s="4"/>
      <c r="X287" s="4"/>
      <c r="Y287" s="4"/>
      <c r="Z287" s="4"/>
    </row>
    <row r="288" spans="1:26" ht="12.75">
      <c r="A288" s="4"/>
      <c r="B288" s="4"/>
      <c r="C288" s="15"/>
      <c r="D288" s="4"/>
      <c r="E288" s="4"/>
      <c r="F288" s="4"/>
      <c r="G288" s="4"/>
      <c r="H288" s="4"/>
      <c r="I288" s="4"/>
      <c r="J288" s="4"/>
      <c r="K288" s="4"/>
      <c r="L288" s="4"/>
      <c r="M288" s="4"/>
      <c r="N288" s="4"/>
      <c r="O288" s="4"/>
      <c r="P288" s="4"/>
      <c r="Q288" s="4"/>
      <c r="R288" s="4"/>
      <c r="S288" s="4"/>
      <c r="T288" s="4"/>
      <c r="U288" s="4"/>
      <c r="V288" s="4"/>
      <c r="W288" s="4"/>
      <c r="X288" s="4"/>
      <c r="Y288" s="4"/>
      <c r="Z288" s="4"/>
    </row>
    <row r="289" spans="1:26" ht="12.75">
      <c r="A289" s="4"/>
      <c r="B289" s="4"/>
      <c r="C289" s="15"/>
      <c r="D289" s="4"/>
      <c r="E289" s="4"/>
      <c r="F289" s="4"/>
      <c r="G289" s="4"/>
      <c r="H289" s="4"/>
      <c r="I289" s="4"/>
      <c r="J289" s="4"/>
      <c r="K289" s="4"/>
      <c r="L289" s="4"/>
      <c r="M289" s="4"/>
      <c r="N289" s="4"/>
      <c r="O289" s="4"/>
      <c r="P289" s="4"/>
      <c r="Q289" s="4"/>
      <c r="R289" s="4"/>
      <c r="S289" s="4"/>
      <c r="T289" s="4"/>
      <c r="U289" s="4"/>
      <c r="V289" s="4"/>
      <c r="W289" s="4"/>
      <c r="X289" s="4"/>
      <c r="Y289" s="4"/>
      <c r="Z289" s="4"/>
    </row>
    <row r="290" spans="1:26" ht="12.75">
      <c r="A290" s="4"/>
      <c r="B290" s="4"/>
      <c r="C290" s="15"/>
      <c r="D290" s="4"/>
      <c r="E290" s="4"/>
      <c r="F290" s="4"/>
      <c r="G290" s="4"/>
      <c r="H290" s="4"/>
      <c r="I290" s="4"/>
      <c r="J290" s="4"/>
      <c r="K290" s="4"/>
      <c r="L290" s="4"/>
      <c r="M290" s="4"/>
      <c r="N290" s="4"/>
      <c r="O290" s="4"/>
      <c r="P290" s="4"/>
      <c r="Q290" s="4"/>
      <c r="R290" s="4"/>
      <c r="S290" s="4"/>
      <c r="T290" s="4"/>
      <c r="U290" s="4"/>
      <c r="V290" s="4"/>
      <c r="W290" s="4"/>
      <c r="X290" s="4"/>
      <c r="Y290" s="4"/>
      <c r="Z290" s="4"/>
    </row>
    <row r="291" spans="1:26" ht="12.75">
      <c r="A291" s="4"/>
      <c r="B291" s="4"/>
      <c r="C291" s="15"/>
      <c r="D291" s="4"/>
      <c r="E291" s="4"/>
      <c r="F291" s="4"/>
      <c r="G291" s="4"/>
      <c r="H291" s="4"/>
      <c r="I291" s="4"/>
      <c r="J291" s="4"/>
      <c r="K291" s="4"/>
      <c r="L291" s="4"/>
      <c r="M291" s="4"/>
      <c r="N291" s="4"/>
      <c r="O291" s="4"/>
      <c r="P291" s="4"/>
      <c r="Q291" s="4"/>
      <c r="R291" s="4"/>
      <c r="S291" s="4"/>
      <c r="T291" s="4"/>
      <c r="U291" s="4"/>
      <c r="V291" s="4"/>
      <c r="W291" s="4"/>
      <c r="X291" s="4"/>
      <c r="Y291" s="4"/>
      <c r="Z291" s="4"/>
    </row>
    <row r="292" spans="1:26" ht="12.75">
      <c r="A292" s="4"/>
      <c r="B292" s="4"/>
      <c r="C292" s="15"/>
      <c r="D292" s="4"/>
      <c r="E292" s="4"/>
      <c r="F292" s="4"/>
      <c r="G292" s="4"/>
      <c r="H292" s="4"/>
      <c r="I292" s="4"/>
      <c r="J292" s="4"/>
      <c r="K292" s="4"/>
      <c r="L292" s="4"/>
      <c r="M292" s="4"/>
      <c r="N292" s="4"/>
      <c r="O292" s="4"/>
      <c r="P292" s="4"/>
      <c r="Q292" s="4"/>
      <c r="R292" s="4"/>
      <c r="S292" s="4"/>
      <c r="T292" s="4"/>
      <c r="U292" s="4"/>
      <c r="V292" s="4"/>
      <c r="W292" s="4"/>
      <c r="X292" s="4"/>
      <c r="Y292" s="4"/>
      <c r="Z292" s="4"/>
    </row>
    <row r="293" spans="1:26" ht="12.75">
      <c r="A293" s="4"/>
      <c r="B293" s="4"/>
      <c r="C293" s="15"/>
      <c r="D293" s="4"/>
      <c r="E293" s="4"/>
      <c r="F293" s="4"/>
      <c r="G293" s="4"/>
      <c r="H293" s="4"/>
      <c r="I293" s="4"/>
      <c r="J293" s="4"/>
      <c r="K293" s="4"/>
      <c r="L293" s="4"/>
      <c r="M293" s="4"/>
      <c r="N293" s="4"/>
      <c r="O293" s="4"/>
      <c r="P293" s="4"/>
      <c r="Q293" s="4"/>
      <c r="R293" s="4"/>
      <c r="S293" s="4"/>
      <c r="T293" s="4"/>
      <c r="U293" s="4"/>
      <c r="V293" s="4"/>
      <c r="W293" s="4"/>
      <c r="X293" s="4"/>
      <c r="Y293" s="4"/>
      <c r="Z293" s="4"/>
    </row>
    <row r="294" spans="1:26" ht="12.75">
      <c r="A294" s="4"/>
      <c r="B294" s="4"/>
      <c r="C294" s="15"/>
      <c r="D294" s="4"/>
      <c r="E294" s="4"/>
      <c r="F294" s="4"/>
      <c r="G294" s="4"/>
      <c r="H294" s="4"/>
      <c r="I294" s="4"/>
      <c r="J294" s="4"/>
      <c r="K294" s="4"/>
      <c r="L294" s="4"/>
      <c r="M294" s="4"/>
      <c r="N294" s="4"/>
      <c r="O294" s="4"/>
      <c r="P294" s="4"/>
      <c r="Q294" s="4"/>
      <c r="R294" s="4"/>
      <c r="S294" s="4"/>
      <c r="T294" s="4"/>
      <c r="U294" s="4"/>
      <c r="V294" s="4"/>
      <c r="W294" s="4"/>
      <c r="X294" s="4"/>
      <c r="Y294" s="4"/>
      <c r="Z294" s="4"/>
    </row>
    <row r="295" spans="1:26" ht="12.75">
      <c r="A295" s="4"/>
      <c r="B295" s="4"/>
      <c r="C295" s="15"/>
      <c r="D295" s="4"/>
      <c r="E295" s="4"/>
      <c r="F295" s="4"/>
      <c r="G295" s="4"/>
      <c r="H295" s="4"/>
      <c r="I295" s="4"/>
      <c r="J295" s="4"/>
      <c r="K295" s="4"/>
      <c r="L295" s="4"/>
      <c r="M295" s="4"/>
      <c r="N295" s="4"/>
      <c r="O295" s="4"/>
      <c r="P295" s="4"/>
      <c r="Q295" s="4"/>
      <c r="R295" s="4"/>
      <c r="S295" s="4"/>
      <c r="T295" s="4"/>
      <c r="U295" s="4"/>
      <c r="V295" s="4"/>
      <c r="W295" s="4"/>
      <c r="X295" s="4"/>
      <c r="Y295" s="4"/>
      <c r="Z295" s="4"/>
    </row>
    <row r="296" spans="1:26" ht="12.75">
      <c r="A296" s="4"/>
      <c r="B296" s="4"/>
      <c r="C296" s="15"/>
      <c r="D296" s="4"/>
      <c r="E296" s="4"/>
      <c r="F296" s="4"/>
      <c r="G296" s="4"/>
      <c r="H296" s="4"/>
      <c r="I296" s="4"/>
      <c r="J296" s="4"/>
      <c r="K296" s="4"/>
      <c r="L296" s="4"/>
      <c r="M296" s="4"/>
      <c r="N296" s="4"/>
      <c r="O296" s="4"/>
      <c r="P296" s="4"/>
      <c r="Q296" s="4"/>
      <c r="R296" s="4"/>
      <c r="S296" s="4"/>
      <c r="T296" s="4"/>
      <c r="U296" s="4"/>
      <c r="V296" s="4"/>
      <c r="W296" s="4"/>
      <c r="X296" s="4"/>
      <c r="Y296" s="4"/>
      <c r="Z296" s="4"/>
    </row>
    <row r="297" spans="1:26" ht="12.75">
      <c r="A297" s="4"/>
      <c r="B297" s="4"/>
      <c r="C297" s="15"/>
      <c r="D297" s="4"/>
      <c r="E297" s="4"/>
      <c r="F297" s="4"/>
      <c r="G297" s="4"/>
      <c r="H297" s="4"/>
      <c r="I297" s="4"/>
      <c r="J297" s="4"/>
      <c r="K297" s="4"/>
      <c r="L297" s="4"/>
      <c r="M297" s="4"/>
      <c r="N297" s="4"/>
      <c r="O297" s="4"/>
      <c r="P297" s="4"/>
      <c r="Q297" s="4"/>
      <c r="R297" s="4"/>
      <c r="S297" s="4"/>
      <c r="T297" s="4"/>
      <c r="U297" s="4"/>
      <c r="V297" s="4"/>
      <c r="W297" s="4"/>
      <c r="X297" s="4"/>
      <c r="Y297" s="4"/>
      <c r="Z297" s="4"/>
    </row>
    <row r="298" spans="1:26" ht="12.75">
      <c r="A298" s="4"/>
      <c r="B298" s="4"/>
      <c r="C298" s="15"/>
      <c r="D298" s="4"/>
      <c r="E298" s="4"/>
      <c r="F298" s="4"/>
      <c r="G298" s="4"/>
      <c r="H298" s="4"/>
      <c r="I298" s="4"/>
      <c r="J298" s="4"/>
      <c r="K298" s="4"/>
      <c r="L298" s="4"/>
      <c r="M298" s="4"/>
      <c r="N298" s="4"/>
      <c r="O298" s="4"/>
      <c r="P298" s="4"/>
      <c r="Q298" s="4"/>
      <c r="R298" s="4"/>
      <c r="S298" s="4"/>
      <c r="T298" s="4"/>
      <c r="U298" s="4"/>
      <c r="V298" s="4"/>
      <c r="W298" s="4"/>
      <c r="X298" s="4"/>
      <c r="Y298" s="4"/>
      <c r="Z298" s="4"/>
    </row>
    <row r="299" spans="1:26" ht="12.75">
      <c r="A299" s="4"/>
      <c r="B299" s="4"/>
      <c r="C299" s="15"/>
      <c r="D299" s="4"/>
      <c r="E299" s="4"/>
      <c r="F299" s="4"/>
      <c r="G299" s="4"/>
      <c r="H299" s="4"/>
      <c r="I299" s="4"/>
      <c r="J299" s="4"/>
      <c r="K299" s="4"/>
      <c r="L299" s="4"/>
      <c r="M299" s="4"/>
      <c r="N299" s="4"/>
      <c r="O299" s="4"/>
      <c r="P299" s="4"/>
      <c r="Q299" s="4"/>
      <c r="R299" s="4"/>
      <c r="S299" s="4"/>
      <c r="T299" s="4"/>
      <c r="U299" s="4"/>
      <c r="V299" s="4"/>
      <c r="W299" s="4"/>
      <c r="X299" s="4"/>
      <c r="Y299" s="4"/>
      <c r="Z299" s="4"/>
    </row>
    <row r="300" spans="1:26" ht="12.75">
      <c r="A300" s="4"/>
      <c r="B300" s="4"/>
      <c r="C300" s="15"/>
      <c r="D300" s="4"/>
      <c r="E300" s="4"/>
      <c r="F300" s="4"/>
      <c r="G300" s="4"/>
      <c r="H300" s="4"/>
      <c r="I300" s="4"/>
      <c r="J300" s="4"/>
      <c r="K300" s="4"/>
      <c r="L300" s="4"/>
      <c r="M300" s="4"/>
      <c r="N300" s="4"/>
      <c r="O300" s="4"/>
      <c r="P300" s="4"/>
      <c r="Q300" s="4"/>
      <c r="R300" s="4"/>
      <c r="S300" s="4"/>
      <c r="T300" s="4"/>
      <c r="U300" s="4"/>
      <c r="V300" s="4"/>
      <c r="W300" s="4"/>
      <c r="X300" s="4"/>
      <c r="Y300" s="4"/>
      <c r="Z300" s="4"/>
    </row>
    <row r="301" spans="1:26" ht="12.75">
      <c r="A301" s="4"/>
      <c r="B301" s="4"/>
      <c r="C301" s="15"/>
      <c r="D301" s="4"/>
      <c r="E301" s="4"/>
      <c r="F301" s="4"/>
      <c r="G301" s="4"/>
      <c r="H301" s="4"/>
      <c r="I301" s="4"/>
      <c r="J301" s="4"/>
      <c r="K301" s="4"/>
      <c r="L301" s="4"/>
      <c r="M301" s="4"/>
      <c r="N301" s="4"/>
      <c r="O301" s="4"/>
      <c r="P301" s="4"/>
      <c r="Q301" s="4"/>
      <c r="R301" s="4"/>
      <c r="S301" s="4"/>
      <c r="T301" s="4"/>
      <c r="U301" s="4"/>
      <c r="V301" s="4"/>
      <c r="W301" s="4"/>
      <c r="X301" s="4"/>
      <c r="Y301" s="4"/>
      <c r="Z301" s="4"/>
    </row>
    <row r="302" spans="1:26" ht="12.75">
      <c r="A302" s="4"/>
      <c r="B302" s="4"/>
      <c r="C302" s="15"/>
      <c r="D302" s="4"/>
      <c r="E302" s="4"/>
      <c r="F302" s="4"/>
      <c r="G302" s="4"/>
      <c r="H302" s="4"/>
      <c r="I302" s="4"/>
      <c r="J302" s="4"/>
      <c r="K302" s="4"/>
      <c r="L302" s="4"/>
      <c r="M302" s="4"/>
      <c r="N302" s="4"/>
      <c r="O302" s="4"/>
      <c r="P302" s="4"/>
      <c r="Q302" s="4"/>
      <c r="R302" s="4"/>
      <c r="S302" s="4"/>
      <c r="T302" s="4"/>
      <c r="U302" s="4"/>
      <c r="V302" s="4"/>
      <c r="W302" s="4"/>
      <c r="X302" s="4"/>
      <c r="Y302" s="4"/>
      <c r="Z302" s="4"/>
    </row>
    <row r="303" spans="1:26" ht="12.75">
      <c r="A303" s="4"/>
      <c r="B303" s="4"/>
      <c r="C303" s="15"/>
      <c r="D303" s="4"/>
      <c r="E303" s="4"/>
      <c r="F303" s="4"/>
      <c r="G303" s="4"/>
      <c r="H303" s="4"/>
      <c r="I303" s="4"/>
      <c r="J303" s="4"/>
      <c r="K303" s="4"/>
      <c r="L303" s="4"/>
      <c r="M303" s="4"/>
      <c r="N303" s="4"/>
      <c r="O303" s="4"/>
      <c r="P303" s="4"/>
      <c r="Q303" s="4"/>
      <c r="R303" s="4"/>
      <c r="S303" s="4"/>
      <c r="T303" s="4"/>
      <c r="U303" s="4"/>
      <c r="V303" s="4"/>
      <c r="W303" s="4"/>
      <c r="X303" s="4"/>
      <c r="Y303" s="4"/>
      <c r="Z303" s="4"/>
    </row>
    <row r="304" spans="1:26" ht="12.75">
      <c r="A304" s="4"/>
      <c r="B304" s="4"/>
      <c r="C304" s="15"/>
      <c r="D304" s="4"/>
      <c r="E304" s="4"/>
      <c r="F304" s="4"/>
      <c r="G304" s="4"/>
      <c r="H304" s="4"/>
      <c r="I304" s="4"/>
      <c r="J304" s="4"/>
      <c r="K304" s="4"/>
      <c r="L304" s="4"/>
      <c r="M304" s="4"/>
      <c r="N304" s="4"/>
      <c r="O304" s="4"/>
      <c r="P304" s="4"/>
      <c r="Q304" s="4"/>
      <c r="R304" s="4"/>
      <c r="S304" s="4"/>
      <c r="T304" s="4"/>
      <c r="U304" s="4"/>
      <c r="V304" s="4"/>
      <c r="W304" s="4"/>
      <c r="X304" s="4"/>
      <c r="Y304" s="4"/>
      <c r="Z304" s="4"/>
    </row>
    <row r="305" spans="1:26" ht="12.75">
      <c r="A305" s="4"/>
      <c r="B305" s="4"/>
      <c r="C305" s="15"/>
      <c r="D305" s="4"/>
      <c r="E305" s="4"/>
      <c r="F305" s="4"/>
      <c r="G305" s="4"/>
      <c r="H305" s="4"/>
      <c r="I305" s="4"/>
      <c r="J305" s="4"/>
      <c r="K305" s="4"/>
      <c r="L305" s="4"/>
      <c r="M305" s="4"/>
      <c r="N305" s="4"/>
      <c r="O305" s="4"/>
      <c r="P305" s="4"/>
      <c r="Q305" s="4"/>
      <c r="R305" s="4"/>
      <c r="S305" s="4"/>
      <c r="T305" s="4"/>
      <c r="U305" s="4"/>
      <c r="V305" s="4"/>
      <c r="W305" s="4"/>
      <c r="X305" s="4"/>
      <c r="Y305" s="4"/>
      <c r="Z305" s="4"/>
    </row>
    <row r="306" spans="1:26" ht="12.75">
      <c r="A306" s="4"/>
      <c r="B306" s="4"/>
      <c r="C306" s="15"/>
      <c r="D306" s="4"/>
      <c r="E306" s="4"/>
      <c r="F306" s="4"/>
      <c r="G306" s="4"/>
      <c r="H306" s="4"/>
      <c r="I306" s="4"/>
      <c r="J306" s="4"/>
      <c r="K306" s="4"/>
      <c r="L306" s="4"/>
      <c r="M306" s="4"/>
      <c r="N306" s="4"/>
      <c r="O306" s="4"/>
      <c r="P306" s="4"/>
      <c r="Q306" s="4"/>
      <c r="R306" s="4"/>
      <c r="S306" s="4"/>
      <c r="T306" s="4"/>
      <c r="U306" s="4"/>
      <c r="V306" s="4"/>
      <c r="W306" s="4"/>
      <c r="X306" s="4"/>
      <c r="Y306" s="4"/>
      <c r="Z306" s="4"/>
    </row>
    <row r="307" spans="1:26" ht="12.75">
      <c r="A307" s="4"/>
      <c r="B307" s="4"/>
      <c r="C307" s="15"/>
      <c r="D307" s="4"/>
      <c r="E307" s="4"/>
      <c r="F307" s="4"/>
      <c r="G307" s="4"/>
      <c r="H307" s="4"/>
      <c r="I307" s="4"/>
      <c r="J307" s="4"/>
      <c r="K307" s="4"/>
      <c r="L307" s="4"/>
      <c r="M307" s="4"/>
      <c r="N307" s="4"/>
      <c r="O307" s="4"/>
      <c r="P307" s="4"/>
      <c r="Q307" s="4"/>
      <c r="R307" s="4"/>
      <c r="S307" s="4"/>
      <c r="T307" s="4"/>
      <c r="U307" s="4"/>
      <c r="V307" s="4"/>
      <c r="W307" s="4"/>
      <c r="X307" s="4"/>
      <c r="Y307" s="4"/>
      <c r="Z307" s="4"/>
    </row>
    <row r="308" spans="1:26" ht="12.75">
      <c r="A308" s="4"/>
      <c r="B308" s="4"/>
      <c r="C308" s="15"/>
      <c r="D308" s="4"/>
      <c r="E308" s="4"/>
      <c r="F308" s="4"/>
      <c r="G308" s="4"/>
      <c r="H308" s="4"/>
      <c r="I308" s="4"/>
      <c r="J308" s="4"/>
      <c r="K308" s="4"/>
      <c r="L308" s="4"/>
      <c r="M308" s="4"/>
      <c r="N308" s="4"/>
      <c r="O308" s="4"/>
      <c r="P308" s="4"/>
      <c r="Q308" s="4"/>
      <c r="R308" s="4"/>
      <c r="S308" s="4"/>
      <c r="T308" s="4"/>
      <c r="U308" s="4"/>
      <c r="V308" s="4"/>
      <c r="W308" s="4"/>
      <c r="X308" s="4"/>
      <c r="Y308" s="4"/>
      <c r="Z308" s="4"/>
    </row>
    <row r="309" spans="1:26" ht="12.75">
      <c r="A309" s="4"/>
      <c r="B309" s="4"/>
      <c r="C309" s="15"/>
      <c r="D309" s="4"/>
      <c r="E309" s="4"/>
      <c r="F309" s="4"/>
      <c r="G309" s="4"/>
      <c r="H309" s="4"/>
      <c r="I309" s="4"/>
      <c r="J309" s="4"/>
      <c r="K309" s="4"/>
      <c r="L309" s="4"/>
      <c r="M309" s="4"/>
      <c r="N309" s="4"/>
      <c r="O309" s="4"/>
      <c r="P309" s="4"/>
      <c r="Q309" s="4"/>
      <c r="R309" s="4"/>
      <c r="S309" s="4"/>
      <c r="T309" s="4"/>
      <c r="U309" s="4"/>
      <c r="V309" s="4"/>
      <c r="W309" s="4"/>
      <c r="X309" s="4"/>
      <c r="Y309" s="4"/>
      <c r="Z309" s="4"/>
    </row>
    <row r="310" spans="1:26" ht="12.75">
      <c r="A310" s="4"/>
      <c r="B310" s="4"/>
      <c r="C310" s="15"/>
      <c r="D310" s="4"/>
      <c r="E310" s="4"/>
      <c r="F310" s="4"/>
      <c r="G310" s="4"/>
      <c r="H310" s="4"/>
      <c r="I310" s="4"/>
      <c r="J310" s="4"/>
      <c r="K310" s="4"/>
      <c r="L310" s="4"/>
      <c r="M310" s="4"/>
      <c r="N310" s="4"/>
      <c r="O310" s="4"/>
      <c r="P310" s="4"/>
      <c r="Q310" s="4"/>
      <c r="R310" s="4"/>
      <c r="S310" s="4"/>
      <c r="T310" s="4"/>
      <c r="U310" s="4"/>
      <c r="V310" s="4"/>
      <c r="W310" s="4"/>
      <c r="X310" s="4"/>
      <c r="Y310" s="4"/>
      <c r="Z310" s="4"/>
    </row>
    <row r="311" spans="1:26" ht="12.75">
      <c r="A311" s="4"/>
      <c r="B311" s="4"/>
      <c r="C311" s="15"/>
      <c r="D311" s="4"/>
      <c r="E311" s="4"/>
      <c r="F311" s="4"/>
      <c r="G311" s="4"/>
      <c r="H311" s="4"/>
      <c r="I311" s="4"/>
      <c r="J311" s="4"/>
      <c r="K311" s="4"/>
      <c r="L311" s="4"/>
      <c r="M311" s="4"/>
      <c r="N311" s="4"/>
      <c r="O311" s="4"/>
      <c r="P311" s="4"/>
      <c r="Q311" s="4"/>
      <c r="R311" s="4"/>
      <c r="S311" s="4"/>
      <c r="T311" s="4"/>
      <c r="U311" s="4"/>
      <c r="V311" s="4"/>
      <c r="W311" s="4"/>
      <c r="X311" s="4"/>
      <c r="Y311" s="4"/>
      <c r="Z311" s="4"/>
    </row>
    <row r="312" spans="1:26" ht="12.75">
      <c r="A312" s="4"/>
      <c r="B312" s="4"/>
      <c r="C312" s="15"/>
      <c r="D312" s="4"/>
      <c r="E312" s="4"/>
      <c r="F312" s="4"/>
      <c r="G312" s="4"/>
      <c r="H312" s="4"/>
      <c r="I312" s="4"/>
      <c r="J312" s="4"/>
      <c r="K312" s="4"/>
      <c r="L312" s="4"/>
      <c r="M312" s="4"/>
      <c r="N312" s="4"/>
      <c r="O312" s="4"/>
      <c r="P312" s="4"/>
      <c r="Q312" s="4"/>
      <c r="R312" s="4"/>
      <c r="S312" s="4"/>
      <c r="T312" s="4"/>
      <c r="U312" s="4"/>
      <c r="V312" s="4"/>
      <c r="W312" s="4"/>
      <c r="X312" s="4"/>
      <c r="Y312" s="4"/>
      <c r="Z312" s="4"/>
    </row>
    <row r="313" spans="1:26" ht="12.75">
      <c r="A313" s="4"/>
      <c r="B313" s="4"/>
      <c r="C313" s="15"/>
      <c r="D313" s="4"/>
      <c r="E313" s="4"/>
      <c r="F313" s="4"/>
      <c r="G313" s="4"/>
      <c r="H313" s="4"/>
      <c r="I313" s="4"/>
      <c r="J313" s="4"/>
      <c r="K313" s="4"/>
      <c r="L313" s="4"/>
      <c r="M313" s="4"/>
      <c r="N313" s="4"/>
      <c r="O313" s="4"/>
      <c r="P313" s="4"/>
      <c r="Q313" s="4"/>
      <c r="R313" s="4"/>
      <c r="S313" s="4"/>
      <c r="T313" s="4"/>
      <c r="U313" s="4"/>
      <c r="V313" s="4"/>
      <c r="W313" s="4"/>
      <c r="X313" s="4"/>
      <c r="Y313" s="4"/>
      <c r="Z313" s="4"/>
    </row>
    <row r="314" spans="1:26" ht="12.75">
      <c r="A314" s="4"/>
      <c r="B314" s="4"/>
      <c r="C314" s="15"/>
      <c r="D314" s="4"/>
      <c r="E314" s="4"/>
      <c r="F314" s="4"/>
      <c r="G314" s="4"/>
      <c r="H314" s="4"/>
      <c r="I314" s="4"/>
      <c r="J314" s="4"/>
      <c r="K314" s="4"/>
      <c r="L314" s="4"/>
      <c r="M314" s="4"/>
      <c r="N314" s="4"/>
      <c r="O314" s="4"/>
      <c r="P314" s="4"/>
      <c r="Q314" s="4"/>
      <c r="R314" s="4"/>
      <c r="S314" s="4"/>
      <c r="T314" s="4"/>
      <c r="U314" s="4"/>
      <c r="V314" s="4"/>
      <c r="W314" s="4"/>
      <c r="X314" s="4"/>
      <c r="Y314" s="4"/>
      <c r="Z314" s="4"/>
    </row>
    <row r="315" spans="1:26" ht="12.75">
      <c r="A315" s="4"/>
      <c r="B315" s="4"/>
      <c r="C315" s="15"/>
      <c r="D315" s="4"/>
      <c r="E315" s="4"/>
      <c r="F315" s="4"/>
      <c r="G315" s="4"/>
      <c r="H315" s="4"/>
      <c r="I315" s="4"/>
      <c r="J315" s="4"/>
      <c r="K315" s="4"/>
      <c r="L315" s="4"/>
      <c r="M315" s="4"/>
      <c r="N315" s="4"/>
      <c r="O315" s="4"/>
      <c r="P315" s="4"/>
      <c r="Q315" s="4"/>
      <c r="R315" s="4"/>
      <c r="S315" s="4"/>
      <c r="T315" s="4"/>
      <c r="U315" s="4"/>
      <c r="V315" s="4"/>
      <c r="W315" s="4"/>
      <c r="X315" s="4"/>
      <c r="Y315" s="4"/>
      <c r="Z315" s="4"/>
    </row>
    <row r="316" spans="1:26" ht="12.75">
      <c r="A316" s="4"/>
      <c r="B316" s="4"/>
      <c r="C316" s="15"/>
      <c r="D316" s="4"/>
      <c r="E316" s="4"/>
      <c r="F316" s="4"/>
      <c r="G316" s="4"/>
      <c r="H316" s="4"/>
      <c r="I316" s="4"/>
      <c r="J316" s="4"/>
      <c r="K316" s="4"/>
      <c r="L316" s="4"/>
      <c r="M316" s="4"/>
      <c r="N316" s="4"/>
      <c r="O316" s="4"/>
      <c r="P316" s="4"/>
      <c r="Q316" s="4"/>
      <c r="R316" s="4"/>
      <c r="S316" s="4"/>
      <c r="T316" s="4"/>
      <c r="U316" s="4"/>
      <c r="V316" s="4"/>
      <c r="W316" s="4"/>
      <c r="X316" s="4"/>
      <c r="Y316" s="4"/>
      <c r="Z316" s="4"/>
    </row>
    <row r="317" spans="1:26" ht="12.75">
      <c r="A317" s="4"/>
      <c r="B317" s="4"/>
      <c r="C317" s="15"/>
      <c r="D317" s="4"/>
      <c r="E317" s="4"/>
      <c r="F317" s="4"/>
      <c r="G317" s="4"/>
      <c r="H317" s="4"/>
      <c r="I317" s="4"/>
      <c r="J317" s="4"/>
      <c r="K317" s="4"/>
      <c r="L317" s="4"/>
      <c r="M317" s="4"/>
      <c r="N317" s="4"/>
      <c r="O317" s="4"/>
      <c r="P317" s="4"/>
      <c r="Q317" s="4"/>
      <c r="R317" s="4"/>
      <c r="S317" s="4"/>
      <c r="T317" s="4"/>
      <c r="U317" s="4"/>
      <c r="V317" s="4"/>
      <c r="W317" s="4"/>
      <c r="X317" s="4"/>
      <c r="Y317" s="4"/>
      <c r="Z317" s="4"/>
    </row>
    <row r="318" spans="1:26" ht="12.75">
      <c r="A318" s="4"/>
      <c r="B318" s="4"/>
      <c r="C318" s="15"/>
      <c r="D318" s="4"/>
      <c r="E318" s="4"/>
      <c r="F318" s="4"/>
      <c r="G318" s="4"/>
      <c r="H318" s="4"/>
      <c r="I318" s="4"/>
      <c r="J318" s="4"/>
      <c r="K318" s="4"/>
      <c r="L318" s="4"/>
      <c r="M318" s="4"/>
      <c r="N318" s="4"/>
      <c r="O318" s="4"/>
      <c r="P318" s="4"/>
      <c r="Q318" s="4"/>
      <c r="R318" s="4"/>
      <c r="S318" s="4"/>
      <c r="T318" s="4"/>
      <c r="U318" s="4"/>
      <c r="V318" s="4"/>
      <c r="W318" s="4"/>
      <c r="X318" s="4"/>
      <c r="Y318" s="4"/>
      <c r="Z318" s="4"/>
    </row>
    <row r="319" spans="1:26" ht="12.75">
      <c r="A319" s="4"/>
      <c r="B319" s="4"/>
      <c r="C319" s="15"/>
      <c r="D319" s="4"/>
      <c r="E319" s="4"/>
      <c r="F319" s="4"/>
      <c r="G319" s="4"/>
      <c r="H319" s="4"/>
      <c r="I319" s="4"/>
      <c r="J319" s="4"/>
      <c r="K319" s="4"/>
      <c r="L319" s="4"/>
      <c r="M319" s="4"/>
      <c r="N319" s="4"/>
      <c r="O319" s="4"/>
      <c r="P319" s="4"/>
      <c r="Q319" s="4"/>
      <c r="R319" s="4"/>
      <c r="S319" s="4"/>
      <c r="T319" s="4"/>
      <c r="U319" s="4"/>
      <c r="V319" s="4"/>
      <c r="W319" s="4"/>
      <c r="X319" s="4"/>
      <c r="Y319" s="4"/>
      <c r="Z319" s="4"/>
    </row>
    <row r="320" spans="1:26" ht="12.75">
      <c r="A320" s="4"/>
      <c r="B320" s="4"/>
      <c r="C320" s="15"/>
      <c r="D320" s="4"/>
      <c r="E320" s="4"/>
      <c r="F320" s="4"/>
      <c r="G320" s="4"/>
      <c r="H320" s="4"/>
      <c r="I320" s="4"/>
      <c r="J320" s="4"/>
      <c r="K320" s="4"/>
      <c r="L320" s="4"/>
      <c r="M320" s="4"/>
      <c r="N320" s="4"/>
      <c r="O320" s="4"/>
      <c r="P320" s="4"/>
      <c r="Q320" s="4"/>
      <c r="R320" s="4"/>
      <c r="S320" s="4"/>
      <c r="T320" s="4"/>
      <c r="U320" s="4"/>
      <c r="V320" s="4"/>
      <c r="W320" s="4"/>
      <c r="X320" s="4"/>
      <c r="Y320" s="4"/>
      <c r="Z320" s="4"/>
    </row>
    <row r="321" spans="1:26" ht="12.75">
      <c r="A321" s="4"/>
      <c r="B321" s="4"/>
      <c r="C321" s="15"/>
      <c r="D321" s="4"/>
      <c r="E321" s="4"/>
      <c r="F321" s="4"/>
      <c r="G321" s="4"/>
      <c r="H321" s="4"/>
      <c r="I321" s="4"/>
      <c r="J321" s="4"/>
      <c r="K321" s="4"/>
      <c r="L321" s="4"/>
      <c r="M321" s="4"/>
      <c r="N321" s="4"/>
      <c r="O321" s="4"/>
      <c r="P321" s="4"/>
      <c r="Q321" s="4"/>
      <c r="R321" s="4"/>
      <c r="S321" s="4"/>
      <c r="T321" s="4"/>
      <c r="U321" s="4"/>
      <c r="V321" s="4"/>
      <c r="W321" s="4"/>
      <c r="X321" s="4"/>
      <c r="Y321" s="4"/>
      <c r="Z321" s="4"/>
    </row>
    <row r="322" spans="1:26" ht="12.75">
      <c r="A322" s="4"/>
      <c r="B322" s="4"/>
      <c r="C322" s="15"/>
      <c r="D322" s="4"/>
      <c r="E322" s="4"/>
      <c r="F322" s="4"/>
      <c r="G322" s="4"/>
      <c r="H322" s="4"/>
      <c r="I322" s="4"/>
      <c r="J322" s="4"/>
      <c r="K322" s="4"/>
      <c r="L322" s="4"/>
      <c r="M322" s="4"/>
      <c r="N322" s="4"/>
      <c r="O322" s="4"/>
      <c r="P322" s="4"/>
      <c r="Q322" s="4"/>
      <c r="R322" s="4"/>
      <c r="S322" s="4"/>
      <c r="T322" s="4"/>
      <c r="U322" s="4"/>
      <c r="V322" s="4"/>
      <c r="W322" s="4"/>
      <c r="X322" s="4"/>
      <c r="Y322" s="4"/>
      <c r="Z322" s="4"/>
    </row>
    <row r="323" spans="1:26" ht="12.75">
      <c r="A323" s="4"/>
      <c r="B323" s="4"/>
      <c r="C323" s="15"/>
      <c r="D323" s="4"/>
      <c r="E323" s="4"/>
      <c r="F323" s="4"/>
      <c r="G323" s="4"/>
      <c r="H323" s="4"/>
      <c r="I323" s="4"/>
      <c r="J323" s="4"/>
      <c r="K323" s="4"/>
      <c r="L323" s="4"/>
      <c r="M323" s="4"/>
      <c r="N323" s="4"/>
      <c r="O323" s="4"/>
      <c r="P323" s="4"/>
      <c r="Q323" s="4"/>
      <c r="R323" s="4"/>
      <c r="S323" s="4"/>
      <c r="T323" s="4"/>
      <c r="U323" s="4"/>
      <c r="V323" s="4"/>
      <c r="W323" s="4"/>
      <c r="X323" s="4"/>
      <c r="Y323" s="4"/>
      <c r="Z323" s="4"/>
    </row>
    <row r="324" spans="1:26" ht="12.75">
      <c r="A324" s="4"/>
      <c r="B324" s="4"/>
      <c r="C324" s="15"/>
      <c r="D324" s="4"/>
      <c r="E324" s="4"/>
      <c r="F324" s="4"/>
      <c r="G324" s="4"/>
      <c r="H324" s="4"/>
      <c r="I324" s="4"/>
      <c r="J324" s="4"/>
      <c r="K324" s="4"/>
      <c r="L324" s="4"/>
      <c r="M324" s="4"/>
      <c r="N324" s="4"/>
      <c r="O324" s="4"/>
      <c r="P324" s="4"/>
      <c r="Q324" s="4"/>
      <c r="R324" s="4"/>
      <c r="S324" s="4"/>
      <c r="T324" s="4"/>
      <c r="U324" s="4"/>
      <c r="V324" s="4"/>
      <c r="W324" s="4"/>
      <c r="X324" s="4"/>
      <c r="Y324" s="4"/>
      <c r="Z324" s="4"/>
    </row>
    <row r="325" spans="1:26" ht="12.75">
      <c r="A325" s="4"/>
      <c r="B325" s="4"/>
      <c r="C325" s="15"/>
      <c r="D325" s="4"/>
      <c r="E325" s="4"/>
      <c r="F325" s="4"/>
      <c r="G325" s="4"/>
      <c r="H325" s="4"/>
      <c r="I325" s="4"/>
      <c r="J325" s="4"/>
      <c r="K325" s="4"/>
      <c r="L325" s="4"/>
      <c r="M325" s="4"/>
      <c r="N325" s="4"/>
      <c r="O325" s="4"/>
      <c r="P325" s="4"/>
      <c r="Q325" s="4"/>
      <c r="R325" s="4"/>
      <c r="S325" s="4"/>
      <c r="T325" s="4"/>
      <c r="U325" s="4"/>
      <c r="V325" s="4"/>
      <c r="W325" s="4"/>
      <c r="X325" s="4"/>
      <c r="Y325" s="4"/>
      <c r="Z325" s="4"/>
    </row>
    <row r="326" spans="1:26" ht="12.75">
      <c r="A326" s="4"/>
      <c r="B326" s="4"/>
      <c r="C326" s="15"/>
      <c r="D326" s="4"/>
      <c r="E326" s="4"/>
      <c r="F326" s="4"/>
      <c r="G326" s="4"/>
      <c r="H326" s="4"/>
      <c r="I326" s="4"/>
      <c r="J326" s="4"/>
      <c r="K326" s="4"/>
      <c r="L326" s="4"/>
      <c r="M326" s="4"/>
      <c r="N326" s="4"/>
      <c r="O326" s="4"/>
      <c r="P326" s="4"/>
      <c r="Q326" s="4"/>
      <c r="R326" s="4"/>
      <c r="S326" s="4"/>
      <c r="T326" s="4"/>
      <c r="U326" s="4"/>
      <c r="V326" s="4"/>
      <c r="W326" s="4"/>
      <c r="X326" s="4"/>
      <c r="Y326" s="4"/>
      <c r="Z326" s="4"/>
    </row>
    <row r="327" spans="1:26" ht="12.75">
      <c r="A327" s="4"/>
      <c r="B327" s="4"/>
      <c r="C327" s="15"/>
      <c r="D327" s="4"/>
      <c r="E327" s="4"/>
      <c r="F327" s="4"/>
      <c r="G327" s="4"/>
      <c r="H327" s="4"/>
      <c r="I327" s="4"/>
      <c r="J327" s="4"/>
      <c r="K327" s="4"/>
      <c r="L327" s="4"/>
      <c r="M327" s="4"/>
      <c r="N327" s="4"/>
      <c r="O327" s="4"/>
      <c r="P327" s="4"/>
      <c r="Q327" s="4"/>
      <c r="R327" s="4"/>
      <c r="S327" s="4"/>
      <c r="T327" s="4"/>
      <c r="U327" s="4"/>
      <c r="V327" s="4"/>
      <c r="W327" s="4"/>
      <c r="X327" s="4"/>
      <c r="Y327" s="4"/>
      <c r="Z327" s="4"/>
    </row>
    <row r="328" spans="1:26" ht="12.75">
      <c r="A328" s="4"/>
      <c r="B328" s="4"/>
      <c r="C328" s="15"/>
      <c r="D328" s="4"/>
      <c r="E328" s="4"/>
      <c r="F328" s="4"/>
      <c r="G328" s="4"/>
      <c r="H328" s="4"/>
      <c r="I328" s="4"/>
      <c r="J328" s="4"/>
      <c r="K328" s="4"/>
      <c r="L328" s="4"/>
      <c r="M328" s="4"/>
      <c r="N328" s="4"/>
      <c r="O328" s="4"/>
      <c r="P328" s="4"/>
      <c r="Q328" s="4"/>
      <c r="R328" s="4"/>
      <c r="S328" s="4"/>
      <c r="T328" s="4"/>
      <c r="U328" s="4"/>
      <c r="V328" s="4"/>
      <c r="W328" s="4"/>
      <c r="X328" s="4"/>
      <c r="Y328" s="4"/>
      <c r="Z328" s="4"/>
    </row>
    <row r="329" spans="1:26" ht="12.75">
      <c r="A329" s="4"/>
      <c r="B329" s="4"/>
      <c r="C329" s="15"/>
      <c r="D329" s="4"/>
      <c r="E329" s="4"/>
      <c r="F329" s="4"/>
      <c r="G329" s="4"/>
      <c r="H329" s="4"/>
      <c r="I329" s="4"/>
      <c r="J329" s="4"/>
      <c r="K329" s="4"/>
      <c r="L329" s="4"/>
      <c r="M329" s="4"/>
      <c r="N329" s="4"/>
      <c r="O329" s="4"/>
      <c r="P329" s="4"/>
      <c r="Q329" s="4"/>
      <c r="R329" s="4"/>
      <c r="S329" s="4"/>
      <c r="T329" s="4"/>
      <c r="U329" s="4"/>
      <c r="V329" s="4"/>
      <c r="W329" s="4"/>
      <c r="X329" s="4"/>
      <c r="Y329" s="4"/>
      <c r="Z329" s="4"/>
    </row>
    <row r="330" spans="1:26" ht="12.75">
      <c r="A330" s="4"/>
      <c r="B330" s="4"/>
      <c r="C330" s="15"/>
      <c r="D330" s="4"/>
      <c r="E330" s="4"/>
      <c r="F330" s="4"/>
      <c r="G330" s="4"/>
      <c r="H330" s="4"/>
      <c r="I330" s="4"/>
      <c r="J330" s="4"/>
      <c r="K330" s="4"/>
      <c r="L330" s="4"/>
      <c r="M330" s="4"/>
      <c r="N330" s="4"/>
      <c r="O330" s="4"/>
      <c r="P330" s="4"/>
      <c r="Q330" s="4"/>
      <c r="R330" s="4"/>
      <c r="S330" s="4"/>
      <c r="T330" s="4"/>
      <c r="U330" s="4"/>
      <c r="V330" s="4"/>
      <c r="W330" s="4"/>
      <c r="X330" s="4"/>
      <c r="Y330" s="4"/>
      <c r="Z330" s="4"/>
    </row>
    <row r="331" spans="1:26" ht="12.75">
      <c r="A331" s="4"/>
      <c r="B331" s="4"/>
      <c r="C331" s="15"/>
      <c r="D331" s="4"/>
      <c r="E331" s="4"/>
      <c r="F331" s="4"/>
      <c r="G331" s="4"/>
      <c r="H331" s="4"/>
      <c r="I331" s="4"/>
      <c r="J331" s="4"/>
      <c r="K331" s="4"/>
      <c r="L331" s="4"/>
      <c r="M331" s="4"/>
      <c r="N331" s="4"/>
      <c r="O331" s="4"/>
      <c r="P331" s="4"/>
      <c r="Q331" s="4"/>
      <c r="R331" s="4"/>
      <c r="S331" s="4"/>
      <c r="T331" s="4"/>
      <c r="U331" s="4"/>
      <c r="V331" s="4"/>
      <c r="W331" s="4"/>
      <c r="X331" s="4"/>
      <c r="Y331" s="4"/>
      <c r="Z331" s="4"/>
    </row>
    <row r="332" spans="1:26" ht="12.75">
      <c r="A332" s="4"/>
      <c r="B332" s="4"/>
      <c r="C332" s="15"/>
      <c r="D332" s="4"/>
      <c r="E332" s="4"/>
      <c r="F332" s="4"/>
      <c r="G332" s="4"/>
      <c r="H332" s="4"/>
      <c r="I332" s="4"/>
      <c r="J332" s="4"/>
      <c r="K332" s="4"/>
      <c r="L332" s="4"/>
      <c r="M332" s="4"/>
      <c r="N332" s="4"/>
      <c r="O332" s="4"/>
      <c r="P332" s="4"/>
      <c r="Q332" s="4"/>
      <c r="R332" s="4"/>
      <c r="S332" s="4"/>
      <c r="T332" s="4"/>
      <c r="U332" s="4"/>
      <c r="V332" s="4"/>
      <c r="W332" s="4"/>
      <c r="X332" s="4"/>
      <c r="Y332" s="4"/>
      <c r="Z332" s="4"/>
    </row>
    <row r="333" spans="1:26" ht="12.75">
      <c r="A333" s="4"/>
      <c r="B333" s="4"/>
      <c r="C333" s="15"/>
      <c r="D333" s="4"/>
      <c r="E333" s="4"/>
      <c r="F333" s="4"/>
      <c r="G333" s="4"/>
      <c r="H333" s="4"/>
      <c r="I333" s="4"/>
      <c r="J333" s="4"/>
      <c r="K333" s="4"/>
      <c r="L333" s="4"/>
      <c r="M333" s="4"/>
      <c r="N333" s="4"/>
      <c r="O333" s="4"/>
      <c r="P333" s="4"/>
      <c r="Q333" s="4"/>
      <c r="R333" s="4"/>
      <c r="S333" s="4"/>
      <c r="T333" s="4"/>
      <c r="U333" s="4"/>
      <c r="V333" s="4"/>
      <c r="W333" s="4"/>
      <c r="X333" s="4"/>
      <c r="Y333" s="4"/>
      <c r="Z333" s="4"/>
    </row>
    <row r="334" spans="1:26" ht="12.75">
      <c r="A334" s="4"/>
      <c r="B334" s="4"/>
      <c r="C334" s="15"/>
      <c r="D334" s="4"/>
      <c r="E334" s="4"/>
      <c r="F334" s="4"/>
      <c r="G334" s="4"/>
      <c r="H334" s="4"/>
      <c r="I334" s="4"/>
      <c r="J334" s="4"/>
      <c r="K334" s="4"/>
      <c r="L334" s="4"/>
      <c r="M334" s="4"/>
      <c r="N334" s="4"/>
      <c r="O334" s="4"/>
      <c r="P334" s="4"/>
      <c r="Q334" s="4"/>
      <c r="R334" s="4"/>
      <c r="S334" s="4"/>
      <c r="T334" s="4"/>
      <c r="U334" s="4"/>
      <c r="V334" s="4"/>
      <c r="W334" s="4"/>
      <c r="X334" s="4"/>
      <c r="Y334" s="4"/>
      <c r="Z334" s="4"/>
    </row>
    <row r="335" spans="1:26" ht="12.75">
      <c r="A335" s="4"/>
      <c r="B335" s="4"/>
      <c r="C335" s="15"/>
      <c r="D335" s="4"/>
      <c r="E335" s="4"/>
      <c r="F335" s="4"/>
      <c r="G335" s="4"/>
      <c r="H335" s="4"/>
      <c r="I335" s="4"/>
      <c r="J335" s="4"/>
      <c r="K335" s="4"/>
      <c r="L335" s="4"/>
      <c r="M335" s="4"/>
      <c r="N335" s="4"/>
      <c r="O335" s="4"/>
      <c r="P335" s="4"/>
      <c r="Q335" s="4"/>
      <c r="R335" s="4"/>
      <c r="S335" s="4"/>
      <c r="T335" s="4"/>
      <c r="U335" s="4"/>
      <c r="V335" s="4"/>
      <c r="W335" s="4"/>
      <c r="X335" s="4"/>
      <c r="Y335" s="4"/>
      <c r="Z335" s="4"/>
    </row>
    <row r="336" spans="1:26" ht="12.75">
      <c r="A336" s="4"/>
      <c r="B336" s="4"/>
      <c r="C336" s="15"/>
      <c r="D336" s="4"/>
      <c r="E336" s="4"/>
      <c r="F336" s="4"/>
      <c r="G336" s="4"/>
      <c r="H336" s="4"/>
      <c r="I336" s="4"/>
      <c r="J336" s="4"/>
      <c r="K336" s="4"/>
      <c r="L336" s="4"/>
      <c r="M336" s="4"/>
      <c r="N336" s="4"/>
      <c r="O336" s="4"/>
      <c r="P336" s="4"/>
      <c r="Q336" s="4"/>
      <c r="R336" s="4"/>
      <c r="S336" s="4"/>
      <c r="T336" s="4"/>
      <c r="U336" s="4"/>
      <c r="V336" s="4"/>
      <c r="W336" s="4"/>
      <c r="X336" s="4"/>
      <c r="Y336" s="4"/>
      <c r="Z336" s="4"/>
    </row>
    <row r="337" spans="1:26" ht="12.75">
      <c r="A337" s="4"/>
      <c r="B337" s="4"/>
      <c r="C337" s="15"/>
      <c r="D337" s="4"/>
      <c r="E337" s="4"/>
      <c r="F337" s="4"/>
      <c r="G337" s="4"/>
      <c r="H337" s="4"/>
      <c r="I337" s="4"/>
      <c r="J337" s="4"/>
      <c r="K337" s="4"/>
      <c r="L337" s="4"/>
      <c r="M337" s="4"/>
      <c r="N337" s="4"/>
      <c r="O337" s="4"/>
      <c r="P337" s="4"/>
      <c r="Q337" s="4"/>
      <c r="R337" s="4"/>
      <c r="S337" s="4"/>
      <c r="T337" s="4"/>
      <c r="U337" s="4"/>
      <c r="V337" s="4"/>
      <c r="W337" s="4"/>
      <c r="X337" s="4"/>
      <c r="Y337" s="4"/>
      <c r="Z337" s="4"/>
    </row>
    <row r="338" spans="1:26" ht="12.75">
      <c r="A338" s="4"/>
      <c r="B338" s="4"/>
      <c r="C338" s="15"/>
      <c r="D338" s="4"/>
      <c r="E338" s="4"/>
      <c r="F338" s="4"/>
      <c r="G338" s="4"/>
      <c r="H338" s="4"/>
      <c r="I338" s="4"/>
      <c r="J338" s="4"/>
      <c r="K338" s="4"/>
      <c r="L338" s="4"/>
      <c r="M338" s="4"/>
      <c r="N338" s="4"/>
      <c r="O338" s="4"/>
      <c r="P338" s="4"/>
      <c r="Q338" s="4"/>
      <c r="R338" s="4"/>
      <c r="S338" s="4"/>
      <c r="T338" s="4"/>
      <c r="U338" s="4"/>
      <c r="V338" s="4"/>
      <c r="W338" s="4"/>
      <c r="X338" s="4"/>
      <c r="Y338" s="4"/>
      <c r="Z338" s="4"/>
    </row>
    <row r="339" spans="1:26" ht="12.75">
      <c r="A339" s="4"/>
      <c r="B339" s="4"/>
      <c r="C339" s="15"/>
      <c r="D339" s="4"/>
      <c r="E339" s="4"/>
      <c r="F339" s="4"/>
      <c r="G339" s="4"/>
      <c r="H339" s="4"/>
      <c r="I339" s="4"/>
      <c r="J339" s="4"/>
      <c r="K339" s="4"/>
      <c r="L339" s="4"/>
      <c r="M339" s="4"/>
      <c r="N339" s="4"/>
      <c r="O339" s="4"/>
      <c r="P339" s="4"/>
      <c r="Q339" s="4"/>
      <c r="R339" s="4"/>
      <c r="S339" s="4"/>
      <c r="T339" s="4"/>
      <c r="U339" s="4"/>
      <c r="V339" s="4"/>
      <c r="W339" s="4"/>
      <c r="X339" s="4"/>
      <c r="Y339" s="4"/>
      <c r="Z339" s="4"/>
    </row>
    <row r="340" spans="1:26" ht="12.75">
      <c r="A340" s="4"/>
      <c r="B340" s="4"/>
      <c r="C340" s="15"/>
      <c r="D340" s="4"/>
      <c r="E340" s="4"/>
      <c r="F340" s="4"/>
      <c r="G340" s="4"/>
      <c r="H340" s="4"/>
      <c r="I340" s="4"/>
      <c r="J340" s="4"/>
      <c r="K340" s="4"/>
      <c r="L340" s="4"/>
      <c r="M340" s="4"/>
      <c r="N340" s="4"/>
      <c r="O340" s="4"/>
      <c r="P340" s="4"/>
      <c r="Q340" s="4"/>
      <c r="R340" s="4"/>
      <c r="S340" s="4"/>
      <c r="T340" s="4"/>
      <c r="U340" s="4"/>
      <c r="V340" s="4"/>
      <c r="W340" s="4"/>
      <c r="X340" s="4"/>
      <c r="Y340" s="4"/>
      <c r="Z340" s="4"/>
    </row>
    <row r="341" spans="1:26" ht="12.75">
      <c r="A341" s="4"/>
      <c r="B341" s="4"/>
      <c r="C341" s="15"/>
      <c r="D341" s="4"/>
      <c r="E341" s="4"/>
      <c r="F341" s="4"/>
      <c r="G341" s="4"/>
      <c r="H341" s="4"/>
      <c r="I341" s="4"/>
      <c r="J341" s="4"/>
      <c r="K341" s="4"/>
      <c r="L341" s="4"/>
      <c r="M341" s="4"/>
      <c r="N341" s="4"/>
      <c r="O341" s="4"/>
      <c r="P341" s="4"/>
      <c r="Q341" s="4"/>
      <c r="R341" s="4"/>
      <c r="S341" s="4"/>
      <c r="T341" s="4"/>
      <c r="U341" s="4"/>
      <c r="V341" s="4"/>
      <c r="W341" s="4"/>
      <c r="X341" s="4"/>
      <c r="Y341" s="4"/>
      <c r="Z341" s="4"/>
    </row>
    <row r="342" spans="1:26" ht="12.75">
      <c r="A342" s="4"/>
      <c r="B342" s="4"/>
      <c r="C342" s="15"/>
      <c r="D342" s="4"/>
      <c r="E342" s="4"/>
      <c r="F342" s="4"/>
      <c r="G342" s="4"/>
      <c r="H342" s="4"/>
      <c r="I342" s="4"/>
      <c r="J342" s="4"/>
      <c r="K342" s="4"/>
      <c r="L342" s="4"/>
      <c r="M342" s="4"/>
      <c r="N342" s="4"/>
      <c r="O342" s="4"/>
      <c r="P342" s="4"/>
      <c r="Q342" s="4"/>
      <c r="R342" s="4"/>
      <c r="S342" s="4"/>
      <c r="T342" s="4"/>
      <c r="U342" s="4"/>
      <c r="V342" s="4"/>
      <c r="W342" s="4"/>
      <c r="X342" s="4"/>
      <c r="Y342" s="4"/>
      <c r="Z342" s="4"/>
    </row>
    <row r="343" spans="1:26" ht="12.75">
      <c r="A343" s="4"/>
      <c r="B343" s="4"/>
      <c r="C343" s="15"/>
      <c r="D343" s="4"/>
      <c r="E343" s="4"/>
      <c r="F343" s="4"/>
      <c r="G343" s="4"/>
      <c r="H343" s="4"/>
      <c r="I343" s="4"/>
      <c r="J343" s="4"/>
      <c r="K343" s="4"/>
      <c r="L343" s="4"/>
      <c r="M343" s="4"/>
      <c r="N343" s="4"/>
      <c r="O343" s="4"/>
      <c r="P343" s="4"/>
      <c r="Q343" s="4"/>
      <c r="R343" s="4"/>
      <c r="S343" s="4"/>
      <c r="T343" s="4"/>
      <c r="U343" s="4"/>
      <c r="V343" s="4"/>
      <c r="W343" s="4"/>
      <c r="X343" s="4"/>
      <c r="Y343" s="4"/>
      <c r="Z343" s="4"/>
    </row>
    <row r="344" spans="1:26" ht="12.75">
      <c r="A344" s="4"/>
      <c r="B344" s="4"/>
      <c r="C344" s="15"/>
      <c r="D344" s="4"/>
      <c r="E344" s="4"/>
      <c r="F344" s="4"/>
      <c r="G344" s="4"/>
      <c r="H344" s="4"/>
      <c r="I344" s="4"/>
      <c r="J344" s="4"/>
      <c r="K344" s="4"/>
      <c r="L344" s="4"/>
      <c r="M344" s="4"/>
      <c r="N344" s="4"/>
      <c r="O344" s="4"/>
      <c r="P344" s="4"/>
      <c r="Q344" s="4"/>
      <c r="R344" s="4"/>
      <c r="S344" s="4"/>
      <c r="T344" s="4"/>
      <c r="U344" s="4"/>
      <c r="V344" s="4"/>
      <c r="W344" s="4"/>
      <c r="X344" s="4"/>
      <c r="Y344" s="4"/>
      <c r="Z344" s="4"/>
    </row>
    <row r="345" spans="1:26" ht="12.75">
      <c r="A345" s="4"/>
      <c r="B345" s="4"/>
      <c r="C345" s="15"/>
      <c r="D345" s="4"/>
      <c r="E345" s="4"/>
      <c r="F345" s="4"/>
      <c r="G345" s="4"/>
      <c r="H345" s="4"/>
      <c r="I345" s="4"/>
      <c r="J345" s="4"/>
      <c r="K345" s="4"/>
      <c r="L345" s="4"/>
      <c r="M345" s="4"/>
      <c r="N345" s="4"/>
      <c r="O345" s="4"/>
      <c r="P345" s="4"/>
      <c r="Q345" s="4"/>
      <c r="R345" s="4"/>
      <c r="S345" s="4"/>
      <c r="T345" s="4"/>
      <c r="U345" s="4"/>
      <c r="V345" s="4"/>
      <c r="W345" s="4"/>
      <c r="X345" s="4"/>
      <c r="Y345" s="4"/>
      <c r="Z345" s="4"/>
    </row>
    <row r="346" spans="1:26" ht="12.75">
      <c r="A346" s="4"/>
      <c r="B346" s="4"/>
      <c r="C346" s="15"/>
      <c r="D346" s="4"/>
      <c r="E346" s="4"/>
      <c r="F346" s="4"/>
      <c r="G346" s="4"/>
      <c r="H346" s="4"/>
      <c r="I346" s="4"/>
      <c r="J346" s="4"/>
      <c r="K346" s="4"/>
      <c r="L346" s="4"/>
      <c r="M346" s="4"/>
      <c r="N346" s="4"/>
      <c r="O346" s="4"/>
      <c r="P346" s="4"/>
      <c r="Q346" s="4"/>
      <c r="R346" s="4"/>
      <c r="S346" s="4"/>
      <c r="T346" s="4"/>
      <c r="U346" s="4"/>
      <c r="V346" s="4"/>
      <c r="W346" s="4"/>
      <c r="X346" s="4"/>
      <c r="Y346" s="4"/>
      <c r="Z346" s="4"/>
    </row>
    <row r="347" spans="1:26" ht="12.75">
      <c r="A347" s="4"/>
      <c r="B347" s="4"/>
      <c r="C347" s="15"/>
      <c r="D347" s="4"/>
      <c r="E347" s="4"/>
      <c r="F347" s="4"/>
      <c r="G347" s="4"/>
      <c r="H347" s="4"/>
      <c r="I347" s="4"/>
      <c r="J347" s="4"/>
      <c r="K347" s="4"/>
      <c r="L347" s="4"/>
      <c r="M347" s="4"/>
      <c r="N347" s="4"/>
      <c r="O347" s="4"/>
      <c r="P347" s="4"/>
      <c r="Q347" s="4"/>
      <c r="R347" s="4"/>
      <c r="S347" s="4"/>
      <c r="T347" s="4"/>
      <c r="U347" s="4"/>
      <c r="V347" s="4"/>
      <c r="W347" s="4"/>
      <c r="X347" s="4"/>
      <c r="Y347" s="4"/>
      <c r="Z347" s="4"/>
    </row>
    <row r="348" spans="1:26" ht="12.75">
      <c r="A348" s="4"/>
      <c r="B348" s="4"/>
      <c r="C348" s="15"/>
      <c r="D348" s="4"/>
      <c r="E348" s="4"/>
      <c r="F348" s="4"/>
      <c r="G348" s="4"/>
      <c r="H348" s="4"/>
      <c r="I348" s="4"/>
      <c r="J348" s="4"/>
      <c r="K348" s="4"/>
      <c r="L348" s="4"/>
      <c r="M348" s="4"/>
      <c r="N348" s="4"/>
      <c r="O348" s="4"/>
      <c r="P348" s="4"/>
      <c r="Q348" s="4"/>
      <c r="R348" s="4"/>
      <c r="S348" s="4"/>
      <c r="T348" s="4"/>
      <c r="U348" s="4"/>
      <c r="V348" s="4"/>
      <c r="W348" s="4"/>
      <c r="X348" s="4"/>
      <c r="Y348" s="4"/>
      <c r="Z348" s="4"/>
    </row>
    <row r="349" spans="1:26" ht="12.75">
      <c r="A349" s="4"/>
      <c r="B349" s="4"/>
      <c r="C349" s="15"/>
      <c r="D349" s="4"/>
      <c r="E349" s="4"/>
      <c r="F349" s="4"/>
      <c r="G349" s="4"/>
      <c r="H349" s="4"/>
      <c r="I349" s="4"/>
      <c r="J349" s="4"/>
      <c r="K349" s="4"/>
      <c r="L349" s="4"/>
      <c r="M349" s="4"/>
      <c r="N349" s="4"/>
      <c r="O349" s="4"/>
      <c r="P349" s="4"/>
      <c r="Q349" s="4"/>
      <c r="R349" s="4"/>
      <c r="S349" s="4"/>
      <c r="T349" s="4"/>
      <c r="U349" s="4"/>
      <c r="V349" s="4"/>
      <c r="W349" s="4"/>
      <c r="X349" s="4"/>
      <c r="Y349" s="4"/>
      <c r="Z349" s="4"/>
    </row>
    <row r="350" spans="1:26" ht="12.75">
      <c r="A350" s="4"/>
      <c r="B350" s="4"/>
      <c r="C350" s="15"/>
      <c r="D350" s="4"/>
      <c r="E350" s="4"/>
      <c r="F350" s="4"/>
      <c r="G350" s="4"/>
      <c r="H350" s="4"/>
      <c r="I350" s="4"/>
      <c r="J350" s="4"/>
      <c r="K350" s="4"/>
      <c r="L350" s="4"/>
      <c r="M350" s="4"/>
      <c r="N350" s="4"/>
      <c r="O350" s="4"/>
      <c r="P350" s="4"/>
      <c r="Q350" s="4"/>
      <c r="R350" s="4"/>
      <c r="S350" s="4"/>
      <c r="T350" s="4"/>
      <c r="U350" s="4"/>
      <c r="V350" s="4"/>
      <c r="W350" s="4"/>
      <c r="X350" s="4"/>
      <c r="Y350" s="4"/>
      <c r="Z350" s="4"/>
    </row>
    <row r="351" spans="1:26" ht="12.75">
      <c r="A351" s="4"/>
      <c r="B351" s="4"/>
      <c r="C351" s="15"/>
      <c r="D351" s="4"/>
      <c r="E351" s="4"/>
      <c r="F351" s="4"/>
      <c r="G351" s="4"/>
      <c r="H351" s="4"/>
      <c r="I351" s="4"/>
      <c r="J351" s="4"/>
      <c r="K351" s="4"/>
      <c r="L351" s="4"/>
      <c r="M351" s="4"/>
      <c r="N351" s="4"/>
      <c r="O351" s="4"/>
      <c r="P351" s="4"/>
      <c r="Q351" s="4"/>
      <c r="R351" s="4"/>
      <c r="S351" s="4"/>
      <c r="T351" s="4"/>
      <c r="U351" s="4"/>
      <c r="V351" s="4"/>
      <c r="W351" s="4"/>
      <c r="X351" s="4"/>
      <c r="Y351" s="4"/>
      <c r="Z351" s="4"/>
    </row>
    <row r="352" spans="1:26" ht="12.75">
      <c r="A352" s="4"/>
      <c r="B352" s="4"/>
      <c r="C352" s="15"/>
      <c r="D352" s="4"/>
      <c r="E352" s="4"/>
      <c r="F352" s="4"/>
      <c r="G352" s="4"/>
      <c r="H352" s="4"/>
      <c r="I352" s="4"/>
      <c r="J352" s="4"/>
      <c r="K352" s="4"/>
      <c r="L352" s="4"/>
      <c r="M352" s="4"/>
      <c r="N352" s="4"/>
      <c r="O352" s="4"/>
      <c r="P352" s="4"/>
      <c r="Q352" s="4"/>
      <c r="R352" s="4"/>
      <c r="S352" s="4"/>
      <c r="T352" s="4"/>
      <c r="U352" s="4"/>
      <c r="V352" s="4"/>
      <c r="W352" s="4"/>
      <c r="X352" s="4"/>
      <c r="Y352" s="4"/>
      <c r="Z352" s="4"/>
    </row>
    <row r="353" spans="1:26" ht="12.75">
      <c r="A353" s="4"/>
      <c r="B353" s="4"/>
      <c r="C353" s="15"/>
      <c r="D353" s="4"/>
      <c r="E353" s="4"/>
      <c r="F353" s="4"/>
      <c r="G353" s="4"/>
      <c r="H353" s="4"/>
      <c r="I353" s="4"/>
      <c r="J353" s="4"/>
      <c r="K353" s="4"/>
      <c r="L353" s="4"/>
      <c r="M353" s="4"/>
      <c r="N353" s="4"/>
      <c r="O353" s="4"/>
      <c r="P353" s="4"/>
      <c r="Q353" s="4"/>
      <c r="R353" s="4"/>
      <c r="S353" s="4"/>
      <c r="T353" s="4"/>
      <c r="U353" s="4"/>
      <c r="V353" s="4"/>
      <c r="W353" s="4"/>
      <c r="X353" s="4"/>
      <c r="Y353" s="4"/>
      <c r="Z353" s="4"/>
    </row>
    <row r="354" spans="1:26" ht="12.75">
      <c r="A354" s="4"/>
      <c r="B354" s="4"/>
      <c r="C354" s="15"/>
      <c r="D354" s="4"/>
      <c r="E354" s="4"/>
      <c r="F354" s="4"/>
      <c r="G354" s="4"/>
      <c r="H354" s="4"/>
      <c r="I354" s="4"/>
      <c r="J354" s="4"/>
      <c r="K354" s="4"/>
      <c r="L354" s="4"/>
      <c r="M354" s="4"/>
      <c r="N354" s="4"/>
      <c r="O354" s="4"/>
      <c r="P354" s="4"/>
      <c r="Q354" s="4"/>
      <c r="R354" s="4"/>
      <c r="S354" s="4"/>
      <c r="T354" s="4"/>
      <c r="U354" s="4"/>
      <c r="V354" s="4"/>
      <c r="W354" s="4"/>
      <c r="X354" s="4"/>
      <c r="Y354" s="4"/>
      <c r="Z354" s="4"/>
    </row>
    <row r="355" spans="1:26" ht="12.75">
      <c r="A355" s="4"/>
      <c r="B355" s="4"/>
      <c r="C355" s="15"/>
      <c r="D355" s="4"/>
      <c r="E355" s="4"/>
      <c r="F355" s="4"/>
      <c r="G355" s="4"/>
      <c r="H355" s="4"/>
      <c r="I355" s="4"/>
      <c r="J355" s="4"/>
      <c r="K355" s="4"/>
      <c r="L355" s="4"/>
      <c r="M355" s="4"/>
      <c r="N355" s="4"/>
      <c r="O355" s="4"/>
      <c r="P355" s="4"/>
      <c r="Q355" s="4"/>
      <c r="R355" s="4"/>
      <c r="S355" s="4"/>
      <c r="T355" s="4"/>
      <c r="U355" s="4"/>
      <c r="V355" s="4"/>
      <c r="W355" s="4"/>
      <c r="X355" s="4"/>
      <c r="Y355" s="4"/>
      <c r="Z355" s="4"/>
    </row>
    <row r="356" spans="1:26" ht="12.75">
      <c r="A356" s="4"/>
      <c r="B356" s="4"/>
      <c r="C356" s="15"/>
      <c r="D356" s="4"/>
      <c r="E356" s="4"/>
      <c r="F356" s="4"/>
      <c r="G356" s="4"/>
      <c r="H356" s="4"/>
      <c r="I356" s="4"/>
      <c r="J356" s="4"/>
      <c r="K356" s="4"/>
      <c r="L356" s="4"/>
      <c r="M356" s="4"/>
      <c r="N356" s="4"/>
      <c r="O356" s="4"/>
      <c r="P356" s="4"/>
      <c r="Q356" s="4"/>
      <c r="R356" s="4"/>
      <c r="S356" s="4"/>
      <c r="T356" s="4"/>
      <c r="U356" s="4"/>
      <c r="V356" s="4"/>
      <c r="W356" s="4"/>
      <c r="X356" s="4"/>
      <c r="Y356" s="4"/>
      <c r="Z356" s="4"/>
    </row>
    <row r="357" spans="1:26" ht="12.75">
      <c r="A357" s="4"/>
      <c r="B357" s="4"/>
      <c r="C357" s="15"/>
      <c r="D357" s="4"/>
      <c r="E357" s="4"/>
      <c r="F357" s="4"/>
      <c r="G357" s="4"/>
      <c r="H357" s="4"/>
      <c r="I357" s="4"/>
      <c r="J357" s="4"/>
      <c r="K357" s="4"/>
      <c r="L357" s="4"/>
      <c r="M357" s="4"/>
      <c r="N357" s="4"/>
      <c r="O357" s="4"/>
      <c r="P357" s="4"/>
      <c r="Q357" s="4"/>
      <c r="R357" s="4"/>
      <c r="S357" s="4"/>
      <c r="T357" s="4"/>
      <c r="U357" s="4"/>
      <c r="V357" s="4"/>
      <c r="W357" s="4"/>
      <c r="X357" s="4"/>
      <c r="Y357" s="4"/>
      <c r="Z357" s="4"/>
    </row>
    <row r="358" spans="1:26" ht="12.75">
      <c r="A358" s="4"/>
      <c r="B358" s="4"/>
      <c r="C358" s="15"/>
      <c r="D358" s="4"/>
      <c r="E358" s="4"/>
      <c r="F358" s="4"/>
      <c r="G358" s="4"/>
      <c r="H358" s="4"/>
      <c r="I358" s="4"/>
      <c r="J358" s="4"/>
      <c r="K358" s="4"/>
      <c r="L358" s="4"/>
      <c r="M358" s="4"/>
      <c r="N358" s="4"/>
      <c r="O358" s="4"/>
      <c r="P358" s="4"/>
      <c r="Q358" s="4"/>
      <c r="R358" s="4"/>
      <c r="S358" s="4"/>
      <c r="T358" s="4"/>
      <c r="U358" s="4"/>
      <c r="V358" s="4"/>
      <c r="W358" s="4"/>
      <c r="X358" s="4"/>
      <c r="Y358" s="4"/>
      <c r="Z358" s="4"/>
    </row>
    <row r="359" spans="1:26" ht="12.75">
      <c r="A359" s="4"/>
      <c r="B359" s="4"/>
      <c r="C359" s="15"/>
      <c r="D359" s="4"/>
      <c r="E359" s="4"/>
      <c r="F359" s="4"/>
      <c r="G359" s="4"/>
      <c r="H359" s="4"/>
      <c r="I359" s="4"/>
      <c r="J359" s="4"/>
      <c r="K359" s="4"/>
      <c r="L359" s="4"/>
      <c r="M359" s="4"/>
      <c r="N359" s="4"/>
      <c r="O359" s="4"/>
      <c r="P359" s="4"/>
      <c r="Q359" s="4"/>
      <c r="R359" s="4"/>
      <c r="S359" s="4"/>
      <c r="T359" s="4"/>
      <c r="U359" s="4"/>
      <c r="V359" s="4"/>
      <c r="W359" s="4"/>
      <c r="X359" s="4"/>
      <c r="Y359" s="4"/>
      <c r="Z359" s="4"/>
    </row>
    <row r="360" spans="1:26" ht="12.75">
      <c r="A360" s="4"/>
      <c r="B360" s="4"/>
      <c r="C360" s="15"/>
      <c r="D360" s="4"/>
      <c r="E360" s="4"/>
      <c r="F360" s="4"/>
      <c r="G360" s="4"/>
      <c r="H360" s="4"/>
      <c r="I360" s="4"/>
      <c r="J360" s="4"/>
      <c r="K360" s="4"/>
      <c r="L360" s="4"/>
      <c r="M360" s="4"/>
      <c r="N360" s="4"/>
      <c r="O360" s="4"/>
      <c r="P360" s="4"/>
      <c r="Q360" s="4"/>
      <c r="R360" s="4"/>
      <c r="S360" s="4"/>
      <c r="T360" s="4"/>
      <c r="U360" s="4"/>
      <c r="V360" s="4"/>
      <c r="W360" s="4"/>
      <c r="X360" s="4"/>
      <c r="Y360" s="4"/>
      <c r="Z360" s="4"/>
    </row>
    <row r="361" spans="1:26" ht="12.75">
      <c r="A361" s="4"/>
      <c r="B361" s="4"/>
      <c r="C361" s="15"/>
      <c r="D361" s="4"/>
      <c r="E361" s="4"/>
      <c r="F361" s="4"/>
      <c r="G361" s="4"/>
      <c r="H361" s="4"/>
      <c r="I361" s="4"/>
      <c r="J361" s="4"/>
      <c r="K361" s="4"/>
      <c r="L361" s="4"/>
      <c r="M361" s="4"/>
      <c r="N361" s="4"/>
      <c r="O361" s="4"/>
      <c r="P361" s="4"/>
      <c r="Q361" s="4"/>
      <c r="R361" s="4"/>
      <c r="S361" s="4"/>
      <c r="T361" s="4"/>
      <c r="U361" s="4"/>
      <c r="V361" s="4"/>
      <c r="W361" s="4"/>
      <c r="X361" s="4"/>
      <c r="Y361" s="4"/>
      <c r="Z361" s="4"/>
    </row>
    <row r="362" spans="1:26" ht="12.75">
      <c r="A362" s="4"/>
      <c r="B362" s="4"/>
      <c r="C362" s="15"/>
      <c r="D362" s="4"/>
      <c r="E362" s="4"/>
      <c r="F362" s="4"/>
      <c r="G362" s="4"/>
      <c r="H362" s="4"/>
      <c r="I362" s="4"/>
      <c r="J362" s="4"/>
      <c r="K362" s="4"/>
      <c r="L362" s="4"/>
      <c r="M362" s="4"/>
      <c r="N362" s="4"/>
      <c r="O362" s="4"/>
      <c r="P362" s="4"/>
      <c r="Q362" s="4"/>
      <c r="R362" s="4"/>
      <c r="S362" s="4"/>
      <c r="T362" s="4"/>
      <c r="U362" s="4"/>
      <c r="V362" s="4"/>
      <c r="W362" s="4"/>
      <c r="X362" s="4"/>
      <c r="Y362" s="4"/>
      <c r="Z362" s="4"/>
    </row>
    <row r="363" spans="1:26" ht="12.75">
      <c r="A363" s="4"/>
      <c r="B363" s="4"/>
      <c r="C363" s="15"/>
      <c r="D363" s="4"/>
      <c r="E363" s="4"/>
      <c r="F363" s="4"/>
      <c r="G363" s="4"/>
      <c r="H363" s="4"/>
      <c r="I363" s="4"/>
      <c r="J363" s="4"/>
      <c r="K363" s="4"/>
      <c r="L363" s="4"/>
      <c r="M363" s="4"/>
      <c r="N363" s="4"/>
      <c r="O363" s="4"/>
      <c r="P363" s="4"/>
      <c r="Q363" s="4"/>
      <c r="R363" s="4"/>
      <c r="S363" s="4"/>
      <c r="T363" s="4"/>
      <c r="U363" s="4"/>
      <c r="V363" s="4"/>
      <c r="W363" s="4"/>
      <c r="X363" s="4"/>
      <c r="Y363" s="4"/>
      <c r="Z363" s="4"/>
    </row>
    <row r="364" spans="1:26" ht="12.75">
      <c r="A364" s="4"/>
      <c r="B364" s="4"/>
      <c r="C364" s="15"/>
      <c r="D364" s="4"/>
      <c r="E364" s="4"/>
      <c r="F364" s="4"/>
      <c r="G364" s="4"/>
      <c r="H364" s="4"/>
      <c r="I364" s="4"/>
      <c r="J364" s="4"/>
      <c r="K364" s="4"/>
      <c r="L364" s="4"/>
      <c r="M364" s="4"/>
      <c r="N364" s="4"/>
      <c r="O364" s="4"/>
      <c r="P364" s="4"/>
      <c r="Q364" s="4"/>
      <c r="R364" s="4"/>
      <c r="S364" s="4"/>
      <c r="T364" s="4"/>
      <c r="U364" s="4"/>
      <c r="V364" s="4"/>
      <c r="W364" s="4"/>
      <c r="X364" s="4"/>
      <c r="Y364" s="4"/>
      <c r="Z364" s="4"/>
    </row>
    <row r="365" spans="1:26" ht="12.75">
      <c r="A365" s="4"/>
      <c r="B365" s="4"/>
      <c r="C365" s="15"/>
      <c r="D365" s="4"/>
      <c r="E365" s="4"/>
      <c r="F365" s="4"/>
      <c r="G365" s="4"/>
      <c r="H365" s="4"/>
      <c r="I365" s="4"/>
      <c r="J365" s="4"/>
      <c r="K365" s="4"/>
      <c r="L365" s="4"/>
      <c r="M365" s="4"/>
      <c r="N365" s="4"/>
      <c r="O365" s="4"/>
      <c r="P365" s="4"/>
      <c r="Q365" s="4"/>
      <c r="R365" s="4"/>
      <c r="S365" s="4"/>
      <c r="T365" s="4"/>
      <c r="U365" s="4"/>
      <c r="V365" s="4"/>
      <c r="W365" s="4"/>
      <c r="X365" s="4"/>
      <c r="Y365" s="4"/>
      <c r="Z365" s="4"/>
    </row>
    <row r="366" spans="1:26" ht="12.75">
      <c r="A366" s="4"/>
      <c r="B366" s="4"/>
      <c r="C366" s="15"/>
      <c r="D366" s="4"/>
      <c r="E366" s="4"/>
      <c r="F366" s="4"/>
      <c r="G366" s="4"/>
      <c r="H366" s="4"/>
      <c r="I366" s="4"/>
      <c r="J366" s="4"/>
      <c r="K366" s="4"/>
      <c r="L366" s="4"/>
      <c r="M366" s="4"/>
      <c r="N366" s="4"/>
      <c r="O366" s="4"/>
      <c r="P366" s="4"/>
      <c r="Q366" s="4"/>
      <c r="R366" s="4"/>
      <c r="S366" s="4"/>
      <c r="T366" s="4"/>
      <c r="U366" s="4"/>
      <c r="V366" s="4"/>
      <c r="W366" s="4"/>
      <c r="X366" s="4"/>
      <c r="Y366" s="4"/>
      <c r="Z366" s="4"/>
    </row>
    <row r="367" spans="1:26" ht="12.75">
      <c r="A367" s="4"/>
      <c r="B367" s="4"/>
      <c r="C367" s="15"/>
      <c r="D367" s="4"/>
      <c r="E367" s="4"/>
      <c r="F367" s="4"/>
      <c r="G367" s="4"/>
      <c r="H367" s="4"/>
      <c r="I367" s="4"/>
      <c r="J367" s="4"/>
      <c r="K367" s="4"/>
      <c r="L367" s="4"/>
      <c r="M367" s="4"/>
      <c r="N367" s="4"/>
      <c r="O367" s="4"/>
      <c r="P367" s="4"/>
      <c r="Q367" s="4"/>
      <c r="R367" s="4"/>
      <c r="S367" s="4"/>
      <c r="T367" s="4"/>
      <c r="U367" s="4"/>
      <c r="V367" s="4"/>
      <c r="W367" s="4"/>
      <c r="X367" s="4"/>
      <c r="Y367" s="4"/>
      <c r="Z367" s="4"/>
    </row>
    <row r="368" spans="1:26" ht="12.75">
      <c r="A368" s="4"/>
      <c r="B368" s="4"/>
      <c r="C368" s="15"/>
      <c r="D368" s="4"/>
      <c r="E368" s="4"/>
      <c r="F368" s="4"/>
      <c r="G368" s="4"/>
      <c r="H368" s="4"/>
      <c r="I368" s="4"/>
      <c r="J368" s="4"/>
      <c r="K368" s="4"/>
      <c r="L368" s="4"/>
      <c r="M368" s="4"/>
      <c r="N368" s="4"/>
      <c r="O368" s="4"/>
      <c r="P368" s="4"/>
      <c r="Q368" s="4"/>
      <c r="R368" s="4"/>
      <c r="S368" s="4"/>
      <c r="T368" s="4"/>
      <c r="U368" s="4"/>
      <c r="V368" s="4"/>
      <c r="W368" s="4"/>
      <c r="X368" s="4"/>
      <c r="Y368" s="4"/>
      <c r="Z368" s="4"/>
    </row>
    <row r="369" spans="1:26" ht="12.75">
      <c r="A369" s="4"/>
      <c r="B369" s="4"/>
      <c r="C369" s="15"/>
      <c r="D369" s="4"/>
      <c r="E369" s="4"/>
      <c r="F369" s="4"/>
      <c r="G369" s="4"/>
      <c r="H369" s="4"/>
      <c r="I369" s="4"/>
      <c r="J369" s="4"/>
      <c r="K369" s="4"/>
      <c r="L369" s="4"/>
      <c r="M369" s="4"/>
      <c r="N369" s="4"/>
      <c r="O369" s="4"/>
      <c r="P369" s="4"/>
      <c r="Q369" s="4"/>
      <c r="R369" s="4"/>
      <c r="S369" s="4"/>
      <c r="T369" s="4"/>
      <c r="U369" s="4"/>
      <c r="V369" s="4"/>
      <c r="W369" s="4"/>
      <c r="X369" s="4"/>
      <c r="Y369" s="4"/>
      <c r="Z369" s="4"/>
    </row>
    <row r="370" spans="1:26" ht="12.75">
      <c r="A370" s="4"/>
      <c r="B370" s="4"/>
      <c r="C370" s="15"/>
      <c r="D370" s="4"/>
      <c r="E370" s="4"/>
      <c r="F370" s="4"/>
      <c r="G370" s="4"/>
      <c r="H370" s="4"/>
      <c r="I370" s="4"/>
      <c r="J370" s="4"/>
      <c r="K370" s="4"/>
      <c r="L370" s="4"/>
      <c r="M370" s="4"/>
      <c r="N370" s="4"/>
      <c r="O370" s="4"/>
      <c r="P370" s="4"/>
      <c r="Q370" s="4"/>
      <c r="R370" s="4"/>
      <c r="S370" s="4"/>
      <c r="T370" s="4"/>
      <c r="U370" s="4"/>
      <c r="V370" s="4"/>
      <c r="W370" s="4"/>
      <c r="X370" s="4"/>
      <c r="Y370" s="4"/>
      <c r="Z370" s="4"/>
    </row>
    <row r="371" spans="1:26" ht="12.75">
      <c r="A371" s="4"/>
      <c r="B371" s="4"/>
      <c r="C371" s="15"/>
      <c r="D371" s="4"/>
      <c r="E371" s="4"/>
      <c r="F371" s="4"/>
      <c r="G371" s="4"/>
      <c r="H371" s="4"/>
      <c r="I371" s="4"/>
      <c r="J371" s="4"/>
      <c r="K371" s="4"/>
      <c r="L371" s="4"/>
      <c r="M371" s="4"/>
      <c r="N371" s="4"/>
      <c r="O371" s="4"/>
      <c r="P371" s="4"/>
      <c r="Q371" s="4"/>
      <c r="R371" s="4"/>
      <c r="S371" s="4"/>
      <c r="T371" s="4"/>
      <c r="U371" s="4"/>
      <c r="V371" s="4"/>
      <c r="W371" s="4"/>
      <c r="X371" s="4"/>
      <c r="Y371" s="4"/>
      <c r="Z371" s="4"/>
    </row>
    <row r="372" spans="1:26" ht="12.75">
      <c r="A372" s="4"/>
      <c r="B372" s="4"/>
      <c r="C372" s="15"/>
      <c r="D372" s="4"/>
      <c r="E372" s="4"/>
      <c r="F372" s="4"/>
      <c r="G372" s="4"/>
      <c r="H372" s="4"/>
      <c r="I372" s="4"/>
      <c r="J372" s="4"/>
      <c r="K372" s="4"/>
      <c r="L372" s="4"/>
      <c r="M372" s="4"/>
      <c r="N372" s="4"/>
      <c r="O372" s="4"/>
      <c r="P372" s="4"/>
      <c r="Q372" s="4"/>
      <c r="R372" s="4"/>
      <c r="S372" s="4"/>
      <c r="T372" s="4"/>
      <c r="U372" s="4"/>
      <c r="V372" s="4"/>
      <c r="W372" s="4"/>
      <c r="X372" s="4"/>
      <c r="Y372" s="4"/>
      <c r="Z372" s="4"/>
    </row>
    <row r="373" spans="1:26" ht="12.75">
      <c r="A373" s="4"/>
      <c r="B373" s="4"/>
      <c r="C373" s="15"/>
      <c r="D373" s="4"/>
      <c r="E373" s="4"/>
      <c r="F373" s="4"/>
      <c r="G373" s="4"/>
      <c r="H373" s="4"/>
      <c r="I373" s="4"/>
      <c r="J373" s="4"/>
      <c r="K373" s="4"/>
      <c r="L373" s="4"/>
      <c r="M373" s="4"/>
      <c r="N373" s="4"/>
      <c r="O373" s="4"/>
      <c r="P373" s="4"/>
      <c r="Q373" s="4"/>
      <c r="R373" s="4"/>
      <c r="S373" s="4"/>
      <c r="T373" s="4"/>
      <c r="U373" s="4"/>
      <c r="V373" s="4"/>
      <c r="W373" s="4"/>
      <c r="X373" s="4"/>
      <c r="Y373" s="4"/>
      <c r="Z373" s="4"/>
    </row>
    <row r="374" spans="1:26" ht="12.75">
      <c r="A374" s="4"/>
      <c r="B374" s="4"/>
      <c r="C374" s="15"/>
      <c r="D374" s="4"/>
      <c r="E374" s="4"/>
      <c r="F374" s="4"/>
      <c r="G374" s="4"/>
      <c r="H374" s="4"/>
      <c r="I374" s="4"/>
      <c r="J374" s="4"/>
      <c r="K374" s="4"/>
      <c r="L374" s="4"/>
      <c r="M374" s="4"/>
      <c r="N374" s="4"/>
      <c r="O374" s="4"/>
      <c r="P374" s="4"/>
      <c r="Q374" s="4"/>
      <c r="R374" s="4"/>
      <c r="S374" s="4"/>
      <c r="T374" s="4"/>
      <c r="U374" s="4"/>
      <c r="V374" s="4"/>
      <c r="W374" s="4"/>
      <c r="X374" s="4"/>
      <c r="Y374" s="4"/>
      <c r="Z374" s="4"/>
    </row>
    <row r="375" spans="1:26" ht="12.75">
      <c r="A375" s="4"/>
      <c r="B375" s="4"/>
      <c r="C375" s="15"/>
      <c r="D375" s="4"/>
      <c r="E375" s="4"/>
      <c r="F375" s="4"/>
      <c r="G375" s="4"/>
      <c r="H375" s="4"/>
      <c r="I375" s="4"/>
      <c r="J375" s="4"/>
      <c r="K375" s="4"/>
      <c r="L375" s="4"/>
      <c r="M375" s="4"/>
      <c r="N375" s="4"/>
      <c r="O375" s="4"/>
      <c r="P375" s="4"/>
      <c r="Q375" s="4"/>
      <c r="R375" s="4"/>
      <c r="S375" s="4"/>
      <c r="T375" s="4"/>
      <c r="U375" s="4"/>
      <c r="V375" s="4"/>
      <c r="W375" s="4"/>
      <c r="X375" s="4"/>
      <c r="Y375" s="4"/>
      <c r="Z375" s="4"/>
    </row>
    <row r="376" spans="1:26" ht="12.75">
      <c r="A376" s="4"/>
      <c r="B376" s="4"/>
      <c r="C376" s="15"/>
      <c r="D376" s="4"/>
      <c r="E376" s="4"/>
      <c r="F376" s="4"/>
      <c r="G376" s="4"/>
      <c r="H376" s="4"/>
      <c r="I376" s="4"/>
      <c r="J376" s="4"/>
      <c r="K376" s="4"/>
      <c r="L376" s="4"/>
      <c r="M376" s="4"/>
      <c r="N376" s="4"/>
      <c r="O376" s="4"/>
      <c r="P376" s="4"/>
      <c r="Q376" s="4"/>
      <c r="R376" s="4"/>
      <c r="S376" s="4"/>
      <c r="T376" s="4"/>
      <c r="U376" s="4"/>
      <c r="V376" s="4"/>
      <c r="W376" s="4"/>
      <c r="X376" s="4"/>
      <c r="Y376" s="4"/>
      <c r="Z376" s="4"/>
    </row>
    <row r="377" spans="1:26" ht="12.75">
      <c r="A377" s="4"/>
      <c r="B377" s="4"/>
      <c r="C377" s="15"/>
      <c r="D377" s="4"/>
      <c r="E377" s="4"/>
      <c r="F377" s="4"/>
      <c r="G377" s="4"/>
      <c r="H377" s="4"/>
      <c r="I377" s="4"/>
      <c r="J377" s="4"/>
      <c r="K377" s="4"/>
      <c r="L377" s="4"/>
      <c r="M377" s="4"/>
      <c r="N377" s="4"/>
      <c r="O377" s="4"/>
      <c r="P377" s="4"/>
      <c r="Q377" s="4"/>
      <c r="R377" s="4"/>
      <c r="S377" s="4"/>
      <c r="T377" s="4"/>
      <c r="U377" s="4"/>
      <c r="V377" s="4"/>
      <c r="W377" s="4"/>
      <c r="X377" s="4"/>
      <c r="Y377" s="4"/>
      <c r="Z377" s="4"/>
    </row>
    <row r="378" spans="1:26" ht="12.75">
      <c r="A378" s="4"/>
      <c r="B378" s="4"/>
      <c r="C378" s="15"/>
      <c r="D378" s="4"/>
      <c r="E378" s="4"/>
      <c r="F378" s="4"/>
      <c r="G378" s="4"/>
      <c r="H378" s="4"/>
      <c r="I378" s="4"/>
      <c r="J378" s="4"/>
      <c r="K378" s="4"/>
      <c r="L378" s="4"/>
      <c r="M378" s="4"/>
      <c r="N378" s="4"/>
      <c r="O378" s="4"/>
      <c r="P378" s="4"/>
      <c r="Q378" s="4"/>
      <c r="R378" s="4"/>
      <c r="S378" s="4"/>
      <c r="T378" s="4"/>
      <c r="U378" s="4"/>
      <c r="V378" s="4"/>
      <c r="W378" s="4"/>
      <c r="X378" s="4"/>
      <c r="Y378" s="4"/>
      <c r="Z378" s="4"/>
    </row>
    <row r="379" spans="1:26" ht="12.75">
      <c r="A379" s="4"/>
      <c r="B379" s="4"/>
      <c r="C379" s="15"/>
      <c r="D379" s="4"/>
      <c r="E379" s="4"/>
      <c r="F379" s="4"/>
      <c r="G379" s="4"/>
      <c r="H379" s="4"/>
      <c r="I379" s="4"/>
      <c r="J379" s="4"/>
      <c r="K379" s="4"/>
      <c r="L379" s="4"/>
      <c r="M379" s="4"/>
      <c r="N379" s="4"/>
      <c r="O379" s="4"/>
      <c r="P379" s="4"/>
      <c r="Q379" s="4"/>
      <c r="R379" s="4"/>
      <c r="S379" s="4"/>
      <c r="T379" s="4"/>
      <c r="U379" s="4"/>
      <c r="V379" s="4"/>
      <c r="W379" s="4"/>
      <c r="X379" s="4"/>
      <c r="Y379" s="4"/>
      <c r="Z379" s="4"/>
    </row>
    <row r="380" spans="1:26" ht="12.75">
      <c r="A380" s="4"/>
      <c r="B380" s="4"/>
      <c r="C380" s="15"/>
      <c r="D380" s="4"/>
      <c r="E380" s="4"/>
      <c r="F380" s="4"/>
      <c r="G380" s="4"/>
      <c r="H380" s="4"/>
      <c r="I380" s="4"/>
      <c r="J380" s="4"/>
      <c r="K380" s="4"/>
      <c r="L380" s="4"/>
      <c r="M380" s="4"/>
      <c r="N380" s="4"/>
      <c r="O380" s="4"/>
      <c r="P380" s="4"/>
      <c r="Q380" s="4"/>
      <c r="R380" s="4"/>
      <c r="S380" s="4"/>
      <c r="T380" s="4"/>
      <c r="U380" s="4"/>
      <c r="V380" s="4"/>
      <c r="W380" s="4"/>
      <c r="X380" s="4"/>
      <c r="Y380" s="4"/>
      <c r="Z380" s="4"/>
    </row>
    <row r="381" spans="1:26" ht="12.75">
      <c r="A381" s="4"/>
      <c r="B381" s="4"/>
      <c r="C381" s="15"/>
      <c r="D381" s="4"/>
      <c r="E381" s="4"/>
      <c r="F381" s="4"/>
      <c r="G381" s="4"/>
      <c r="H381" s="4"/>
      <c r="I381" s="4"/>
      <c r="J381" s="4"/>
      <c r="K381" s="4"/>
      <c r="L381" s="4"/>
      <c r="M381" s="4"/>
      <c r="N381" s="4"/>
      <c r="O381" s="4"/>
      <c r="P381" s="4"/>
      <c r="Q381" s="4"/>
      <c r="R381" s="4"/>
      <c r="S381" s="4"/>
      <c r="T381" s="4"/>
      <c r="U381" s="4"/>
      <c r="V381" s="4"/>
      <c r="W381" s="4"/>
      <c r="X381" s="4"/>
      <c r="Y381" s="4"/>
      <c r="Z381" s="4"/>
    </row>
    <row r="382" spans="1:26" ht="12.75">
      <c r="A382" s="4"/>
      <c r="B382" s="4"/>
      <c r="C382" s="15"/>
      <c r="D382" s="4"/>
      <c r="E382" s="4"/>
      <c r="F382" s="4"/>
      <c r="G382" s="4"/>
      <c r="H382" s="4"/>
      <c r="I382" s="4"/>
      <c r="J382" s="4"/>
      <c r="K382" s="4"/>
      <c r="L382" s="4"/>
      <c r="M382" s="4"/>
      <c r="N382" s="4"/>
      <c r="O382" s="4"/>
      <c r="P382" s="4"/>
      <c r="Q382" s="4"/>
      <c r="R382" s="4"/>
      <c r="S382" s="4"/>
      <c r="T382" s="4"/>
      <c r="U382" s="4"/>
      <c r="V382" s="4"/>
      <c r="W382" s="4"/>
      <c r="X382" s="4"/>
      <c r="Y382" s="4"/>
      <c r="Z382" s="4"/>
    </row>
    <row r="383" spans="1:26" ht="12.75">
      <c r="A383" s="4"/>
      <c r="B383" s="4"/>
      <c r="C383" s="15"/>
      <c r="D383" s="4"/>
      <c r="E383" s="4"/>
      <c r="F383" s="4"/>
      <c r="G383" s="4"/>
      <c r="H383" s="4"/>
      <c r="I383" s="4"/>
      <c r="J383" s="4"/>
      <c r="K383" s="4"/>
      <c r="L383" s="4"/>
      <c r="M383" s="4"/>
      <c r="N383" s="4"/>
      <c r="O383" s="4"/>
      <c r="P383" s="4"/>
      <c r="Q383" s="4"/>
      <c r="R383" s="4"/>
      <c r="S383" s="4"/>
      <c r="T383" s="4"/>
      <c r="U383" s="4"/>
      <c r="V383" s="4"/>
      <c r="W383" s="4"/>
      <c r="X383" s="4"/>
      <c r="Y383" s="4"/>
      <c r="Z383" s="4"/>
    </row>
    <row r="384" spans="1:26" ht="12.75">
      <c r="A384" s="4"/>
      <c r="B384" s="4"/>
      <c r="C384" s="15"/>
      <c r="D384" s="4"/>
      <c r="E384" s="4"/>
      <c r="F384" s="4"/>
      <c r="G384" s="4"/>
      <c r="H384" s="4"/>
      <c r="I384" s="4"/>
      <c r="J384" s="4"/>
      <c r="K384" s="4"/>
      <c r="L384" s="4"/>
      <c r="M384" s="4"/>
      <c r="N384" s="4"/>
      <c r="O384" s="4"/>
      <c r="P384" s="4"/>
      <c r="Q384" s="4"/>
      <c r="R384" s="4"/>
      <c r="S384" s="4"/>
      <c r="T384" s="4"/>
      <c r="U384" s="4"/>
      <c r="V384" s="4"/>
      <c r="W384" s="4"/>
      <c r="X384" s="4"/>
      <c r="Y384" s="4"/>
      <c r="Z384" s="4"/>
    </row>
    <row r="385" spans="1:26" ht="12.75">
      <c r="A385" s="4"/>
      <c r="B385" s="4"/>
      <c r="C385" s="15"/>
      <c r="D385" s="4"/>
      <c r="E385" s="4"/>
      <c r="F385" s="4"/>
      <c r="G385" s="4"/>
      <c r="H385" s="4"/>
      <c r="I385" s="4"/>
      <c r="J385" s="4"/>
      <c r="K385" s="4"/>
      <c r="L385" s="4"/>
      <c r="M385" s="4"/>
      <c r="N385" s="4"/>
      <c r="O385" s="4"/>
      <c r="P385" s="4"/>
      <c r="Q385" s="4"/>
      <c r="R385" s="4"/>
      <c r="S385" s="4"/>
      <c r="T385" s="4"/>
      <c r="U385" s="4"/>
      <c r="V385" s="4"/>
      <c r="W385" s="4"/>
      <c r="X385" s="4"/>
      <c r="Y385" s="4"/>
      <c r="Z385" s="4"/>
    </row>
    <row r="386" spans="1:26" ht="12.75">
      <c r="A386" s="4"/>
      <c r="B386" s="4"/>
      <c r="C386" s="15"/>
      <c r="D386" s="4"/>
      <c r="E386" s="4"/>
      <c r="F386" s="4"/>
      <c r="G386" s="4"/>
      <c r="H386" s="4"/>
      <c r="I386" s="4"/>
      <c r="J386" s="4"/>
      <c r="K386" s="4"/>
      <c r="L386" s="4"/>
      <c r="M386" s="4"/>
      <c r="N386" s="4"/>
      <c r="O386" s="4"/>
      <c r="P386" s="4"/>
      <c r="Q386" s="4"/>
      <c r="R386" s="4"/>
      <c r="S386" s="4"/>
      <c r="T386" s="4"/>
      <c r="U386" s="4"/>
      <c r="V386" s="4"/>
      <c r="W386" s="4"/>
      <c r="X386" s="4"/>
      <c r="Y386" s="4"/>
      <c r="Z386" s="4"/>
    </row>
    <row r="387" spans="1:26" ht="12.75">
      <c r="A387" s="4"/>
      <c r="B387" s="4"/>
      <c r="C387" s="15"/>
      <c r="D387" s="4"/>
      <c r="E387" s="4"/>
      <c r="F387" s="4"/>
      <c r="G387" s="4"/>
      <c r="H387" s="4"/>
      <c r="I387" s="4"/>
      <c r="J387" s="4"/>
      <c r="K387" s="4"/>
      <c r="L387" s="4"/>
      <c r="M387" s="4"/>
      <c r="N387" s="4"/>
      <c r="O387" s="4"/>
      <c r="P387" s="4"/>
      <c r="Q387" s="4"/>
      <c r="R387" s="4"/>
      <c r="S387" s="4"/>
      <c r="T387" s="4"/>
      <c r="U387" s="4"/>
      <c r="V387" s="4"/>
      <c r="W387" s="4"/>
      <c r="X387" s="4"/>
      <c r="Y387" s="4"/>
      <c r="Z387" s="4"/>
    </row>
    <row r="388" spans="1:26" ht="12.75">
      <c r="A388" s="4"/>
      <c r="B388" s="4"/>
      <c r="C388" s="15"/>
      <c r="D388" s="4"/>
      <c r="E388" s="4"/>
      <c r="F388" s="4"/>
      <c r="G388" s="4"/>
      <c r="H388" s="4"/>
      <c r="I388" s="4"/>
      <c r="J388" s="4"/>
      <c r="K388" s="4"/>
      <c r="L388" s="4"/>
      <c r="M388" s="4"/>
      <c r="N388" s="4"/>
      <c r="O388" s="4"/>
      <c r="P388" s="4"/>
      <c r="Q388" s="4"/>
      <c r="R388" s="4"/>
      <c r="S388" s="4"/>
      <c r="T388" s="4"/>
      <c r="U388" s="4"/>
      <c r="V388" s="4"/>
      <c r="W388" s="4"/>
      <c r="X388" s="4"/>
      <c r="Y388" s="4"/>
      <c r="Z388" s="4"/>
    </row>
    <row r="389" spans="1:26" ht="12.75">
      <c r="A389" s="4"/>
      <c r="B389" s="4"/>
      <c r="C389" s="15"/>
      <c r="D389" s="4"/>
      <c r="E389" s="4"/>
      <c r="F389" s="4"/>
      <c r="G389" s="4"/>
      <c r="H389" s="4"/>
      <c r="I389" s="4"/>
      <c r="J389" s="4"/>
      <c r="K389" s="4"/>
      <c r="L389" s="4"/>
      <c r="M389" s="4"/>
      <c r="N389" s="4"/>
      <c r="O389" s="4"/>
      <c r="P389" s="4"/>
      <c r="Q389" s="4"/>
      <c r="R389" s="4"/>
      <c r="S389" s="4"/>
      <c r="T389" s="4"/>
      <c r="U389" s="4"/>
      <c r="V389" s="4"/>
      <c r="W389" s="4"/>
      <c r="X389" s="4"/>
      <c r="Y389" s="4"/>
      <c r="Z389" s="4"/>
    </row>
    <row r="390" spans="1:26" ht="12.75">
      <c r="A390" s="4"/>
      <c r="B390" s="4"/>
      <c r="C390" s="15"/>
      <c r="D390" s="4"/>
      <c r="E390" s="4"/>
      <c r="F390" s="4"/>
      <c r="G390" s="4"/>
      <c r="H390" s="4"/>
      <c r="I390" s="4"/>
      <c r="J390" s="4"/>
      <c r="K390" s="4"/>
      <c r="L390" s="4"/>
      <c r="M390" s="4"/>
      <c r="N390" s="4"/>
      <c r="O390" s="4"/>
      <c r="P390" s="4"/>
      <c r="Q390" s="4"/>
      <c r="R390" s="4"/>
      <c r="S390" s="4"/>
      <c r="T390" s="4"/>
      <c r="U390" s="4"/>
      <c r="V390" s="4"/>
      <c r="W390" s="4"/>
      <c r="X390" s="4"/>
      <c r="Y390" s="4"/>
      <c r="Z390" s="4"/>
    </row>
    <row r="391" spans="1:26" ht="12.75">
      <c r="A391" s="4"/>
      <c r="B391" s="4"/>
      <c r="C391" s="15"/>
      <c r="D391" s="4"/>
      <c r="E391" s="4"/>
      <c r="F391" s="4"/>
      <c r="G391" s="4"/>
      <c r="H391" s="4"/>
      <c r="I391" s="4"/>
      <c r="J391" s="4"/>
      <c r="K391" s="4"/>
      <c r="L391" s="4"/>
      <c r="M391" s="4"/>
      <c r="N391" s="4"/>
      <c r="O391" s="4"/>
      <c r="P391" s="4"/>
      <c r="Q391" s="4"/>
      <c r="R391" s="4"/>
      <c r="S391" s="4"/>
      <c r="T391" s="4"/>
      <c r="U391" s="4"/>
      <c r="V391" s="4"/>
      <c r="W391" s="4"/>
      <c r="X391" s="4"/>
      <c r="Y391" s="4"/>
      <c r="Z391" s="4"/>
    </row>
    <row r="392" spans="1:26" ht="12.75">
      <c r="A392" s="4"/>
      <c r="B392" s="4"/>
      <c r="C392" s="15"/>
      <c r="D392" s="4"/>
      <c r="E392" s="4"/>
      <c r="F392" s="4"/>
      <c r="G392" s="4"/>
      <c r="H392" s="4"/>
      <c r="I392" s="4"/>
      <c r="J392" s="4"/>
      <c r="K392" s="4"/>
      <c r="L392" s="4"/>
      <c r="M392" s="4"/>
      <c r="N392" s="4"/>
      <c r="O392" s="4"/>
      <c r="P392" s="4"/>
      <c r="Q392" s="4"/>
      <c r="R392" s="4"/>
      <c r="S392" s="4"/>
      <c r="T392" s="4"/>
      <c r="U392" s="4"/>
      <c r="V392" s="4"/>
      <c r="W392" s="4"/>
      <c r="X392" s="4"/>
      <c r="Y392" s="4"/>
      <c r="Z392" s="4"/>
    </row>
    <row r="393" spans="1:26" ht="12.75">
      <c r="A393" s="4"/>
      <c r="B393" s="4"/>
      <c r="C393" s="15"/>
      <c r="D393" s="4"/>
      <c r="E393" s="4"/>
      <c r="F393" s="4"/>
      <c r="G393" s="4"/>
      <c r="H393" s="4"/>
      <c r="I393" s="4"/>
      <c r="J393" s="4"/>
      <c r="K393" s="4"/>
      <c r="L393" s="4"/>
      <c r="M393" s="4"/>
      <c r="N393" s="4"/>
      <c r="O393" s="4"/>
      <c r="P393" s="4"/>
      <c r="Q393" s="4"/>
      <c r="R393" s="4"/>
      <c r="S393" s="4"/>
      <c r="T393" s="4"/>
      <c r="U393" s="4"/>
      <c r="V393" s="4"/>
      <c r="W393" s="4"/>
      <c r="X393" s="4"/>
      <c r="Y393" s="4"/>
      <c r="Z393" s="4"/>
    </row>
    <row r="394" spans="1:26" ht="12.75">
      <c r="A394" s="4"/>
      <c r="B394" s="4"/>
      <c r="C394" s="15"/>
      <c r="D394" s="4"/>
      <c r="E394" s="4"/>
      <c r="F394" s="4"/>
      <c r="G394" s="4"/>
      <c r="H394" s="4"/>
      <c r="I394" s="4"/>
      <c r="J394" s="4"/>
      <c r="K394" s="4"/>
      <c r="L394" s="4"/>
      <c r="M394" s="4"/>
      <c r="N394" s="4"/>
      <c r="O394" s="4"/>
      <c r="P394" s="4"/>
      <c r="Q394" s="4"/>
      <c r="R394" s="4"/>
      <c r="S394" s="4"/>
      <c r="T394" s="4"/>
      <c r="U394" s="4"/>
      <c r="V394" s="4"/>
      <c r="W394" s="4"/>
      <c r="X394" s="4"/>
      <c r="Y394" s="4"/>
      <c r="Z394" s="4"/>
    </row>
    <row r="395" spans="1:26" ht="12.75">
      <c r="A395" s="4"/>
      <c r="B395" s="4"/>
      <c r="C395" s="15"/>
      <c r="D395" s="4"/>
      <c r="E395" s="4"/>
      <c r="F395" s="4"/>
      <c r="G395" s="4"/>
      <c r="H395" s="4"/>
      <c r="I395" s="4"/>
      <c r="J395" s="4"/>
      <c r="K395" s="4"/>
      <c r="L395" s="4"/>
      <c r="M395" s="4"/>
      <c r="N395" s="4"/>
      <c r="O395" s="4"/>
      <c r="P395" s="4"/>
      <c r="Q395" s="4"/>
      <c r="R395" s="4"/>
      <c r="S395" s="4"/>
      <c r="T395" s="4"/>
      <c r="U395" s="4"/>
      <c r="V395" s="4"/>
      <c r="W395" s="4"/>
      <c r="X395" s="4"/>
      <c r="Y395" s="4"/>
      <c r="Z395" s="4"/>
    </row>
    <row r="396" spans="1:26" ht="12.75">
      <c r="A396" s="4"/>
      <c r="B396" s="4"/>
      <c r="C396" s="15"/>
      <c r="D396" s="4"/>
      <c r="E396" s="4"/>
      <c r="F396" s="4"/>
      <c r="G396" s="4"/>
      <c r="H396" s="4"/>
      <c r="I396" s="4"/>
      <c r="J396" s="4"/>
      <c r="K396" s="4"/>
      <c r="L396" s="4"/>
      <c r="M396" s="4"/>
      <c r="N396" s="4"/>
      <c r="O396" s="4"/>
      <c r="P396" s="4"/>
      <c r="Q396" s="4"/>
      <c r="R396" s="4"/>
      <c r="S396" s="4"/>
      <c r="T396" s="4"/>
      <c r="U396" s="4"/>
      <c r="V396" s="4"/>
      <c r="W396" s="4"/>
      <c r="X396" s="4"/>
      <c r="Y396" s="4"/>
      <c r="Z396" s="4"/>
    </row>
    <row r="397" spans="1:26" ht="12.75">
      <c r="A397" s="4"/>
      <c r="B397" s="4"/>
      <c r="C397" s="15"/>
      <c r="D397" s="4"/>
      <c r="E397" s="4"/>
      <c r="F397" s="4"/>
      <c r="G397" s="4"/>
      <c r="H397" s="4"/>
      <c r="I397" s="4"/>
      <c r="J397" s="4"/>
      <c r="K397" s="4"/>
      <c r="L397" s="4"/>
      <c r="M397" s="4"/>
      <c r="N397" s="4"/>
      <c r="O397" s="4"/>
      <c r="P397" s="4"/>
      <c r="Q397" s="4"/>
      <c r="R397" s="4"/>
      <c r="S397" s="4"/>
      <c r="T397" s="4"/>
      <c r="U397" s="4"/>
      <c r="V397" s="4"/>
      <c r="W397" s="4"/>
      <c r="X397" s="4"/>
      <c r="Y397" s="4"/>
      <c r="Z397" s="4"/>
    </row>
    <row r="398" spans="1:26" ht="12.75">
      <c r="A398" s="4"/>
      <c r="B398" s="4"/>
      <c r="C398" s="15"/>
      <c r="D398" s="4"/>
      <c r="E398" s="4"/>
      <c r="F398" s="4"/>
      <c r="G398" s="4"/>
      <c r="H398" s="4"/>
      <c r="I398" s="4"/>
      <c r="J398" s="4"/>
      <c r="K398" s="4"/>
      <c r="L398" s="4"/>
      <c r="M398" s="4"/>
      <c r="N398" s="4"/>
      <c r="O398" s="4"/>
      <c r="P398" s="4"/>
      <c r="Q398" s="4"/>
      <c r="R398" s="4"/>
      <c r="S398" s="4"/>
      <c r="T398" s="4"/>
      <c r="U398" s="4"/>
      <c r="V398" s="4"/>
      <c r="W398" s="4"/>
      <c r="X398" s="4"/>
      <c r="Y398" s="4"/>
      <c r="Z398" s="4"/>
    </row>
    <row r="399" spans="1:26" ht="12.75">
      <c r="A399" s="4"/>
      <c r="B399" s="4"/>
      <c r="C399" s="15"/>
      <c r="D399" s="4"/>
      <c r="E399" s="4"/>
      <c r="F399" s="4"/>
      <c r="G399" s="4"/>
      <c r="H399" s="4"/>
      <c r="I399" s="4"/>
      <c r="J399" s="4"/>
      <c r="K399" s="4"/>
      <c r="L399" s="4"/>
      <c r="M399" s="4"/>
      <c r="N399" s="4"/>
      <c r="O399" s="4"/>
      <c r="P399" s="4"/>
      <c r="Q399" s="4"/>
      <c r="R399" s="4"/>
      <c r="S399" s="4"/>
      <c r="T399" s="4"/>
      <c r="U399" s="4"/>
      <c r="V399" s="4"/>
      <c r="W399" s="4"/>
      <c r="X399" s="4"/>
      <c r="Y399" s="4"/>
      <c r="Z399" s="4"/>
    </row>
    <row r="400" spans="1:26" ht="12.75">
      <c r="A400" s="4"/>
      <c r="B400" s="4"/>
      <c r="C400" s="15"/>
      <c r="D400" s="4"/>
      <c r="E400" s="4"/>
      <c r="F400" s="4"/>
      <c r="G400" s="4"/>
      <c r="H400" s="4"/>
      <c r="I400" s="4"/>
      <c r="J400" s="4"/>
      <c r="K400" s="4"/>
      <c r="L400" s="4"/>
      <c r="M400" s="4"/>
      <c r="N400" s="4"/>
      <c r="O400" s="4"/>
      <c r="P400" s="4"/>
      <c r="Q400" s="4"/>
      <c r="R400" s="4"/>
      <c r="S400" s="4"/>
      <c r="T400" s="4"/>
      <c r="U400" s="4"/>
      <c r="V400" s="4"/>
      <c r="W400" s="4"/>
      <c r="X400" s="4"/>
      <c r="Y400" s="4"/>
      <c r="Z400" s="4"/>
    </row>
    <row r="401" spans="1:26" ht="12.75">
      <c r="A401" s="4"/>
      <c r="B401" s="4"/>
      <c r="C401" s="15"/>
      <c r="D401" s="4"/>
      <c r="E401" s="4"/>
      <c r="F401" s="4"/>
      <c r="G401" s="4"/>
      <c r="H401" s="4"/>
      <c r="I401" s="4"/>
      <c r="J401" s="4"/>
      <c r="K401" s="4"/>
      <c r="L401" s="4"/>
      <c r="M401" s="4"/>
      <c r="N401" s="4"/>
      <c r="O401" s="4"/>
      <c r="P401" s="4"/>
      <c r="Q401" s="4"/>
      <c r="R401" s="4"/>
      <c r="S401" s="4"/>
      <c r="T401" s="4"/>
      <c r="U401" s="4"/>
      <c r="V401" s="4"/>
      <c r="W401" s="4"/>
      <c r="X401" s="4"/>
      <c r="Y401" s="4"/>
      <c r="Z401" s="4"/>
    </row>
    <row r="402" spans="1:26" ht="12.75">
      <c r="A402" s="4"/>
      <c r="B402" s="4"/>
      <c r="C402" s="15"/>
      <c r="D402" s="4"/>
      <c r="E402" s="4"/>
      <c r="F402" s="4"/>
      <c r="G402" s="4"/>
      <c r="H402" s="4"/>
      <c r="I402" s="4"/>
      <c r="J402" s="4"/>
      <c r="K402" s="4"/>
      <c r="L402" s="4"/>
      <c r="M402" s="4"/>
      <c r="N402" s="4"/>
      <c r="O402" s="4"/>
      <c r="P402" s="4"/>
      <c r="Q402" s="4"/>
      <c r="R402" s="4"/>
      <c r="S402" s="4"/>
      <c r="T402" s="4"/>
      <c r="U402" s="4"/>
      <c r="V402" s="4"/>
      <c r="W402" s="4"/>
      <c r="X402" s="4"/>
      <c r="Y402" s="4"/>
      <c r="Z402" s="4"/>
    </row>
    <row r="403" spans="1:26" ht="12.75">
      <c r="A403" s="4"/>
      <c r="B403" s="4"/>
      <c r="C403" s="15"/>
      <c r="D403" s="4"/>
      <c r="E403" s="4"/>
      <c r="F403" s="4"/>
      <c r="G403" s="4"/>
      <c r="H403" s="4"/>
      <c r="I403" s="4"/>
      <c r="J403" s="4"/>
      <c r="K403" s="4"/>
      <c r="L403" s="4"/>
      <c r="M403" s="4"/>
      <c r="N403" s="4"/>
      <c r="O403" s="4"/>
      <c r="P403" s="4"/>
      <c r="Q403" s="4"/>
      <c r="R403" s="4"/>
      <c r="S403" s="4"/>
      <c r="T403" s="4"/>
      <c r="U403" s="4"/>
      <c r="V403" s="4"/>
      <c r="W403" s="4"/>
      <c r="X403" s="4"/>
      <c r="Y403" s="4"/>
      <c r="Z403" s="4"/>
    </row>
    <row r="404" spans="1:26" ht="12.75">
      <c r="A404" s="4"/>
      <c r="B404" s="4"/>
      <c r="C404" s="15"/>
      <c r="D404" s="4"/>
      <c r="E404" s="4"/>
      <c r="F404" s="4"/>
      <c r="G404" s="4"/>
      <c r="H404" s="4"/>
      <c r="I404" s="4"/>
      <c r="J404" s="4"/>
      <c r="K404" s="4"/>
      <c r="L404" s="4"/>
      <c r="M404" s="4"/>
      <c r="N404" s="4"/>
      <c r="O404" s="4"/>
      <c r="P404" s="4"/>
      <c r="Q404" s="4"/>
      <c r="R404" s="4"/>
      <c r="S404" s="4"/>
      <c r="T404" s="4"/>
      <c r="U404" s="4"/>
      <c r="V404" s="4"/>
      <c r="W404" s="4"/>
      <c r="X404" s="4"/>
      <c r="Y404" s="4"/>
      <c r="Z404" s="4"/>
    </row>
    <row r="405" spans="1:26" ht="12.75">
      <c r="A405" s="4"/>
      <c r="B405" s="4"/>
      <c r="C405" s="15"/>
      <c r="D405" s="4"/>
      <c r="E405" s="4"/>
      <c r="F405" s="4"/>
      <c r="G405" s="4"/>
      <c r="H405" s="4"/>
      <c r="I405" s="4"/>
      <c r="J405" s="4"/>
      <c r="K405" s="4"/>
      <c r="L405" s="4"/>
      <c r="M405" s="4"/>
      <c r="N405" s="4"/>
      <c r="O405" s="4"/>
      <c r="P405" s="4"/>
      <c r="Q405" s="4"/>
      <c r="R405" s="4"/>
      <c r="S405" s="4"/>
      <c r="T405" s="4"/>
      <c r="U405" s="4"/>
      <c r="V405" s="4"/>
      <c r="W405" s="4"/>
      <c r="X405" s="4"/>
      <c r="Y405" s="4"/>
      <c r="Z405" s="4"/>
    </row>
    <row r="406" spans="1:26" ht="12.75">
      <c r="A406" s="4"/>
      <c r="B406" s="4"/>
      <c r="C406" s="15"/>
      <c r="D406" s="4"/>
      <c r="E406" s="4"/>
      <c r="F406" s="4"/>
      <c r="G406" s="4"/>
      <c r="H406" s="4"/>
      <c r="I406" s="4"/>
      <c r="J406" s="4"/>
      <c r="K406" s="4"/>
      <c r="L406" s="4"/>
      <c r="M406" s="4"/>
      <c r="N406" s="4"/>
      <c r="O406" s="4"/>
      <c r="P406" s="4"/>
      <c r="Q406" s="4"/>
      <c r="R406" s="4"/>
      <c r="S406" s="4"/>
      <c r="T406" s="4"/>
      <c r="U406" s="4"/>
      <c r="V406" s="4"/>
      <c r="W406" s="4"/>
      <c r="X406" s="4"/>
      <c r="Y406" s="4"/>
      <c r="Z406" s="4"/>
    </row>
    <row r="407" spans="1:26" ht="12.75">
      <c r="A407" s="4"/>
      <c r="B407" s="4"/>
      <c r="C407" s="15"/>
      <c r="D407" s="4"/>
      <c r="E407" s="4"/>
      <c r="F407" s="4"/>
      <c r="G407" s="4"/>
      <c r="H407" s="4"/>
      <c r="I407" s="4"/>
      <c r="J407" s="4"/>
      <c r="K407" s="4"/>
      <c r="L407" s="4"/>
      <c r="M407" s="4"/>
      <c r="N407" s="4"/>
      <c r="O407" s="4"/>
      <c r="P407" s="4"/>
      <c r="Q407" s="4"/>
      <c r="R407" s="4"/>
      <c r="S407" s="4"/>
      <c r="T407" s="4"/>
      <c r="U407" s="4"/>
      <c r="V407" s="4"/>
      <c r="W407" s="4"/>
      <c r="X407" s="4"/>
      <c r="Y407" s="4"/>
      <c r="Z407" s="4"/>
    </row>
    <row r="408" spans="1:26" ht="12.75">
      <c r="A408" s="4"/>
      <c r="B408" s="4"/>
      <c r="C408" s="15"/>
      <c r="D408" s="4"/>
      <c r="E408" s="4"/>
      <c r="F408" s="4"/>
      <c r="G408" s="4"/>
      <c r="H408" s="4"/>
      <c r="I408" s="4"/>
      <c r="J408" s="4"/>
      <c r="K408" s="4"/>
      <c r="L408" s="4"/>
      <c r="M408" s="4"/>
      <c r="N408" s="4"/>
      <c r="O408" s="4"/>
      <c r="P408" s="4"/>
      <c r="Q408" s="4"/>
      <c r="R408" s="4"/>
      <c r="S408" s="4"/>
      <c r="T408" s="4"/>
      <c r="U408" s="4"/>
      <c r="V408" s="4"/>
      <c r="W408" s="4"/>
      <c r="X408" s="4"/>
      <c r="Y408" s="4"/>
      <c r="Z408" s="4"/>
    </row>
    <row r="409" spans="1:26" ht="12.75">
      <c r="A409" s="4"/>
      <c r="B409" s="4"/>
      <c r="C409" s="15"/>
      <c r="D409" s="4"/>
      <c r="E409" s="4"/>
      <c r="F409" s="4"/>
      <c r="G409" s="4"/>
      <c r="H409" s="4"/>
      <c r="I409" s="4"/>
      <c r="J409" s="4"/>
      <c r="K409" s="4"/>
      <c r="L409" s="4"/>
      <c r="M409" s="4"/>
      <c r="N409" s="4"/>
      <c r="O409" s="4"/>
      <c r="P409" s="4"/>
      <c r="Q409" s="4"/>
      <c r="R409" s="4"/>
      <c r="S409" s="4"/>
      <c r="T409" s="4"/>
      <c r="U409" s="4"/>
      <c r="V409" s="4"/>
      <c r="W409" s="4"/>
      <c r="X409" s="4"/>
      <c r="Y409" s="4"/>
      <c r="Z409" s="4"/>
    </row>
    <row r="410" spans="1:26" ht="12.75">
      <c r="A410" s="4"/>
      <c r="B410" s="4"/>
      <c r="C410" s="15"/>
      <c r="D410" s="4"/>
      <c r="E410" s="4"/>
      <c r="F410" s="4"/>
      <c r="G410" s="4"/>
      <c r="H410" s="4"/>
      <c r="I410" s="4"/>
      <c r="J410" s="4"/>
      <c r="K410" s="4"/>
      <c r="L410" s="4"/>
      <c r="M410" s="4"/>
      <c r="N410" s="4"/>
      <c r="O410" s="4"/>
      <c r="P410" s="4"/>
      <c r="Q410" s="4"/>
      <c r="R410" s="4"/>
      <c r="S410" s="4"/>
      <c r="T410" s="4"/>
      <c r="U410" s="4"/>
      <c r="V410" s="4"/>
      <c r="W410" s="4"/>
      <c r="X410" s="4"/>
      <c r="Y410" s="4"/>
      <c r="Z410" s="4"/>
    </row>
    <row r="411" spans="1:26" ht="12.75">
      <c r="A411" s="4"/>
      <c r="B411" s="4"/>
      <c r="C411" s="15"/>
      <c r="D411" s="4"/>
      <c r="E411" s="4"/>
      <c r="F411" s="4"/>
      <c r="G411" s="4"/>
      <c r="H411" s="4"/>
      <c r="I411" s="4"/>
      <c r="J411" s="4"/>
      <c r="K411" s="4"/>
      <c r="L411" s="4"/>
      <c r="M411" s="4"/>
      <c r="N411" s="4"/>
      <c r="O411" s="4"/>
      <c r="P411" s="4"/>
      <c r="Q411" s="4"/>
      <c r="R411" s="4"/>
      <c r="S411" s="4"/>
      <c r="T411" s="4"/>
      <c r="U411" s="4"/>
      <c r="V411" s="4"/>
      <c r="W411" s="4"/>
      <c r="X411" s="4"/>
      <c r="Y411" s="4"/>
      <c r="Z411" s="4"/>
    </row>
    <row r="412" spans="1:26" ht="12.75">
      <c r="A412" s="4"/>
      <c r="B412" s="4"/>
      <c r="C412" s="15"/>
      <c r="D412" s="4"/>
      <c r="E412" s="4"/>
      <c r="F412" s="4"/>
      <c r="G412" s="4"/>
      <c r="H412" s="4"/>
      <c r="I412" s="4"/>
      <c r="J412" s="4"/>
      <c r="K412" s="4"/>
      <c r="L412" s="4"/>
      <c r="M412" s="4"/>
      <c r="N412" s="4"/>
      <c r="O412" s="4"/>
      <c r="P412" s="4"/>
      <c r="Q412" s="4"/>
      <c r="R412" s="4"/>
      <c r="S412" s="4"/>
      <c r="T412" s="4"/>
      <c r="U412" s="4"/>
      <c r="V412" s="4"/>
      <c r="W412" s="4"/>
      <c r="X412" s="4"/>
      <c r="Y412" s="4"/>
      <c r="Z412" s="4"/>
    </row>
    <row r="413" spans="1:26" ht="12.75">
      <c r="A413" s="4"/>
      <c r="B413" s="4"/>
      <c r="C413" s="15"/>
      <c r="D413" s="4"/>
      <c r="E413" s="4"/>
      <c r="F413" s="4"/>
      <c r="G413" s="4"/>
      <c r="H413" s="4"/>
      <c r="I413" s="4"/>
      <c r="J413" s="4"/>
      <c r="K413" s="4"/>
      <c r="L413" s="4"/>
      <c r="M413" s="4"/>
      <c r="N413" s="4"/>
      <c r="O413" s="4"/>
      <c r="P413" s="4"/>
      <c r="Q413" s="4"/>
      <c r="R413" s="4"/>
      <c r="S413" s="4"/>
      <c r="T413" s="4"/>
      <c r="U413" s="4"/>
      <c r="V413" s="4"/>
      <c r="W413" s="4"/>
      <c r="X413" s="4"/>
      <c r="Y413" s="4"/>
      <c r="Z413" s="4"/>
    </row>
    <row r="414" spans="1:26" ht="12.75">
      <c r="A414" s="4"/>
      <c r="B414" s="4"/>
      <c r="C414" s="15"/>
      <c r="D414" s="4"/>
      <c r="E414" s="4"/>
      <c r="F414" s="4"/>
      <c r="G414" s="4"/>
      <c r="H414" s="4"/>
      <c r="I414" s="4"/>
      <c r="J414" s="4"/>
      <c r="K414" s="4"/>
      <c r="L414" s="4"/>
      <c r="M414" s="4"/>
      <c r="N414" s="4"/>
      <c r="O414" s="4"/>
      <c r="P414" s="4"/>
      <c r="Q414" s="4"/>
      <c r="R414" s="4"/>
      <c r="S414" s="4"/>
      <c r="T414" s="4"/>
      <c r="U414" s="4"/>
      <c r="V414" s="4"/>
      <c r="W414" s="4"/>
      <c r="X414" s="4"/>
      <c r="Y414" s="4"/>
      <c r="Z414" s="4"/>
    </row>
    <row r="415" spans="1:26" ht="12.75">
      <c r="A415" s="4"/>
      <c r="B415" s="4"/>
      <c r="C415" s="15"/>
      <c r="D415" s="4"/>
      <c r="E415" s="4"/>
      <c r="F415" s="4"/>
      <c r="G415" s="4"/>
      <c r="H415" s="4"/>
      <c r="I415" s="4"/>
      <c r="J415" s="4"/>
      <c r="K415" s="4"/>
      <c r="L415" s="4"/>
      <c r="M415" s="4"/>
      <c r="N415" s="4"/>
      <c r="O415" s="4"/>
      <c r="P415" s="4"/>
      <c r="Q415" s="4"/>
      <c r="R415" s="4"/>
      <c r="S415" s="4"/>
      <c r="T415" s="4"/>
      <c r="U415" s="4"/>
      <c r="V415" s="4"/>
      <c r="W415" s="4"/>
      <c r="X415" s="4"/>
      <c r="Y415" s="4"/>
      <c r="Z415" s="4"/>
    </row>
    <row r="416" spans="1:26" ht="12.75">
      <c r="A416" s="4"/>
      <c r="B416" s="4"/>
      <c r="C416" s="15"/>
      <c r="D416" s="4"/>
      <c r="E416" s="4"/>
      <c r="F416" s="4"/>
      <c r="G416" s="4"/>
      <c r="H416" s="4"/>
      <c r="I416" s="4"/>
      <c r="J416" s="4"/>
      <c r="K416" s="4"/>
      <c r="L416" s="4"/>
      <c r="M416" s="4"/>
      <c r="N416" s="4"/>
      <c r="O416" s="4"/>
      <c r="P416" s="4"/>
      <c r="Q416" s="4"/>
      <c r="R416" s="4"/>
      <c r="S416" s="4"/>
      <c r="T416" s="4"/>
      <c r="U416" s="4"/>
      <c r="V416" s="4"/>
      <c r="W416" s="4"/>
      <c r="X416" s="4"/>
      <c r="Y416" s="4"/>
      <c r="Z416" s="4"/>
    </row>
    <row r="417" spans="1:26" ht="12.75">
      <c r="A417" s="4"/>
      <c r="B417" s="4"/>
      <c r="C417" s="15"/>
      <c r="D417" s="4"/>
      <c r="E417" s="4"/>
      <c r="F417" s="4"/>
      <c r="G417" s="4"/>
      <c r="H417" s="4"/>
      <c r="I417" s="4"/>
      <c r="J417" s="4"/>
      <c r="K417" s="4"/>
      <c r="L417" s="4"/>
      <c r="M417" s="4"/>
      <c r="N417" s="4"/>
      <c r="O417" s="4"/>
      <c r="P417" s="4"/>
      <c r="Q417" s="4"/>
      <c r="R417" s="4"/>
      <c r="S417" s="4"/>
      <c r="T417" s="4"/>
      <c r="U417" s="4"/>
      <c r="V417" s="4"/>
      <c r="W417" s="4"/>
      <c r="X417" s="4"/>
      <c r="Y417" s="4"/>
      <c r="Z417" s="4"/>
    </row>
    <row r="418" spans="1:26" ht="12.75">
      <c r="A418" s="4"/>
      <c r="B418" s="4"/>
      <c r="C418" s="15"/>
      <c r="D418" s="4"/>
      <c r="E418" s="4"/>
      <c r="F418" s="4"/>
      <c r="G418" s="4"/>
      <c r="H418" s="4"/>
      <c r="I418" s="4"/>
      <c r="J418" s="4"/>
      <c r="K418" s="4"/>
      <c r="L418" s="4"/>
      <c r="M418" s="4"/>
      <c r="N418" s="4"/>
      <c r="O418" s="4"/>
      <c r="P418" s="4"/>
      <c r="Q418" s="4"/>
      <c r="R418" s="4"/>
      <c r="S418" s="4"/>
      <c r="T418" s="4"/>
      <c r="U418" s="4"/>
      <c r="V418" s="4"/>
      <c r="W418" s="4"/>
      <c r="X418" s="4"/>
      <c r="Y418" s="4"/>
      <c r="Z418" s="4"/>
    </row>
    <row r="419" spans="1:26" ht="12.75">
      <c r="A419" s="4"/>
      <c r="B419" s="4"/>
      <c r="C419" s="15"/>
      <c r="D419" s="4"/>
      <c r="E419" s="4"/>
      <c r="F419" s="4"/>
      <c r="G419" s="4"/>
      <c r="H419" s="4"/>
      <c r="I419" s="4"/>
      <c r="J419" s="4"/>
      <c r="K419" s="4"/>
      <c r="L419" s="4"/>
      <c r="M419" s="4"/>
      <c r="N419" s="4"/>
      <c r="O419" s="4"/>
      <c r="P419" s="4"/>
      <c r="Q419" s="4"/>
      <c r="R419" s="4"/>
      <c r="S419" s="4"/>
      <c r="T419" s="4"/>
      <c r="U419" s="4"/>
      <c r="V419" s="4"/>
      <c r="W419" s="4"/>
      <c r="X419" s="4"/>
      <c r="Y419" s="4"/>
      <c r="Z419" s="4"/>
    </row>
    <row r="420" spans="1:26" ht="12.75">
      <c r="A420" s="4"/>
      <c r="B420" s="4"/>
      <c r="C420" s="15"/>
      <c r="D420" s="4"/>
      <c r="E420" s="4"/>
      <c r="F420" s="4"/>
      <c r="G420" s="4"/>
      <c r="H420" s="4"/>
      <c r="I420" s="4"/>
      <c r="J420" s="4"/>
      <c r="K420" s="4"/>
      <c r="L420" s="4"/>
      <c r="M420" s="4"/>
      <c r="N420" s="4"/>
      <c r="O420" s="4"/>
      <c r="P420" s="4"/>
      <c r="Q420" s="4"/>
      <c r="R420" s="4"/>
      <c r="S420" s="4"/>
      <c r="T420" s="4"/>
      <c r="U420" s="4"/>
      <c r="V420" s="4"/>
      <c r="W420" s="4"/>
      <c r="X420" s="4"/>
      <c r="Y420" s="4"/>
      <c r="Z420" s="4"/>
    </row>
    <row r="421" spans="1:26" ht="12.75">
      <c r="A421" s="4"/>
      <c r="B421" s="4"/>
      <c r="C421" s="15"/>
      <c r="D421" s="4"/>
      <c r="E421" s="4"/>
      <c r="F421" s="4"/>
      <c r="G421" s="4"/>
      <c r="H421" s="4"/>
      <c r="I421" s="4"/>
      <c r="J421" s="4"/>
      <c r="K421" s="4"/>
      <c r="L421" s="4"/>
      <c r="M421" s="4"/>
      <c r="N421" s="4"/>
      <c r="O421" s="4"/>
      <c r="P421" s="4"/>
      <c r="Q421" s="4"/>
      <c r="R421" s="4"/>
      <c r="S421" s="4"/>
      <c r="T421" s="4"/>
      <c r="U421" s="4"/>
      <c r="V421" s="4"/>
      <c r="W421" s="4"/>
      <c r="X421" s="4"/>
      <c r="Y421" s="4"/>
      <c r="Z421" s="4"/>
    </row>
    <row r="422" spans="1:26" ht="12.75">
      <c r="A422" s="4"/>
      <c r="B422" s="4"/>
      <c r="C422" s="15"/>
      <c r="D422" s="4"/>
      <c r="E422" s="4"/>
      <c r="F422" s="4"/>
      <c r="G422" s="4"/>
      <c r="H422" s="4"/>
      <c r="I422" s="4"/>
      <c r="J422" s="4"/>
      <c r="K422" s="4"/>
      <c r="L422" s="4"/>
      <c r="M422" s="4"/>
      <c r="N422" s="4"/>
      <c r="O422" s="4"/>
      <c r="P422" s="4"/>
      <c r="Q422" s="4"/>
      <c r="R422" s="4"/>
      <c r="S422" s="4"/>
      <c r="T422" s="4"/>
      <c r="U422" s="4"/>
      <c r="V422" s="4"/>
      <c r="W422" s="4"/>
      <c r="X422" s="4"/>
      <c r="Y422" s="4"/>
      <c r="Z422" s="4"/>
    </row>
    <row r="423" spans="1:26" ht="12.75">
      <c r="A423" s="4"/>
      <c r="B423" s="4"/>
      <c r="C423" s="15"/>
      <c r="D423" s="4"/>
      <c r="E423" s="4"/>
      <c r="F423" s="4"/>
      <c r="G423" s="4"/>
      <c r="H423" s="4"/>
      <c r="I423" s="4"/>
      <c r="J423" s="4"/>
      <c r="K423" s="4"/>
      <c r="L423" s="4"/>
      <c r="M423" s="4"/>
      <c r="N423" s="4"/>
      <c r="O423" s="4"/>
      <c r="P423" s="4"/>
      <c r="Q423" s="4"/>
      <c r="R423" s="4"/>
      <c r="S423" s="4"/>
      <c r="T423" s="4"/>
      <c r="U423" s="4"/>
      <c r="V423" s="4"/>
      <c r="W423" s="4"/>
      <c r="X423" s="4"/>
      <c r="Y423" s="4"/>
      <c r="Z423" s="4"/>
    </row>
    <row r="424" spans="1:26" ht="12.75">
      <c r="A424" s="4"/>
      <c r="B424" s="4"/>
      <c r="C424" s="15"/>
      <c r="D424" s="4"/>
      <c r="E424" s="4"/>
      <c r="F424" s="4"/>
      <c r="G424" s="4"/>
      <c r="H424" s="4"/>
      <c r="I424" s="4"/>
      <c r="J424" s="4"/>
      <c r="K424" s="4"/>
      <c r="L424" s="4"/>
      <c r="M424" s="4"/>
      <c r="N424" s="4"/>
      <c r="O424" s="4"/>
      <c r="P424" s="4"/>
      <c r="Q424" s="4"/>
      <c r="R424" s="4"/>
      <c r="S424" s="4"/>
      <c r="T424" s="4"/>
      <c r="U424" s="4"/>
      <c r="V424" s="4"/>
      <c r="W424" s="4"/>
      <c r="X424" s="4"/>
      <c r="Y424" s="4"/>
      <c r="Z424" s="4"/>
    </row>
    <row r="425" spans="1:26" ht="12.75">
      <c r="A425" s="4"/>
      <c r="B425" s="4"/>
      <c r="C425" s="15"/>
      <c r="D425" s="4"/>
      <c r="E425" s="4"/>
      <c r="F425" s="4"/>
      <c r="G425" s="4"/>
      <c r="H425" s="4"/>
      <c r="I425" s="4"/>
      <c r="J425" s="4"/>
      <c r="K425" s="4"/>
      <c r="L425" s="4"/>
      <c r="M425" s="4"/>
      <c r="N425" s="4"/>
      <c r="O425" s="4"/>
      <c r="P425" s="4"/>
      <c r="Q425" s="4"/>
      <c r="R425" s="4"/>
      <c r="S425" s="4"/>
      <c r="T425" s="4"/>
      <c r="U425" s="4"/>
      <c r="V425" s="4"/>
      <c r="W425" s="4"/>
      <c r="X425" s="4"/>
      <c r="Y425" s="4"/>
      <c r="Z425" s="4"/>
    </row>
    <row r="426" spans="1:26" ht="12.75">
      <c r="A426" s="4"/>
      <c r="B426" s="4"/>
      <c r="C426" s="15"/>
      <c r="D426" s="4"/>
      <c r="E426" s="4"/>
      <c r="F426" s="4"/>
      <c r="G426" s="4"/>
      <c r="H426" s="4"/>
      <c r="I426" s="4"/>
      <c r="J426" s="4"/>
      <c r="K426" s="4"/>
      <c r="L426" s="4"/>
      <c r="M426" s="4"/>
      <c r="N426" s="4"/>
      <c r="O426" s="4"/>
      <c r="P426" s="4"/>
      <c r="Q426" s="4"/>
      <c r="R426" s="4"/>
      <c r="S426" s="4"/>
      <c r="T426" s="4"/>
      <c r="U426" s="4"/>
      <c r="V426" s="4"/>
      <c r="W426" s="4"/>
      <c r="X426" s="4"/>
      <c r="Y426" s="4"/>
      <c r="Z426" s="4"/>
    </row>
    <row r="427" spans="1:26" ht="12.75">
      <c r="A427" s="4"/>
      <c r="B427" s="4"/>
      <c r="C427" s="15"/>
      <c r="D427" s="4"/>
      <c r="E427" s="4"/>
      <c r="F427" s="4"/>
      <c r="G427" s="4"/>
      <c r="H427" s="4"/>
      <c r="I427" s="4"/>
      <c r="J427" s="4"/>
      <c r="K427" s="4"/>
      <c r="L427" s="4"/>
      <c r="M427" s="4"/>
      <c r="N427" s="4"/>
      <c r="O427" s="4"/>
      <c r="P427" s="4"/>
      <c r="Q427" s="4"/>
      <c r="R427" s="4"/>
      <c r="S427" s="4"/>
      <c r="T427" s="4"/>
      <c r="U427" s="4"/>
      <c r="V427" s="4"/>
      <c r="W427" s="4"/>
      <c r="X427" s="4"/>
      <c r="Y427" s="4"/>
      <c r="Z427" s="4"/>
    </row>
    <row r="428" spans="1:26" ht="12.75">
      <c r="A428" s="4"/>
      <c r="B428" s="4"/>
      <c r="C428" s="15"/>
      <c r="D428" s="4"/>
      <c r="E428" s="4"/>
      <c r="F428" s="4"/>
      <c r="G428" s="4"/>
      <c r="H428" s="4"/>
      <c r="I428" s="4"/>
      <c r="J428" s="4"/>
      <c r="K428" s="4"/>
      <c r="L428" s="4"/>
      <c r="M428" s="4"/>
      <c r="N428" s="4"/>
      <c r="O428" s="4"/>
      <c r="P428" s="4"/>
      <c r="Q428" s="4"/>
      <c r="R428" s="4"/>
      <c r="S428" s="4"/>
      <c r="T428" s="4"/>
      <c r="U428" s="4"/>
      <c r="V428" s="4"/>
      <c r="W428" s="4"/>
      <c r="X428" s="4"/>
      <c r="Y428" s="4"/>
      <c r="Z428" s="4"/>
    </row>
    <row r="429" spans="1:26" ht="12.75">
      <c r="A429" s="4"/>
      <c r="B429" s="4"/>
      <c r="C429" s="15"/>
      <c r="D429" s="4"/>
      <c r="E429" s="4"/>
      <c r="F429" s="4"/>
      <c r="G429" s="4"/>
      <c r="H429" s="4"/>
      <c r="I429" s="4"/>
      <c r="J429" s="4"/>
      <c r="K429" s="4"/>
      <c r="L429" s="4"/>
      <c r="M429" s="4"/>
      <c r="N429" s="4"/>
      <c r="O429" s="4"/>
      <c r="P429" s="4"/>
      <c r="Q429" s="4"/>
      <c r="R429" s="4"/>
      <c r="S429" s="4"/>
      <c r="T429" s="4"/>
      <c r="U429" s="4"/>
      <c r="V429" s="4"/>
      <c r="W429" s="4"/>
      <c r="X429" s="4"/>
      <c r="Y429" s="4"/>
      <c r="Z429" s="4"/>
    </row>
    <row r="430" spans="1:26" ht="12.75">
      <c r="A430" s="4"/>
      <c r="B430" s="4"/>
      <c r="C430" s="15"/>
      <c r="D430" s="4"/>
      <c r="E430" s="4"/>
      <c r="F430" s="4"/>
      <c r="G430" s="4"/>
      <c r="H430" s="4"/>
      <c r="I430" s="4"/>
      <c r="J430" s="4"/>
      <c r="K430" s="4"/>
      <c r="L430" s="4"/>
      <c r="M430" s="4"/>
      <c r="N430" s="4"/>
      <c r="O430" s="4"/>
      <c r="P430" s="4"/>
      <c r="Q430" s="4"/>
      <c r="R430" s="4"/>
      <c r="S430" s="4"/>
      <c r="T430" s="4"/>
      <c r="U430" s="4"/>
      <c r="V430" s="4"/>
      <c r="W430" s="4"/>
      <c r="X430" s="4"/>
      <c r="Y430" s="4"/>
      <c r="Z430" s="4"/>
    </row>
    <row r="431" spans="1:26" ht="12.75">
      <c r="A431" s="4"/>
      <c r="B431" s="4"/>
      <c r="C431" s="15"/>
      <c r="D431" s="4"/>
      <c r="E431" s="4"/>
      <c r="F431" s="4"/>
      <c r="G431" s="4"/>
      <c r="H431" s="4"/>
      <c r="I431" s="4"/>
      <c r="J431" s="4"/>
      <c r="K431" s="4"/>
      <c r="L431" s="4"/>
      <c r="M431" s="4"/>
      <c r="N431" s="4"/>
      <c r="O431" s="4"/>
      <c r="P431" s="4"/>
      <c r="Q431" s="4"/>
      <c r="R431" s="4"/>
      <c r="S431" s="4"/>
      <c r="T431" s="4"/>
      <c r="U431" s="4"/>
      <c r="V431" s="4"/>
      <c r="W431" s="4"/>
      <c r="X431" s="4"/>
      <c r="Y431" s="4"/>
      <c r="Z431" s="4"/>
    </row>
    <row r="432" spans="1:26" ht="12.75">
      <c r="A432" s="4"/>
      <c r="B432" s="4"/>
      <c r="C432" s="15"/>
      <c r="D432" s="4"/>
      <c r="E432" s="4"/>
      <c r="F432" s="4"/>
      <c r="G432" s="4"/>
      <c r="H432" s="4"/>
      <c r="I432" s="4"/>
      <c r="J432" s="4"/>
      <c r="K432" s="4"/>
      <c r="L432" s="4"/>
      <c r="M432" s="4"/>
      <c r="N432" s="4"/>
      <c r="O432" s="4"/>
      <c r="P432" s="4"/>
      <c r="Q432" s="4"/>
      <c r="R432" s="4"/>
      <c r="S432" s="4"/>
      <c r="T432" s="4"/>
      <c r="U432" s="4"/>
      <c r="V432" s="4"/>
      <c r="W432" s="4"/>
      <c r="X432" s="4"/>
      <c r="Y432" s="4"/>
      <c r="Z432" s="4"/>
    </row>
    <row r="433" spans="1:26" ht="12.75">
      <c r="A433" s="4"/>
      <c r="B433" s="4"/>
      <c r="C433" s="15"/>
      <c r="D433" s="4"/>
      <c r="E433" s="4"/>
      <c r="F433" s="4"/>
      <c r="G433" s="4"/>
      <c r="H433" s="4"/>
      <c r="I433" s="4"/>
      <c r="J433" s="4"/>
      <c r="K433" s="4"/>
      <c r="L433" s="4"/>
      <c r="M433" s="4"/>
      <c r="N433" s="4"/>
      <c r="O433" s="4"/>
      <c r="P433" s="4"/>
      <c r="Q433" s="4"/>
      <c r="R433" s="4"/>
      <c r="S433" s="4"/>
      <c r="T433" s="4"/>
      <c r="U433" s="4"/>
      <c r="V433" s="4"/>
      <c r="W433" s="4"/>
      <c r="X433" s="4"/>
      <c r="Y433" s="4"/>
      <c r="Z433" s="4"/>
    </row>
    <row r="434" spans="1:26" ht="12.75">
      <c r="A434" s="4"/>
      <c r="B434" s="4"/>
      <c r="C434" s="15"/>
      <c r="D434" s="4"/>
      <c r="E434" s="4"/>
      <c r="F434" s="4"/>
      <c r="G434" s="4"/>
      <c r="H434" s="4"/>
      <c r="I434" s="4"/>
      <c r="J434" s="4"/>
      <c r="K434" s="4"/>
      <c r="L434" s="4"/>
      <c r="M434" s="4"/>
      <c r="N434" s="4"/>
      <c r="O434" s="4"/>
      <c r="P434" s="4"/>
      <c r="Q434" s="4"/>
      <c r="R434" s="4"/>
      <c r="S434" s="4"/>
      <c r="T434" s="4"/>
      <c r="U434" s="4"/>
      <c r="V434" s="4"/>
      <c r="W434" s="4"/>
      <c r="X434" s="4"/>
      <c r="Y434" s="4"/>
      <c r="Z434" s="4"/>
    </row>
    <row r="435" spans="1:26" ht="12.75">
      <c r="A435" s="4"/>
      <c r="B435" s="4"/>
      <c r="C435" s="15"/>
      <c r="D435" s="4"/>
      <c r="E435" s="4"/>
      <c r="F435" s="4"/>
      <c r="G435" s="4"/>
      <c r="H435" s="4"/>
      <c r="I435" s="4"/>
      <c r="J435" s="4"/>
      <c r="K435" s="4"/>
      <c r="L435" s="4"/>
      <c r="M435" s="4"/>
      <c r="N435" s="4"/>
      <c r="O435" s="4"/>
      <c r="P435" s="4"/>
      <c r="Q435" s="4"/>
      <c r="R435" s="4"/>
      <c r="S435" s="4"/>
      <c r="T435" s="4"/>
      <c r="U435" s="4"/>
      <c r="V435" s="4"/>
      <c r="W435" s="4"/>
      <c r="X435" s="4"/>
      <c r="Y435" s="4"/>
      <c r="Z435" s="4"/>
    </row>
    <row r="436" spans="1:26" ht="12.75">
      <c r="A436" s="4"/>
      <c r="B436" s="4"/>
      <c r="C436" s="15"/>
      <c r="D436" s="4"/>
      <c r="E436" s="4"/>
      <c r="F436" s="4"/>
      <c r="G436" s="4"/>
      <c r="H436" s="4"/>
      <c r="I436" s="4"/>
      <c r="J436" s="4"/>
      <c r="K436" s="4"/>
      <c r="L436" s="4"/>
      <c r="M436" s="4"/>
      <c r="N436" s="4"/>
      <c r="O436" s="4"/>
      <c r="P436" s="4"/>
      <c r="Q436" s="4"/>
      <c r="R436" s="4"/>
      <c r="S436" s="4"/>
      <c r="T436" s="4"/>
      <c r="U436" s="4"/>
      <c r="V436" s="4"/>
      <c r="W436" s="4"/>
      <c r="X436" s="4"/>
      <c r="Y436" s="4"/>
      <c r="Z436" s="4"/>
    </row>
    <row r="437" spans="1:26" ht="12.75">
      <c r="A437" s="4"/>
      <c r="B437" s="4"/>
      <c r="C437" s="15"/>
      <c r="D437" s="4"/>
      <c r="E437" s="4"/>
      <c r="F437" s="4"/>
      <c r="G437" s="4"/>
      <c r="H437" s="4"/>
      <c r="I437" s="4"/>
      <c r="J437" s="4"/>
      <c r="K437" s="4"/>
      <c r="L437" s="4"/>
      <c r="M437" s="4"/>
      <c r="N437" s="4"/>
      <c r="O437" s="4"/>
      <c r="P437" s="4"/>
      <c r="Q437" s="4"/>
      <c r="R437" s="4"/>
      <c r="S437" s="4"/>
      <c r="T437" s="4"/>
      <c r="U437" s="4"/>
      <c r="V437" s="4"/>
      <c r="W437" s="4"/>
      <c r="X437" s="4"/>
      <c r="Y437" s="4"/>
      <c r="Z437" s="4"/>
    </row>
    <row r="438" spans="1:26" ht="12.75">
      <c r="A438" s="4"/>
      <c r="B438" s="4"/>
      <c r="C438" s="15"/>
      <c r="D438" s="4"/>
      <c r="E438" s="4"/>
      <c r="F438" s="4"/>
      <c r="G438" s="4"/>
      <c r="H438" s="4"/>
      <c r="I438" s="4"/>
      <c r="J438" s="4"/>
      <c r="K438" s="4"/>
      <c r="L438" s="4"/>
      <c r="M438" s="4"/>
      <c r="N438" s="4"/>
      <c r="O438" s="4"/>
      <c r="P438" s="4"/>
      <c r="Q438" s="4"/>
      <c r="R438" s="4"/>
      <c r="S438" s="4"/>
      <c r="T438" s="4"/>
      <c r="U438" s="4"/>
      <c r="V438" s="4"/>
      <c r="W438" s="4"/>
      <c r="X438" s="4"/>
      <c r="Y438" s="4"/>
      <c r="Z438" s="4"/>
    </row>
    <row r="439" spans="1:26" ht="12.75">
      <c r="A439" s="4"/>
      <c r="B439" s="4"/>
      <c r="C439" s="15"/>
      <c r="D439" s="4"/>
      <c r="E439" s="4"/>
      <c r="F439" s="4"/>
      <c r="G439" s="4"/>
      <c r="H439" s="4"/>
      <c r="I439" s="4"/>
      <c r="J439" s="4"/>
      <c r="K439" s="4"/>
      <c r="L439" s="4"/>
      <c r="M439" s="4"/>
      <c r="N439" s="4"/>
      <c r="O439" s="4"/>
      <c r="P439" s="4"/>
      <c r="Q439" s="4"/>
      <c r="R439" s="4"/>
      <c r="S439" s="4"/>
      <c r="T439" s="4"/>
      <c r="U439" s="4"/>
      <c r="V439" s="4"/>
      <c r="W439" s="4"/>
      <c r="X439" s="4"/>
      <c r="Y439" s="4"/>
      <c r="Z439" s="4"/>
    </row>
    <row r="440" spans="1:26" ht="12.75">
      <c r="A440" s="4"/>
      <c r="B440" s="4"/>
      <c r="C440" s="15"/>
      <c r="D440" s="4"/>
      <c r="E440" s="4"/>
      <c r="F440" s="4"/>
      <c r="G440" s="4"/>
      <c r="H440" s="4"/>
      <c r="I440" s="4"/>
      <c r="J440" s="4"/>
      <c r="K440" s="4"/>
      <c r="L440" s="4"/>
      <c r="M440" s="4"/>
      <c r="N440" s="4"/>
      <c r="O440" s="4"/>
      <c r="P440" s="4"/>
      <c r="Q440" s="4"/>
      <c r="R440" s="4"/>
      <c r="S440" s="4"/>
      <c r="T440" s="4"/>
      <c r="U440" s="4"/>
      <c r="V440" s="4"/>
      <c r="W440" s="4"/>
      <c r="X440" s="4"/>
      <c r="Y440" s="4"/>
      <c r="Z440" s="4"/>
    </row>
    <row r="441" spans="1:26" ht="12.75">
      <c r="A441" s="4"/>
      <c r="B441" s="4"/>
      <c r="C441" s="15"/>
      <c r="D441" s="4"/>
      <c r="E441" s="4"/>
      <c r="F441" s="4"/>
      <c r="G441" s="4"/>
      <c r="H441" s="4"/>
      <c r="I441" s="4"/>
      <c r="J441" s="4"/>
      <c r="K441" s="4"/>
      <c r="L441" s="4"/>
      <c r="M441" s="4"/>
      <c r="N441" s="4"/>
      <c r="O441" s="4"/>
      <c r="P441" s="4"/>
      <c r="Q441" s="4"/>
      <c r="R441" s="4"/>
      <c r="S441" s="4"/>
      <c r="T441" s="4"/>
      <c r="U441" s="4"/>
      <c r="V441" s="4"/>
      <c r="W441" s="4"/>
      <c r="X441" s="4"/>
      <c r="Y441" s="4"/>
      <c r="Z441" s="4"/>
    </row>
    <row r="442" spans="1:26" ht="12.75">
      <c r="A442" s="4"/>
      <c r="B442" s="4"/>
      <c r="C442" s="15"/>
      <c r="D442" s="4"/>
      <c r="E442" s="4"/>
      <c r="F442" s="4"/>
      <c r="G442" s="4"/>
      <c r="H442" s="4"/>
      <c r="I442" s="4"/>
      <c r="J442" s="4"/>
      <c r="K442" s="4"/>
      <c r="L442" s="4"/>
      <c r="M442" s="4"/>
      <c r="N442" s="4"/>
      <c r="O442" s="4"/>
      <c r="P442" s="4"/>
      <c r="Q442" s="4"/>
      <c r="R442" s="4"/>
      <c r="S442" s="4"/>
      <c r="T442" s="4"/>
      <c r="U442" s="4"/>
      <c r="V442" s="4"/>
      <c r="W442" s="4"/>
      <c r="X442" s="4"/>
      <c r="Y442" s="4"/>
      <c r="Z442" s="4"/>
    </row>
    <row r="443" spans="1:26" ht="12.75">
      <c r="A443" s="4"/>
      <c r="B443" s="4"/>
      <c r="C443" s="15"/>
      <c r="D443" s="4"/>
      <c r="E443" s="4"/>
      <c r="F443" s="4"/>
      <c r="G443" s="4"/>
      <c r="H443" s="4"/>
      <c r="I443" s="4"/>
      <c r="J443" s="4"/>
      <c r="K443" s="4"/>
      <c r="L443" s="4"/>
      <c r="M443" s="4"/>
      <c r="N443" s="4"/>
      <c r="O443" s="4"/>
      <c r="P443" s="4"/>
      <c r="Q443" s="4"/>
      <c r="R443" s="4"/>
      <c r="S443" s="4"/>
      <c r="T443" s="4"/>
      <c r="U443" s="4"/>
      <c r="V443" s="4"/>
      <c r="W443" s="4"/>
      <c r="X443" s="4"/>
      <c r="Y443" s="4"/>
      <c r="Z443" s="4"/>
    </row>
    <row r="444" spans="1:26" ht="12.75">
      <c r="A444" s="4"/>
      <c r="B444" s="4"/>
      <c r="C444" s="15"/>
      <c r="D444" s="4"/>
      <c r="E444" s="4"/>
      <c r="F444" s="4"/>
      <c r="G444" s="4"/>
      <c r="H444" s="4"/>
      <c r="I444" s="4"/>
      <c r="J444" s="4"/>
      <c r="K444" s="4"/>
      <c r="L444" s="4"/>
      <c r="M444" s="4"/>
      <c r="N444" s="4"/>
      <c r="O444" s="4"/>
      <c r="P444" s="4"/>
      <c r="Q444" s="4"/>
      <c r="R444" s="4"/>
      <c r="S444" s="4"/>
      <c r="T444" s="4"/>
      <c r="U444" s="4"/>
      <c r="V444" s="4"/>
      <c r="W444" s="4"/>
      <c r="X444" s="4"/>
      <c r="Y444" s="4"/>
      <c r="Z444" s="4"/>
    </row>
    <row r="445" spans="1:26" ht="12.75">
      <c r="A445" s="4"/>
      <c r="B445" s="4"/>
      <c r="C445" s="15"/>
      <c r="D445" s="4"/>
      <c r="E445" s="4"/>
      <c r="F445" s="4"/>
      <c r="G445" s="4"/>
      <c r="H445" s="4"/>
      <c r="I445" s="4"/>
      <c r="J445" s="4"/>
      <c r="K445" s="4"/>
      <c r="L445" s="4"/>
      <c r="M445" s="4"/>
      <c r="N445" s="4"/>
      <c r="O445" s="4"/>
      <c r="P445" s="4"/>
      <c r="Q445" s="4"/>
      <c r="R445" s="4"/>
      <c r="S445" s="4"/>
      <c r="T445" s="4"/>
      <c r="U445" s="4"/>
      <c r="V445" s="4"/>
      <c r="W445" s="4"/>
      <c r="X445" s="4"/>
      <c r="Y445" s="4"/>
      <c r="Z445" s="4"/>
    </row>
    <row r="446" spans="1:26" ht="12.75">
      <c r="A446" s="4"/>
      <c r="B446" s="4"/>
      <c r="C446" s="15"/>
      <c r="D446" s="4"/>
      <c r="E446" s="4"/>
      <c r="F446" s="4"/>
      <c r="G446" s="4"/>
      <c r="H446" s="4"/>
      <c r="I446" s="4"/>
      <c r="J446" s="4"/>
      <c r="K446" s="4"/>
      <c r="L446" s="4"/>
      <c r="M446" s="4"/>
      <c r="N446" s="4"/>
      <c r="O446" s="4"/>
      <c r="P446" s="4"/>
      <c r="Q446" s="4"/>
      <c r="R446" s="4"/>
      <c r="S446" s="4"/>
      <c r="T446" s="4"/>
      <c r="U446" s="4"/>
      <c r="V446" s="4"/>
      <c r="W446" s="4"/>
      <c r="X446" s="4"/>
      <c r="Y446" s="4"/>
      <c r="Z446" s="4"/>
    </row>
    <row r="447" spans="1:26" ht="12.75">
      <c r="A447" s="4"/>
      <c r="B447" s="4"/>
      <c r="C447" s="15"/>
      <c r="D447" s="4"/>
      <c r="E447" s="4"/>
      <c r="F447" s="4"/>
      <c r="G447" s="4"/>
      <c r="H447" s="4"/>
      <c r="I447" s="4"/>
      <c r="J447" s="4"/>
      <c r="K447" s="4"/>
      <c r="L447" s="4"/>
      <c r="M447" s="4"/>
      <c r="N447" s="4"/>
      <c r="O447" s="4"/>
      <c r="P447" s="4"/>
      <c r="Q447" s="4"/>
      <c r="R447" s="4"/>
      <c r="S447" s="4"/>
      <c r="T447" s="4"/>
      <c r="U447" s="4"/>
      <c r="V447" s="4"/>
      <c r="W447" s="4"/>
      <c r="X447" s="4"/>
      <c r="Y447" s="4"/>
      <c r="Z447" s="4"/>
    </row>
    <row r="448" spans="1:26" ht="12.75">
      <c r="A448" s="4"/>
      <c r="B448" s="4"/>
      <c r="C448" s="15"/>
      <c r="D448" s="4"/>
      <c r="E448" s="4"/>
      <c r="F448" s="4"/>
      <c r="G448" s="4"/>
      <c r="H448" s="4"/>
      <c r="I448" s="4"/>
      <c r="J448" s="4"/>
      <c r="K448" s="4"/>
      <c r="L448" s="4"/>
      <c r="M448" s="4"/>
      <c r="N448" s="4"/>
      <c r="O448" s="4"/>
      <c r="P448" s="4"/>
      <c r="Q448" s="4"/>
      <c r="R448" s="4"/>
      <c r="S448" s="4"/>
      <c r="T448" s="4"/>
      <c r="U448" s="4"/>
      <c r="V448" s="4"/>
      <c r="W448" s="4"/>
      <c r="X448" s="4"/>
      <c r="Y448" s="4"/>
      <c r="Z448" s="4"/>
    </row>
    <row r="449" spans="1:26" ht="12.75">
      <c r="A449" s="4"/>
      <c r="B449" s="4"/>
      <c r="C449" s="15"/>
      <c r="D449" s="4"/>
      <c r="E449" s="4"/>
      <c r="F449" s="4"/>
      <c r="G449" s="4"/>
      <c r="H449" s="4"/>
      <c r="I449" s="4"/>
      <c r="J449" s="4"/>
      <c r="K449" s="4"/>
      <c r="L449" s="4"/>
      <c r="M449" s="4"/>
      <c r="N449" s="4"/>
      <c r="O449" s="4"/>
      <c r="P449" s="4"/>
      <c r="Q449" s="4"/>
      <c r="R449" s="4"/>
      <c r="S449" s="4"/>
      <c r="T449" s="4"/>
      <c r="U449" s="4"/>
      <c r="V449" s="4"/>
      <c r="W449" s="4"/>
      <c r="X449" s="4"/>
      <c r="Y449" s="4"/>
      <c r="Z449" s="4"/>
    </row>
    <row r="450" spans="1:26" ht="12.75">
      <c r="A450" s="4"/>
      <c r="B450" s="4"/>
      <c r="C450" s="15"/>
      <c r="D450" s="4"/>
      <c r="E450" s="4"/>
      <c r="F450" s="4"/>
      <c r="G450" s="4"/>
      <c r="H450" s="4"/>
      <c r="I450" s="4"/>
      <c r="J450" s="4"/>
      <c r="K450" s="4"/>
      <c r="L450" s="4"/>
      <c r="M450" s="4"/>
      <c r="N450" s="4"/>
      <c r="O450" s="4"/>
      <c r="P450" s="4"/>
      <c r="Q450" s="4"/>
      <c r="R450" s="4"/>
      <c r="S450" s="4"/>
      <c r="T450" s="4"/>
      <c r="U450" s="4"/>
      <c r="V450" s="4"/>
      <c r="W450" s="4"/>
      <c r="X450" s="4"/>
      <c r="Y450" s="4"/>
      <c r="Z450" s="4"/>
    </row>
    <row r="451" spans="1:26" ht="12.75">
      <c r="A451" s="4"/>
      <c r="B451" s="4"/>
      <c r="C451" s="15"/>
      <c r="D451" s="4"/>
      <c r="E451" s="4"/>
      <c r="F451" s="4"/>
      <c r="G451" s="4"/>
      <c r="H451" s="4"/>
      <c r="I451" s="4"/>
      <c r="J451" s="4"/>
      <c r="K451" s="4"/>
      <c r="L451" s="4"/>
      <c r="M451" s="4"/>
      <c r="N451" s="4"/>
      <c r="O451" s="4"/>
      <c r="P451" s="4"/>
      <c r="Q451" s="4"/>
      <c r="R451" s="4"/>
      <c r="S451" s="4"/>
      <c r="T451" s="4"/>
      <c r="U451" s="4"/>
      <c r="V451" s="4"/>
      <c r="W451" s="4"/>
      <c r="X451" s="4"/>
      <c r="Y451" s="4"/>
      <c r="Z451" s="4"/>
    </row>
    <row r="452" spans="1:26" ht="12.75">
      <c r="A452" s="4"/>
      <c r="B452" s="4"/>
      <c r="C452" s="15"/>
      <c r="D452" s="4"/>
      <c r="E452" s="4"/>
      <c r="F452" s="4"/>
      <c r="G452" s="4"/>
      <c r="H452" s="4"/>
      <c r="I452" s="4"/>
      <c r="J452" s="4"/>
      <c r="K452" s="4"/>
      <c r="L452" s="4"/>
      <c r="M452" s="4"/>
      <c r="N452" s="4"/>
      <c r="O452" s="4"/>
      <c r="P452" s="4"/>
      <c r="Q452" s="4"/>
      <c r="R452" s="4"/>
      <c r="S452" s="4"/>
      <c r="T452" s="4"/>
      <c r="U452" s="4"/>
      <c r="V452" s="4"/>
      <c r="W452" s="4"/>
      <c r="X452" s="4"/>
      <c r="Y452" s="4"/>
      <c r="Z452" s="4"/>
    </row>
    <row r="453" spans="1:26" ht="12.75">
      <c r="A453" s="4"/>
      <c r="B453" s="4"/>
      <c r="C453" s="15"/>
      <c r="D453" s="4"/>
      <c r="E453" s="4"/>
      <c r="F453" s="4"/>
      <c r="G453" s="4"/>
      <c r="H453" s="4"/>
      <c r="I453" s="4"/>
      <c r="J453" s="4"/>
      <c r="K453" s="4"/>
      <c r="L453" s="4"/>
      <c r="M453" s="4"/>
      <c r="N453" s="4"/>
      <c r="O453" s="4"/>
      <c r="P453" s="4"/>
      <c r="Q453" s="4"/>
      <c r="R453" s="4"/>
      <c r="S453" s="4"/>
      <c r="T453" s="4"/>
      <c r="U453" s="4"/>
      <c r="V453" s="4"/>
      <c r="W453" s="4"/>
      <c r="X453" s="4"/>
      <c r="Y453" s="4"/>
      <c r="Z453" s="4"/>
    </row>
    <row r="454" spans="1:26" ht="12.75">
      <c r="A454" s="4"/>
      <c r="B454" s="4"/>
      <c r="C454" s="15"/>
      <c r="D454" s="4"/>
      <c r="E454" s="4"/>
      <c r="F454" s="4"/>
      <c r="G454" s="4"/>
      <c r="H454" s="4"/>
      <c r="I454" s="4"/>
      <c r="J454" s="4"/>
      <c r="K454" s="4"/>
      <c r="L454" s="4"/>
      <c r="M454" s="4"/>
      <c r="N454" s="4"/>
      <c r="O454" s="4"/>
      <c r="P454" s="4"/>
      <c r="Q454" s="4"/>
      <c r="R454" s="4"/>
      <c r="S454" s="4"/>
      <c r="T454" s="4"/>
      <c r="U454" s="4"/>
      <c r="V454" s="4"/>
      <c r="W454" s="4"/>
      <c r="X454" s="4"/>
      <c r="Y454" s="4"/>
      <c r="Z454" s="4"/>
    </row>
    <row r="455" spans="1:26" ht="12.75">
      <c r="A455" s="4"/>
      <c r="B455" s="4"/>
      <c r="C455" s="15"/>
      <c r="D455" s="4"/>
      <c r="E455" s="4"/>
      <c r="F455" s="4"/>
      <c r="G455" s="4"/>
      <c r="H455" s="4"/>
      <c r="I455" s="4"/>
      <c r="J455" s="4"/>
      <c r="K455" s="4"/>
      <c r="L455" s="4"/>
      <c r="M455" s="4"/>
      <c r="N455" s="4"/>
      <c r="O455" s="4"/>
      <c r="P455" s="4"/>
      <c r="Q455" s="4"/>
      <c r="R455" s="4"/>
      <c r="S455" s="4"/>
      <c r="T455" s="4"/>
      <c r="U455" s="4"/>
      <c r="V455" s="4"/>
      <c r="W455" s="4"/>
      <c r="X455" s="4"/>
      <c r="Y455" s="4"/>
      <c r="Z455" s="4"/>
    </row>
    <row r="456" spans="1:26" ht="12.75">
      <c r="A456" s="4"/>
      <c r="B456" s="4"/>
      <c r="C456" s="15"/>
      <c r="D456" s="4"/>
      <c r="E456" s="4"/>
      <c r="F456" s="4"/>
      <c r="G456" s="4"/>
      <c r="H456" s="4"/>
      <c r="I456" s="4"/>
      <c r="J456" s="4"/>
      <c r="K456" s="4"/>
      <c r="L456" s="4"/>
      <c r="M456" s="4"/>
      <c r="N456" s="4"/>
      <c r="O456" s="4"/>
      <c r="P456" s="4"/>
      <c r="Q456" s="4"/>
      <c r="R456" s="4"/>
      <c r="S456" s="4"/>
      <c r="T456" s="4"/>
      <c r="U456" s="4"/>
      <c r="V456" s="4"/>
      <c r="W456" s="4"/>
      <c r="X456" s="4"/>
      <c r="Y456" s="4"/>
      <c r="Z456" s="4"/>
    </row>
    <row r="457" spans="1:26" ht="12.75">
      <c r="A457" s="4"/>
      <c r="B457" s="4"/>
      <c r="C457" s="15"/>
      <c r="D457" s="4"/>
      <c r="E457" s="4"/>
      <c r="F457" s="4"/>
      <c r="G457" s="4"/>
      <c r="H457" s="4"/>
      <c r="I457" s="4"/>
      <c r="J457" s="4"/>
      <c r="K457" s="4"/>
      <c r="L457" s="4"/>
      <c r="M457" s="4"/>
      <c r="N457" s="4"/>
      <c r="O457" s="4"/>
      <c r="P457" s="4"/>
      <c r="Q457" s="4"/>
      <c r="R457" s="4"/>
      <c r="S457" s="4"/>
      <c r="T457" s="4"/>
      <c r="U457" s="4"/>
      <c r="V457" s="4"/>
      <c r="W457" s="4"/>
      <c r="X457" s="4"/>
      <c r="Y457" s="4"/>
      <c r="Z457" s="4"/>
    </row>
    <row r="458" spans="1:26" ht="12.75">
      <c r="A458" s="4"/>
      <c r="B458" s="4"/>
      <c r="C458" s="15"/>
      <c r="D458" s="4"/>
      <c r="E458" s="4"/>
      <c r="F458" s="4"/>
      <c r="G458" s="4"/>
      <c r="H458" s="4"/>
      <c r="I458" s="4"/>
      <c r="J458" s="4"/>
      <c r="K458" s="4"/>
      <c r="L458" s="4"/>
      <c r="M458" s="4"/>
      <c r="N458" s="4"/>
      <c r="O458" s="4"/>
      <c r="P458" s="4"/>
      <c r="Q458" s="4"/>
      <c r="R458" s="4"/>
      <c r="S458" s="4"/>
      <c r="T458" s="4"/>
      <c r="U458" s="4"/>
      <c r="V458" s="4"/>
      <c r="W458" s="4"/>
      <c r="X458" s="4"/>
      <c r="Y458" s="4"/>
      <c r="Z458" s="4"/>
    </row>
    <row r="459" spans="1:26" ht="12.75">
      <c r="A459" s="4"/>
      <c r="B459" s="4"/>
      <c r="C459" s="15"/>
      <c r="D459" s="4"/>
      <c r="E459" s="4"/>
      <c r="F459" s="4"/>
      <c r="G459" s="4"/>
      <c r="H459" s="4"/>
      <c r="I459" s="4"/>
      <c r="J459" s="4"/>
      <c r="K459" s="4"/>
      <c r="L459" s="4"/>
      <c r="M459" s="4"/>
      <c r="N459" s="4"/>
      <c r="O459" s="4"/>
      <c r="P459" s="4"/>
      <c r="Q459" s="4"/>
      <c r="R459" s="4"/>
      <c r="S459" s="4"/>
      <c r="T459" s="4"/>
      <c r="U459" s="4"/>
      <c r="V459" s="4"/>
      <c r="W459" s="4"/>
      <c r="X459" s="4"/>
      <c r="Y459" s="4"/>
      <c r="Z459" s="4"/>
    </row>
    <row r="460" spans="1:26" ht="12.75">
      <c r="A460" s="4"/>
      <c r="B460" s="4"/>
      <c r="C460" s="15"/>
      <c r="D460" s="4"/>
      <c r="E460" s="4"/>
      <c r="F460" s="4"/>
      <c r="G460" s="4"/>
      <c r="H460" s="4"/>
      <c r="I460" s="4"/>
      <c r="J460" s="4"/>
      <c r="K460" s="4"/>
      <c r="L460" s="4"/>
      <c r="M460" s="4"/>
      <c r="N460" s="4"/>
      <c r="O460" s="4"/>
      <c r="P460" s="4"/>
      <c r="Q460" s="4"/>
      <c r="R460" s="4"/>
      <c r="S460" s="4"/>
      <c r="T460" s="4"/>
      <c r="U460" s="4"/>
      <c r="V460" s="4"/>
      <c r="W460" s="4"/>
      <c r="X460" s="4"/>
      <c r="Y460" s="4"/>
      <c r="Z460" s="4"/>
    </row>
    <row r="461" spans="1:26" ht="12.75">
      <c r="A461" s="4"/>
      <c r="B461" s="4"/>
      <c r="C461" s="15"/>
      <c r="D461" s="4"/>
      <c r="E461" s="4"/>
      <c r="F461" s="4"/>
      <c r="G461" s="4"/>
      <c r="H461" s="4"/>
      <c r="I461" s="4"/>
      <c r="J461" s="4"/>
      <c r="K461" s="4"/>
      <c r="L461" s="4"/>
      <c r="M461" s="4"/>
      <c r="N461" s="4"/>
      <c r="O461" s="4"/>
      <c r="P461" s="4"/>
      <c r="Q461" s="4"/>
      <c r="R461" s="4"/>
      <c r="S461" s="4"/>
      <c r="T461" s="4"/>
      <c r="U461" s="4"/>
      <c r="V461" s="4"/>
      <c r="W461" s="4"/>
      <c r="X461" s="4"/>
      <c r="Y461" s="4"/>
      <c r="Z461" s="4"/>
    </row>
    <row r="462" spans="1:26" ht="12.75">
      <c r="A462" s="4"/>
      <c r="B462" s="4"/>
      <c r="C462" s="15"/>
      <c r="D462" s="4"/>
      <c r="E462" s="4"/>
      <c r="F462" s="4"/>
      <c r="G462" s="4"/>
      <c r="H462" s="4"/>
      <c r="I462" s="4"/>
      <c r="J462" s="4"/>
      <c r="K462" s="4"/>
      <c r="L462" s="4"/>
      <c r="M462" s="4"/>
      <c r="N462" s="4"/>
      <c r="O462" s="4"/>
      <c r="P462" s="4"/>
      <c r="Q462" s="4"/>
      <c r="R462" s="4"/>
      <c r="S462" s="4"/>
      <c r="T462" s="4"/>
      <c r="U462" s="4"/>
      <c r="V462" s="4"/>
      <c r="W462" s="4"/>
      <c r="X462" s="4"/>
      <c r="Y462" s="4"/>
      <c r="Z462" s="4"/>
    </row>
    <row r="463" spans="1:26" ht="12.75">
      <c r="A463" s="4"/>
      <c r="B463" s="4"/>
      <c r="C463" s="15"/>
      <c r="D463" s="4"/>
      <c r="E463" s="4"/>
      <c r="F463" s="4"/>
      <c r="G463" s="4"/>
      <c r="H463" s="4"/>
      <c r="I463" s="4"/>
      <c r="J463" s="4"/>
      <c r="K463" s="4"/>
      <c r="L463" s="4"/>
      <c r="M463" s="4"/>
      <c r="N463" s="4"/>
      <c r="O463" s="4"/>
      <c r="P463" s="4"/>
      <c r="Q463" s="4"/>
      <c r="R463" s="4"/>
      <c r="S463" s="4"/>
      <c r="T463" s="4"/>
      <c r="U463" s="4"/>
      <c r="V463" s="4"/>
      <c r="W463" s="4"/>
      <c r="X463" s="4"/>
      <c r="Y463" s="4"/>
      <c r="Z463" s="4"/>
    </row>
    <row r="464" spans="1:26" ht="12.75">
      <c r="A464" s="4"/>
      <c r="B464" s="4"/>
      <c r="C464" s="15"/>
      <c r="D464" s="4"/>
      <c r="E464" s="4"/>
      <c r="F464" s="4"/>
      <c r="G464" s="4"/>
      <c r="H464" s="4"/>
      <c r="I464" s="4"/>
      <c r="J464" s="4"/>
      <c r="K464" s="4"/>
      <c r="L464" s="4"/>
      <c r="M464" s="4"/>
      <c r="N464" s="4"/>
      <c r="O464" s="4"/>
      <c r="P464" s="4"/>
      <c r="Q464" s="4"/>
      <c r="R464" s="4"/>
      <c r="S464" s="4"/>
      <c r="T464" s="4"/>
      <c r="U464" s="4"/>
      <c r="V464" s="4"/>
      <c r="W464" s="4"/>
      <c r="X464" s="4"/>
      <c r="Y464" s="4"/>
      <c r="Z464" s="4"/>
    </row>
    <row r="465" spans="1:26" ht="12.75">
      <c r="A465" s="4"/>
      <c r="B465" s="4"/>
      <c r="C465" s="15"/>
      <c r="D465" s="4"/>
      <c r="E465" s="4"/>
      <c r="F465" s="4"/>
      <c r="G465" s="4"/>
      <c r="H465" s="4"/>
      <c r="I465" s="4"/>
      <c r="J465" s="4"/>
      <c r="K465" s="4"/>
      <c r="L465" s="4"/>
      <c r="M465" s="4"/>
      <c r="N465" s="4"/>
      <c r="O465" s="4"/>
      <c r="P465" s="4"/>
      <c r="Q465" s="4"/>
      <c r="R465" s="4"/>
      <c r="S465" s="4"/>
      <c r="T465" s="4"/>
      <c r="U465" s="4"/>
      <c r="V465" s="4"/>
      <c r="W465" s="4"/>
      <c r="X465" s="4"/>
      <c r="Y465" s="4"/>
      <c r="Z465" s="4"/>
    </row>
    <row r="466" spans="1:26" ht="12.75">
      <c r="A466" s="4"/>
      <c r="B466" s="4"/>
      <c r="C466" s="15"/>
      <c r="D466" s="4"/>
      <c r="E466" s="4"/>
      <c r="F466" s="4"/>
      <c r="G466" s="4"/>
      <c r="H466" s="4"/>
      <c r="I466" s="4"/>
      <c r="J466" s="4"/>
      <c r="K466" s="4"/>
      <c r="L466" s="4"/>
      <c r="M466" s="4"/>
      <c r="N466" s="4"/>
      <c r="O466" s="4"/>
      <c r="P466" s="4"/>
      <c r="Q466" s="4"/>
      <c r="R466" s="4"/>
      <c r="S466" s="4"/>
      <c r="T466" s="4"/>
      <c r="U466" s="4"/>
      <c r="V466" s="4"/>
      <c r="W466" s="4"/>
      <c r="X466" s="4"/>
      <c r="Y466" s="4"/>
      <c r="Z466" s="4"/>
    </row>
    <row r="467" spans="1:26" ht="12.75">
      <c r="A467" s="4"/>
      <c r="B467" s="4"/>
      <c r="C467" s="15"/>
      <c r="D467" s="4"/>
      <c r="E467" s="4"/>
      <c r="F467" s="4"/>
      <c r="G467" s="4"/>
      <c r="H467" s="4"/>
      <c r="I467" s="4"/>
      <c r="J467" s="4"/>
      <c r="K467" s="4"/>
      <c r="L467" s="4"/>
      <c r="M467" s="4"/>
      <c r="N467" s="4"/>
      <c r="O467" s="4"/>
      <c r="P467" s="4"/>
      <c r="Q467" s="4"/>
      <c r="R467" s="4"/>
      <c r="S467" s="4"/>
      <c r="T467" s="4"/>
      <c r="U467" s="4"/>
      <c r="V467" s="4"/>
      <c r="W467" s="4"/>
      <c r="X467" s="4"/>
      <c r="Y467" s="4"/>
      <c r="Z467" s="4"/>
    </row>
    <row r="468" spans="1:26" ht="12.75">
      <c r="A468" s="4"/>
      <c r="B468" s="4"/>
      <c r="C468" s="15"/>
      <c r="D468" s="4"/>
      <c r="E468" s="4"/>
      <c r="F468" s="4"/>
      <c r="G468" s="4"/>
      <c r="H468" s="4"/>
      <c r="I468" s="4"/>
      <c r="J468" s="4"/>
      <c r="K468" s="4"/>
      <c r="L468" s="4"/>
      <c r="M468" s="4"/>
      <c r="N468" s="4"/>
      <c r="O468" s="4"/>
      <c r="P468" s="4"/>
      <c r="Q468" s="4"/>
      <c r="R468" s="4"/>
      <c r="S468" s="4"/>
      <c r="T468" s="4"/>
      <c r="U468" s="4"/>
      <c r="V468" s="4"/>
      <c r="W468" s="4"/>
      <c r="X468" s="4"/>
      <c r="Y468" s="4"/>
      <c r="Z468" s="4"/>
    </row>
    <row r="469" spans="1:26" ht="12.75">
      <c r="A469" s="4"/>
      <c r="B469" s="4"/>
      <c r="C469" s="15"/>
      <c r="D469" s="4"/>
      <c r="E469" s="4"/>
      <c r="F469" s="4"/>
      <c r="G469" s="4"/>
      <c r="H469" s="4"/>
      <c r="I469" s="4"/>
      <c r="J469" s="4"/>
      <c r="K469" s="4"/>
      <c r="L469" s="4"/>
      <c r="M469" s="4"/>
      <c r="N469" s="4"/>
      <c r="O469" s="4"/>
      <c r="P469" s="4"/>
      <c r="Q469" s="4"/>
      <c r="R469" s="4"/>
      <c r="S469" s="4"/>
      <c r="T469" s="4"/>
      <c r="U469" s="4"/>
      <c r="V469" s="4"/>
      <c r="W469" s="4"/>
      <c r="X469" s="4"/>
      <c r="Y469" s="4"/>
      <c r="Z469" s="4"/>
    </row>
    <row r="470" spans="1:26" ht="12.75">
      <c r="A470" s="4"/>
      <c r="B470" s="4"/>
      <c r="C470" s="15"/>
      <c r="D470" s="4"/>
      <c r="E470" s="4"/>
      <c r="F470" s="4"/>
      <c r="G470" s="4"/>
      <c r="H470" s="4"/>
      <c r="I470" s="4"/>
      <c r="J470" s="4"/>
      <c r="K470" s="4"/>
      <c r="L470" s="4"/>
      <c r="M470" s="4"/>
      <c r="N470" s="4"/>
      <c r="O470" s="4"/>
      <c r="P470" s="4"/>
      <c r="Q470" s="4"/>
      <c r="R470" s="4"/>
      <c r="S470" s="4"/>
      <c r="T470" s="4"/>
      <c r="U470" s="4"/>
      <c r="V470" s="4"/>
      <c r="W470" s="4"/>
      <c r="X470" s="4"/>
      <c r="Y470" s="4"/>
      <c r="Z470" s="4"/>
    </row>
    <row r="471" spans="1:26" ht="12.75">
      <c r="A471" s="4"/>
      <c r="B471" s="4"/>
      <c r="C471" s="15"/>
      <c r="D471" s="4"/>
      <c r="E471" s="4"/>
      <c r="F471" s="4"/>
      <c r="G471" s="4"/>
      <c r="H471" s="4"/>
      <c r="I471" s="4"/>
      <c r="J471" s="4"/>
      <c r="K471" s="4"/>
      <c r="L471" s="4"/>
      <c r="M471" s="4"/>
      <c r="N471" s="4"/>
      <c r="O471" s="4"/>
      <c r="P471" s="4"/>
      <c r="Q471" s="4"/>
      <c r="R471" s="4"/>
      <c r="S471" s="4"/>
      <c r="T471" s="4"/>
      <c r="U471" s="4"/>
      <c r="V471" s="4"/>
      <c r="W471" s="4"/>
      <c r="X471" s="4"/>
      <c r="Y471" s="4"/>
      <c r="Z471" s="4"/>
    </row>
    <row r="472" spans="1:26" ht="12.75">
      <c r="A472" s="4"/>
      <c r="B472" s="4"/>
      <c r="C472" s="15"/>
      <c r="D472" s="4"/>
      <c r="E472" s="4"/>
      <c r="F472" s="4"/>
      <c r="G472" s="4"/>
      <c r="H472" s="4"/>
      <c r="I472" s="4"/>
      <c r="J472" s="4"/>
      <c r="K472" s="4"/>
      <c r="L472" s="4"/>
      <c r="M472" s="4"/>
      <c r="N472" s="4"/>
      <c r="O472" s="4"/>
      <c r="P472" s="4"/>
      <c r="Q472" s="4"/>
      <c r="R472" s="4"/>
      <c r="S472" s="4"/>
      <c r="T472" s="4"/>
      <c r="U472" s="4"/>
      <c r="V472" s="4"/>
      <c r="W472" s="4"/>
      <c r="X472" s="4"/>
      <c r="Y472" s="4"/>
      <c r="Z472" s="4"/>
    </row>
    <row r="473" spans="1:26" ht="12.75">
      <c r="A473" s="4"/>
      <c r="B473" s="4"/>
      <c r="C473" s="15"/>
      <c r="D473" s="4"/>
      <c r="E473" s="4"/>
      <c r="F473" s="4"/>
      <c r="G473" s="4"/>
      <c r="H473" s="4"/>
      <c r="I473" s="4"/>
      <c r="J473" s="4"/>
      <c r="K473" s="4"/>
      <c r="L473" s="4"/>
      <c r="M473" s="4"/>
      <c r="N473" s="4"/>
      <c r="O473" s="4"/>
      <c r="P473" s="4"/>
      <c r="Q473" s="4"/>
      <c r="R473" s="4"/>
      <c r="S473" s="4"/>
      <c r="T473" s="4"/>
      <c r="U473" s="4"/>
      <c r="V473" s="4"/>
      <c r="W473" s="4"/>
      <c r="X473" s="4"/>
      <c r="Y473" s="4"/>
      <c r="Z473" s="4"/>
    </row>
    <row r="474" spans="1:26" ht="12.75">
      <c r="A474" s="4"/>
      <c r="B474" s="4"/>
      <c r="C474" s="15"/>
      <c r="D474" s="4"/>
      <c r="E474" s="4"/>
      <c r="F474" s="4"/>
      <c r="G474" s="4"/>
      <c r="H474" s="4"/>
      <c r="I474" s="4"/>
      <c r="J474" s="4"/>
      <c r="K474" s="4"/>
      <c r="L474" s="4"/>
      <c r="M474" s="4"/>
      <c r="N474" s="4"/>
      <c r="O474" s="4"/>
      <c r="P474" s="4"/>
      <c r="Q474" s="4"/>
      <c r="R474" s="4"/>
      <c r="S474" s="4"/>
      <c r="T474" s="4"/>
      <c r="U474" s="4"/>
      <c r="V474" s="4"/>
      <c r="W474" s="4"/>
      <c r="X474" s="4"/>
      <c r="Y474" s="4"/>
      <c r="Z474" s="4"/>
    </row>
    <row r="475" spans="1:26" ht="12.75">
      <c r="A475" s="4"/>
      <c r="B475" s="4"/>
      <c r="C475" s="15"/>
      <c r="D475" s="4"/>
      <c r="E475" s="4"/>
      <c r="F475" s="4"/>
      <c r="G475" s="4"/>
      <c r="H475" s="4"/>
      <c r="I475" s="4"/>
      <c r="J475" s="4"/>
      <c r="K475" s="4"/>
      <c r="L475" s="4"/>
      <c r="M475" s="4"/>
      <c r="N475" s="4"/>
      <c r="O475" s="4"/>
      <c r="P475" s="4"/>
      <c r="Q475" s="4"/>
      <c r="R475" s="4"/>
      <c r="S475" s="4"/>
      <c r="T475" s="4"/>
      <c r="U475" s="4"/>
      <c r="V475" s="4"/>
      <c r="W475" s="4"/>
      <c r="X475" s="4"/>
      <c r="Y475" s="4"/>
      <c r="Z475" s="4"/>
    </row>
    <row r="476" spans="1:26" ht="12.75">
      <c r="A476" s="4"/>
      <c r="B476" s="4"/>
      <c r="C476" s="15"/>
      <c r="D476" s="4"/>
      <c r="E476" s="4"/>
      <c r="F476" s="4"/>
      <c r="G476" s="4"/>
      <c r="H476" s="4"/>
      <c r="I476" s="4"/>
      <c r="J476" s="4"/>
      <c r="K476" s="4"/>
      <c r="L476" s="4"/>
      <c r="M476" s="4"/>
      <c r="N476" s="4"/>
      <c r="O476" s="4"/>
      <c r="P476" s="4"/>
      <c r="Q476" s="4"/>
      <c r="R476" s="4"/>
      <c r="S476" s="4"/>
      <c r="T476" s="4"/>
      <c r="U476" s="4"/>
      <c r="V476" s="4"/>
      <c r="W476" s="4"/>
      <c r="X476" s="4"/>
      <c r="Y476" s="4"/>
      <c r="Z476" s="4"/>
    </row>
    <row r="477" spans="1:26" ht="12.75">
      <c r="A477" s="4"/>
      <c r="B477" s="4"/>
      <c r="C477" s="15"/>
      <c r="D477" s="4"/>
      <c r="E477" s="4"/>
      <c r="F477" s="4"/>
      <c r="G477" s="4"/>
      <c r="H477" s="4"/>
      <c r="I477" s="4"/>
      <c r="J477" s="4"/>
      <c r="K477" s="4"/>
      <c r="L477" s="4"/>
      <c r="M477" s="4"/>
      <c r="N477" s="4"/>
      <c r="O477" s="4"/>
      <c r="P477" s="4"/>
      <c r="Q477" s="4"/>
      <c r="R477" s="4"/>
      <c r="S477" s="4"/>
      <c r="T477" s="4"/>
      <c r="U477" s="4"/>
      <c r="V477" s="4"/>
      <c r="W477" s="4"/>
      <c r="X477" s="4"/>
      <c r="Y477" s="4"/>
      <c r="Z477" s="4"/>
    </row>
    <row r="478" spans="1:26" ht="12.75">
      <c r="A478" s="4"/>
      <c r="B478" s="4"/>
      <c r="C478" s="15"/>
      <c r="D478" s="4"/>
      <c r="E478" s="4"/>
      <c r="F478" s="4"/>
      <c r="G478" s="4"/>
      <c r="H478" s="4"/>
      <c r="I478" s="4"/>
      <c r="J478" s="4"/>
      <c r="K478" s="4"/>
      <c r="L478" s="4"/>
      <c r="M478" s="4"/>
      <c r="N478" s="4"/>
      <c r="O478" s="4"/>
      <c r="P478" s="4"/>
      <c r="Q478" s="4"/>
      <c r="R478" s="4"/>
      <c r="S478" s="4"/>
      <c r="T478" s="4"/>
      <c r="U478" s="4"/>
      <c r="V478" s="4"/>
      <c r="W478" s="4"/>
      <c r="X478" s="4"/>
      <c r="Y478" s="4"/>
      <c r="Z478" s="4"/>
    </row>
    <row r="479" spans="1:26" ht="12.75">
      <c r="A479" s="4"/>
      <c r="B479" s="4"/>
      <c r="C479" s="15"/>
      <c r="D479" s="4"/>
      <c r="E479" s="4"/>
      <c r="F479" s="4"/>
      <c r="G479" s="4"/>
      <c r="H479" s="4"/>
      <c r="I479" s="4"/>
      <c r="J479" s="4"/>
      <c r="K479" s="4"/>
      <c r="L479" s="4"/>
      <c r="M479" s="4"/>
      <c r="N479" s="4"/>
      <c r="O479" s="4"/>
      <c r="P479" s="4"/>
      <c r="Q479" s="4"/>
      <c r="R479" s="4"/>
      <c r="S479" s="4"/>
      <c r="T479" s="4"/>
      <c r="U479" s="4"/>
      <c r="V479" s="4"/>
      <c r="W479" s="4"/>
      <c r="X479" s="4"/>
      <c r="Y479" s="4"/>
      <c r="Z479" s="4"/>
    </row>
    <row r="480" spans="1:26" ht="12.75">
      <c r="A480" s="4"/>
      <c r="B480" s="4"/>
      <c r="C480" s="15"/>
      <c r="D480" s="4"/>
      <c r="E480" s="4"/>
      <c r="F480" s="4"/>
      <c r="G480" s="4"/>
      <c r="H480" s="4"/>
      <c r="I480" s="4"/>
      <c r="J480" s="4"/>
      <c r="K480" s="4"/>
      <c r="L480" s="4"/>
      <c r="M480" s="4"/>
      <c r="N480" s="4"/>
      <c r="O480" s="4"/>
      <c r="P480" s="4"/>
      <c r="Q480" s="4"/>
      <c r="R480" s="4"/>
      <c r="S480" s="4"/>
      <c r="T480" s="4"/>
      <c r="U480" s="4"/>
      <c r="V480" s="4"/>
      <c r="W480" s="4"/>
      <c r="X480" s="4"/>
      <c r="Y480" s="4"/>
      <c r="Z480" s="4"/>
    </row>
    <row r="481" spans="1:26" ht="12.75">
      <c r="A481" s="4"/>
      <c r="B481" s="4"/>
      <c r="C481" s="15"/>
      <c r="D481" s="4"/>
      <c r="E481" s="4"/>
      <c r="F481" s="4"/>
      <c r="G481" s="4"/>
      <c r="H481" s="4"/>
      <c r="I481" s="4"/>
      <c r="J481" s="4"/>
      <c r="K481" s="4"/>
      <c r="L481" s="4"/>
      <c r="M481" s="4"/>
      <c r="N481" s="4"/>
      <c r="O481" s="4"/>
      <c r="P481" s="4"/>
      <c r="Q481" s="4"/>
      <c r="R481" s="4"/>
      <c r="S481" s="4"/>
      <c r="T481" s="4"/>
      <c r="U481" s="4"/>
      <c r="V481" s="4"/>
      <c r="W481" s="4"/>
      <c r="X481" s="4"/>
      <c r="Y481" s="4"/>
      <c r="Z481" s="4"/>
    </row>
    <row r="482" spans="1:26" ht="12.75">
      <c r="A482" s="4"/>
      <c r="B482" s="4"/>
      <c r="C482" s="15"/>
      <c r="D482" s="4"/>
      <c r="E482" s="4"/>
      <c r="F482" s="4"/>
      <c r="G482" s="4"/>
      <c r="H482" s="4"/>
      <c r="I482" s="4"/>
      <c r="J482" s="4"/>
      <c r="K482" s="4"/>
      <c r="L482" s="4"/>
      <c r="M482" s="4"/>
      <c r="N482" s="4"/>
      <c r="O482" s="4"/>
      <c r="P482" s="4"/>
      <c r="Q482" s="4"/>
      <c r="R482" s="4"/>
      <c r="S482" s="4"/>
      <c r="T482" s="4"/>
      <c r="U482" s="4"/>
      <c r="V482" s="4"/>
      <c r="W482" s="4"/>
      <c r="X482" s="4"/>
      <c r="Y482" s="4"/>
      <c r="Z482" s="4"/>
    </row>
    <row r="483" spans="1:26" ht="12.75">
      <c r="A483" s="4"/>
      <c r="B483" s="4"/>
      <c r="C483" s="15"/>
      <c r="D483" s="4"/>
      <c r="E483" s="4"/>
      <c r="F483" s="4"/>
      <c r="G483" s="4"/>
      <c r="H483" s="4"/>
      <c r="I483" s="4"/>
      <c r="J483" s="4"/>
      <c r="K483" s="4"/>
      <c r="L483" s="4"/>
      <c r="M483" s="4"/>
      <c r="N483" s="4"/>
      <c r="O483" s="4"/>
      <c r="P483" s="4"/>
      <c r="Q483" s="4"/>
      <c r="R483" s="4"/>
      <c r="S483" s="4"/>
      <c r="T483" s="4"/>
      <c r="U483" s="4"/>
      <c r="V483" s="4"/>
      <c r="W483" s="4"/>
      <c r="X483" s="4"/>
      <c r="Y483" s="4"/>
      <c r="Z483" s="4"/>
    </row>
    <row r="484" spans="1:26" ht="12.75">
      <c r="A484" s="4"/>
      <c r="B484" s="4"/>
      <c r="C484" s="15"/>
      <c r="D484" s="4"/>
      <c r="E484" s="4"/>
      <c r="F484" s="4"/>
      <c r="G484" s="4"/>
      <c r="H484" s="4"/>
      <c r="I484" s="4"/>
      <c r="J484" s="4"/>
      <c r="K484" s="4"/>
      <c r="L484" s="4"/>
      <c r="M484" s="4"/>
      <c r="N484" s="4"/>
      <c r="O484" s="4"/>
      <c r="P484" s="4"/>
      <c r="Q484" s="4"/>
      <c r="R484" s="4"/>
      <c r="S484" s="4"/>
      <c r="T484" s="4"/>
      <c r="U484" s="4"/>
      <c r="V484" s="4"/>
      <c r="W484" s="4"/>
      <c r="X484" s="4"/>
      <c r="Y484" s="4"/>
      <c r="Z484" s="4"/>
    </row>
    <row r="485" spans="1:26" ht="12.75">
      <c r="A485" s="4"/>
      <c r="B485" s="4"/>
      <c r="C485" s="15"/>
      <c r="D485" s="4"/>
      <c r="E485" s="4"/>
      <c r="F485" s="4"/>
      <c r="G485" s="4"/>
      <c r="H485" s="4"/>
      <c r="I485" s="4"/>
      <c r="J485" s="4"/>
      <c r="K485" s="4"/>
      <c r="L485" s="4"/>
      <c r="M485" s="4"/>
      <c r="N485" s="4"/>
      <c r="O485" s="4"/>
      <c r="P485" s="4"/>
      <c r="Q485" s="4"/>
      <c r="R485" s="4"/>
      <c r="S485" s="4"/>
      <c r="T485" s="4"/>
      <c r="U485" s="4"/>
      <c r="V485" s="4"/>
      <c r="W485" s="4"/>
      <c r="X485" s="4"/>
      <c r="Y485" s="4"/>
      <c r="Z485" s="4"/>
    </row>
    <row r="486" spans="1:26" ht="12.75">
      <c r="A486" s="4"/>
      <c r="B486" s="4"/>
      <c r="C486" s="15"/>
      <c r="D486" s="4"/>
      <c r="E486" s="4"/>
      <c r="F486" s="4"/>
      <c r="G486" s="4"/>
      <c r="H486" s="4"/>
      <c r="I486" s="4"/>
      <c r="J486" s="4"/>
      <c r="K486" s="4"/>
      <c r="L486" s="4"/>
      <c r="M486" s="4"/>
      <c r="N486" s="4"/>
      <c r="O486" s="4"/>
      <c r="P486" s="4"/>
      <c r="Q486" s="4"/>
      <c r="R486" s="4"/>
      <c r="S486" s="4"/>
      <c r="T486" s="4"/>
      <c r="U486" s="4"/>
      <c r="V486" s="4"/>
      <c r="W486" s="4"/>
      <c r="X486" s="4"/>
      <c r="Y486" s="4"/>
      <c r="Z486" s="4"/>
    </row>
    <row r="487" spans="1:26" ht="12.75">
      <c r="A487" s="4"/>
      <c r="B487" s="4"/>
      <c r="C487" s="15"/>
      <c r="D487" s="4"/>
      <c r="E487" s="4"/>
      <c r="F487" s="4"/>
      <c r="G487" s="4"/>
      <c r="H487" s="4"/>
      <c r="I487" s="4"/>
      <c r="J487" s="4"/>
      <c r="K487" s="4"/>
      <c r="L487" s="4"/>
      <c r="M487" s="4"/>
      <c r="N487" s="4"/>
      <c r="O487" s="4"/>
      <c r="P487" s="4"/>
      <c r="Q487" s="4"/>
      <c r="R487" s="4"/>
      <c r="S487" s="4"/>
      <c r="T487" s="4"/>
      <c r="U487" s="4"/>
      <c r="V487" s="4"/>
      <c r="W487" s="4"/>
      <c r="X487" s="4"/>
      <c r="Y487" s="4"/>
      <c r="Z487" s="4"/>
    </row>
    <row r="488" spans="1:26" ht="12.75">
      <c r="A488" s="4"/>
      <c r="B488" s="4"/>
      <c r="C488" s="15"/>
      <c r="D488" s="4"/>
      <c r="E488" s="4"/>
      <c r="F488" s="4"/>
      <c r="G488" s="4"/>
      <c r="H488" s="4"/>
      <c r="I488" s="4"/>
      <c r="J488" s="4"/>
      <c r="K488" s="4"/>
      <c r="L488" s="4"/>
      <c r="M488" s="4"/>
      <c r="N488" s="4"/>
      <c r="O488" s="4"/>
      <c r="P488" s="4"/>
      <c r="Q488" s="4"/>
      <c r="R488" s="4"/>
      <c r="S488" s="4"/>
      <c r="T488" s="4"/>
      <c r="U488" s="4"/>
      <c r="V488" s="4"/>
      <c r="W488" s="4"/>
      <c r="X488" s="4"/>
      <c r="Y488" s="4"/>
      <c r="Z488" s="4"/>
    </row>
    <row r="489" spans="1:26" ht="12.75">
      <c r="A489" s="4"/>
      <c r="B489" s="4"/>
      <c r="C489" s="15"/>
      <c r="D489" s="4"/>
      <c r="E489" s="4"/>
      <c r="F489" s="4"/>
      <c r="G489" s="4"/>
      <c r="H489" s="4"/>
      <c r="I489" s="4"/>
      <c r="J489" s="4"/>
      <c r="K489" s="4"/>
      <c r="L489" s="4"/>
      <c r="M489" s="4"/>
      <c r="N489" s="4"/>
      <c r="O489" s="4"/>
      <c r="P489" s="4"/>
      <c r="Q489" s="4"/>
      <c r="R489" s="4"/>
      <c r="S489" s="4"/>
      <c r="T489" s="4"/>
      <c r="U489" s="4"/>
      <c r="V489" s="4"/>
      <c r="W489" s="4"/>
      <c r="X489" s="4"/>
      <c r="Y489" s="4"/>
      <c r="Z489" s="4"/>
    </row>
    <row r="490" spans="1:26" ht="12.75">
      <c r="A490" s="4"/>
      <c r="B490" s="4"/>
      <c r="C490" s="15"/>
      <c r="D490" s="4"/>
      <c r="E490" s="4"/>
      <c r="F490" s="4"/>
      <c r="G490" s="4"/>
      <c r="H490" s="4"/>
      <c r="I490" s="4"/>
      <c r="J490" s="4"/>
      <c r="K490" s="4"/>
      <c r="L490" s="4"/>
      <c r="M490" s="4"/>
      <c r="N490" s="4"/>
      <c r="O490" s="4"/>
      <c r="P490" s="4"/>
      <c r="Q490" s="4"/>
      <c r="R490" s="4"/>
      <c r="S490" s="4"/>
      <c r="T490" s="4"/>
      <c r="U490" s="4"/>
      <c r="V490" s="4"/>
      <c r="W490" s="4"/>
      <c r="X490" s="4"/>
      <c r="Y490" s="4"/>
      <c r="Z490" s="4"/>
    </row>
    <row r="491" spans="1:26" ht="12.75">
      <c r="A491" s="4"/>
      <c r="B491" s="4"/>
      <c r="C491" s="15"/>
      <c r="D491" s="4"/>
      <c r="E491" s="4"/>
      <c r="F491" s="4"/>
      <c r="G491" s="4"/>
      <c r="H491" s="4"/>
      <c r="I491" s="4"/>
      <c r="J491" s="4"/>
      <c r="K491" s="4"/>
      <c r="L491" s="4"/>
      <c r="M491" s="4"/>
      <c r="N491" s="4"/>
      <c r="O491" s="4"/>
      <c r="P491" s="4"/>
      <c r="Q491" s="4"/>
      <c r="R491" s="4"/>
      <c r="S491" s="4"/>
      <c r="T491" s="4"/>
      <c r="U491" s="4"/>
      <c r="V491" s="4"/>
      <c r="W491" s="4"/>
      <c r="X491" s="4"/>
      <c r="Y491" s="4"/>
      <c r="Z491" s="4"/>
    </row>
    <row r="492" spans="1:26" ht="12.75">
      <c r="A492" s="4"/>
      <c r="B492" s="4"/>
      <c r="C492" s="15"/>
      <c r="D492" s="4"/>
      <c r="E492" s="4"/>
      <c r="F492" s="4"/>
      <c r="G492" s="4"/>
      <c r="H492" s="4"/>
      <c r="I492" s="4"/>
      <c r="J492" s="4"/>
      <c r="K492" s="4"/>
      <c r="L492" s="4"/>
      <c r="M492" s="4"/>
      <c r="N492" s="4"/>
      <c r="O492" s="4"/>
      <c r="P492" s="4"/>
      <c r="Q492" s="4"/>
      <c r="R492" s="4"/>
      <c r="S492" s="4"/>
      <c r="T492" s="4"/>
      <c r="U492" s="4"/>
      <c r="V492" s="4"/>
      <c r="W492" s="4"/>
      <c r="X492" s="4"/>
      <c r="Y492" s="4"/>
      <c r="Z492" s="4"/>
    </row>
    <row r="493" spans="1:26" ht="12.75">
      <c r="A493" s="4"/>
      <c r="B493" s="4"/>
      <c r="C493" s="15"/>
      <c r="D493" s="4"/>
      <c r="E493" s="4"/>
      <c r="F493" s="4"/>
      <c r="G493" s="4"/>
      <c r="H493" s="4"/>
      <c r="I493" s="4"/>
      <c r="J493" s="4"/>
      <c r="K493" s="4"/>
      <c r="L493" s="4"/>
      <c r="M493" s="4"/>
      <c r="N493" s="4"/>
      <c r="O493" s="4"/>
      <c r="P493" s="4"/>
      <c r="Q493" s="4"/>
      <c r="R493" s="4"/>
      <c r="S493" s="4"/>
      <c r="T493" s="4"/>
      <c r="U493" s="4"/>
      <c r="V493" s="4"/>
      <c r="W493" s="4"/>
      <c r="X493" s="4"/>
      <c r="Y493" s="4"/>
      <c r="Z493" s="4"/>
    </row>
    <row r="494" spans="1:26" ht="12.75">
      <c r="A494" s="4"/>
      <c r="B494" s="4"/>
      <c r="C494" s="15"/>
      <c r="D494" s="4"/>
      <c r="E494" s="4"/>
      <c r="F494" s="4"/>
      <c r="G494" s="4"/>
      <c r="H494" s="4"/>
      <c r="I494" s="4"/>
      <c r="J494" s="4"/>
      <c r="K494" s="4"/>
      <c r="L494" s="4"/>
      <c r="M494" s="4"/>
      <c r="N494" s="4"/>
      <c r="O494" s="4"/>
      <c r="P494" s="4"/>
      <c r="Q494" s="4"/>
      <c r="R494" s="4"/>
      <c r="S494" s="4"/>
      <c r="T494" s="4"/>
      <c r="U494" s="4"/>
      <c r="V494" s="4"/>
      <c r="W494" s="4"/>
      <c r="X494" s="4"/>
      <c r="Y494" s="4"/>
      <c r="Z494" s="4"/>
    </row>
    <row r="495" spans="1:26" ht="12.75">
      <c r="A495" s="4"/>
      <c r="B495" s="4"/>
      <c r="C495" s="15"/>
      <c r="D495" s="4"/>
      <c r="E495" s="4"/>
      <c r="F495" s="4"/>
      <c r="G495" s="4"/>
      <c r="H495" s="4"/>
      <c r="I495" s="4"/>
      <c r="J495" s="4"/>
      <c r="K495" s="4"/>
      <c r="L495" s="4"/>
      <c r="M495" s="4"/>
      <c r="N495" s="4"/>
      <c r="O495" s="4"/>
      <c r="P495" s="4"/>
      <c r="Q495" s="4"/>
      <c r="R495" s="4"/>
      <c r="S495" s="4"/>
      <c r="T495" s="4"/>
      <c r="U495" s="4"/>
      <c r="V495" s="4"/>
      <c r="W495" s="4"/>
      <c r="X495" s="4"/>
      <c r="Y495" s="4"/>
      <c r="Z495" s="4"/>
    </row>
    <row r="496" spans="1:26" ht="12.75">
      <c r="A496" s="4"/>
      <c r="B496" s="4"/>
      <c r="C496" s="15"/>
      <c r="D496" s="4"/>
      <c r="E496" s="4"/>
      <c r="F496" s="4"/>
      <c r="G496" s="4"/>
      <c r="H496" s="4"/>
      <c r="I496" s="4"/>
      <c r="J496" s="4"/>
      <c r="K496" s="4"/>
      <c r="L496" s="4"/>
      <c r="M496" s="4"/>
      <c r="N496" s="4"/>
      <c r="O496" s="4"/>
      <c r="P496" s="4"/>
      <c r="Q496" s="4"/>
      <c r="R496" s="4"/>
      <c r="S496" s="4"/>
      <c r="T496" s="4"/>
      <c r="U496" s="4"/>
      <c r="V496" s="4"/>
      <c r="W496" s="4"/>
      <c r="X496" s="4"/>
      <c r="Y496" s="4"/>
      <c r="Z496" s="4"/>
    </row>
    <row r="497" spans="1:26" ht="12.75">
      <c r="A497" s="4"/>
      <c r="B497" s="4"/>
      <c r="C497" s="15"/>
      <c r="D497" s="4"/>
      <c r="E497" s="4"/>
      <c r="F497" s="4"/>
      <c r="G497" s="4"/>
      <c r="H497" s="4"/>
      <c r="I497" s="4"/>
      <c r="J497" s="4"/>
      <c r="K497" s="4"/>
      <c r="L497" s="4"/>
      <c r="M497" s="4"/>
      <c r="N497" s="4"/>
      <c r="O497" s="4"/>
      <c r="P497" s="4"/>
      <c r="Q497" s="4"/>
      <c r="R497" s="4"/>
      <c r="S497" s="4"/>
      <c r="T497" s="4"/>
      <c r="U497" s="4"/>
      <c r="V497" s="4"/>
      <c r="W497" s="4"/>
      <c r="X497" s="4"/>
      <c r="Y497" s="4"/>
      <c r="Z497" s="4"/>
    </row>
    <row r="498" spans="1:26" ht="12.75">
      <c r="A498" s="4"/>
      <c r="B498" s="4"/>
      <c r="C498" s="15"/>
      <c r="D498" s="4"/>
      <c r="E498" s="4"/>
      <c r="F498" s="4"/>
      <c r="G498" s="4"/>
      <c r="H498" s="4"/>
      <c r="I498" s="4"/>
      <c r="J498" s="4"/>
      <c r="K498" s="4"/>
      <c r="L498" s="4"/>
      <c r="M498" s="4"/>
      <c r="N498" s="4"/>
      <c r="O498" s="4"/>
      <c r="P498" s="4"/>
      <c r="Q498" s="4"/>
      <c r="R498" s="4"/>
      <c r="S498" s="4"/>
      <c r="T498" s="4"/>
      <c r="U498" s="4"/>
      <c r="V498" s="4"/>
      <c r="W498" s="4"/>
      <c r="X498" s="4"/>
      <c r="Y498" s="4"/>
      <c r="Z498" s="4"/>
    </row>
    <row r="499" spans="1:26" ht="12.75">
      <c r="A499" s="4"/>
      <c r="B499" s="4"/>
      <c r="C499" s="15"/>
      <c r="D499" s="4"/>
      <c r="E499" s="4"/>
      <c r="F499" s="4"/>
      <c r="G499" s="4"/>
      <c r="H499" s="4"/>
      <c r="I499" s="4"/>
      <c r="J499" s="4"/>
      <c r="K499" s="4"/>
      <c r="L499" s="4"/>
      <c r="M499" s="4"/>
      <c r="N499" s="4"/>
      <c r="O499" s="4"/>
      <c r="P499" s="4"/>
      <c r="Q499" s="4"/>
      <c r="R499" s="4"/>
      <c r="S499" s="4"/>
      <c r="T499" s="4"/>
      <c r="U499" s="4"/>
      <c r="V499" s="4"/>
      <c r="W499" s="4"/>
      <c r="X499" s="4"/>
      <c r="Y499" s="4"/>
      <c r="Z499" s="4"/>
    </row>
    <row r="500" spans="1:26" ht="12.75">
      <c r="A500" s="4"/>
      <c r="B500" s="4"/>
      <c r="C500" s="15"/>
      <c r="D500" s="4"/>
      <c r="E500" s="4"/>
      <c r="F500" s="4"/>
      <c r="G500" s="4"/>
      <c r="H500" s="4"/>
      <c r="I500" s="4"/>
      <c r="J500" s="4"/>
      <c r="K500" s="4"/>
      <c r="L500" s="4"/>
      <c r="M500" s="4"/>
      <c r="N500" s="4"/>
      <c r="O500" s="4"/>
      <c r="P500" s="4"/>
      <c r="Q500" s="4"/>
      <c r="R500" s="4"/>
      <c r="S500" s="4"/>
      <c r="T500" s="4"/>
      <c r="U500" s="4"/>
      <c r="V500" s="4"/>
      <c r="W500" s="4"/>
      <c r="X500" s="4"/>
      <c r="Y500" s="4"/>
      <c r="Z500" s="4"/>
    </row>
    <row r="501" spans="1:26" ht="12.75">
      <c r="A501" s="4"/>
      <c r="B501" s="4"/>
      <c r="C501" s="15"/>
      <c r="D501" s="4"/>
      <c r="E501" s="4"/>
      <c r="F501" s="4"/>
      <c r="G501" s="4"/>
      <c r="H501" s="4"/>
      <c r="I501" s="4"/>
      <c r="J501" s="4"/>
      <c r="K501" s="4"/>
      <c r="L501" s="4"/>
      <c r="M501" s="4"/>
      <c r="N501" s="4"/>
      <c r="O501" s="4"/>
      <c r="P501" s="4"/>
      <c r="Q501" s="4"/>
      <c r="R501" s="4"/>
      <c r="S501" s="4"/>
      <c r="T501" s="4"/>
      <c r="U501" s="4"/>
      <c r="V501" s="4"/>
      <c r="W501" s="4"/>
      <c r="X501" s="4"/>
      <c r="Y501" s="4"/>
      <c r="Z501" s="4"/>
    </row>
    <row r="502" spans="1:26" ht="12.75">
      <c r="A502" s="4"/>
      <c r="B502" s="4"/>
      <c r="C502" s="15"/>
      <c r="D502" s="4"/>
      <c r="E502" s="4"/>
      <c r="F502" s="4"/>
      <c r="G502" s="4"/>
      <c r="H502" s="4"/>
      <c r="I502" s="4"/>
      <c r="J502" s="4"/>
      <c r="K502" s="4"/>
      <c r="L502" s="4"/>
      <c r="M502" s="4"/>
      <c r="N502" s="4"/>
      <c r="O502" s="4"/>
      <c r="P502" s="4"/>
      <c r="Q502" s="4"/>
      <c r="R502" s="4"/>
      <c r="S502" s="4"/>
      <c r="T502" s="4"/>
      <c r="U502" s="4"/>
      <c r="V502" s="4"/>
      <c r="W502" s="4"/>
      <c r="X502" s="4"/>
      <c r="Y502" s="4"/>
      <c r="Z502" s="4"/>
    </row>
    <row r="503" spans="1:26" ht="12.75">
      <c r="A503" s="4"/>
      <c r="B503" s="4"/>
      <c r="C503" s="15"/>
      <c r="D503" s="4"/>
      <c r="E503" s="4"/>
      <c r="F503" s="4"/>
      <c r="G503" s="4"/>
      <c r="H503" s="4"/>
      <c r="I503" s="4"/>
      <c r="J503" s="4"/>
      <c r="K503" s="4"/>
      <c r="L503" s="4"/>
      <c r="M503" s="4"/>
      <c r="N503" s="4"/>
      <c r="O503" s="4"/>
      <c r="P503" s="4"/>
      <c r="Q503" s="4"/>
      <c r="R503" s="4"/>
      <c r="S503" s="4"/>
      <c r="T503" s="4"/>
      <c r="U503" s="4"/>
      <c r="V503" s="4"/>
      <c r="W503" s="4"/>
      <c r="X503" s="4"/>
      <c r="Y503" s="4"/>
      <c r="Z503" s="4"/>
    </row>
    <row r="504" spans="1:26" ht="12.75">
      <c r="A504" s="4"/>
      <c r="B504" s="4"/>
      <c r="C504" s="15"/>
      <c r="D504" s="4"/>
      <c r="E504" s="4"/>
      <c r="F504" s="4"/>
      <c r="G504" s="4"/>
      <c r="H504" s="4"/>
      <c r="I504" s="4"/>
      <c r="J504" s="4"/>
      <c r="K504" s="4"/>
      <c r="L504" s="4"/>
      <c r="M504" s="4"/>
      <c r="N504" s="4"/>
      <c r="O504" s="4"/>
      <c r="P504" s="4"/>
      <c r="Q504" s="4"/>
      <c r="R504" s="4"/>
      <c r="S504" s="4"/>
      <c r="T504" s="4"/>
      <c r="U504" s="4"/>
      <c r="V504" s="4"/>
      <c r="W504" s="4"/>
      <c r="X504" s="4"/>
      <c r="Y504" s="4"/>
      <c r="Z504" s="4"/>
    </row>
    <row r="505" spans="1:26" ht="12.75">
      <c r="A505" s="4"/>
      <c r="B505" s="4"/>
      <c r="C505" s="15"/>
      <c r="D505" s="4"/>
      <c r="E505" s="4"/>
      <c r="F505" s="4"/>
      <c r="G505" s="4"/>
      <c r="H505" s="4"/>
      <c r="I505" s="4"/>
      <c r="J505" s="4"/>
      <c r="K505" s="4"/>
      <c r="L505" s="4"/>
      <c r="M505" s="4"/>
      <c r="N505" s="4"/>
      <c r="O505" s="4"/>
      <c r="P505" s="4"/>
      <c r="Q505" s="4"/>
      <c r="R505" s="4"/>
      <c r="S505" s="4"/>
      <c r="T505" s="4"/>
      <c r="U505" s="4"/>
      <c r="V505" s="4"/>
      <c r="W505" s="4"/>
      <c r="X505" s="4"/>
      <c r="Y505" s="4"/>
      <c r="Z505" s="4"/>
    </row>
    <row r="506" spans="1:26" ht="12.75">
      <c r="A506" s="4"/>
      <c r="B506" s="4"/>
      <c r="C506" s="15"/>
      <c r="D506" s="4"/>
      <c r="E506" s="4"/>
      <c r="F506" s="4"/>
      <c r="G506" s="4"/>
      <c r="H506" s="4"/>
      <c r="I506" s="4"/>
      <c r="J506" s="4"/>
      <c r="K506" s="4"/>
      <c r="L506" s="4"/>
      <c r="M506" s="4"/>
      <c r="N506" s="4"/>
      <c r="O506" s="4"/>
      <c r="P506" s="4"/>
      <c r="Q506" s="4"/>
      <c r="R506" s="4"/>
      <c r="S506" s="4"/>
      <c r="T506" s="4"/>
      <c r="U506" s="4"/>
      <c r="V506" s="4"/>
      <c r="W506" s="4"/>
      <c r="X506" s="4"/>
      <c r="Y506" s="4"/>
      <c r="Z506" s="4"/>
    </row>
    <row r="507" spans="1:26" ht="12.75">
      <c r="A507" s="4"/>
      <c r="B507" s="4"/>
      <c r="C507" s="15"/>
      <c r="D507" s="4"/>
      <c r="E507" s="4"/>
      <c r="F507" s="4"/>
      <c r="G507" s="4"/>
      <c r="H507" s="4"/>
      <c r="I507" s="4"/>
      <c r="J507" s="4"/>
      <c r="K507" s="4"/>
      <c r="L507" s="4"/>
      <c r="M507" s="4"/>
      <c r="N507" s="4"/>
      <c r="O507" s="4"/>
      <c r="P507" s="4"/>
      <c r="Q507" s="4"/>
      <c r="R507" s="4"/>
      <c r="S507" s="4"/>
      <c r="T507" s="4"/>
      <c r="U507" s="4"/>
      <c r="V507" s="4"/>
      <c r="W507" s="4"/>
      <c r="X507" s="4"/>
      <c r="Y507" s="4"/>
      <c r="Z507" s="4"/>
    </row>
    <row r="508" spans="1:26" ht="12.75">
      <c r="A508" s="4"/>
      <c r="B508" s="4"/>
      <c r="C508" s="15"/>
      <c r="D508" s="4"/>
      <c r="E508" s="4"/>
      <c r="F508" s="4"/>
      <c r="G508" s="4"/>
      <c r="H508" s="4"/>
      <c r="I508" s="4"/>
      <c r="J508" s="4"/>
      <c r="K508" s="4"/>
      <c r="L508" s="4"/>
      <c r="M508" s="4"/>
      <c r="N508" s="4"/>
      <c r="O508" s="4"/>
      <c r="P508" s="4"/>
      <c r="Q508" s="4"/>
      <c r="R508" s="4"/>
      <c r="S508" s="4"/>
      <c r="T508" s="4"/>
      <c r="U508" s="4"/>
      <c r="V508" s="4"/>
      <c r="W508" s="4"/>
      <c r="X508" s="4"/>
      <c r="Y508" s="4"/>
      <c r="Z508" s="4"/>
    </row>
    <row r="509" spans="1:26" ht="12.75">
      <c r="A509" s="4"/>
      <c r="B509" s="4"/>
      <c r="C509" s="15"/>
      <c r="D509" s="4"/>
      <c r="E509" s="4"/>
      <c r="F509" s="4"/>
      <c r="G509" s="4"/>
      <c r="H509" s="4"/>
      <c r="I509" s="4"/>
      <c r="J509" s="4"/>
      <c r="K509" s="4"/>
      <c r="L509" s="4"/>
      <c r="M509" s="4"/>
      <c r="N509" s="4"/>
      <c r="O509" s="4"/>
      <c r="P509" s="4"/>
      <c r="Q509" s="4"/>
      <c r="R509" s="4"/>
      <c r="S509" s="4"/>
      <c r="T509" s="4"/>
      <c r="U509" s="4"/>
      <c r="V509" s="4"/>
      <c r="W509" s="4"/>
      <c r="X509" s="4"/>
      <c r="Y509" s="4"/>
      <c r="Z509" s="4"/>
    </row>
    <row r="510" spans="1:26" ht="12.75">
      <c r="A510" s="4"/>
      <c r="B510" s="4"/>
      <c r="C510" s="15"/>
      <c r="D510" s="4"/>
      <c r="E510" s="4"/>
      <c r="F510" s="4"/>
      <c r="G510" s="4"/>
      <c r="H510" s="4"/>
      <c r="I510" s="4"/>
      <c r="J510" s="4"/>
      <c r="K510" s="4"/>
      <c r="L510" s="4"/>
      <c r="M510" s="4"/>
      <c r="N510" s="4"/>
      <c r="O510" s="4"/>
      <c r="P510" s="4"/>
      <c r="Q510" s="4"/>
      <c r="R510" s="4"/>
      <c r="S510" s="4"/>
      <c r="T510" s="4"/>
      <c r="U510" s="4"/>
      <c r="V510" s="4"/>
      <c r="W510" s="4"/>
      <c r="X510" s="4"/>
      <c r="Y510" s="4"/>
      <c r="Z510" s="4"/>
    </row>
    <row r="511" spans="1:26" ht="12.75">
      <c r="A511" s="4"/>
      <c r="B511" s="4"/>
      <c r="C511" s="15"/>
      <c r="D511" s="4"/>
      <c r="E511" s="4"/>
      <c r="F511" s="4"/>
      <c r="G511" s="4"/>
      <c r="H511" s="4"/>
      <c r="I511" s="4"/>
      <c r="J511" s="4"/>
      <c r="K511" s="4"/>
      <c r="L511" s="4"/>
      <c r="M511" s="4"/>
      <c r="N511" s="4"/>
      <c r="O511" s="4"/>
      <c r="P511" s="4"/>
      <c r="Q511" s="4"/>
      <c r="R511" s="4"/>
      <c r="S511" s="4"/>
      <c r="T511" s="4"/>
      <c r="U511" s="4"/>
      <c r="V511" s="4"/>
      <c r="W511" s="4"/>
      <c r="X511" s="4"/>
      <c r="Y511" s="4"/>
      <c r="Z511" s="4"/>
    </row>
    <row r="512" spans="1:26" ht="12.75">
      <c r="A512" s="4"/>
      <c r="B512" s="4"/>
      <c r="C512" s="15"/>
      <c r="D512" s="4"/>
      <c r="E512" s="4"/>
      <c r="F512" s="4"/>
      <c r="G512" s="4"/>
      <c r="H512" s="4"/>
      <c r="I512" s="4"/>
      <c r="J512" s="4"/>
      <c r="K512" s="4"/>
      <c r="L512" s="4"/>
      <c r="M512" s="4"/>
      <c r="N512" s="4"/>
      <c r="O512" s="4"/>
      <c r="P512" s="4"/>
      <c r="Q512" s="4"/>
      <c r="R512" s="4"/>
      <c r="S512" s="4"/>
      <c r="T512" s="4"/>
      <c r="U512" s="4"/>
      <c r="V512" s="4"/>
      <c r="W512" s="4"/>
      <c r="X512" s="4"/>
      <c r="Y512" s="4"/>
      <c r="Z512" s="4"/>
    </row>
    <row r="513" spans="1:26" ht="12.75">
      <c r="A513" s="4"/>
      <c r="B513" s="4"/>
      <c r="C513" s="15"/>
      <c r="D513" s="4"/>
      <c r="E513" s="4"/>
      <c r="F513" s="4"/>
      <c r="G513" s="4"/>
      <c r="H513" s="4"/>
      <c r="I513" s="4"/>
      <c r="J513" s="4"/>
      <c r="K513" s="4"/>
      <c r="L513" s="4"/>
      <c r="M513" s="4"/>
      <c r="N513" s="4"/>
      <c r="O513" s="4"/>
      <c r="P513" s="4"/>
      <c r="Q513" s="4"/>
      <c r="R513" s="4"/>
      <c r="S513" s="4"/>
      <c r="T513" s="4"/>
      <c r="U513" s="4"/>
      <c r="V513" s="4"/>
      <c r="W513" s="4"/>
      <c r="X513" s="4"/>
      <c r="Y513" s="4"/>
      <c r="Z513" s="4"/>
    </row>
    <row r="514" spans="1:26" ht="12.75">
      <c r="A514" s="4"/>
      <c r="B514" s="4"/>
      <c r="C514" s="15"/>
      <c r="D514" s="4"/>
      <c r="E514" s="4"/>
      <c r="F514" s="4"/>
      <c r="G514" s="4"/>
      <c r="H514" s="4"/>
      <c r="I514" s="4"/>
      <c r="J514" s="4"/>
      <c r="K514" s="4"/>
      <c r="L514" s="4"/>
      <c r="M514" s="4"/>
      <c r="N514" s="4"/>
      <c r="O514" s="4"/>
      <c r="P514" s="4"/>
      <c r="Q514" s="4"/>
      <c r="R514" s="4"/>
      <c r="S514" s="4"/>
      <c r="T514" s="4"/>
      <c r="U514" s="4"/>
      <c r="V514" s="4"/>
      <c r="W514" s="4"/>
      <c r="X514" s="4"/>
      <c r="Y514" s="4"/>
      <c r="Z514" s="4"/>
    </row>
    <row r="515" spans="1:26" ht="12.75">
      <c r="A515" s="4"/>
      <c r="B515" s="4"/>
      <c r="C515" s="15"/>
      <c r="D515" s="4"/>
      <c r="E515" s="4"/>
      <c r="F515" s="4"/>
      <c r="G515" s="4"/>
      <c r="H515" s="4"/>
      <c r="I515" s="4"/>
      <c r="J515" s="4"/>
      <c r="K515" s="4"/>
      <c r="L515" s="4"/>
      <c r="M515" s="4"/>
      <c r="N515" s="4"/>
      <c r="O515" s="4"/>
      <c r="P515" s="4"/>
      <c r="Q515" s="4"/>
      <c r="R515" s="4"/>
      <c r="S515" s="4"/>
      <c r="T515" s="4"/>
      <c r="U515" s="4"/>
      <c r="V515" s="4"/>
      <c r="W515" s="4"/>
      <c r="X515" s="4"/>
      <c r="Y515" s="4"/>
      <c r="Z515" s="4"/>
    </row>
    <row r="516" spans="1:26" ht="12.75">
      <c r="A516" s="4"/>
      <c r="B516" s="4"/>
      <c r="C516" s="15"/>
      <c r="D516" s="4"/>
      <c r="E516" s="4"/>
      <c r="F516" s="4"/>
      <c r="G516" s="4"/>
      <c r="H516" s="4"/>
      <c r="I516" s="4"/>
      <c r="J516" s="4"/>
      <c r="K516" s="4"/>
      <c r="L516" s="4"/>
      <c r="M516" s="4"/>
      <c r="N516" s="4"/>
      <c r="O516" s="4"/>
      <c r="P516" s="4"/>
      <c r="Q516" s="4"/>
      <c r="R516" s="4"/>
      <c r="S516" s="4"/>
      <c r="T516" s="4"/>
      <c r="U516" s="4"/>
      <c r="V516" s="4"/>
      <c r="W516" s="4"/>
      <c r="X516" s="4"/>
      <c r="Y516" s="4"/>
      <c r="Z516" s="4"/>
    </row>
    <row r="517" spans="1:26" ht="12.75">
      <c r="A517" s="4"/>
      <c r="B517" s="4"/>
      <c r="C517" s="15"/>
      <c r="D517" s="4"/>
      <c r="E517" s="4"/>
      <c r="F517" s="4"/>
      <c r="G517" s="4"/>
      <c r="H517" s="4"/>
      <c r="I517" s="4"/>
      <c r="J517" s="4"/>
      <c r="K517" s="4"/>
      <c r="L517" s="4"/>
      <c r="M517" s="4"/>
      <c r="N517" s="4"/>
      <c r="O517" s="4"/>
      <c r="P517" s="4"/>
      <c r="Q517" s="4"/>
      <c r="R517" s="4"/>
      <c r="S517" s="4"/>
      <c r="T517" s="4"/>
      <c r="U517" s="4"/>
      <c r="V517" s="4"/>
      <c r="W517" s="4"/>
      <c r="X517" s="4"/>
      <c r="Y517" s="4"/>
      <c r="Z517" s="4"/>
    </row>
    <row r="518" spans="1:26" ht="12.75">
      <c r="A518" s="4"/>
      <c r="B518" s="4"/>
      <c r="C518" s="15"/>
      <c r="D518" s="4"/>
      <c r="E518" s="4"/>
      <c r="F518" s="4"/>
      <c r="G518" s="4"/>
      <c r="H518" s="4"/>
      <c r="I518" s="4"/>
      <c r="J518" s="4"/>
      <c r="K518" s="4"/>
      <c r="L518" s="4"/>
      <c r="M518" s="4"/>
      <c r="N518" s="4"/>
      <c r="O518" s="4"/>
      <c r="P518" s="4"/>
      <c r="Q518" s="4"/>
      <c r="R518" s="4"/>
      <c r="S518" s="4"/>
      <c r="T518" s="4"/>
      <c r="U518" s="4"/>
      <c r="V518" s="4"/>
      <c r="W518" s="4"/>
      <c r="X518" s="4"/>
      <c r="Y518" s="4"/>
      <c r="Z518" s="4"/>
    </row>
    <row r="519" spans="1:26" ht="12.75">
      <c r="A519" s="4"/>
      <c r="B519" s="4"/>
      <c r="C519" s="15"/>
      <c r="D519" s="4"/>
      <c r="E519" s="4"/>
      <c r="F519" s="4"/>
      <c r="G519" s="4"/>
      <c r="H519" s="4"/>
      <c r="I519" s="4"/>
      <c r="J519" s="4"/>
      <c r="K519" s="4"/>
      <c r="L519" s="4"/>
      <c r="M519" s="4"/>
      <c r="N519" s="4"/>
      <c r="O519" s="4"/>
      <c r="P519" s="4"/>
      <c r="Q519" s="4"/>
      <c r="R519" s="4"/>
      <c r="S519" s="4"/>
      <c r="T519" s="4"/>
      <c r="U519" s="4"/>
      <c r="V519" s="4"/>
      <c r="W519" s="4"/>
      <c r="X519" s="4"/>
      <c r="Y519" s="4"/>
      <c r="Z519" s="4"/>
    </row>
    <row r="520" spans="1:26" ht="12.75">
      <c r="A520" s="4"/>
      <c r="B520" s="4"/>
      <c r="C520" s="15"/>
      <c r="D520" s="4"/>
      <c r="E520" s="4"/>
      <c r="F520" s="4"/>
      <c r="G520" s="4"/>
      <c r="H520" s="4"/>
      <c r="I520" s="4"/>
      <c r="J520" s="4"/>
      <c r="K520" s="4"/>
      <c r="L520" s="4"/>
      <c r="M520" s="4"/>
      <c r="N520" s="4"/>
      <c r="O520" s="4"/>
      <c r="P520" s="4"/>
      <c r="Q520" s="4"/>
      <c r="R520" s="4"/>
      <c r="S520" s="4"/>
      <c r="T520" s="4"/>
      <c r="U520" s="4"/>
      <c r="V520" s="4"/>
      <c r="W520" s="4"/>
      <c r="X520" s="4"/>
      <c r="Y520" s="4"/>
      <c r="Z520" s="4"/>
    </row>
    <row r="521" spans="1:26" ht="12.75">
      <c r="A521" s="4"/>
      <c r="B521" s="4"/>
      <c r="C521" s="15"/>
      <c r="D521" s="4"/>
      <c r="E521" s="4"/>
      <c r="F521" s="4"/>
      <c r="G521" s="4"/>
      <c r="H521" s="4"/>
      <c r="I521" s="4"/>
      <c r="J521" s="4"/>
      <c r="K521" s="4"/>
      <c r="L521" s="4"/>
      <c r="M521" s="4"/>
      <c r="N521" s="4"/>
      <c r="O521" s="4"/>
      <c r="P521" s="4"/>
      <c r="Q521" s="4"/>
      <c r="R521" s="4"/>
      <c r="S521" s="4"/>
      <c r="T521" s="4"/>
      <c r="U521" s="4"/>
      <c r="V521" s="4"/>
      <c r="W521" s="4"/>
      <c r="X521" s="4"/>
      <c r="Y521" s="4"/>
      <c r="Z521" s="4"/>
    </row>
    <row r="522" spans="1:26" ht="12.75">
      <c r="A522" s="4"/>
      <c r="B522" s="4"/>
      <c r="C522" s="15"/>
      <c r="D522" s="4"/>
      <c r="E522" s="4"/>
      <c r="F522" s="4"/>
      <c r="G522" s="4"/>
      <c r="H522" s="4"/>
      <c r="I522" s="4"/>
      <c r="J522" s="4"/>
      <c r="K522" s="4"/>
      <c r="L522" s="4"/>
      <c r="M522" s="4"/>
      <c r="N522" s="4"/>
      <c r="O522" s="4"/>
      <c r="P522" s="4"/>
      <c r="Q522" s="4"/>
      <c r="R522" s="4"/>
      <c r="S522" s="4"/>
      <c r="T522" s="4"/>
      <c r="U522" s="4"/>
      <c r="V522" s="4"/>
      <c r="W522" s="4"/>
      <c r="X522" s="4"/>
      <c r="Y522" s="4"/>
      <c r="Z522" s="4"/>
    </row>
    <row r="523" spans="1:26" ht="12.75">
      <c r="A523" s="4"/>
      <c r="B523" s="4"/>
      <c r="C523" s="15"/>
      <c r="D523" s="4"/>
      <c r="E523" s="4"/>
      <c r="F523" s="4"/>
      <c r="G523" s="4"/>
      <c r="H523" s="4"/>
      <c r="I523" s="4"/>
      <c r="J523" s="4"/>
      <c r="K523" s="4"/>
      <c r="L523" s="4"/>
      <c r="M523" s="4"/>
      <c r="N523" s="4"/>
      <c r="O523" s="4"/>
      <c r="P523" s="4"/>
      <c r="Q523" s="4"/>
      <c r="R523" s="4"/>
      <c r="S523" s="4"/>
      <c r="T523" s="4"/>
      <c r="U523" s="4"/>
      <c r="V523" s="4"/>
      <c r="W523" s="4"/>
      <c r="X523" s="4"/>
      <c r="Y523" s="4"/>
      <c r="Z523" s="4"/>
    </row>
    <row r="524" spans="1:26" ht="12.75">
      <c r="A524" s="4"/>
      <c r="B524" s="4"/>
      <c r="C524" s="15"/>
      <c r="D524" s="4"/>
      <c r="E524" s="4"/>
      <c r="F524" s="4"/>
      <c r="G524" s="4"/>
      <c r="H524" s="4"/>
      <c r="I524" s="4"/>
      <c r="J524" s="4"/>
      <c r="K524" s="4"/>
      <c r="L524" s="4"/>
      <c r="M524" s="4"/>
      <c r="N524" s="4"/>
      <c r="O524" s="4"/>
      <c r="P524" s="4"/>
      <c r="Q524" s="4"/>
      <c r="R524" s="4"/>
      <c r="S524" s="4"/>
      <c r="T524" s="4"/>
      <c r="U524" s="4"/>
      <c r="V524" s="4"/>
      <c r="W524" s="4"/>
      <c r="X524" s="4"/>
      <c r="Y524" s="4"/>
      <c r="Z524" s="4"/>
    </row>
    <row r="525" spans="1:26" ht="12.75">
      <c r="A525" s="4"/>
      <c r="B525" s="4"/>
      <c r="C525" s="15"/>
      <c r="D525" s="4"/>
      <c r="E525" s="4"/>
      <c r="F525" s="4"/>
      <c r="G525" s="4"/>
      <c r="H525" s="4"/>
      <c r="I525" s="4"/>
      <c r="J525" s="4"/>
      <c r="K525" s="4"/>
      <c r="L525" s="4"/>
      <c r="M525" s="4"/>
      <c r="N525" s="4"/>
      <c r="O525" s="4"/>
      <c r="P525" s="4"/>
      <c r="Q525" s="4"/>
      <c r="R525" s="4"/>
      <c r="S525" s="4"/>
      <c r="T525" s="4"/>
      <c r="U525" s="4"/>
      <c r="V525" s="4"/>
      <c r="W525" s="4"/>
      <c r="X525" s="4"/>
      <c r="Y525" s="4"/>
      <c r="Z525" s="4"/>
    </row>
    <row r="526" spans="1:26" ht="12.75">
      <c r="A526" s="4"/>
      <c r="B526" s="4"/>
      <c r="C526" s="15"/>
      <c r="D526" s="4"/>
      <c r="E526" s="4"/>
      <c r="F526" s="4"/>
      <c r="G526" s="4"/>
      <c r="H526" s="4"/>
      <c r="I526" s="4"/>
      <c r="J526" s="4"/>
      <c r="K526" s="4"/>
      <c r="L526" s="4"/>
      <c r="M526" s="4"/>
      <c r="N526" s="4"/>
      <c r="O526" s="4"/>
      <c r="P526" s="4"/>
      <c r="Q526" s="4"/>
      <c r="R526" s="4"/>
      <c r="S526" s="4"/>
      <c r="T526" s="4"/>
      <c r="U526" s="4"/>
      <c r="V526" s="4"/>
      <c r="W526" s="4"/>
      <c r="X526" s="4"/>
      <c r="Y526" s="4"/>
      <c r="Z526" s="4"/>
    </row>
    <row r="527" spans="1:26" ht="12.75">
      <c r="A527" s="4"/>
      <c r="B527" s="4"/>
      <c r="C527" s="15"/>
      <c r="D527" s="4"/>
      <c r="E527" s="4"/>
      <c r="F527" s="4"/>
      <c r="G527" s="4"/>
      <c r="H527" s="4"/>
      <c r="I527" s="4"/>
      <c r="J527" s="4"/>
      <c r="K527" s="4"/>
      <c r="L527" s="4"/>
      <c r="M527" s="4"/>
      <c r="N527" s="4"/>
      <c r="O527" s="4"/>
      <c r="P527" s="4"/>
      <c r="Q527" s="4"/>
      <c r="R527" s="4"/>
      <c r="S527" s="4"/>
      <c r="T527" s="4"/>
      <c r="U527" s="4"/>
      <c r="V527" s="4"/>
      <c r="W527" s="4"/>
      <c r="X527" s="4"/>
      <c r="Y527" s="4"/>
      <c r="Z527" s="4"/>
    </row>
    <row r="528" spans="1:26" ht="12.75">
      <c r="A528" s="4"/>
      <c r="B528" s="4"/>
      <c r="C528" s="15"/>
      <c r="D528" s="4"/>
      <c r="E528" s="4"/>
      <c r="F528" s="4"/>
      <c r="G528" s="4"/>
      <c r="H528" s="4"/>
      <c r="I528" s="4"/>
      <c r="J528" s="4"/>
      <c r="K528" s="4"/>
      <c r="L528" s="4"/>
      <c r="M528" s="4"/>
      <c r="N528" s="4"/>
      <c r="O528" s="4"/>
      <c r="P528" s="4"/>
      <c r="Q528" s="4"/>
      <c r="R528" s="4"/>
      <c r="S528" s="4"/>
      <c r="T528" s="4"/>
      <c r="U528" s="4"/>
      <c r="V528" s="4"/>
      <c r="W528" s="4"/>
      <c r="X528" s="4"/>
      <c r="Y528" s="4"/>
      <c r="Z528" s="4"/>
    </row>
    <row r="529" spans="1:26" ht="12.75">
      <c r="A529" s="4"/>
      <c r="B529" s="4"/>
      <c r="C529" s="15"/>
      <c r="D529" s="4"/>
      <c r="E529" s="4"/>
      <c r="F529" s="4"/>
      <c r="G529" s="4"/>
      <c r="H529" s="4"/>
      <c r="I529" s="4"/>
      <c r="J529" s="4"/>
      <c r="K529" s="4"/>
      <c r="L529" s="4"/>
      <c r="M529" s="4"/>
      <c r="N529" s="4"/>
      <c r="O529" s="4"/>
      <c r="P529" s="4"/>
      <c r="Q529" s="4"/>
      <c r="R529" s="4"/>
      <c r="S529" s="4"/>
      <c r="T529" s="4"/>
      <c r="U529" s="4"/>
      <c r="V529" s="4"/>
      <c r="W529" s="4"/>
      <c r="X529" s="4"/>
      <c r="Y529" s="4"/>
      <c r="Z529" s="4"/>
    </row>
    <row r="530" spans="1:26" ht="12.75">
      <c r="A530" s="4"/>
      <c r="B530" s="4"/>
      <c r="C530" s="15"/>
      <c r="D530" s="4"/>
      <c r="E530" s="4"/>
      <c r="F530" s="4"/>
      <c r="G530" s="4"/>
      <c r="H530" s="4"/>
      <c r="I530" s="4"/>
      <c r="J530" s="4"/>
      <c r="K530" s="4"/>
      <c r="L530" s="4"/>
      <c r="M530" s="4"/>
      <c r="N530" s="4"/>
      <c r="O530" s="4"/>
      <c r="P530" s="4"/>
      <c r="Q530" s="4"/>
      <c r="R530" s="4"/>
      <c r="S530" s="4"/>
      <c r="T530" s="4"/>
      <c r="U530" s="4"/>
      <c r="V530" s="4"/>
      <c r="W530" s="4"/>
      <c r="X530" s="4"/>
      <c r="Y530" s="4"/>
      <c r="Z530" s="4"/>
    </row>
    <row r="531" spans="1:26" ht="12.75">
      <c r="A531" s="4"/>
      <c r="B531" s="4"/>
      <c r="C531" s="15"/>
      <c r="D531" s="4"/>
      <c r="E531" s="4"/>
      <c r="F531" s="4"/>
      <c r="G531" s="4"/>
      <c r="H531" s="4"/>
      <c r="I531" s="4"/>
      <c r="J531" s="4"/>
      <c r="K531" s="4"/>
      <c r="L531" s="4"/>
      <c r="M531" s="4"/>
      <c r="N531" s="4"/>
      <c r="O531" s="4"/>
      <c r="P531" s="4"/>
      <c r="Q531" s="4"/>
      <c r="R531" s="4"/>
      <c r="S531" s="4"/>
      <c r="T531" s="4"/>
      <c r="U531" s="4"/>
      <c r="V531" s="4"/>
      <c r="W531" s="4"/>
      <c r="X531" s="4"/>
      <c r="Y531" s="4"/>
      <c r="Z531" s="4"/>
    </row>
    <row r="532" spans="1:26" ht="12.75">
      <c r="A532" s="4"/>
      <c r="B532" s="4"/>
      <c r="C532" s="15"/>
      <c r="D532" s="4"/>
      <c r="E532" s="4"/>
      <c r="F532" s="4"/>
      <c r="G532" s="4"/>
      <c r="H532" s="4"/>
      <c r="I532" s="4"/>
      <c r="J532" s="4"/>
      <c r="K532" s="4"/>
      <c r="L532" s="4"/>
      <c r="M532" s="4"/>
      <c r="N532" s="4"/>
      <c r="O532" s="4"/>
      <c r="P532" s="4"/>
      <c r="Q532" s="4"/>
      <c r="R532" s="4"/>
      <c r="S532" s="4"/>
      <c r="T532" s="4"/>
      <c r="U532" s="4"/>
      <c r="V532" s="4"/>
      <c r="W532" s="4"/>
      <c r="X532" s="4"/>
      <c r="Y532" s="4"/>
      <c r="Z532" s="4"/>
    </row>
    <row r="533" spans="1:26" ht="12.75">
      <c r="A533" s="4"/>
      <c r="B533" s="4"/>
      <c r="C533" s="15"/>
      <c r="D533" s="4"/>
      <c r="E533" s="4"/>
      <c r="F533" s="4"/>
      <c r="G533" s="4"/>
      <c r="H533" s="4"/>
      <c r="I533" s="4"/>
      <c r="J533" s="4"/>
      <c r="K533" s="4"/>
      <c r="L533" s="4"/>
      <c r="M533" s="4"/>
      <c r="N533" s="4"/>
      <c r="O533" s="4"/>
      <c r="P533" s="4"/>
      <c r="Q533" s="4"/>
      <c r="R533" s="4"/>
      <c r="S533" s="4"/>
      <c r="T533" s="4"/>
      <c r="U533" s="4"/>
      <c r="V533" s="4"/>
      <c r="W533" s="4"/>
      <c r="X533" s="4"/>
      <c r="Y533" s="4"/>
      <c r="Z533" s="4"/>
    </row>
    <row r="534" spans="1:26" ht="12.75">
      <c r="A534" s="4"/>
      <c r="B534" s="4"/>
      <c r="C534" s="15"/>
      <c r="D534" s="4"/>
      <c r="E534" s="4"/>
      <c r="F534" s="4"/>
      <c r="G534" s="4"/>
      <c r="H534" s="4"/>
      <c r="I534" s="4"/>
      <c r="J534" s="4"/>
      <c r="K534" s="4"/>
      <c r="L534" s="4"/>
      <c r="M534" s="4"/>
      <c r="N534" s="4"/>
      <c r="O534" s="4"/>
      <c r="P534" s="4"/>
      <c r="Q534" s="4"/>
      <c r="R534" s="4"/>
      <c r="S534" s="4"/>
      <c r="T534" s="4"/>
      <c r="U534" s="4"/>
      <c r="V534" s="4"/>
      <c r="W534" s="4"/>
      <c r="X534" s="4"/>
      <c r="Y534" s="4"/>
      <c r="Z534" s="4"/>
    </row>
    <row r="535" spans="1:26" ht="12.75">
      <c r="A535" s="4"/>
      <c r="B535" s="4"/>
      <c r="C535" s="15"/>
      <c r="D535" s="4"/>
      <c r="E535" s="4"/>
      <c r="F535" s="4"/>
      <c r="G535" s="4"/>
      <c r="H535" s="4"/>
      <c r="I535" s="4"/>
      <c r="J535" s="4"/>
      <c r="K535" s="4"/>
      <c r="L535" s="4"/>
      <c r="M535" s="4"/>
      <c r="N535" s="4"/>
      <c r="O535" s="4"/>
      <c r="P535" s="4"/>
      <c r="Q535" s="4"/>
      <c r="R535" s="4"/>
      <c r="S535" s="4"/>
      <c r="T535" s="4"/>
      <c r="U535" s="4"/>
      <c r="V535" s="4"/>
      <c r="W535" s="4"/>
      <c r="X535" s="4"/>
      <c r="Y535" s="4"/>
      <c r="Z535" s="4"/>
    </row>
    <row r="536" spans="1:26" ht="12.75">
      <c r="A536" s="4"/>
      <c r="B536" s="4"/>
      <c r="C536" s="15"/>
      <c r="D536" s="4"/>
      <c r="E536" s="4"/>
      <c r="F536" s="4"/>
      <c r="G536" s="4"/>
      <c r="H536" s="4"/>
      <c r="I536" s="4"/>
      <c r="J536" s="4"/>
      <c r="K536" s="4"/>
      <c r="L536" s="4"/>
      <c r="M536" s="4"/>
      <c r="N536" s="4"/>
      <c r="O536" s="4"/>
      <c r="P536" s="4"/>
      <c r="Q536" s="4"/>
      <c r="R536" s="4"/>
      <c r="S536" s="4"/>
      <c r="T536" s="4"/>
      <c r="U536" s="4"/>
      <c r="V536" s="4"/>
      <c r="W536" s="4"/>
      <c r="X536" s="4"/>
      <c r="Y536" s="4"/>
      <c r="Z536" s="4"/>
    </row>
    <row r="537" spans="1:26" ht="12.75">
      <c r="A537" s="4"/>
      <c r="B537" s="4"/>
      <c r="C537" s="15"/>
      <c r="D537" s="4"/>
      <c r="E537" s="4"/>
      <c r="F537" s="4"/>
      <c r="G537" s="4"/>
      <c r="H537" s="4"/>
      <c r="I537" s="4"/>
      <c r="J537" s="4"/>
      <c r="K537" s="4"/>
      <c r="L537" s="4"/>
      <c r="M537" s="4"/>
      <c r="N537" s="4"/>
      <c r="O537" s="4"/>
      <c r="P537" s="4"/>
      <c r="Q537" s="4"/>
      <c r="R537" s="4"/>
      <c r="S537" s="4"/>
      <c r="T537" s="4"/>
      <c r="U537" s="4"/>
      <c r="V537" s="4"/>
      <c r="W537" s="4"/>
      <c r="X537" s="4"/>
      <c r="Y537" s="4"/>
      <c r="Z537" s="4"/>
    </row>
    <row r="538" spans="1:26" ht="12.75">
      <c r="A538" s="4"/>
      <c r="B538" s="4"/>
      <c r="C538" s="15"/>
      <c r="D538" s="4"/>
      <c r="E538" s="4"/>
      <c r="F538" s="4"/>
      <c r="G538" s="4"/>
      <c r="H538" s="4"/>
      <c r="I538" s="4"/>
      <c r="J538" s="4"/>
      <c r="K538" s="4"/>
      <c r="L538" s="4"/>
      <c r="M538" s="4"/>
      <c r="N538" s="4"/>
      <c r="O538" s="4"/>
      <c r="P538" s="4"/>
      <c r="Q538" s="4"/>
      <c r="R538" s="4"/>
      <c r="S538" s="4"/>
      <c r="T538" s="4"/>
      <c r="U538" s="4"/>
      <c r="V538" s="4"/>
      <c r="W538" s="4"/>
      <c r="X538" s="4"/>
      <c r="Y538" s="4"/>
      <c r="Z538" s="4"/>
    </row>
    <row r="539" spans="1:26" ht="12.75">
      <c r="A539" s="4"/>
      <c r="B539" s="4"/>
      <c r="C539" s="15"/>
      <c r="D539" s="4"/>
      <c r="E539" s="4"/>
      <c r="F539" s="4"/>
      <c r="G539" s="4"/>
      <c r="H539" s="4"/>
      <c r="I539" s="4"/>
      <c r="J539" s="4"/>
      <c r="K539" s="4"/>
      <c r="L539" s="4"/>
      <c r="M539" s="4"/>
      <c r="N539" s="4"/>
      <c r="O539" s="4"/>
      <c r="P539" s="4"/>
      <c r="Q539" s="4"/>
      <c r="R539" s="4"/>
      <c r="S539" s="4"/>
      <c r="T539" s="4"/>
      <c r="U539" s="4"/>
      <c r="V539" s="4"/>
      <c r="W539" s="4"/>
      <c r="X539" s="4"/>
      <c r="Y539" s="4"/>
      <c r="Z539" s="4"/>
    </row>
    <row r="540" spans="1:26" ht="12.75">
      <c r="A540" s="4"/>
      <c r="B540" s="4"/>
      <c r="C540" s="15"/>
      <c r="D540" s="4"/>
      <c r="E540" s="4"/>
      <c r="F540" s="4"/>
      <c r="G540" s="4"/>
      <c r="H540" s="4"/>
      <c r="I540" s="4"/>
      <c r="J540" s="4"/>
      <c r="K540" s="4"/>
      <c r="L540" s="4"/>
      <c r="M540" s="4"/>
      <c r="N540" s="4"/>
      <c r="O540" s="4"/>
      <c r="P540" s="4"/>
      <c r="Q540" s="4"/>
      <c r="R540" s="4"/>
      <c r="S540" s="4"/>
      <c r="T540" s="4"/>
      <c r="U540" s="4"/>
      <c r="V540" s="4"/>
      <c r="W540" s="4"/>
      <c r="X540" s="4"/>
      <c r="Y540" s="4"/>
      <c r="Z540" s="4"/>
    </row>
    <row r="541" spans="1:26" ht="12.75">
      <c r="A541" s="4"/>
      <c r="B541" s="4"/>
      <c r="C541" s="15"/>
      <c r="D541" s="4"/>
      <c r="E541" s="4"/>
      <c r="F541" s="4"/>
      <c r="G541" s="4"/>
      <c r="H541" s="4"/>
      <c r="I541" s="4"/>
      <c r="J541" s="4"/>
      <c r="K541" s="4"/>
      <c r="L541" s="4"/>
      <c r="M541" s="4"/>
      <c r="N541" s="4"/>
      <c r="O541" s="4"/>
      <c r="P541" s="4"/>
      <c r="Q541" s="4"/>
      <c r="R541" s="4"/>
      <c r="S541" s="4"/>
      <c r="T541" s="4"/>
      <c r="U541" s="4"/>
      <c r="V541" s="4"/>
      <c r="W541" s="4"/>
      <c r="X541" s="4"/>
      <c r="Y541" s="4"/>
      <c r="Z541" s="4"/>
    </row>
    <row r="542" spans="1:26" ht="12.75">
      <c r="A542" s="4"/>
      <c r="B542" s="4"/>
      <c r="C542" s="15"/>
      <c r="D542" s="4"/>
      <c r="E542" s="4"/>
      <c r="F542" s="4"/>
      <c r="G542" s="4"/>
      <c r="H542" s="4"/>
      <c r="I542" s="4"/>
      <c r="J542" s="4"/>
      <c r="K542" s="4"/>
      <c r="L542" s="4"/>
      <c r="M542" s="4"/>
      <c r="N542" s="4"/>
      <c r="O542" s="4"/>
      <c r="P542" s="4"/>
      <c r="Q542" s="4"/>
      <c r="R542" s="4"/>
      <c r="S542" s="4"/>
      <c r="T542" s="4"/>
      <c r="U542" s="4"/>
      <c r="V542" s="4"/>
      <c r="W542" s="4"/>
      <c r="X542" s="4"/>
      <c r="Y542" s="4"/>
      <c r="Z542" s="4"/>
    </row>
    <row r="543" spans="1:26" ht="12.75">
      <c r="A543" s="4"/>
      <c r="B543" s="4"/>
      <c r="C543" s="15"/>
      <c r="D543" s="4"/>
      <c r="E543" s="4"/>
      <c r="F543" s="4"/>
      <c r="G543" s="4"/>
      <c r="H543" s="4"/>
      <c r="I543" s="4"/>
      <c r="J543" s="4"/>
      <c r="K543" s="4"/>
      <c r="L543" s="4"/>
      <c r="M543" s="4"/>
      <c r="N543" s="4"/>
      <c r="O543" s="4"/>
      <c r="P543" s="4"/>
      <c r="Q543" s="4"/>
      <c r="R543" s="4"/>
      <c r="S543" s="4"/>
      <c r="T543" s="4"/>
      <c r="U543" s="4"/>
      <c r="V543" s="4"/>
      <c r="W543" s="4"/>
      <c r="X543" s="4"/>
      <c r="Y543" s="4"/>
      <c r="Z543" s="4"/>
    </row>
    <row r="544" spans="1:26" ht="12.75">
      <c r="A544" s="4"/>
      <c r="B544" s="4"/>
      <c r="C544" s="15"/>
      <c r="D544" s="4"/>
      <c r="E544" s="4"/>
      <c r="F544" s="4"/>
      <c r="G544" s="4"/>
      <c r="H544" s="4"/>
      <c r="I544" s="4"/>
      <c r="J544" s="4"/>
      <c r="K544" s="4"/>
      <c r="L544" s="4"/>
      <c r="M544" s="4"/>
      <c r="N544" s="4"/>
      <c r="O544" s="4"/>
      <c r="P544" s="4"/>
      <c r="Q544" s="4"/>
      <c r="R544" s="4"/>
      <c r="S544" s="4"/>
      <c r="T544" s="4"/>
      <c r="U544" s="4"/>
      <c r="V544" s="4"/>
      <c r="W544" s="4"/>
      <c r="X544" s="4"/>
      <c r="Y544" s="4"/>
      <c r="Z544" s="4"/>
    </row>
    <row r="545" spans="1:26" ht="12.75">
      <c r="A545" s="4"/>
      <c r="B545" s="4"/>
      <c r="C545" s="15"/>
      <c r="D545" s="4"/>
      <c r="E545" s="4"/>
      <c r="F545" s="4"/>
      <c r="G545" s="4"/>
      <c r="H545" s="4"/>
      <c r="I545" s="4"/>
      <c r="J545" s="4"/>
      <c r="K545" s="4"/>
      <c r="L545" s="4"/>
      <c r="M545" s="4"/>
      <c r="N545" s="4"/>
      <c r="O545" s="4"/>
      <c r="P545" s="4"/>
      <c r="Q545" s="4"/>
      <c r="R545" s="4"/>
      <c r="S545" s="4"/>
      <c r="T545" s="4"/>
      <c r="U545" s="4"/>
      <c r="V545" s="4"/>
      <c r="W545" s="4"/>
      <c r="X545" s="4"/>
      <c r="Y545" s="4"/>
      <c r="Z545" s="4"/>
    </row>
    <row r="546" spans="1:26" ht="12.75">
      <c r="A546" s="4"/>
      <c r="B546" s="4"/>
      <c r="C546" s="15"/>
      <c r="D546" s="4"/>
      <c r="E546" s="4"/>
      <c r="F546" s="4"/>
      <c r="G546" s="4"/>
      <c r="H546" s="4"/>
      <c r="I546" s="4"/>
      <c r="J546" s="4"/>
      <c r="K546" s="4"/>
      <c r="L546" s="4"/>
      <c r="M546" s="4"/>
      <c r="N546" s="4"/>
      <c r="O546" s="4"/>
      <c r="P546" s="4"/>
      <c r="Q546" s="4"/>
      <c r="R546" s="4"/>
      <c r="S546" s="4"/>
      <c r="T546" s="4"/>
      <c r="U546" s="4"/>
      <c r="V546" s="4"/>
      <c r="W546" s="4"/>
      <c r="X546" s="4"/>
      <c r="Y546" s="4"/>
      <c r="Z546" s="4"/>
    </row>
    <row r="547" spans="1:26" ht="12.75">
      <c r="A547" s="4"/>
      <c r="B547" s="4"/>
      <c r="C547" s="15"/>
      <c r="D547" s="4"/>
      <c r="E547" s="4"/>
      <c r="F547" s="4"/>
      <c r="G547" s="4"/>
      <c r="H547" s="4"/>
      <c r="I547" s="4"/>
      <c r="J547" s="4"/>
      <c r="K547" s="4"/>
      <c r="L547" s="4"/>
      <c r="M547" s="4"/>
      <c r="N547" s="4"/>
      <c r="O547" s="4"/>
      <c r="P547" s="4"/>
      <c r="Q547" s="4"/>
      <c r="R547" s="4"/>
      <c r="S547" s="4"/>
      <c r="T547" s="4"/>
      <c r="U547" s="4"/>
      <c r="V547" s="4"/>
      <c r="W547" s="4"/>
      <c r="X547" s="4"/>
      <c r="Y547" s="4"/>
      <c r="Z547" s="4"/>
    </row>
    <row r="548" spans="1:26" ht="12.75">
      <c r="A548" s="4"/>
      <c r="B548" s="4"/>
      <c r="C548" s="15"/>
      <c r="D548" s="4"/>
      <c r="E548" s="4"/>
      <c r="F548" s="4"/>
      <c r="G548" s="4"/>
      <c r="H548" s="4"/>
      <c r="I548" s="4"/>
      <c r="J548" s="4"/>
      <c r="K548" s="4"/>
      <c r="L548" s="4"/>
      <c r="M548" s="4"/>
      <c r="N548" s="4"/>
      <c r="O548" s="4"/>
      <c r="P548" s="4"/>
      <c r="Q548" s="4"/>
      <c r="R548" s="4"/>
      <c r="S548" s="4"/>
      <c r="T548" s="4"/>
      <c r="U548" s="4"/>
      <c r="V548" s="4"/>
      <c r="W548" s="4"/>
      <c r="X548" s="4"/>
      <c r="Y548" s="4"/>
      <c r="Z548" s="4"/>
    </row>
    <row r="549" spans="1:26" ht="12.75">
      <c r="A549" s="4"/>
      <c r="B549" s="4"/>
      <c r="C549" s="15"/>
      <c r="D549" s="4"/>
      <c r="E549" s="4"/>
      <c r="F549" s="4"/>
      <c r="G549" s="4"/>
      <c r="H549" s="4"/>
      <c r="I549" s="4"/>
      <c r="J549" s="4"/>
      <c r="K549" s="4"/>
      <c r="L549" s="4"/>
      <c r="M549" s="4"/>
      <c r="N549" s="4"/>
      <c r="O549" s="4"/>
      <c r="P549" s="4"/>
      <c r="Q549" s="4"/>
      <c r="R549" s="4"/>
      <c r="S549" s="4"/>
      <c r="T549" s="4"/>
      <c r="U549" s="4"/>
      <c r="V549" s="4"/>
      <c r="W549" s="4"/>
      <c r="X549" s="4"/>
      <c r="Y549" s="4"/>
      <c r="Z549" s="4"/>
    </row>
    <row r="550" spans="1:26" ht="12.75">
      <c r="A550" s="4"/>
      <c r="B550" s="4"/>
      <c r="C550" s="15"/>
      <c r="D550" s="4"/>
      <c r="E550" s="4"/>
      <c r="F550" s="4"/>
      <c r="G550" s="4"/>
      <c r="H550" s="4"/>
      <c r="I550" s="4"/>
      <c r="J550" s="4"/>
      <c r="K550" s="4"/>
      <c r="L550" s="4"/>
      <c r="M550" s="4"/>
      <c r="N550" s="4"/>
      <c r="O550" s="4"/>
      <c r="P550" s="4"/>
      <c r="Q550" s="4"/>
      <c r="R550" s="4"/>
      <c r="S550" s="4"/>
      <c r="T550" s="4"/>
      <c r="U550" s="4"/>
      <c r="V550" s="4"/>
      <c r="W550" s="4"/>
      <c r="X550" s="4"/>
      <c r="Y550" s="4"/>
      <c r="Z550" s="4"/>
    </row>
    <row r="551" spans="1:26" ht="12.75">
      <c r="A551" s="4"/>
      <c r="B551" s="4"/>
      <c r="C551" s="15"/>
      <c r="D551" s="4"/>
      <c r="E551" s="4"/>
      <c r="F551" s="4"/>
      <c r="G551" s="4"/>
      <c r="H551" s="4"/>
      <c r="I551" s="4"/>
      <c r="J551" s="4"/>
      <c r="K551" s="4"/>
      <c r="L551" s="4"/>
      <c r="M551" s="4"/>
      <c r="N551" s="4"/>
      <c r="O551" s="4"/>
      <c r="P551" s="4"/>
      <c r="Q551" s="4"/>
      <c r="R551" s="4"/>
      <c r="S551" s="4"/>
      <c r="T551" s="4"/>
      <c r="U551" s="4"/>
      <c r="V551" s="4"/>
      <c r="W551" s="4"/>
      <c r="X551" s="4"/>
      <c r="Y551" s="4"/>
      <c r="Z551" s="4"/>
    </row>
    <row r="552" spans="1:26" ht="12.75">
      <c r="A552" s="4"/>
      <c r="B552" s="4"/>
      <c r="C552" s="15"/>
      <c r="D552" s="4"/>
      <c r="E552" s="4"/>
      <c r="F552" s="4"/>
      <c r="G552" s="4"/>
      <c r="H552" s="4"/>
      <c r="I552" s="4"/>
      <c r="J552" s="4"/>
      <c r="K552" s="4"/>
      <c r="L552" s="4"/>
      <c r="M552" s="4"/>
      <c r="N552" s="4"/>
      <c r="O552" s="4"/>
      <c r="P552" s="4"/>
      <c r="Q552" s="4"/>
      <c r="R552" s="4"/>
      <c r="S552" s="4"/>
      <c r="T552" s="4"/>
      <c r="U552" s="4"/>
      <c r="V552" s="4"/>
      <c r="W552" s="4"/>
      <c r="X552" s="4"/>
      <c r="Y552" s="4"/>
      <c r="Z552" s="4"/>
    </row>
    <row r="553" spans="1:26" ht="12.75">
      <c r="A553" s="4"/>
      <c r="B553" s="4"/>
      <c r="C553" s="15"/>
      <c r="D553" s="4"/>
      <c r="E553" s="4"/>
      <c r="F553" s="4"/>
      <c r="G553" s="4"/>
      <c r="H553" s="4"/>
      <c r="I553" s="4"/>
      <c r="J553" s="4"/>
      <c r="K553" s="4"/>
      <c r="L553" s="4"/>
      <c r="M553" s="4"/>
      <c r="N553" s="4"/>
      <c r="O553" s="4"/>
      <c r="P553" s="4"/>
      <c r="Q553" s="4"/>
      <c r="R553" s="4"/>
      <c r="S553" s="4"/>
      <c r="T553" s="4"/>
      <c r="U553" s="4"/>
      <c r="V553" s="4"/>
      <c r="W553" s="4"/>
      <c r="X553" s="4"/>
      <c r="Y553" s="4"/>
      <c r="Z553" s="4"/>
    </row>
    <row r="554" spans="1:26" ht="12.75">
      <c r="A554" s="4"/>
      <c r="B554" s="4"/>
      <c r="C554" s="15"/>
      <c r="D554" s="4"/>
      <c r="E554" s="4"/>
      <c r="F554" s="4"/>
      <c r="G554" s="4"/>
      <c r="H554" s="4"/>
      <c r="I554" s="4"/>
      <c r="J554" s="4"/>
      <c r="K554" s="4"/>
      <c r="L554" s="4"/>
      <c r="M554" s="4"/>
      <c r="N554" s="4"/>
      <c r="O554" s="4"/>
      <c r="P554" s="4"/>
      <c r="Q554" s="4"/>
      <c r="R554" s="4"/>
      <c r="S554" s="4"/>
      <c r="T554" s="4"/>
      <c r="U554" s="4"/>
      <c r="V554" s="4"/>
      <c r="W554" s="4"/>
      <c r="X554" s="4"/>
      <c r="Y554" s="4"/>
      <c r="Z554" s="4"/>
    </row>
    <row r="555" spans="1:26" ht="12.75">
      <c r="A555" s="4"/>
      <c r="B555" s="4"/>
      <c r="C555" s="15"/>
      <c r="D555" s="4"/>
      <c r="E555" s="4"/>
      <c r="F555" s="4"/>
      <c r="G555" s="4"/>
      <c r="H555" s="4"/>
      <c r="I555" s="4"/>
      <c r="J555" s="4"/>
      <c r="K555" s="4"/>
      <c r="L555" s="4"/>
      <c r="M555" s="4"/>
      <c r="N555" s="4"/>
      <c r="O555" s="4"/>
      <c r="P555" s="4"/>
      <c r="Q555" s="4"/>
      <c r="R555" s="4"/>
      <c r="S555" s="4"/>
      <c r="T555" s="4"/>
      <c r="U555" s="4"/>
      <c r="V555" s="4"/>
      <c r="W555" s="4"/>
      <c r="X555" s="4"/>
      <c r="Y555" s="4"/>
      <c r="Z555" s="4"/>
    </row>
    <row r="556" spans="1:26" ht="12.75">
      <c r="A556" s="4"/>
      <c r="B556" s="4"/>
      <c r="C556" s="15"/>
      <c r="D556" s="4"/>
      <c r="E556" s="4"/>
      <c r="F556" s="4"/>
      <c r="G556" s="4"/>
      <c r="H556" s="4"/>
      <c r="I556" s="4"/>
      <c r="J556" s="4"/>
      <c r="K556" s="4"/>
      <c r="L556" s="4"/>
      <c r="M556" s="4"/>
      <c r="N556" s="4"/>
      <c r="O556" s="4"/>
      <c r="P556" s="4"/>
      <c r="Q556" s="4"/>
      <c r="R556" s="4"/>
      <c r="S556" s="4"/>
      <c r="T556" s="4"/>
      <c r="U556" s="4"/>
      <c r="V556" s="4"/>
      <c r="W556" s="4"/>
      <c r="X556" s="4"/>
      <c r="Y556" s="4"/>
      <c r="Z556" s="4"/>
    </row>
    <row r="557" spans="1:26" ht="12.75">
      <c r="A557" s="4"/>
      <c r="B557" s="4"/>
      <c r="C557" s="15"/>
      <c r="D557" s="4"/>
      <c r="E557" s="4"/>
      <c r="F557" s="4"/>
      <c r="G557" s="4"/>
      <c r="H557" s="4"/>
      <c r="I557" s="4"/>
      <c r="J557" s="4"/>
      <c r="K557" s="4"/>
      <c r="L557" s="4"/>
      <c r="M557" s="4"/>
      <c r="N557" s="4"/>
      <c r="O557" s="4"/>
      <c r="P557" s="4"/>
      <c r="Q557" s="4"/>
      <c r="R557" s="4"/>
      <c r="S557" s="4"/>
      <c r="T557" s="4"/>
      <c r="U557" s="4"/>
      <c r="V557" s="4"/>
      <c r="W557" s="4"/>
      <c r="X557" s="4"/>
      <c r="Y557" s="4"/>
      <c r="Z557" s="4"/>
    </row>
    <row r="558" spans="1:26" ht="12.75">
      <c r="A558" s="4"/>
      <c r="B558" s="4"/>
      <c r="C558" s="15"/>
      <c r="D558" s="4"/>
      <c r="E558" s="4"/>
      <c r="F558" s="4"/>
      <c r="G558" s="4"/>
      <c r="H558" s="4"/>
      <c r="I558" s="4"/>
      <c r="J558" s="4"/>
      <c r="K558" s="4"/>
      <c r="L558" s="4"/>
      <c r="M558" s="4"/>
      <c r="N558" s="4"/>
      <c r="O558" s="4"/>
      <c r="P558" s="4"/>
      <c r="Q558" s="4"/>
      <c r="R558" s="4"/>
      <c r="S558" s="4"/>
      <c r="T558" s="4"/>
      <c r="U558" s="4"/>
      <c r="V558" s="4"/>
      <c r="W558" s="4"/>
      <c r="X558" s="4"/>
      <c r="Y558" s="4"/>
      <c r="Z558" s="4"/>
    </row>
    <row r="559" spans="1:26" ht="12.75">
      <c r="A559" s="4"/>
      <c r="B559" s="4"/>
      <c r="C559" s="15"/>
      <c r="D559" s="4"/>
      <c r="E559" s="4"/>
      <c r="F559" s="4"/>
      <c r="G559" s="4"/>
      <c r="H559" s="4"/>
      <c r="I559" s="4"/>
      <c r="J559" s="4"/>
      <c r="K559" s="4"/>
      <c r="L559" s="4"/>
      <c r="M559" s="4"/>
      <c r="N559" s="4"/>
      <c r="O559" s="4"/>
      <c r="P559" s="4"/>
      <c r="Q559" s="4"/>
      <c r="R559" s="4"/>
      <c r="S559" s="4"/>
      <c r="T559" s="4"/>
      <c r="U559" s="4"/>
      <c r="V559" s="4"/>
      <c r="W559" s="4"/>
      <c r="X559" s="4"/>
      <c r="Y559" s="4"/>
      <c r="Z559" s="4"/>
    </row>
    <row r="560" spans="1:26" ht="12.75">
      <c r="A560" s="4"/>
      <c r="B560" s="4"/>
      <c r="C560" s="15"/>
      <c r="D560" s="4"/>
      <c r="E560" s="4"/>
      <c r="F560" s="4"/>
      <c r="G560" s="4"/>
      <c r="H560" s="4"/>
      <c r="I560" s="4"/>
      <c r="J560" s="4"/>
      <c r="K560" s="4"/>
      <c r="L560" s="4"/>
      <c r="M560" s="4"/>
      <c r="N560" s="4"/>
      <c r="O560" s="4"/>
      <c r="P560" s="4"/>
      <c r="Q560" s="4"/>
      <c r="R560" s="4"/>
      <c r="S560" s="4"/>
      <c r="T560" s="4"/>
      <c r="U560" s="4"/>
      <c r="V560" s="4"/>
      <c r="W560" s="4"/>
      <c r="X560" s="4"/>
      <c r="Y560" s="4"/>
      <c r="Z560" s="4"/>
    </row>
    <row r="561" spans="1:26" ht="12.75">
      <c r="A561" s="4"/>
      <c r="B561" s="4"/>
      <c r="C561" s="15"/>
      <c r="D561" s="4"/>
      <c r="E561" s="4"/>
      <c r="F561" s="4"/>
      <c r="G561" s="4"/>
      <c r="H561" s="4"/>
      <c r="I561" s="4"/>
      <c r="J561" s="4"/>
      <c r="K561" s="4"/>
      <c r="L561" s="4"/>
      <c r="M561" s="4"/>
      <c r="N561" s="4"/>
      <c r="O561" s="4"/>
      <c r="P561" s="4"/>
      <c r="Q561" s="4"/>
      <c r="R561" s="4"/>
      <c r="S561" s="4"/>
      <c r="T561" s="4"/>
      <c r="U561" s="4"/>
      <c r="V561" s="4"/>
      <c r="W561" s="4"/>
      <c r="X561" s="4"/>
      <c r="Y561" s="4"/>
      <c r="Z561" s="4"/>
    </row>
    <row r="562" spans="1:26" ht="12.75">
      <c r="A562" s="4"/>
      <c r="B562" s="4"/>
      <c r="C562" s="15"/>
      <c r="D562" s="4"/>
      <c r="E562" s="4"/>
      <c r="F562" s="4"/>
      <c r="G562" s="4"/>
      <c r="H562" s="4"/>
      <c r="I562" s="4"/>
      <c r="J562" s="4"/>
      <c r="K562" s="4"/>
      <c r="L562" s="4"/>
      <c r="M562" s="4"/>
      <c r="N562" s="4"/>
      <c r="O562" s="4"/>
      <c r="P562" s="4"/>
      <c r="Q562" s="4"/>
      <c r="R562" s="4"/>
      <c r="S562" s="4"/>
      <c r="T562" s="4"/>
      <c r="U562" s="4"/>
      <c r="V562" s="4"/>
      <c r="W562" s="4"/>
      <c r="X562" s="4"/>
      <c r="Y562" s="4"/>
      <c r="Z562" s="4"/>
    </row>
    <row r="563" spans="1:26" ht="12.75">
      <c r="A563" s="4"/>
      <c r="B563" s="4"/>
      <c r="C563" s="15"/>
      <c r="D563" s="4"/>
      <c r="E563" s="4"/>
      <c r="F563" s="4"/>
      <c r="G563" s="4"/>
      <c r="H563" s="4"/>
      <c r="I563" s="4"/>
      <c r="J563" s="4"/>
      <c r="K563" s="4"/>
      <c r="L563" s="4"/>
      <c r="M563" s="4"/>
      <c r="N563" s="4"/>
      <c r="O563" s="4"/>
      <c r="P563" s="4"/>
      <c r="Q563" s="4"/>
      <c r="R563" s="4"/>
      <c r="S563" s="4"/>
      <c r="T563" s="4"/>
      <c r="U563" s="4"/>
      <c r="V563" s="4"/>
      <c r="W563" s="4"/>
      <c r="X563" s="4"/>
      <c r="Y563" s="4"/>
      <c r="Z563" s="4"/>
    </row>
    <row r="564" spans="1:26" ht="12.75">
      <c r="A564" s="4"/>
      <c r="B564" s="4"/>
      <c r="C564" s="15"/>
      <c r="D564" s="4"/>
      <c r="E564" s="4"/>
      <c r="F564" s="4"/>
      <c r="G564" s="4"/>
      <c r="H564" s="4"/>
      <c r="I564" s="4"/>
      <c r="J564" s="4"/>
      <c r="K564" s="4"/>
      <c r="L564" s="4"/>
      <c r="M564" s="4"/>
      <c r="N564" s="4"/>
      <c r="O564" s="4"/>
      <c r="P564" s="4"/>
      <c r="Q564" s="4"/>
      <c r="R564" s="4"/>
      <c r="S564" s="4"/>
      <c r="T564" s="4"/>
      <c r="U564" s="4"/>
      <c r="V564" s="4"/>
      <c r="W564" s="4"/>
      <c r="X564" s="4"/>
      <c r="Y564" s="4"/>
      <c r="Z564" s="4"/>
    </row>
    <row r="565" spans="1:26" ht="12.75">
      <c r="A565" s="4"/>
      <c r="B565" s="4"/>
      <c r="C565" s="15"/>
      <c r="D565" s="4"/>
      <c r="E565" s="4"/>
      <c r="F565" s="4"/>
      <c r="G565" s="4"/>
      <c r="H565" s="4"/>
      <c r="I565" s="4"/>
      <c r="J565" s="4"/>
      <c r="K565" s="4"/>
      <c r="L565" s="4"/>
      <c r="M565" s="4"/>
      <c r="N565" s="4"/>
      <c r="O565" s="4"/>
      <c r="P565" s="4"/>
      <c r="Q565" s="4"/>
      <c r="R565" s="4"/>
      <c r="S565" s="4"/>
      <c r="T565" s="4"/>
      <c r="U565" s="4"/>
      <c r="V565" s="4"/>
      <c r="W565" s="4"/>
      <c r="X565" s="4"/>
      <c r="Y565" s="4"/>
      <c r="Z565" s="4"/>
    </row>
    <row r="566" spans="1:26" ht="12.75">
      <c r="A566" s="4"/>
      <c r="B566" s="4"/>
      <c r="C566" s="15"/>
      <c r="D566" s="4"/>
      <c r="E566" s="4"/>
      <c r="F566" s="4"/>
      <c r="G566" s="4"/>
      <c r="H566" s="4"/>
      <c r="I566" s="4"/>
      <c r="J566" s="4"/>
      <c r="K566" s="4"/>
      <c r="L566" s="4"/>
      <c r="M566" s="4"/>
      <c r="N566" s="4"/>
      <c r="O566" s="4"/>
      <c r="P566" s="4"/>
      <c r="Q566" s="4"/>
      <c r="R566" s="4"/>
      <c r="S566" s="4"/>
      <c r="T566" s="4"/>
      <c r="U566" s="4"/>
      <c r="V566" s="4"/>
      <c r="W566" s="4"/>
      <c r="X566" s="4"/>
      <c r="Y566" s="4"/>
      <c r="Z566" s="4"/>
    </row>
    <row r="567" spans="1:26" ht="12.75">
      <c r="A567" s="4"/>
      <c r="B567" s="4"/>
      <c r="C567" s="15"/>
      <c r="D567" s="4"/>
      <c r="E567" s="4"/>
      <c r="F567" s="4"/>
      <c r="G567" s="4"/>
      <c r="H567" s="4"/>
      <c r="I567" s="4"/>
      <c r="J567" s="4"/>
      <c r="K567" s="4"/>
      <c r="L567" s="4"/>
      <c r="M567" s="4"/>
      <c r="N567" s="4"/>
      <c r="O567" s="4"/>
      <c r="P567" s="4"/>
      <c r="Q567" s="4"/>
      <c r="R567" s="4"/>
      <c r="S567" s="4"/>
      <c r="T567" s="4"/>
      <c r="U567" s="4"/>
      <c r="V567" s="4"/>
      <c r="W567" s="4"/>
      <c r="X567" s="4"/>
      <c r="Y567" s="4"/>
      <c r="Z567" s="4"/>
    </row>
    <row r="568" spans="1:26" ht="12.75">
      <c r="A568" s="4"/>
      <c r="B568" s="4"/>
      <c r="C568" s="15"/>
      <c r="D568" s="4"/>
      <c r="E568" s="4"/>
      <c r="F568" s="4"/>
      <c r="G568" s="4"/>
      <c r="H568" s="4"/>
      <c r="I568" s="4"/>
      <c r="J568" s="4"/>
      <c r="K568" s="4"/>
      <c r="L568" s="4"/>
      <c r="M568" s="4"/>
      <c r="N568" s="4"/>
      <c r="O568" s="4"/>
      <c r="P568" s="4"/>
      <c r="Q568" s="4"/>
      <c r="R568" s="4"/>
      <c r="S568" s="4"/>
      <c r="T568" s="4"/>
      <c r="U568" s="4"/>
      <c r="V568" s="4"/>
      <c r="W568" s="4"/>
      <c r="X568" s="4"/>
      <c r="Y568" s="4"/>
      <c r="Z568" s="4"/>
    </row>
    <row r="569" spans="1:26" ht="12.75">
      <c r="A569" s="4"/>
      <c r="B569" s="4"/>
      <c r="C569" s="15"/>
      <c r="D569" s="4"/>
      <c r="E569" s="4"/>
      <c r="F569" s="4"/>
      <c r="G569" s="4"/>
      <c r="H569" s="4"/>
      <c r="I569" s="4"/>
      <c r="J569" s="4"/>
      <c r="K569" s="4"/>
      <c r="L569" s="4"/>
      <c r="M569" s="4"/>
      <c r="N569" s="4"/>
      <c r="O569" s="4"/>
      <c r="P569" s="4"/>
      <c r="Q569" s="4"/>
      <c r="R569" s="4"/>
      <c r="S569" s="4"/>
      <c r="T569" s="4"/>
      <c r="U569" s="4"/>
      <c r="V569" s="4"/>
      <c r="W569" s="4"/>
      <c r="X569" s="4"/>
      <c r="Y569" s="4"/>
      <c r="Z569" s="4"/>
    </row>
    <row r="570" spans="1:26" ht="12.75">
      <c r="A570" s="4"/>
      <c r="B570" s="4"/>
      <c r="C570" s="15"/>
      <c r="D570" s="4"/>
      <c r="E570" s="4"/>
      <c r="F570" s="4"/>
      <c r="G570" s="4"/>
      <c r="H570" s="4"/>
      <c r="I570" s="4"/>
      <c r="J570" s="4"/>
      <c r="K570" s="4"/>
      <c r="L570" s="4"/>
      <c r="M570" s="4"/>
      <c r="N570" s="4"/>
      <c r="O570" s="4"/>
      <c r="P570" s="4"/>
      <c r="Q570" s="4"/>
      <c r="R570" s="4"/>
      <c r="S570" s="4"/>
      <c r="T570" s="4"/>
      <c r="U570" s="4"/>
      <c r="V570" s="4"/>
      <c r="W570" s="4"/>
      <c r="X570" s="4"/>
      <c r="Y570" s="4"/>
      <c r="Z570" s="4"/>
    </row>
    <row r="571" spans="1:26" ht="12.75">
      <c r="A571" s="4"/>
      <c r="B571" s="4"/>
      <c r="C571" s="15"/>
      <c r="D571" s="4"/>
      <c r="E571" s="4"/>
      <c r="F571" s="4"/>
      <c r="G571" s="4"/>
      <c r="H571" s="4"/>
      <c r="I571" s="4"/>
      <c r="J571" s="4"/>
      <c r="K571" s="4"/>
      <c r="L571" s="4"/>
      <c r="M571" s="4"/>
      <c r="N571" s="4"/>
      <c r="O571" s="4"/>
      <c r="P571" s="4"/>
      <c r="Q571" s="4"/>
      <c r="R571" s="4"/>
      <c r="S571" s="4"/>
      <c r="T571" s="4"/>
      <c r="U571" s="4"/>
      <c r="V571" s="4"/>
      <c r="W571" s="4"/>
      <c r="X571" s="4"/>
      <c r="Y571" s="4"/>
      <c r="Z571" s="4"/>
    </row>
    <row r="572" spans="1:26" ht="12.75">
      <c r="A572" s="4"/>
      <c r="B572" s="4"/>
      <c r="C572" s="15"/>
      <c r="D572" s="4"/>
      <c r="E572" s="4"/>
      <c r="F572" s="4"/>
      <c r="G572" s="4"/>
      <c r="H572" s="4"/>
      <c r="I572" s="4"/>
      <c r="J572" s="4"/>
      <c r="K572" s="4"/>
      <c r="L572" s="4"/>
      <c r="M572" s="4"/>
      <c r="N572" s="4"/>
      <c r="O572" s="4"/>
      <c r="P572" s="4"/>
      <c r="Q572" s="4"/>
      <c r="R572" s="4"/>
      <c r="S572" s="4"/>
      <c r="T572" s="4"/>
      <c r="U572" s="4"/>
      <c r="V572" s="4"/>
      <c r="W572" s="4"/>
      <c r="X572" s="4"/>
      <c r="Y572" s="4"/>
      <c r="Z572" s="4"/>
    </row>
    <row r="573" spans="1:26" ht="12.75">
      <c r="A573" s="4"/>
      <c r="B573" s="4"/>
      <c r="C573" s="15"/>
      <c r="D573" s="4"/>
      <c r="E573" s="4"/>
      <c r="F573" s="4"/>
      <c r="G573" s="4"/>
      <c r="H573" s="4"/>
      <c r="I573" s="4"/>
      <c r="J573" s="4"/>
      <c r="K573" s="4"/>
      <c r="L573" s="4"/>
      <c r="M573" s="4"/>
      <c r="N573" s="4"/>
      <c r="O573" s="4"/>
      <c r="P573" s="4"/>
      <c r="Q573" s="4"/>
      <c r="R573" s="4"/>
      <c r="S573" s="4"/>
      <c r="T573" s="4"/>
      <c r="U573" s="4"/>
      <c r="V573" s="4"/>
      <c r="W573" s="4"/>
      <c r="X573" s="4"/>
      <c r="Y573" s="4"/>
      <c r="Z573" s="4"/>
    </row>
    <row r="574" spans="1:26" ht="12.75">
      <c r="A574" s="4"/>
      <c r="B574" s="4"/>
      <c r="C574" s="15"/>
      <c r="D574" s="4"/>
      <c r="E574" s="4"/>
      <c r="F574" s="4"/>
      <c r="G574" s="4"/>
      <c r="H574" s="4"/>
      <c r="I574" s="4"/>
      <c r="J574" s="4"/>
      <c r="K574" s="4"/>
      <c r="L574" s="4"/>
      <c r="M574" s="4"/>
      <c r="N574" s="4"/>
      <c r="O574" s="4"/>
      <c r="P574" s="4"/>
      <c r="Q574" s="4"/>
      <c r="R574" s="4"/>
      <c r="S574" s="4"/>
      <c r="T574" s="4"/>
      <c r="U574" s="4"/>
      <c r="V574" s="4"/>
      <c r="W574" s="4"/>
      <c r="X574" s="4"/>
      <c r="Y574" s="4"/>
      <c r="Z574" s="4"/>
    </row>
    <row r="575" spans="1:26" ht="12.75">
      <c r="A575" s="4"/>
      <c r="B575" s="4"/>
      <c r="C575" s="15"/>
      <c r="D575" s="4"/>
      <c r="E575" s="4"/>
      <c r="F575" s="4"/>
      <c r="G575" s="4"/>
      <c r="H575" s="4"/>
      <c r="I575" s="4"/>
      <c r="J575" s="4"/>
      <c r="K575" s="4"/>
      <c r="L575" s="4"/>
      <c r="M575" s="4"/>
      <c r="N575" s="4"/>
      <c r="O575" s="4"/>
      <c r="P575" s="4"/>
      <c r="Q575" s="4"/>
      <c r="R575" s="4"/>
      <c r="S575" s="4"/>
      <c r="T575" s="4"/>
      <c r="U575" s="4"/>
      <c r="V575" s="4"/>
      <c r="W575" s="4"/>
      <c r="X575" s="4"/>
      <c r="Y575" s="4"/>
      <c r="Z575" s="4"/>
    </row>
    <row r="576" spans="1:26" ht="12.75">
      <c r="A576" s="4"/>
      <c r="B576" s="4"/>
      <c r="C576" s="15"/>
      <c r="D576" s="4"/>
      <c r="E576" s="4"/>
      <c r="F576" s="4"/>
      <c r="G576" s="4"/>
      <c r="H576" s="4"/>
      <c r="I576" s="4"/>
      <c r="J576" s="4"/>
      <c r="K576" s="4"/>
      <c r="L576" s="4"/>
      <c r="M576" s="4"/>
      <c r="N576" s="4"/>
      <c r="O576" s="4"/>
      <c r="P576" s="4"/>
      <c r="Q576" s="4"/>
      <c r="R576" s="4"/>
      <c r="S576" s="4"/>
      <c r="T576" s="4"/>
      <c r="U576" s="4"/>
      <c r="V576" s="4"/>
      <c r="W576" s="4"/>
      <c r="X576" s="4"/>
      <c r="Y576" s="4"/>
      <c r="Z576" s="4"/>
    </row>
    <row r="577" spans="1:26" ht="12.75">
      <c r="A577" s="4"/>
      <c r="B577" s="4"/>
      <c r="C577" s="15"/>
      <c r="D577" s="4"/>
      <c r="E577" s="4"/>
      <c r="F577" s="4"/>
      <c r="G577" s="4"/>
      <c r="H577" s="4"/>
      <c r="I577" s="4"/>
      <c r="J577" s="4"/>
      <c r="K577" s="4"/>
      <c r="L577" s="4"/>
      <c r="M577" s="4"/>
      <c r="N577" s="4"/>
      <c r="O577" s="4"/>
      <c r="P577" s="4"/>
      <c r="Q577" s="4"/>
      <c r="R577" s="4"/>
      <c r="S577" s="4"/>
      <c r="T577" s="4"/>
      <c r="U577" s="4"/>
      <c r="V577" s="4"/>
      <c r="W577" s="4"/>
      <c r="X577" s="4"/>
      <c r="Y577" s="4"/>
      <c r="Z577" s="4"/>
    </row>
    <row r="578" spans="1:26" ht="12.75">
      <c r="A578" s="4"/>
      <c r="B578" s="4"/>
      <c r="C578" s="15"/>
      <c r="D578" s="4"/>
      <c r="E578" s="4"/>
      <c r="F578" s="4"/>
      <c r="G578" s="4"/>
      <c r="H578" s="4"/>
      <c r="I578" s="4"/>
      <c r="J578" s="4"/>
      <c r="K578" s="4"/>
      <c r="L578" s="4"/>
      <c r="M578" s="4"/>
      <c r="N578" s="4"/>
      <c r="O578" s="4"/>
      <c r="P578" s="4"/>
      <c r="Q578" s="4"/>
      <c r="R578" s="4"/>
      <c r="S578" s="4"/>
      <c r="T578" s="4"/>
      <c r="U578" s="4"/>
      <c r="V578" s="4"/>
      <c r="W578" s="4"/>
      <c r="X578" s="4"/>
      <c r="Y578" s="4"/>
      <c r="Z578" s="4"/>
    </row>
    <row r="579" spans="1:26" ht="12.75">
      <c r="A579" s="4"/>
      <c r="B579" s="4"/>
      <c r="C579" s="15"/>
      <c r="D579" s="4"/>
      <c r="E579" s="4"/>
      <c r="F579" s="4"/>
      <c r="G579" s="4"/>
      <c r="H579" s="4"/>
      <c r="I579" s="4"/>
      <c r="J579" s="4"/>
      <c r="K579" s="4"/>
      <c r="L579" s="4"/>
      <c r="M579" s="4"/>
      <c r="N579" s="4"/>
      <c r="O579" s="4"/>
      <c r="P579" s="4"/>
      <c r="Q579" s="4"/>
      <c r="R579" s="4"/>
      <c r="S579" s="4"/>
      <c r="T579" s="4"/>
      <c r="U579" s="4"/>
      <c r="V579" s="4"/>
      <c r="W579" s="4"/>
      <c r="X579" s="4"/>
      <c r="Y579" s="4"/>
      <c r="Z579" s="4"/>
    </row>
    <row r="580" spans="1:26" ht="12.75">
      <c r="A580" s="4"/>
      <c r="B580" s="4"/>
      <c r="C580" s="15"/>
      <c r="D580" s="4"/>
      <c r="E580" s="4"/>
      <c r="F580" s="4"/>
      <c r="G580" s="4"/>
      <c r="H580" s="4"/>
      <c r="I580" s="4"/>
      <c r="J580" s="4"/>
      <c r="K580" s="4"/>
      <c r="L580" s="4"/>
      <c r="M580" s="4"/>
      <c r="N580" s="4"/>
      <c r="O580" s="4"/>
      <c r="P580" s="4"/>
      <c r="Q580" s="4"/>
      <c r="R580" s="4"/>
      <c r="S580" s="4"/>
      <c r="T580" s="4"/>
      <c r="U580" s="4"/>
      <c r="V580" s="4"/>
      <c r="W580" s="4"/>
      <c r="X580" s="4"/>
      <c r="Y580" s="4"/>
      <c r="Z580" s="4"/>
    </row>
    <row r="581" spans="1:26" ht="12.75">
      <c r="A581" s="4"/>
      <c r="B581" s="4"/>
      <c r="C581" s="15"/>
      <c r="D581" s="4"/>
      <c r="E581" s="4"/>
      <c r="F581" s="4"/>
      <c r="G581" s="4"/>
      <c r="H581" s="4"/>
      <c r="I581" s="4"/>
      <c r="J581" s="4"/>
      <c r="K581" s="4"/>
      <c r="L581" s="4"/>
      <c r="M581" s="4"/>
      <c r="N581" s="4"/>
      <c r="O581" s="4"/>
      <c r="P581" s="4"/>
      <c r="Q581" s="4"/>
      <c r="R581" s="4"/>
      <c r="S581" s="4"/>
      <c r="T581" s="4"/>
      <c r="U581" s="4"/>
      <c r="V581" s="4"/>
      <c r="W581" s="4"/>
      <c r="X581" s="4"/>
      <c r="Y581" s="4"/>
      <c r="Z581" s="4"/>
    </row>
    <row r="582" spans="1:26" ht="12.75">
      <c r="A582" s="4"/>
      <c r="B582" s="4"/>
      <c r="C582" s="15"/>
      <c r="D582" s="4"/>
      <c r="E582" s="4"/>
      <c r="F582" s="4"/>
      <c r="G582" s="4"/>
      <c r="H582" s="4"/>
      <c r="I582" s="4"/>
      <c r="J582" s="4"/>
      <c r="K582" s="4"/>
      <c r="L582" s="4"/>
      <c r="M582" s="4"/>
      <c r="N582" s="4"/>
      <c r="O582" s="4"/>
      <c r="P582" s="4"/>
      <c r="Q582" s="4"/>
      <c r="R582" s="4"/>
      <c r="S582" s="4"/>
      <c r="T582" s="4"/>
      <c r="U582" s="4"/>
      <c r="V582" s="4"/>
      <c r="W582" s="4"/>
      <c r="X582" s="4"/>
      <c r="Y582" s="4"/>
      <c r="Z582" s="4"/>
    </row>
    <row r="583" spans="1:26" ht="12.75">
      <c r="A583" s="4"/>
      <c r="B583" s="4"/>
      <c r="C583" s="15"/>
      <c r="D583" s="4"/>
      <c r="E583" s="4"/>
      <c r="F583" s="4"/>
      <c r="G583" s="4"/>
      <c r="H583" s="4"/>
      <c r="I583" s="4"/>
      <c r="J583" s="4"/>
      <c r="K583" s="4"/>
      <c r="L583" s="4"/>
      <c r="M583" s="4"/>
      <c r="N583" s="4"/>
      <c r="O583" s="4"/>
      <c r="P583" s="4"/>
      <c r="Q583" s="4"/>
      <c r="R583" s="4"/>
      <c r="S583" s="4"/>
      <c r="T583" s="4"/>
      <c r="U583" s="4"/>
      <c r="V583" s="4"/>
      <c r="W583" s="4"/>
      <c r="X583" s="4"/>
      <c r="Y583" s="4"/>
      <c r="Z583" s="4"/>
    </row>
    <row r="584" spans="1:26" ht="12.75">
      <c r="A584" s="4"/>
      <c r="B584" s="4"/>
      <c r="C584" s="15"/>
      <c r="D584" s="4"/>
      <c r="E584" s="4"/>
      <c r="F584" s="4"/>
      <c r="G584" s="4"/>
      <c r="H584" s="4"/>
      <c r="I584" s="4"/>
      <c r="J584" s="4"/>
      <c r="K584" s="4"/>
      <c r="L584" s="4"/>
      <c r="M584" s="4"/>
      <c r="N584" s="4"/>
      <c r="O584" s="4"/>
      <c r="P584" s="4"/>
      <c r="Q584" s="4"/>
      <c r="R584" s="4"/>
      <c r="S584" s="4"/>
      <c r="T584" s="4"/>
      <c r="U584" s="4"/>
      <c r="V584" s="4"/>
      <c r="W584" s="4"/>
      <c r="X584" s="4"/>
      <c r="Y584" s="4"/>
      <c r="Z584" s="4"/>
    </row>
    <row r="585" spans="1:26" ht="12.75">
      <c r="A585" s="4"/>
      <c r="B585" s="4"/>
      <c r="C585" s="15"/>
      <c r="D585" s="4"/>
      <c r="E585" s="4"/>
      <c r="F585" s="4"/>
      <c r="G585" s="4"/>
      <c r="H585" s="4"/>
      <c r="I585" s="4"/>
      <c r="J585" s="4"/>
      <c r="K585" s="4"/>
      <c r="L585" s="4"/>
      <c r="M585" s="4"/>
      <c r="N585" s="4"/>
      <c r="O585" s="4"/>
      <c r="P585" s="4"/>
      <c r="Q585" s="4"/>
      <c r="R585" s="4"/>
      <c r="S585" s="4"/>
      <c r="T585" s="4"/>
      <c r="U585" s="4"/>
      <c r="V585" s="4"/>
      <c r="W585" s="4"/>
      <c r="X585" s="4"/>
      <c r="Y585" s="4"/>
      <c r="Z585" s="4"/>
    </row>
    <row r="586" spans="1:26" ht="12.75">
      <c r="A586" s="4"/>
      <c r="B586" s="4"/>
      <c r="C586" s="15"/>
      <c r="D586" s="4"/>
      <c r="E586" s="4"/>
      <c r="F586" s="4"/>
      <c r="G586" s="4"/>
      <c r="H586" s="4"/>
      <c r="I586" s="4"/>
      <c r="J586" s="4"/>
      <c r="K586" s="4"/>
      <c r="L586" s="4"/>
      <c r="M586" s="4"/>
      <c r="N586" s="4"/>
      <c r="O586" s="4"/>
      <c r="P586" s="4"/>
      <c r="Q586" s="4"/>
      <c r="R586" s="4"/>
      <c r="S586" s="4"/>
      <c r="T586" s="4"/>
      <c r="U586" s="4"/>
      <c r="V586" s="4"/>
      <c r="W586" s="4"/>
      <c r="X586" s="4"/>
      <c r="Y586" s="4"/>
      <c r="Z586" s="4"/>
    </row>
    <row r="587" spans="1:26" ht="12.75">
      <c r="A587" s="4"/>
      <c r="B587" s="4"/>
      <c r="C587" s="15"/>
      <c r="D587" s="4"/>
      <c r="E587" s="4"/>
      <c r="F587" s="4"/>
      <c r="G587" s="4"/>
      <c r="H587" s="4"/>
      <c r="I587" s="4"/>
      <c r="J587" s="4"/>
      <c r="K587" s="4"/>
      <c r="L587" s="4"/>
      <c r="M587" s="4"/>
      <c r="N587" s="4"/>
      <c r="O587" s="4"/>
      <c r="P587" s="4"/>
      <c r="Q587" s="4"/>
      <c r="R587" s="4"/>
      <c r="S587" s="4"/>
      <c r="T587" s="4"/>
      <c r="U587" s="4"/>
      <c r="V587" s="4"/>
      <c r="W587" s="4"/>
      <c r="X587" s="4"/>
      <c r="Y587" s="4"/>
      <c r="Z587" s="4"/>
    </row>
    <row r="588" spans="1:26" ht="12.75">
      <c r="A588" s="4"/>
      <c r="B588" s="4"/>
      <c r="C588" s="15"/>
      <c r="D588" s="4"/>
      <c r="E588" s="4"/>
      <c r="F588" s="4"/>
      <c r="G588" s="4"/>
      <c r="H588" s="4"/>
      <c r="I588" s="4"/>
      <c r="J588" s="4"/>
      <c r="K588" s="4"/>
      <c r="L588" s="4"/>
      <c r="M588" s="4"/>
      <c r="N588" s="4"/>
      <c r="O588" s="4"/>
      <c r="P588" s="4"/>
      <c r="Q588" s="4"/>
      <c r="R588" s="4"/>
      <c r="S588" s="4"/>
      <c r="T588" s="4"/>
      <c r="U588" s="4"/>
      <c r="V588" s="4"/>
      <c r="W588" s="4"/>
      <c r="X588" s="4"/>
      <c r="Y588" s="4"/>
      <c r="Z588" s="4"/>
    </row>
    <row r="589" spans="1:26" ht="12.75">
      <c r="A589" s="4"/>
      <c r="B589" s="4"/>
      <c r="C589" s="15"/>
      <c r="D589" s="4"/>
      <c r="E589" s="4"/>
      <c r="F589" s="4"/>
      <c r="G589" s="4"/>
      <c r="H589" s="4"/>
      <c r="I589" s="4"/>
      <c r="J589" s="4"/>
      <c r="K589" s="4"/>
      <c r="L589" s="4"/>
      <c r="M589" s="4"/>
      <c r="N589" s="4"/>
      <c r="O589" s="4"/>
      <c r="P589" s="4"/>
      <c r="Q589" s="4"/>
      <c r="R589" s="4"/>
      <c r="S589" s="4"/>
      <c r="T589" s="4"/>
      <c r="U589" s="4"/>
      <c r="V589" s="4"/>
      <c r="W589" s="4"/>
      <c r="X589" s="4"/>
      <c r="Y589" s="4"/>
      <c r="Z589" s="4"/>
    </row>
    <row r="590" spans="1:26" ht="12.75">
      <c r="A590" s="4"/>
      <c r="B590" s="4"/>
      <c r="C590" s="15"/>
      <c r="D590" s="4"/>
      <c r="E590" s="4"/>
      <c r="F590" s="4"/>
      <c r="G590" s="4"/>
      <c r="H590" s="4"/>
      <c r="I590" s="4"/>
      <c r="J590" s="4"/>
      <c r="K590" s="4"/>
      <c r="L590" s="4"/>
      <c r="M590" s="4"/>
      <c r="N590" s="4"/>
      <c r="O590" s="4"/>
      <c r="P590" s="4"/>
      <c r="Q590" s="4"/>
      <c r="R590" s="4"/>
      <c r="S590" s="4"/>
      <c r="T590" s="4"/>
      <c r="U590" s="4"/>
      <c r="V590" s="4"/>
      <c r="W590" s="4"/>
      <c r="X590" s="4"/>
      <c r="Y590" s="4"/>
      <c r="Z590" s="4"/>
    </row>
    <row r="591" spans="1:26" ht="12.75">
      <c r="A591" s="4"/>
      <c r="B591" s="4"/>
      <c r="C591" s="15"/>
      <c r="D591" s="4"/>
      <c r="E591" s="4"/>
      <c r="F591" s="4"/>
      <c r="G591" s="4"/>
      <c r="H591" s="4"/>
      <c r="I591" s="4"/>
      <c r="J591" s="4"/>
      <c r="K591" s="4"/>
      <c r="L591" s="4"/>
      <c r="M591" s="4"/>
      <c r="N591" s="4"/>
      <c r="O591" s="4"/>
      <c r="P591" s="4"/>
      <c r="Q591" s="4"/>
      <c r="R591" s="4"/>
      <c r="S591" s="4"/>
      <c r="T591" s="4"/>
      <c r="U591" s="4"/>
      <c r="V591" s="4"/>
      <c r="W591" s="4"/>
      <c r="X591" s="4"/>
      <c r="Y591" s="4"/>
      <c r="Z591" s="4"/>
    </row>
    <row r="592" spans="1:26" ht="12.75">
      <c r="A592" s="4"/>
      <c r="B592" s="4"/>
      <c r="C592" s="15"/>
      <c r="D592" s="4"/>
      <c r="E592" s="4"/>
      <c r="F592" s="4"/>
      <c r="G592" s="4"/>
      <c r="H592" s="4"/>
      <c r="I592" s="4"/>
      <c r="J592" s="4"/>
      <c r="K592" s="4"/>
      <c r="L592" s="4"/>
      <c r="M592" s="4"/>
      <c r="N592" s="4"/>
      <c r="O592" s="4"/>
      <c r="P592" s="4"/>
      <c r="Q592" s="4"/>
      <c r="R592" s="4"/>
      <c r="S592" s="4"/>
      <c r="T592" s="4"/>
      <c r="U592" s="4"/>
      <c r="V592" s="4"/>
      <c r="W592" s="4"/>
      <c r="X592" s="4"/>
      <c r="Y592" s="4"/>
      <c r="Z592" s="4"/>
    </row>
    <row r="593" spans="1:26" ht="12.75">
      <c r="A593" s="4"/>
      <c r="B593" s="4"/>
      <c r="C593" s="15"/>
      <c r="D593" s="4"/>
      <c r="E593" s="4"/>
      <c r="F593" s="4"/>
      <c r="G593" s="4"/>
      <c r="H593" s="4"/>
      <c r="I593" s="4"/>
      <c r="J593" s="4"/>
      <c r="K593" s="4"/>
      <c r="L593" s="4"/>
      <c r="M593" s="4"/>
      <c r="N593" s="4"/>
      <c r="O593" s="4"/>
      <c r="P593" s="4"/>
      <c r="Q593" s="4"/>
      <c r="R593" s="4"/>
      <c r="S593" s="4"/>
      <c r="T593" s="4"/>
      <c r="U593" s="4"/>
      <c r="V593" s="4"/>
      <c r="W593" s="4"/>
      <c r="X593" s="4"/>
      <c r="Y593" s="4"/>
      <c r="Z593" s="4"/>
    </row>
    <row r="594" spans="1:26" ht="12.75">
      <c r="A594" s="4"/>
      <c r="B594" s="4"/>
      <c r="C594" s="15"/>
      <c r="D594" s="4"/>
      <c r="E594" s="4"/>
      <c r="F594" s="4"/>
      <c r="G594" s="4"/>
      <c r="H594" s="4"/>
      <c r="I594" s="4"/>
      <c r="J594" s="4"/>
      <c r="K594" s="4"/>
      <c r="L594" s="4"/>
      <c r="M594" s="4"/>
      <c r="N594" s="4"/>
      <c r="O594" s="4"/>
      <c r="P594" s="4"/>
      <c r="Q594" s="4"/>
      <c r="R594" s="4"/>
      <c r="S594" s="4"/>
      <c r="T594" s="4"/>
      <c r="U594" s="4"/>
      <c r="V594" s="4"/>
      <c r="W594" s="4"/>
      <c r="X594" s="4"/>
      <c r="Y594" s="4"/>
      <c r="Z594" s="4"/>
    </row>
    <row r="595" spans="1:26" ht="12.75">
      <c r="A595" s="4"/>
      <c r="B595" s="4"/>
      <c r="C595" s="15"/>
      <c r="D595" s="4"/>
      <c r="E595" s="4"/>
      <c r="F595" s="4"/>
      <c r="G595" s="4"/>
      <c r="H595" s="4"/>
      <c r="I595" s="4"/>
      <c r="J595" s="4"/>
      <c r="K595" s="4"/>
      <c r="L595" s="4"/>
      <c r="M595" s="4"/>
      <c r="N595" s="4"/>
      <c r="O595" s="4"/>
      <c r="P595" s="4"/>
      <c r="Q595" s="4"/>
      <c r="R595" s="4"/>
      <c r="S595" s="4"/>
      <c r="T595" s="4"/>
      <c r="U595" s="4"/>
      <c r="V595" s="4"/>
      <c r="W595" s="4"/>
      <c r="X595" s="4"/>
      <c r="Y595" s="4"/>
      <c r="Z595" s="4"/>
    </row>
    <row r="596" spans="1:26" ht="12.75">
      <c r="A596" s="4"/>
      <c r="B596" s="4"/>
      <c r="C596" s="15"/>
      <c r="D596" s="4"/>
      <c r="E596" s="4"/>
      <c r="F596" s="4"/>
      <c r="G596" s="4"/>
      <c r="H596" s="4"/>
      <c r="I596" s="4"/>
      <c r="J596" s="4"/>
      <c r="K596" s="4"/>
      <c r="L596" s="4"/>
      <c r="M596" s="4"/>
      <c r="N596" s="4"/>
      <c r="O596" s="4"/>
      <c r="P596" s="4"/>
      <c r="Q596" s="4"/>
      <c r="R596" s="4"/>
      <c r="S596" s="4"/>
      <c r="T596" s="4"/>
      <c r="U596" s="4"/>
      <c r="V596" s="4"/>
      <c r="W596" s="4"/>
      <c r="X596" s="4"/>
      <c r="Y596" s="4"/>
      <c r="Z596" s="4"/>
    </row>
    <row r="597" spans="1:26" ht="12.75">
      <c r="A597" s="4"/>
      <c r="B597" s="4"/>
      <c r="C597" s="15"/>
      <c r="D597" s="4"/>
      <c r="E597" s="4"/>
      <c r="F597" s="4"/>
      <c r="G597" s="4"/>
      <c r="H597" s="4"/>
      <c r="I597" s="4"/>
      <c r="J597" s="4"/>
      <c r="K597" s="4"/>
      <c r="L597" s="4"/>
      <c r="M597" s="4"/>
      <c r="N597" s="4"/>
      <c r="O597" s="4"/>
      <c r="P597" s="4"/>
      <c r="Q597" s="4"/>
      <c r="R597" s="4"/>
      <c r="S597" s="4"/>
      <c r="T597" s="4"/>
      <c r="U597" s="4"/>
      <c r="V597" s="4"/>
      <c r="W597" s="4"/>
      <c r="X597" s="4"/>
      <c r="Y597" s="4"/>
      <c r="Z597" s="4"/>
    </row>
    <row r="598" spans="1:26" ht="12.75">
      <c r="A598" s="4"/>
      <c r="B598" s="4"/>
      <c r="C598" s="15"/>
      <c r="D598" s="4"/>
      <c r="E598" s="4"/>
      <c r="F598" s="4"/>
      <c r="G598" s="4"/>
      <c r="H598" s="4"/>
      <c r="I598" s="4"/>
      <c r="J598" s="4"/>
      <c r="K598" s="4"/>
      <c r="L598" s="4"/>
      <c r="M598" s="4"/>
      <c r="N598" s="4"/>
      <c r="O598" s="4"/>
      <c r="P598" s="4"/>
      <c r="Q598" s="4"/>
      <c r="R598" s="4"/>
      <c r="S598" s="4"/>
      <c r="T598" s="4"/>
      <c r="U598" s="4"/>
      <c r="V598" s="4"/>
      <c r="W598" s="4"/>
      <c r="X598" s="4"/>
      <c r="Y598" s="4"/>
      <c r="Z598" s="4"/>
    </row>
    <row r="599" spans="1:26" ht="12.75">
      <c r="A599" s="4"/>
      <c r="B599" s="4"/>
      <c r="C599" s="15"/>
      <c r="D599" s="4"/>
      <c r="E599" s="4"/>
      <c r="F599" s="4"/>
      <c r="G599" s="4"/>
      <c r="H599" s="4"/>
      <c r="I599" s="4"/>
      <c r="J599" s="4"/>
      <c r="K599" s="4"/>
      <c r="L599" s="4"/>
      <c r="M599" s="4"/>
      <c r="N599" s="4"/>
      <c r="O599" s="4"/>
      <c r="P599" s="4"/>
      <c r="Q599" s="4"/>
      <c r="R599" s="4"/>
      <c r="S599" s="4"/>
      <c r="T599" s="4"/>
      <c r="U599" s="4"/>
      <c r="V599" s="4"/>
      <c r="W599" s="4"/>
      <c r="X599" s="4"/>
      <c r="Y599" s="4"/>
      <c r="Z599" s="4"/>
    </row>
    <row r="600" spans="1:26" ht="12.75">
      <c r="A600" s="4"/>
      <c r="B600" s="4"/>
      <c r="C600" s="15"/>
      <c r="D600" s="4"/>
      <c r="E600" s="4"/>
      <c r="F600" s="4"/>
      <c r="G600" s="4"/>
      <c r="H600" s="4"/>
      <c r="I600" s="4"/>
      <c r="J600" s="4"/>
      <c r="K600" s="4"/>
      <c r="L600" s="4"/>
      <c r="M600" s="4"/>
      <c r="N600" s="4"/>
      <c r="O600" s="4"/>
      <c r="P600" s="4"/>
      <c r="Q600" s="4"/>
      <c r="R600" s="4"/>
      <c r="S600" s="4"/>
      <c r="T600" s="4"/>
      <c r="U600" s="4"/>
      <c r="V600" s="4"/>
      <c r="W600" s="4"/>
      <c r="X600" s="4"/>
      <c r="Y600" s="4"/>
      <c r="Z600" s="4"/>
    </row>
    <row r="601" spans="1:26" ht="12.75">
      <c r="A601" s="4"/>
      <c r="B601" s="4"/>
      <c r="C601" s="15"/>
      <c r="D601" s="4"/>
      <c r="E601" s="4"/>
      <c r="F601" s="4"/>
      <c r="G601" s="4"/>
      <c r="H601" s="4"/>
      <c r="I601" s="4"/>
      <c r="J601" s="4"/>
      <c r="K601" s="4"/>
      <c r="L601" s="4"/>
      <c r="M601" s="4"/>
      <c r="N601" s="4"/>
      <c r="O601" s="4"/>
      <c r="P601" s="4"/>
      <c r="Q601" s="4"/>
      <c r="R601" s="4"/>
      <c r="S601" s="4"/>
      <c r="T601" s="4"/>
      <c r="U601" s="4"/>
      <c r="V601" s="4"/>
      <c r="W601" s="4"/>
      <c r="X601" s="4"/>
      <c r="Y601" s="4"/>
      <c r="Z601" s="4"/>
    </row>
    <row r="602" spans="1:26" ht="12.75">
      <c r="A602" s="4"/>
      <c r="B602" s="4"/>
      <c r="C602" s="15"/>
      <c r="D602" s="4"/>
      <c r="E602" s="4"/>
      <c r="F602" s="4"/>
      <c r="G602" s="4"/>
      <c r="H602" s="4"/>
      <c r="I602" s="4"/>
      <c r="J602" s="4"/>
      <c r="K602" s="4"/>
      <c r="L602" s="4"/>
      <c r="M602" s="4"/>
      <c r="N602" s="4"/>
      <c r="O602" s="4"/>
      <c r="P602" s="4"/>
      <c r="Q602" s="4"/>
      <c r="R602" s="4"/>
      <c r="S602" s="4"/>
      <c r="T602" s="4"/>
      <c r="U602" s="4"/>
      <c r="V602" s="4"/>
      <c r="W602" s="4"/>
      <c r="X602" s="4"/>
      <c r="Y602" s="4"/>
      <c r="Z602" s="4"/>
    </row>
    <row r="603" spans="1:26" ht="12.75">
      <c r="A603" s="4"/>
      <c r="B603" s="4"/>
      <c r="C603" s="15"/>
      <c r="D603" s="4"/>
      <c r="E603" s="4"/>
      <c r="F603" s="4"/>
      <c r="G603" s="4"/>
      <c r="H603" s="4"/>
      <c r="I603" s="4"/>
      <c r="J603" s="4"/>
      <c r="K603" s="4"/>
      <c r="L603" s="4"/>
      <c r="M603" s="4"/>
      <c r="N603" s="4"/>
      <c r="O603" s="4"/>
      <c r="P603" s="4"/>
      <c r="Q603" s="4"/>
      <c r="R603" s="4"/>
      <c r="S603" s="4"/>
      <c r="T603" s="4"/>
      <c r="U603" s="4"/>
      <c r="V603" s="4"/>
      <c r="W603" s="4"/>
      <c r="X603" s="4"/>
      <c r="Y603" s="4"/>
      <c r="Z603" s="4"/>
    </row>
    <row r="604" spans="1:26" ht="12.75">
      <c r="A604" s="4"/>
      <c r="B604" s="4"/>
      <c r="C604" s="15"/>
      <c r="D604" s="4"/>
      <c r="E604" s="4"/>
      <c r="F604" s="4"/>
      <c r="G604" s="4"/>
      <c r="H604" s="4"/>
      <c r="I604" s="4"/>
      <c r="J604" s="4"/>
      <c r="K604" s="4"/>
      <c r="L604" s="4"/>
      <c r="M604" s="4"/>
      <c r="N604" s="4"/>
      <c r="O604" s="4"/>
      <c r="P604" s="4"/>
      <c r="Q604" s="4"/>
      <c r="R604" s="4"/>
      <c r="S604" s="4"/>
      <c r="T604" s="4"/>
      <c r="U604" s="4"/>
      <c r="V604" s="4"/>
      <c r="W604" s="4"/>
      <c r="X604" s="4"/>
      <c r="Y604" s="4"/>
      <c r="Z604" s="4"/>
    </row>
    <row r="605" spans="1:26" ht="12.75">
      <c r="A605" s="4"/>
      <c r="B605" s="4"/>
      <c r="C605" s="15"/>
      <c r="D605" s="4"/>
      <c r="E605" s="4"/>
      <c r="F605" s="4"/>
      <c r="G605" s="4"/>
      <c r="H605" s="4"/>
      <c r="I605" s="4"/>
      <c r="J605" s="4"/>
      <c r="K605" s="4"/>
      <c r="L605" s="4"/>
      <c r="M605" s="4"/>
      <c r="N605" s="4"/>
      <c r="O605" s="4"/>
      <c r="P605" s="4"/>
      <c r="Q605" s="4"/>
      <c r="R605" s="4"/>
      <c r="S605" s="4"/>
      <c r="T605" s="4"/>
      <c r="U605" s="4"/>
      <c r="V605" s="4"/>
      <c r="W605" s="4"/>
      <c r="X605" s="4"/>
      <c r="Y605" s="4"/>
      <c r="Z605" s="4"/>
    </row>
    <row r="606" spans="1:26" ht="12.75">
      <c r="A606" s="4"/>
      <c r="B606" s="4"/>
      <c r="C606" s="15"/>
      <c r="D606" s="4"/>
      <c r="E606" s="4"/>
      <c r="F606" s="4"/>
      <c r="G606" s="4"/>
      <c r="H606" s="4"/>
      <c r="I606" s="4"/>
      <c r="J606" s="4"/>
      <c r="K606" s="4"/>
      <c r="L606" s="4"/>
      <c r="M606" s="4"/>
      <c r="N606" s="4"/>
      <c r="O606" s="4"/>
      <c r="P606" s="4"/>
      <c r="Q606" s="4"/>
      <c r="R606" s="4"/>
      <c r="S606" s="4"/>
      <c r="T606" s="4"/>
      <c r="U606" s="4"/>
      <c r="V606" s="4"/>
      <c r="W606" s="4"/>
      <c r="X606" s="4"/>
      <c r="Y606" s="4"/>
      <c r="Z606" s="4"/>
    </row>
    <row r="607" spans="1:26" ht="12.75">
      <c r="A607" s="4"/>
      <c r="B607" s="4"/>
      <c r="C607" s="15"/>
      <c r="D607" s="4"/>
      <c r="E607" s="4"/>
      <c r="F607" s="4"/>
      <c r="G607" s="4"/>
      <c r="H607" s="4"/>
      <c r="I607" s="4"/>
      <c r="J607" s="4"/>
      <c r="K607" s="4"/>
      <c r="L607" s="4"/>
      <c r="M607" s="4"/>
      <c r="N607" s="4"/>
      <c r="O607" s="4"/>
      <c r="P607" s="4"/>
      <c r="Q607" s="4"/>
      <c r="R607" s="4"/>
      <c r="S607" s="4"/>
      <c r="T607" s="4"/>
      <c r="U607" s="4"/>
      <c r="V607" s="4"/>
      <c r="W607" s="4"/>
      <c r="X607" s="4"/>
      <c r="Y607" s="4"/>
      <c r="Z607" s="4"/>
    </row>
    <row r="608" spans="1:26" ht="12.75">
      <c r="A608" s="4"/>
      <c r="B608" s="4"/>
      <c r="C608" s="15"/>
      <c r="D608" s="4"/>
      <c r="E608" s="4"/>
      <c r="F608" s="4"/>
      <c r="G608" s="4"/>
      <c r="H608" s="4"/>
      <c r="I608" s="4"/>
      <c r="J608" s="4"/>
      <c r="K608" s="4"/>
      <c r="L608" s="4"/>
      <c r="M608" s="4"/>
      <c r="N608" s="4"/>
      <c r="O608" s="4"/>
      <c r="P608" s="4"/>
      <c r="Q608" s="4"/>
      <c r="R608" s="4"/>
      <c r="S608" s="4"/>
      <c r="T608" s="4"/>
      <c r="U608" s="4"/>
      <c r="V608" s="4"/>
      <c r="W608" s="4"/>
      <c r="X608" s="4"/>
      <c r="Y608" s="4"/>
      <c r="Z608" s="4"/>
    </row>
    <row r="609" spans="1:26" ht="12.75">
      <c r="A609" s="4"/>
      <c r="B609" s="4"/>
      <c r="C609" s="15"/>
      <c r="D609" s="4"/>
      <c r="E609" s="4"/>
      <c r="F609" s="4"/>
      <c r="G609" s="4"/>
      <c r="H609" s="4"/>
      <c r="I609" s="4"/>
      <c r="J609" s="4"/>
      <c r="K609" s="4"/>
      <c r="L609" s="4"/>
      <c r="M609" s="4"/>
      <c r="N609" s="4"/>
      <c r="O609" s="4"/>
      <c r="P609" s="4"/>
      <c r="Q609" s="4"/>
      <c r="R609" s="4"/>
      <c r="S609" s="4"/>
      <c r="T609" s="4"/>
      <c r="U609" s="4"/>
      <c r="V609" s="4"/>
      <c r="W609" s="4"/>
      <c r="X609" s="4"/>
      <c r="Y609" s="4"/>
      <c r="Z609" s="4"/>
    </row>
    <row r="610" spans="1:26" ht="12.75">
      <c r="A610" s="4"/>
      <c r="B610" s="4"/>
      <c r="C610" s="15"/>
      <c r="D610" s="4"/>
      <c r="E610" s="4"/>
      <c r="F610" s="4"/>
      <c r="G610" s="4"/>
      <c r="H610" s="4"/>
      <c r="I610" s="4"/>
      <c r="J610" s="4"/>
      <c r="K610" s="4"/>
      <c r="L610" s="4"/>
      <c r="M610" s="4"/>
      <c r="N610" s="4"/>
      <c r="O610" s="4"/>
      <c r="P610" s="4"/>
      <c r="Q610" s="4"/>
      <c r="R610" s="4"/>
      <c r="S610" s="4"/>
      <c r="T610" s="4"/>
      <c r="U610" s="4"/>
      <c r="V610" s="4"/>
      <c r="W610" s="4"/>
      <c r="X610" s="4"/>
      <c r="Y610" s="4"/>
      <c r="Z610" s="4"/>
    </row>
    <row r="611" spans="1:26" ht="12.75">
      <c r="A611" s="4"/>
      <c r="B611" s="4"/>
      <c r="C611" s="15"/>
      <c r="D611" s="4"/>
      <c r="E611" s="4"/>
      <c r="F611" s="4"/>
      <c r="G611" s="4"/>
      <c r="H611" s="4"/>
      <c r="I611" s="4"/>
      <c r="J611" s="4"/>
      <c r="K611" s="4"/>
      <c r="L611" s="4"/>
      <c r="M611" s="4"/>
      <c r="N611" s="4"/>
      <c r="O611" s="4"/>
      <c r="P611" s="4"/>
      <c r="Q611" s="4"/>
      <c r="R611" s="4"/>
      <c r="S611" s="4"/>
      <c r="T611" s="4"/>
      <c r="U611" s="4"/>
      <c r="V611" s="4"/>
      <c r="W611" s="4"/>
      <c r="X611" s="4"/>
      <c r="Y611" s="4"/>
      <c r="Z611" s="4"/>
    </row>
    <row r="612" spans="1:26" ht="12.75">
      <c r="A612" s="4"/>
      <c r="B612" s="4"/>
      <c r="C612" s="15"/>
      <c r="D612" s="4"/>
      <c r="E612" s="4"/>
      <c r="F612" s="4"/>
      <c r="G612" s="4"/>
      <c r="H612" s="4"/>
      <c r="I612" s="4"/>
      <c r="J612" s="4"/>
      <c r="K612" s="4"/>
      <c r="L612" s="4"/>
      <c r="M612" s="4"/>
      <c r="N612" s="4"/>
      <c r="O612" s="4"/>
      <c r="P612" s="4"/>
      <c r="Q612" s="4"/>
      <c r="R612" s="4"/>
      <c r="S612" s="4"/>
      <c r="T612" s="4"/>
      <c r="U612" s="4"/>
      <c r="V612" s="4"/>
      <c r="W612" s="4"/>
      <c r="X612" s="4"/>
      <c r="Y612" s="4"/>
      <c r="Z612" s="4"/>
    </row>
    <row r="613" spans="1:26" ht="12.75">
      <c r="A613" s="4"/>
      <c r="B613" s="4"/>
      <c r="C613" s="15"/>
      <c r="D613" s="4"/>
      <c r="E613" s="4"/>
      <c r="F613" s="4"/>
      <c r="G613" s="4"/>
      <c r="H613" s="4"/>
      <c r="I613" s="4"/>
      <c r="J613" s="4"/>
      <c r="K613" s="4"/>
      <c r="L613" s="4"/>
      <c r="M613" s="4"/>
      <c r="N613" s="4"/>
      <c r="O613" s="4"/>
      <c r="P613" s="4"/>
      <c r="Q613" s="4"/>
      <c r="R613" s="4"/>
      <c r="S613" s="4"/>
      <c r="T613" s="4"/>
      <c r="U613" s="4"/>
      <c r="V613" s="4"/>
      <c r="W613" s="4"/>
      <c r="X613" s="4"/>
      <c r="Y613" s="4"/>
      <c r="Z613" s="4"/>
    </row>
    <row r="614" spans="1:26" ht="12.75">
      <c r="A614" s="4"/>
      <c r="B614" s="4"/>
      <c r="C614" s="15"/>
      <c r="D614" s="4"/>
      <c r="E614" s="4"/>
      <c r="F614" s="4"/>
      <c r="G614" s="4"/>
      <c r="H614" s="4"/>
      <c r="I614" s="4"/>
      <c r="J614" s="4"/>
      <c r="K614" s="4"/>
      <c r="L614" s="4"/>
      <c r="M614" s="4"/>
      <c r="N614" s="4"/>
      <c r="O614" s="4"/>
      <c r="P614" s="4"/>
      <c r="Q614" s="4"/>
      <c r="R614" s="4"/>
      <c r="S614" s="4"/>
      <c r="T614" s="4"/>
      <c r="U614" s="4"/>
      <c r="V614" s="4"/>
      <c r="W614" s="4"/>
      <c r="X614" s="4"/>
      <c r="Y614" s="4"/>
      <c r="Z614" s="4"/>
    </row>
    <row r="615" spans="1:26" ht="12.75">
      <c r="A615" s="4"/>
      <c r="B615" s="4"/>
      <c r="C615" s="15"/>
      <c r="D615" s="4"/>
      <c r="E615" s="4"/>
      <c r="F615" s="4"/>
      <c r="G615" s="4"/>
      <c r="H615" s="4"/>
      <c r="I615" s="4"/>
      <c r="J615" s="4"/>
      <c r="K615" s="4"/>
      <c r="L615" s="4"/>
      <c r="M615" s="4"/>
      <c r="N615" s="4"/>
      <c r="O615" s="4"/>
      <c r="P615" s="4"/>
      <c r="Q615" s="4"/>
      <c r="R615" s="4"/>
      <c r="S615" s="4"/>
      <c r="T615" s="4"/>
      <c r="U615" s="4"/>
      <c r="V615" s="4"/>
      <c r="W615" s="4"/>
      <c r="X615" s="4"/>
      <c r="Y615" s="4"/>
      <c r="Z615" s="4"/>
    </row>
    <row r="616" spans="1:26" ht="12.75">
      <c r="A616" s="4"/>
      <c r="B616" s="4"/>
      <c r="C616" s="15"/>
      <c r="D616" s="4"/>
      <c r="E616" s="4"/>
      <c r="F616" s="4"/>
      <c r="G616" s="4"/>
      <c r="H616" s="4"/>
      <c r="I616" s="4"/>
      <c r="J616" s="4"/>
      <c r="K616" s="4"/>
      <c r="L616" s="4"/>
      <c r="M616" s="4"/>
      <c r="N616" s="4"/>
      <c r="O616" s="4"/>
      <c r="P616" s="4"/>
      <c r="Q616" s="4"/>
      <c r="R616" s="4"/>
      <c r="S616" s="4"/>
      <c r="T616" s="4"/>
      <c r="U616" s="4"/>
      <c r="V616" s="4"/>
      <c r="W616" s="4"/>
      <c r="X616" s="4"/>
      <c r="Y616" s="4"/>
      <c r="Z616" s="4"/>
    </row>
    <row r="617" spans="1:26" ht="12.75">
      <c r="A617" s="4"/>
      <c r="B617" s="4"/>
      <c r="C617" s="15"/>
      <c r="D617" s="4"/>
      <c r="E617" s="4"/>
      <c r="F617" s="4"/>
      <c r="G617" s="4"/>
      <c r="H617" s="4"/>
      <c r="I617" s="4"/>
      <c r="J617" s="4"/>
      <c r="K617" s="4"/>
      <c r="L617" s="4"/>
      <c r="M617" s="4"/>
      <c r="N617" s="4"/>
      <c r="O617" s="4"/>
      <c r="P617" s="4"/>
      <c r="Q617" s="4"/>
      <c r="R617" s="4"/>
      <c r="S617" s="4"/>
      <c r="T617" s="4"/>
      <c r="U617" s="4"/>
      <c r="V617" s="4"/>
      <c r="W617" s="4"/>
      <c r="X617" s="4"/>
      <c r="Y617" s="4"/>
      <c r="Z617" s="4"/>
    </row>
    <row r="618" spans="1:26" ht="12.75">
      <c r="A618" s="4"/>
      <c r="B618" s="4"/>
      <c r="C618" s="15"/>
      <c r="D618" s="4"/>
      <c r="E618" s="4"/>
      <c r="F618" s="4"/>
      <c r="G618" s="4"/>
      <c r="H618" s="4"/>
      <c r="I618" s="4"/>
      <c r="J618" s="4"/>
      <c r="K618" s="4"/>
      <c r="L618" s="4"/>
      <c r="M618" s="4"/>
      <c r="N618" s="4"/>
      <c r="O618" s="4"/>
      <c r="P618" s="4"/>
      <c r="Q618" s="4"/>
      <c r="R618" s="4"/>
      <c r="S618" s="4"/>
      <c r="T618" s="4"/>
      <c r="U618" s="4"/>
      <c r="V618" s="4"/>
      <c r="W618" s="4"/>
      <c r="X618" s="4"/>
      <c r="Y618" s="4"/>
      <c r="Z618" s="4"/>
    </row>
    <row r="619" spans="1:26" ht="12.75">
      <c r="A619" s="4"/>
      <c r="B619" s="4"/>
      <c r="C619" s="15"/>
      <c r="D619" s="4"/>
      <c r="E619" s="4"/>
      <c r="F619" s="4"/>
      <c r="G619" s="4"/>
      <c r="H619" s="4"/>
      <c r="I619" s="4"/>
      <c r="J619" s="4"/>
      <c r="K619" s="4"/>
      <c r="L619" s="4"/>
      <c r="M619" s="4"/>
      <c r="N619" s="4"/>
      <c r="O619" s="4"/>
      <c r="P619" s="4"/>
      <c r="Q619" s="4"/>
      <c r="R619" s="4"/>
      <c r="S619" s="4"/>
      <c r="T619" s="4"/>
      <c r="U619" s="4"/>
      <c r="V619" s="4"/>
      <c r="W619" s="4"/>
      <c r="X619" s="4"/>
      <c r="Y619" s="4"/>
      <c r="Z619" s="4"/>
    </row>
    <row r="620" spans="1:26" ht="12.75">
      <c r="A620" s="4"/>
      <c r="B620" s="4"/>
      <c r="C620" s="15"/>
      <c r="D620" s="4"/>
      <c r="E620" s="4"/>
      <c r="F620" s="4"/>
      <c r="G620" s="4"/>
      <c r="H620" s="4"/>
      <c r="I620" s="4"/>
      <c r="J620" s="4"/>
      <c r="K620" s="4"/>
      <c r="L620" s="4"/>
      <c r="M620" s="4"/>
      <c r="N620" s="4"/>
      <c r="O620" s="4"/>
      <c r="P620" s="4"/>
      <c r="Q620" s="4"/>
      <c r="R620" s="4"/>
      <c r="S620" s="4"/>
      <c r="T620" s="4"/>
      <c r="U620" s="4"/>
      <c r="V620" s="4"/>
      <c r="W620" s="4"/>
      <c r="X620" s="4"/>
      <c r="Y620" s="4"/>
      <c r="Z620" s="4"/>
    </row>
    <row r="621" spans="1:26" ht="12.75">
      <c r="A621" s="4"/>
      <c r="B621" s="4"/>
      <c r="C621" s="15"/>
      <c r="D621" s="4"/>
      <c r="E621" s="4"/>
      <c r="F621" s="4"/>
      <c r="G621" s="4"/>
      <c r="H621" s="4"/>
      <c r="I621" s="4"/>
      <c r="J621" s="4"/>
      <c r="K621" s="4"/>
      <c r="L621" s="4"/>
      <c r="M621" s="4"/>
      <c r="N621" s="4"/>
      <c r="O621" s="4"/>
      <c r="P621" s="4"/>
      <c r="Q621" s="4"/>
      <c r="R621" s="4"/>
      <c r="S621" s="4"/>
      <c r="T621" s="4"/>
      <c r="U621" s="4"/>
      <c r="V621" s="4"/>
      <c r="W621" s="4"/>
      <c r="X621" s="4"/>
      <c r="Y621" s="4"/>
      <c r="Z621" s="4"/>
    </row>
    <row r="622" spans="1:26" ht="12.75">
      <c r="A622" s="4"/>
      <c r="B622" s="4"/>
      <c r="C622" s="15"/>
      <c r="D622" s="4"/>
      <c r="E622" s="4"/>
      <c r="F622" s="4"/>
      <c r="G622" s="4"/>
      <c r="H622" s="4"/>
      <c r="I622" s="4"/>
      <c r="J622" s="4"/>
      <c r="K622" s="4"/>
      <c r="L622" s="4"/>
      <c r="M622" s="4"/>
      <c r="N622" s="4"/>
      <c r="O622" s="4"/>
      <c r="P622" s="4"/>
      <c r="Q622" s="4"/>
      <c r="R622" s="4"/>
      <c r="S622" s="4"/>
      <c r="T622" s="4"/>
      <c r="U622" s="4"/>
      <c r="V622" s="4"/>
      <c r="W622" s="4"/>
      <c r="X622" s="4"/>
      <c r="Y622" s="4"/>
      <c r="Z622" s="4"/>
    </row>
    <row r="623" spans="1:26" ht="12.75">
      <c r="A623" s="4"/>
      <c r="B623" s="4"/>
      <c r="C623" s="15"/>
      <c r="D623" s="4"/>
      <c r="E623" s="4"/>
      <c r="F623" s="4"/>
      <c r="G623" s="4"/>
      <c r="H623" s="4"/>
      <c r="I623" s="4"/>
      <c r="J623" s="4"/>
      <c r="K623" s="4"/>
      <c r="L623" s="4"/>
      <c r="M623" s="4"/>
      <c r="N623" s="4"/>
      <c r="O623" s="4"/>
      <c r="P623" s="4"/>
      <c r="Q623" s="4"/>
      <c r="R623" s="4"/>
      <c r="S623" s="4"/>
      <c r="T623" s="4"/>
      <c r="U623" s="4"/>
      <c r="V623" s="4"/>
      <c r="W623" s="4"/>
      <c r="X623" s="4"/>
      <c r="Y623" s="4"/>
      <c r="Z623" s="4"/>
    </row>
    <row r="624" spans="1:26" ht="12.75">
      <c r="A624" s="4"/>
      <c r="B624" s="4"/>
      <c r="C624" s="15"/>
      <c r="D624" s="4"/>
      <c r="E624" s="4"/>
      <c r="F624" s="4"/>
      <c r="G624" s="4"/>
      <c r="H624" s="4"/>
      <c r="I624" s="4"/>
      <c r="J624" s="4"/>
      <c r="K624" s="4"/>
      <c r="L624" s="4"/>
      <c r="M624" s="4"/>
      <c r="N624" s="4"/>
      <c r="O624" s="4"/>
      <c r="P624" s="4"/>
      <c r="Q624" s="4"/>
      <c r="R624" s="4"/>
      <c r="S624" s="4"/>
      <c r="T624" s="4"/>
      <c r="U624" s="4"/>
      <c r="V624" s="4"/>
      <c r="W624" s="4"/>
      <c r="X624" s="4"/>
      <c r="Y624" s="4"/>
      <c r="Z624" s="4"/>
    </row>
    <row r="625" spans="1:26" ht="12.75">
      <c r="A625" s="4"/>
      <c r="B625" s="4"/>
      <c r="C625" s="15"/>
      <c r="D625" s="4"/>
      <c r="E625" s="4"/>
      <c r="F625" s="4"/>
      <c r="G625" s="4"/>
      <c r="H625" s="4"/>
      <c r="I625" s="4"/>
      <c r="J625" s="4"/>
      <c r="K625" s="4"/>
      <c r="L625" s="4"/>
      <c r="M625" s="4"/>
      <c r="N625" s="4"/>
      <c r="O625" s="4"/>
      <c r="P625" s="4"/>
      <c r="Q625" s="4"/>
      <c r="R625" s="4"/>
      <c r="S625" s="4"/>
      <c r="T625" s="4"/>
      <c r="U625" s="4"/>
      <c r="V625" s="4"/>
      <c r="W625" s="4"/>
      <c r="X625" s="4"/>
      <c r="Y625" s="4"/>
      <c r="Z625" s="4"/>
    </row>
    <row r="626" spans="1:26" ht="12.75">
      <c r="A626" s="4"/>
      <c r="B626" s="4"/>
      <c r="C626" s="15"/>
      <c r="D626" s="4"/>
      <c r="E626" s="4"/>
      <c r="F626" s="4"/>
      <c r="G626" s="4"/>
      <c r="H626" s="4"/>
      <c r="I626" s="4"/>
      <c r="J626" s="4"/>
      <c r="K626" s="4"/>
      <c r="L626" s="4"/>
      <c r="M626" s="4"/>
      <c r="N626" s="4"/>
      <c r="O626" s="4"/>
      <c r="P626" s="4"/>
      <c r="Q626" s="4"/>
      <c r="R626" s="4"/>
      <c r="S626" s="4"/>
      <c r="T626" s="4"/>
      <c r="U626" s="4"/>
      <c r="V626" s="4"/>
      <c r="W626" s="4"/>
      <c r="X626" s="4"/>
      <c r="Y626" s="4"/>
      <c r="Z626" s="4"/>
    </row>
    <row r="627" spans="1:26" ht="12.75">
      <c r="A627" s="4"/>
      <c r="B627" s="4"/>
      <c r="C627" s="15"/>
      <c r="D627" s="4"/>
      <c r="E627" s="4"/>
      <c r="F627" s="4"/>
      <c r="G627" s="4"/>
      <c r="H627" s="4"/>
      <c r="I627" s="4"/>
      <c r="J627" s="4"/>
      <c r="K627" s="4"/>
      <c r="L627" s="4"/>
      <c r="M627" s="4"/>
      <c r="N627" s="4"/>
      <c r="O627" s="4"/>
      <c r="P627" s="4"/>
      <c r="Q627" s="4"/>
      <c r="R627" s="4"/>
      <c r="S627" s="4"/>
      <c r="T627" s="4"/>
      <c r="U627" s="4"/>
      <c r="V627" s="4"/>
      <c r="W627" s="4"/>
      <c r="X627" s="4"/>
      <c r="Y627" s="4"/>
      <c r="Z627" s="4"/>
    </row>
    <row r="628" spans="1:26" ht="12.75">
      <c r="A628" s="4"/>
      <c r="B628" s="4"/>
      <c r="C628" s="15"/>
      <c r="D628" s="4"/>
      <c r="E628" s="4"/>
      <c r="F628" s="4"/>
      <c r="G628" s="4"/>
      <c r="H628" s="4"/>
      <c r="I628" s="4"/>
      <c r="J628" s="4"/>
      <c r="K628" s="4"/>
      <c r="L628" s="4"/>
      <c r="M628" s="4"/>
      <c r="N628" s="4"/>
      <c r="O628" s="4"/>
      <c r="P628" s="4"/>
      <c r="Q628" s="4"/>
      <c r="R628" s="4"/>
      <c r="S628" s="4"/>
      <c r="T628" s="4"/>
      <c r="U628" s="4"/>
      <c r="V628" s="4"/>
      <c r="W628" s="4"/>
      <c r="X628" s="4"/>
      <c r="Y628" s="4"/>
      <c r="Z628" s="4"/>
    </row>
    <row r="629" spans="1:26" ht="12.75">
      <c r="A629" s="4"/>
      <c r="B629" s="4"/>
      <c r="C629" s="15"/>
      <c r="D629" s="4"/>
      <c r="E629" s="4"/>
      <c r="F629" s="4"/>
      <c r="G629" s="4"/>
      <c r="H629" s="4"/>
      <c r="I629" s="4"/>
      <c r="J629" s="4"/>
      <c r="K629" s="4"/>
      <c r="L629" s="4"/>
      <c r="M629" s="4"/>
      <c r="N629" s="4"/>
      <c r="O629" s="4"/>
      <c r="P629" s="4"/>
      <c r="Q629" s="4"/>
      <c r="R629" s="4"/>
      <c r="S629" s="4"/>
      <c r="T629" s="4"/>
      <c r="U629" s="4"/>
      <c r="V629" s="4"/>
      <c r="W629" s="4"/>
      <c r="X629" s="4"/>
      <c r="Y629" s="4"/>
      <c r="Z629" s="4"/>
    </row>
    <row r="630" spans="1:26" ht="12.75">
      <c r="A630" s="4"/>
      <c r="B630" s="4"/>
      <c r="C630" s="15"/>
      <c r="D630" s="4"/>
      <c r="E630" s="4"/>
      <c r="F630" s="4"/>
      <c r="G630" s="4"/>
      <c r="H630" s="4"/>
      <c r="I630" s="4"/>
      <c r="J630" s="4"/>
      <c r="K630" s="4"/>
      <c r="L630" s="4"/>
      <c r="M630" s="4"/>
      <c r="N630" s="4"/>
      <c r="O630" s="4"/>
      <c r="P630" s="4"/>
      <c r="Q630" s="4"/>
      <c r="R630" s="4"/>
      <c r="S630" s="4"/>
      <c r="T630" s="4"/>
      <c r="U630" s="4"/>
      <c r="V630" s="4"/>
      <c r="W630" s="4"/>
      <c r="X630" s="4"/>
      <c r="Y630" s="4"/>
      <c r="Z630" s="4"/>
    </row>
    <row r="631" spans="1:26" ht="12.75">
      <c r="A631" s="4"/>
      <c r="B631" s="4"/>
      <c r="C631" s="15"/>
      <c r="D631" s="4"/>
      <c r="E631" s="4"/>
      <c r="F631" s="4"/>
      <c r="G631" s="4"/>
      <c r="H631" s="4"/>
      <c r="I631" s="4"/>
      <c r="J631" s="4"/>
      <c r="K631" s="4"/>
      <c r="L631" s="4"/>
      <c r="M631" s="4"/>
      <c r="N631" s="4"/>
      <c r="O631" s="4"/>
      <c r="P631" s="4"/>
      <c r="Q631" s="4"/>
      <c r="R631" s="4"/>
      <c r="S631" s="4"/>
      <c r="T631" s="4"/>
      <c r="U631" s="4"/>
      <c r="V631" s="4"/>
      <c r="W631" s="4"/>
      <c r="X631" s="4"/>
      <c r="Y631" s="4"/>
      <c r="Z631" s="4"/>
    </row>
    <row r="632" spans="1:26" ht="12.75">
      <c r="A632" s="4"/>
      <c r="B632" s="4"/>
      <c r="C632" s="15"/>
      <c r="D632" s="4"/>
      <c r="E632" s="4"/>
      <c r="F632" s="4"/>
      <c r="G632" s="4"/>
      <c r="H632" s="4"/>
      <c r="I632" s="4"/>
      <c r="J632" s="4"/>
      <c r="K632" s="4"/>
      <c r="L632" s="4"/>
      <c r="M632" s="4"/>
      <c r="N632" s="4"/>
      <c r="O632" s="4"/>
      <c r="P632" s="4"/>
      <c r="Q632" s="4"/>
      <c r="R632" s="4"/>
      <c r="S632" s="4"/>
      <c r="T632" s="4"/>
      <c r="U632" s="4"/>
      <c r="V632" s="4"/>
      <c r="W632" s="4"/>
      <c r="X632" s="4"/>
      <c r="Y632" s="4"/>
      <c r="Z632" s="4"/>
    </row>
    <row r="633" spans="1:26" ht="12.75">
      <c r="A633" s="4"/>
      <c r="B633" s="4"/>
      <c r="C633" s="15"/>
      <c r="D633" s="4"/>
      <c r="E633" s="4"/>
      <c r="F633" s="4"/>
      <c r="G633" s="4"/>
      <c r="H633" s="4"/>
      <c r="I633" s="4"/>
      <c r="J633" s="4"/>
      <c r="K633" s="4"/>
      <c r="L633" s="4"/>
      <c r="M633" s="4"/>
      <c r="N633" s="4"/>
      <c r="O633" s="4"/>
      <c r="P633" s="4"/>
      <c r="Q633" s="4"/>
      <c r="R633" s="4"/>
      <c r="S633" s="4"/>
      <c r="T633" s="4"/>
      <c r="U633" s="4"/>
      <c r="V633" s="4"/>
      <c r="W633" s="4"/>
      <c r="X633" s="4"/>
      <c r="Y633" s="4"/>
      <c r="Z633" s="4"/>
    </row>
    <row r="634" spans="1:26" ht="12.75">
      <c r="A634" s="4"/>
      <c r="B634" s="4"/>
      <c r="C634" s="15"/>
      <c r="D634" s="4"/>
      <c r="E634" s="4"/>
      <c r="F634" s="4"/>
      <c r="G634" s="4"/>
      <c r="H634" s="4"/>
      <c r="I634" s="4"/>
      <c r="J634" s="4"/>
      <c r="K634" s="4"/>
      <c r="L634" s="4"/>
      <c r="M634" s="4"/>
      <c r="N634" s="4"/>
      <c r="O634" s="4"/>
      <c r="P634" s="4"/>
      <c r="Q634" s="4"/>
      <c r="R634" s="4"/>
      <c r="S634" s="4"/>
      <c r="T634" s="4"/>
      <c r="U634" s="4"/>
      <c r="V634" s="4"/>
      <c r="W634" s="4"/>
      <c r="X634" s="4"/>
      <c r="Y634" s="4"/>
      <c r="Z634" s="4"/>
    </row>
    <row r="635" spans="1:26" ht="12.75">
      <c r="A635" s="4"/>
      <c r="B635" s="4"/>
      <c r="C635" s="15"/>
      <c r="D635" s="4"/>
      <c r="E635" s="4"/>
      <c r="F635" s="4"/>
      <c r="G635" s="4"/>
      <c r="H635" s="4"/>
      <c r="I635" s="4"/>
      <c r="J635" s="4"/>
      <c r="K635" s="4"/>
      <c r="L635" s="4"/>
      <c r="M635" s="4"/>
      <c r="N635" s="4"/>
      <c r="O635" s="4"/>
      <c r="P635" s="4"/>
      <c r="Q635" s="4"/>
      <c r="R635" s="4"/>
      <c r="S635" s="4"/>
      <c r="T635" s="4"/>
      <c r="U635" s="4"/>
      <c r="V635" s="4"/>
      <c r="W635" s="4"/>
      <c r="X635" s="4"/>
      <c r="Y635" s="4"/>
      <c r="Z635" s="4"/>
    </row>
    <row r="636" spans="1:26" ht="12.75">
      <c r="A636" s="4"/>
      <c r="B636" s="4"/>
      <c r="C636" s="15"/>
      <c r="D636" s="4"/>
      <c r="E636" s="4"/>
      <c r="F636" s="4"/>
      <c r="G636" s="4"/>
      <c r="H636" s="4"/>
      <c r="I636" s="4"/>
      <c r="J636" s="4"/>
      <c r="K636" s="4"/>
      <c r="L636" s="4"/>
      <c r="M636" s="4"/>
      <c r="N636" s="4"/>
      <c r="O636" s="4"/>
      <c r="P636" s="4"/>
      <c r="Q636" s="4"/>
      <c r="R636" s="4"/>
      <c r="S636" s="4"/>
      <c r="T636" s="4"/>
      <c r="U636" s="4"/>
      <c r="V636" s="4"/>
      <c r="W636" s="4"/>
      <c r="X636" s="4"/>
      <c r="Y636" s="4"/>
      <c r="Z636" s="4"/>
    </row>
    <row r="637" spans="1:26" ht="12.75">
      <c r="A637" s="4"/>
      <c r="B637" s="4"/>
      <c r="C637" s="15"/>
      <c r="D637" s="4"/>
      <c r="E637" s="4"/>
      <c r="F637" s="4"/>
      <c r="G637" s="4"/>
      <c r="H637" s="4"/>
      <c r="I637" s="4"/>
      <c r="J637" s="4"/>
      <c r="K637" s="4"/>
      <c r="L637" s="4"/>
      <c r="M637" s="4"/>
      <c r="N637" s="4"/>
      <c r="O637" s="4"/>
      <c r="P637" s="4"/>
      <c r="Q637" s="4"/>
      <c r="R637" s="4"/>
      <c r="S637" s="4"/>
      <c r="T637" s="4"/>
      <c r="U637" s="4"/>
      <c r="V637" s="4"/>
      <c r="W637" s="4"/>
      <c r="X637" s="4"/>
      <c r="Y637" s="4"/>
      <c r="Z637" s="4"/>
    </row>
    <row r="638" spans="1:26" ht="12.75">
      <c r="A638" s="4"/>
      <c r="B638" s="4"/>
      <c r="C638" s="15"/>
      <c r="D638" s="4"/>
      <c r="E638" s="4"/>
      <c r="F638" s="4"/>
      <c r="G638" s="4"/>
      <c r="H638" s="4"/>
      <c r="I638" s="4"/>
      <c r="J638" s="4"/>
      <c r="K638" s="4"/>
      <c r="L638" s="4"/>
      <c r="M638" s="4"/>
      <c r="N638" s="4"/>
      <c r="O638" s="4"/>
      <c r="P638" s="4"/>
      <c r="Q638" s="4"/>
      <c r="R638" s="4"/>
      <c r="S638" s="4"/>
      <c r="T638" s="4"/>
      <c r="U638" s="4"/>
      <c r="V638" s="4"/>
      <c r="W638" s="4"/>
      <c r="X638" s="4"/>
      <c r="Y638" s="4"/>
      <c r="Z638" s="4"/>
    </row>
    <row r="639" spans="1:26" ht="12.75">
      <c r="A639" s="4"/>
      <c r="B639" s="4"/>
      <c r="C639" s="15"/>
      <c r="D639" s="4"/>
      <c r="E639" s="4"/>
      <c r="F639" s="4"/>
      <c r="G639" s="4"/>
      <c r="H639" s="4"/>
      <c r="I639" s="4"/>
      <c r="J639" s="4"/>
      <c r="K639" s="4"/>
      <c r="L639" s="4"/>
      <c r="M639" s="4"/>
      <c r="N639" s="4"/>
      <c r="O639" s="4"/>
      <c r="P639" s="4"/>
      <c r="Q639" s="4"/>
      <c r="R639" s="4"/>
      <c r="S639" s="4"/>
      <c r="T639" s="4"/>
      <c r="U639" s="4"/>
      <c r="V639" s="4"/>
      <c r="W639" s="4"/>
      <c r="X639" s="4"/>
      <c r="Y639" s="4"/>
      <c r="Z639" s="4"/>
    </row>
    <row r="640" spans="1:26" ht="12.75">
      <c r="A640" s="4"/>
      <c r="B640" s="4"/>
      <c r="C640" s="15"/>
      <c r="D640" s="4"/>
      <c r="E640" s="4"/>
      <c r="F640" s="4"/>
      <c r="G640" s="4"/>
      <c r="H640" s="4"/>
      <c r="I640" s="4"/>
      <c r="J640" s="4"/>
      <c r="K640" s="4"/>
      <c r="L640" s="4"/>
      <c r="M640" s="4"/>
      <c r="N640" s="4"/>
      <c r="O640" s="4"/>
      <c r="P640" s="4"/>
      <c r="Q640" s="4"/>
      <c r="R640" s="4"/>
      <c r="S640" s="4"/>
      <c r="T640" s="4"/>
      <c r="U640" s="4"/>
      <c r="V640" s="4"/>
      <c r="W640" s="4"/>
      <c r="X640" s="4"/>
      <c r="Y640" s="4"/>
      <c r="Z640" s="4"/>
    </row>
    <row r="641" spans="1:26" ht="12.75">
      <c r="A641" s="4"/>
      <c r="B641" s="4"/>
      <c r="C641" s="15"/>
      <c r="D641" s="4"/>
      <c r="E641" s="4"/>
      <c r="F641" s="4"/>
      <c r="G641" s="4"/>
      <c r="H641" s="4"/>
      <c r="I641" s="4"/>
      <c r="J641" s="4"/>
      <c r="K641" s="4"/>
      <c r="L641" s="4"/>
      <c r="M641" s="4"/>
      <c r="N641" s="4"/>
      <c r="O641" s="4"/>
      <c r="P641" s="4"/>
      <c r="Q641" s="4"/>
      <c r="R641" s="4"/>
      <c r="S641" s="4"/>
      <c r="T641" s="4"/>
      <c r="U641" s="4"/>
      <c r="V641" s="4"/>
      <c r="W641" s="4"/>
      <c r="X641" s="4"/>
      <c r="Y641" s="4"/>
      <c r="Z641" s="4"/>
    </row>
    <row r="642" spans="1:26" ht="12.75">
      <c r="A642" s="4"/>
      <c r="B642" s="4"/>
      <c r="C642" s="15"/>
      <c r="D642" s="4"/>
      <c r="E642" s="4"/>
      <c r="F642" s="4"/>
      <c r="G642" s="4"/>
      <c r="H642" s="4"/>
      <c r="I642" s="4"/>
      <c r="J642" s="4"/>
      <c r="K642" s="4"/>
      <c r="L642" s="4"/>
      <c r="M642" s="4"/>
      <c r="N642" s="4"/>
      <c r="O642" s="4"/>
      <c r="P642" s="4"/>
      <c r="Q642" s="4"/>
      <c r="R642" s="4"/>
      <c r="S642" s="4"/>
      <c r="T642" s="4"/>
      <c r="U642" s="4"/>
      <c r="V642" s="4"/>
      <c r="W642" s="4"/>
      <c r="X642" s="4"/>
      <c r="Y642" s="4"/>
      <c r="Z642" s="4"/>
    </row>
    <row r="643" spans="1:26" ht="12.75">
      <c r="A643" s="4"/>
      <c r="B643" s="4"/>
      <c r="C643" s="15"/>
      <c r="D643" s="4"/>
      <c r="E643" s="4"/>
      <c r="F643" s="4"/>
      <c r="G643" s="4"/>
      <c r="H643" s="4"/>
      <c r="I643" s="4"/>
      <c r="J643" s="4"/>
      <c r="K643" s="4"/>
      <c r="L643" s="4"/>
      <c r="M643" s="4"/>
      <c r="N643" s="4"/>
      <c r="O643" s="4"/>
      <c r="P643" s="4"/>
      <c r="Q643" s="4"/>
      <c r="R643" s="4"/>
      <c r="S643" s="4"/>
      <c r="T643" s="4"/>
      <c r="U643" s="4"/>
      <c r="V643" s="4"/>
      <c r="W643" s="4"/>
      <c r="X643" s="4"/>
      <c r="Y643" s="4"/>
      <c r="Z643" s="4"/>
    </row>
    <row r="644" spans="1:26" ht="12.75">
      <c r="A644" s="4"/>
      <c r="B644" s="4"/>
      <c r="C644" s="15"/>
      <c r="D644" s="4"/>
      <c r="E644" s="4"/>
      <c r="F644" s="4"/>
      <c r="G644" s="4"/>
      <c r="H644" s="4"/>
      <c r="I644" s="4"/>
      <c r="J644" s="4"/>
      <c r="K644" s="4"/>
      <c r="L644" s="4"/>
      <c r="M644" s="4"/>
      <c r="N644" s="4"/>
      <c r="O644" s="4"/>
      <c r="P644" s="4"/>
      <c r="Q644" s="4"/>
      <c r="R644" s="4"/>
      <c r="S644" s="4"/>
      <c r="T644" s="4"/>
      <c r="U644" s="4"/>
      <c r="V644" s="4"/>
      <c r="W644" s="4"/>
      <c r="X644" s="4"/>
      <c r="Y644" s="4"/>
      <c r="Z644" s="4"/>
    </row>
    <row r="645" spans="1:26" ht="12.75">
      <c r="A645" s="4"/>
      <c r="B645" s="4"/>
      <c r="C645" s="15"/>
      <c r="D645" s="4"/>
      <c r="E645" s="4"/>
      <c r="F645" s="4"/>
      <c r="G645" s="4"/>
      <c r="H645" s="4"/>
      <c r="I645" s="4"/>
      <c r="J645" s="4"/>
      <c r="K645" s="4"/>
      <c r="L645" s="4"/>
      <c r="M645" s="4"/>
      <c r="N645" s="4"/>
      <c r="O645" s="4"/>
      <c r="P645" s="4"/>
      <c r="Q645" s="4"/>
      <c r="R645" s="4"/>
      <c r="S645" s="4"/>
      <c r="T645" s="4"/>
      <c r="U645" s="4"/>
      <c r="V645" s="4"/>
      <c r="W645" s="4"/>
      <c r="X645" s="4"/>
      <c r="Y645" s="4"/>
      <c r="Z645" s="4"/>
    </row>
    <row r="646" spans="1:26" ht="12.75">
      <c r="A646" s="4"/>
      <c r="B646" s="4"/>
      <c r="C646" s="15"/>
      <c r="D646" s="4"/>
      <c r="E646" s="4"/>
      <c r="F646" s="4"/>
      <c r="G646" s="4"/>
      <c r="H646" s="4"/>
      <c r="I646" s="4"/>
      <c r="J646" s="4"/>
      <c r="K646" s="4"/>
      <c r="L646" s="4"/>
      <c r="M646" s="4"/>
      <c r="N646" s="4"/>
      <c r="O646" s="4"/>
      <c r="P646" s="4"/>
      <c r="Q646" s="4"/>
      <c r="R646" s="4"/>
      <c r="S646" s="4"/>
      <c r="T646" s="4"/>
      <c r="U646" s="4"/>
      <c r="V646" s="4"/>
      <c r="W646" s="4"/>
      <c r="X646" s="4"/>
      <c r="Y646" s="4"/>
      <c r="Z646" s="4"/>
    </row>
    <row r="647" spans="1:26" ht="12.75">
      <c r="A647" s="4"/>
      <c r="B647" s="4"/>
      <c r="C647" s="15"/>
      <c r="D647" s="4"/>
      <c r="E647" s="4"/>
      <c r="F647" s="4"/>
      <c r="G647" s="4"/>
      <c r="H647" s="4"/>
      <c r="I647" s="4"/>
      <c r="J647" s="4"/>
      <c r="K647" s="4"/>
      <c r="L647" s="4"/>
      <c r="M647" s="4"/>
      <c r="N647" s="4"/>
      <c r="O647" s="4"/>
      <c r="P647" s="4"/>
      <c r="Q647" s="4"/>
      <c r="R647" s="4"/>
      <c r="S647" s="4"/>
      <c r="T647" s="4"/>
      <c r="U647" s="4"/>
      <c r="V647" s="4"/>
      <c r="W647" s="4"/>
      <c r="X647" s="4"/>
      <c r="Y647" s="4"/>
      <c r="Z647" s="4"/>
    </row>
    <row r="648" spans="1:26" ht="12.75">
      <c r="A648" s="4"/>
      <c r="B648" s="4"/>
      <c r="C648" s="15"/>
      <c r="D648" s="4"/>
      <c r="E648" s="4"/>
      <c r="F648" s="4"/>
      <c r="G648" s="4"/>
      <c r="H648" s="4"/>
      <c r="I648" s="4"/>
      <c r="J648" s="4"/>
      <c r="K648" s="4"/>
      <c r="L648" s="4"/>
      <c r="M648" s="4"/>
      <c r="N648" s="4"/>
      <c r="O648" s="4"/>
      <c r="P648" s="4"/>
      <c r="Q648" s="4"/>
      <c r="R648" s="4"/>
      <c r="S648" s="4"/>
      <c r="T648" s="4"/>
      <c r="U648" s="4"/>
      <c r="V648" s="4"/>
      <c r="W648" s="4"/>
      <c r="X648" s="4"/>
      <c r="Y648" s="4"/>
      <c r="Z648" s="4"/>
    </row>
    <row r="649" spans="1:26" ht="12.75">
      <c r="A649" s="4"/>
      <c r="B649" s="4"/>
      <c r="C649" s="15"/>
      <c r="D649" s="4"/>
      <c r="E649" s="4"/>
      <c r="F649" s="4"/>
      <c r="G649" s="4"/>
      <c r="H649" s="4"/>
      <c r="I649" s="4"/>
      <c r="J649" s="4"/>
      <c r="K649" s="4"/>
      <c r="L649" s="4"/>
      <c r="M649" s="4"/>
      <c r="N649" s="4"/>
      <c r="O649" s="4"/>
      <c r="P649" s="4"/>
      <c r="Q649" s="4"/>
      <c r="R649" s="4"/>
      <c r="S649" s="4"/>
      <c r="T649" s="4"/>
      <c r="U649" s="4"/>
      <c r="V649" s="4"/>
      <c r="W649" s="4"/>
      <c r="X649" s="4"/>
      <c r="Y649" s="4"/>
      <c r="Z649" s="4"/>
    </row>
    <row r="650" spans="1:26" ht="12.75">
      <c r="A650" s="4"/>
      <c r="B650" s="4"/>
      <c r="C650" s="15"/>
      <c r="D650" s="4"/>
      <c r="E650" s="4"/>
      <c r="F650" s="4"/>
      <c r="G650" s="4"/>
      <c r="H650" s="4"/>
      <c r="I650" s="4"/>
      <c r="J650" s="4"/>
      <c r="K650" s="4"/>
      <c r="L650" s="4"/>
      <c r="M650" s="4"/>
      <c r="N650" s="4"/>
      <c r="O650" s="4"/>
      <c r="P650" s="4"/>
      <c r="Q650" s="4"/>
      <c r="R650" s="4"/>
      <c r="S650" s="4"/>
      <c r="T650" s="4"/>
      <c r="U650" s="4"/>
      <c r="V650" s="4"/>
      <c r="W650" s="4"/>
      <c r="X650" s="4"/>
      <c r="Y650" s="4"/>
      <c r="Z650" s="4"/>
    </row>
    <row r="651" spans="1:26" ht="12.75">
      <c r="A651" s="4"/>
      <c r="B651" s="4"/>
      <c r="C651" s="15"/>
      <c r="D651" s="4"/>
      <c r="E651" s="4"/>
      <c r="F651" s="4"/>
      <c r="G651" s="4"/>
      <c r="H651" s="4"/>
      <c r="I651" s="4"/>
      <c r="J651" s="4"/>
      <c r="K651" s="4"/>
      <c r="L651" s="4"/>
      <c r="M651" s="4"/>
      <c r="N651" s="4"/>
      <c r="O651" s="4"/>
      <c r="P651" s="4"/>
      <c r="Q651" s="4"/>
      <c r="R651" s="4"/>
      <c r="S651" s="4"/>
      <c r="T651" s="4"/>
      <c r="U651" s="4"/>
      <c r="V651" s="4"/>
      <c r="W651" s="4"/>
      <c r="X651" s="4"/>
      <c r="Y651" s="4"/>
      <c r="Z651" s="4"/>
    </row>
    <row r="652" spans="1:26" ht="12.75">
      <c r="A652" s="4"/>
      <c r="B652" s="4"/>
      <c r="C652" s="15"/>
      <c r="D652" s="4"/>
      <c r="E652" s="4"/>
      <c r="F652" s="4"/>
      <c r="G652" s="4"/>
      <c r="H652" s="4"/>
      <c r="I652" s="4"/>
      <c r="J652" s="4"/>
      <c r="K652" s="4"/>
      <c r="L652" s="4"/>
      <c r="M652" s="4"/>
      <c r="N652" s="4"/>
      <c r="O652" s="4"/>
      <c r="P652" s="4"/>
      <c r="Q652" s="4"/>
      <c r="R652" s="4"/>
      <c r="S652" s="4"/>
      <c r="T652" s="4"/>
      <c r="U652" s="4"/>
      <c r="V652" s="4"/>
      <c r="W652" s="4"/>
      <c r="X652" s="4"/>
      <c r="Y652" s="4"/>
      <c r="Z652" s="4"/>
    </row>
    <row r="653" spans="1:26" ht="12.75">
      <c r="A653" s="4"/>
      <c r="B653" s="4"/>
      <c r="C653" s="15"/>
      <c r="D653" s="4"/>
      <c r="E653" s="4"/>
      <c r="F653" s="4"/>
      <c r="G653" s="4"/>
      <c r="H653" s="4"/>
      <c r="I653" s="4"/>
      <c r="J653" s="4"/>
      <c r="K653" s="4"/>
      <c r="L653" s="4"/>
      <c r="M653" s="4"/>
      <c r="N653" s="4"/>
      <c r="O653" s="4"/>
      <c r="P653" s="4"/>
      <c r="Q653" s="4"/>
      <c r="R653" s="4"/>
      <c r="S653" s="4"/>
      <c r="T653" s="4"/>
      <c r="U653" s="4"/>
      <c r="V653" s="4"/>
      <c r="W653" s="4"/>
      <c r="X653" s="4"/>
      <c r="Y653" s="4"/>
      <c r="Z653" s="4"/>
    </row>
    <row r="654" spans="1:26" ht="12.75">
      <c r="A654" s="4"/>
      <c r="B654" s="4"/>
      <c r="C654" s="15"/>
      <c r="D654" s="4"/>
      <c r="E654" s="4"/>
      <c r="F654" s="4"/>
      <c r="G654" s="4"/>
      <c r="H654" s="4"/>
      <c r="I654" s="4"/>
      <c r="J654" s="4"/>
      <c r="K654" s="4"/>
      <c r="L654" s="4"/>
      <c r="M654" s="4"/>
      <c r="N654" s="4"/>
      <c r="O654" s="4"/>
      <c r="P654" s="4"/>
      <c r="Q654" s="4"/>
      <c r="R654" s="4"/>
      <c r="S654" s="4"/>
      <c r="T654" s="4"/>
      <c r="U654" s="4"/>
      <c r="V654" s="4"/>
      <c r="W654" s="4"/>
      <c r="X654" s="4"/>
      <c r="Y654" s="4"/>
      <c r="Z654" s="4"/>
    </row>
    <row r="655" spans="1:26" ht="12.75">
      <c r="A655" s="4"/>
      <c r="B655" s="4"/>
      <c r="C655" s="15"/>
      <c r="D655" s="4"/>
      <c r="E655" s="4"/>
      <c r="F655" s="4"/>
      <c r="G655" s="4"/>
      <c r="H655" s="4"/>
      <c r="I655" s="4"/>
      <c r="J655" s="4"/>
      <c r="K655" s="4"/>
      <c r="L655" s="4"/>
      <c r="M655" s="4"/>
      <c r="N655" s="4"/>
      <c r="O655" s="4"/>
      <c r="P655" s="4"/>
      <c r="Q655" s="4"/>
      <c r="R655" s="4"/>
      <c r="S655" s="4"/>
      <c r="T655" s="4"/>
      <c r="U655" s="4"/>
      <c r="V655" s="4"/>
      <c r="W655" s="4"/>
      <c r="X655" s="4"/>
      <c r="Y655" s="4"/>
      <c r="Z655" s="4"/>
    </row>
    <row r="656" spans="1:26" ht="12.75">
      <c r="A656" s="4"/>
      <c r="B656" s="4"/>
      <c r="C656" s="15"/>
      <c r="D656" s="4"/>
      <c r="E656" s="4"/>
      <c r="F656" s="4"/>
      <c r="G656" s="4"/>
      <c r="H656" s="4"/>
      <c r="I656" s="4"/>
      <c r="J656" s="4"/>
      <c r="K656" s="4"/>
      <c r="L656" s="4"/>
      <c r="M656" s="4"/>
      <c r="N656" s="4"/>
      <c r="O656" s="4"/>
      <c r="P656" s="4"/>
      <c r="Q656" s="4"/>
      <c r="R656" s="4"/>
      <c r="S656" s="4"/>
      <c r="T656" s="4"/>
      <c r="U656" s="4"/>
      <c r="V656" s="4"/>
      <c r="W656" s="4"/>
      <c r="X656" s="4"/>
      <c r="Y656" s="4"/>
      <c r="Z656" s="4"/>
    </row>
    <row r="657" spans="1:26" ht="12.75">
      <c r="A657" s="4"/>
      <c r="B657" s="4"/>
      <c r="C657" s="15"/>
      <c r="D657" s="4"/>
      <c r="E657" s="4"/>
      <c r="F657" s="4"/>
      <c r="G657" s="4"/>
      <c r="H657" s="4"/>
      <c r="I657" s="4"/>
      <c r="J657" s="4"/>
      <c r="K657" s="4"/>
      <c r="L657" s="4"/>
      <c r="M657" s="4"/>
      <c r="N657" s="4"/>
      <c r="O657" s="4"/>
      <c r="P657" s="4"/>
      <c r="Q657" s="4"/>
      <c r="R657" s="4"/>
      <c r="S657" s="4"/>
      <c r="T657" s="4"/>
      <c r="U657" s="4"/>
      <c r="V657" s="4"/>
      <c r="W657" s="4"/>
      <c r="X657" s="4"/>
      <c r="Y657" s="4"/>
      <c r="Z657" s="4"/>
    </row>
    <row r="658" spans="1:26" ht="12.75">
      <c r="A658" s="4"/>
      <c r="B658" s="4"/>
      <c r="C658" s="15"/>
      <c r="D658" s="4"/>
      <c r="E658" s="4"/>
      <c r="F658" s="4"/>
      <c r="G658" s="4"/>
      <c r="H658" s="4"/>
      <c r="I658" s="4"/>
      <c r="J658" s="4"/>
      <c r="K658" s="4"/>
      <c r="L658" s="4"/>
      <c r="M658" s="4"/>
      <c r="N658" s="4"/>
      <c r="O658" s="4"/>
      <c r="P658" s="4"/>
      <c r="Q658" s="4"/>
      <c r="R658" s="4"/>
      <c r="S658" s="4"/>
      <c r="T658" s="4"/>
      <c r="U658" s="4"/>
      <c r="V658" s="4"/>
      <c r="W658" s="4"/>
      <c r="X658" s="4"/>
      <c r="Y658" s="4"/>
      <c r="Z658" s="4"/>
    </row>
    <row r="659" spans="1:26" ht="12.75">
      <c r="A659" s="4"/>
      <c r="B659" s="4"/>
      <c r="C659" s="15"/>
      <c r="D659" s="4"/>
      <c r="E659" s="4"/>
      <c r="F659" s="4"/>
      <c r="G659" s="4"/>
      <c r="H659" s="4"/>
      <c r="I659" s="4"/>
      <c r="J659" s="4"/>
      <c r="K659" s="4"/>
      <c r="L659" s="4"/>
      <c r="M659" s="4"/>
      <c r="N659" s="4"/>
      <c r="O659" s="4"/>
      <c r="P659" s="4"/>
      <c r="Q659" s="4"/>
      <c r="R659" s="4"/>
      <c r="S659" s="4"/>
      <c r="T659" s="4"/>
      <c r="U659" s="4"/>
      <c r="V659" s="4"/>
      <c r="W659" s="4"/>
      <c r="X659" s="4"/>
      <c r="Y659" s="4"/>
      <c r="Z659" s="4"/>
    </row>
    <row r="660" spans="1:26" ht="12.75">
      <c r="A660" s="4"/>
      <c r="B660" s="4"/>
      <c r="C660" s="15"/>
      <c r="D660" s="4"/>
      <c r="E660" s="4"/>
      <c r="F660" s="4"/>
      <c r="G660" s="4"/>
      <c r="H660" s="4"/>
      <c r="I660" s="4"/>
      <c r="J660" s="4"/>
      <c r="K660" s="4"/>
      <c r="L660" s="4"/>
      <c r="M660" s="4"/>
      <c r="N660" s="4"/>
      <c r="O660" s="4"/>
      <c r="P660" s="4"/>
      <c r="Q660" s="4"/>
      <c r="R660" s="4"/>
      <c r="S660" s="4"/>
      <c r="T660" s="4"/>
      <c r="U660" s="4"/>
      <c r="V660" s="4"/>
      <c r="W660" s="4"/>
      <c r="X660" s="4"/>
      <c r="Y660" s="4"/>
      <c r="Z660" s="4"/>
    </row>
    <row r="661" spans="1:26" ht="12.75">
      <c r="A661" s="4"/>
      <c r="B661" s="4"/>
      <c r="C661" s="15"/>
      <c r="D661" s="4"/>
      <c r="E661" s="4"/>
      <c r="F661" s="4"/>
      <c r="G661" s="4"/>
      <c r="H661" s="4"/>
      <c r="I661" s="4"/>
      <c r="J661" s="4"/>
      <c r="K661" s="4"/>
      <c r="L661" s="4"/>
      <c r="M661" s="4"/>
      <c r="N661" s="4"/>
      <c r="O661" s="4"/>
      <c r="P661" s="4"/>
      <c r="Q661" s="4"/>
      <c r="R661" s="4"/>
      <c r="S661" s="4"/>
      <c r="T661" s="4"/>
      <c r="U661" s="4"/>
      <c r="V661" s="4"/>
      <c r="W661" s="4"/>
      <c r="X661" s="4"/>
      <c r="Y661" s="4"/>
      <c r="Z661" s="4"/>
    </row>
    <row r="662" spans="1:26" ht="12.75">
      <c r="A662" s="4"/>
      <c r="B662" s="4"/>
      <c r="C662" s="15"/>
      <c r="D662" s="4"/>
      <c r="E662" s="4"/>
      <c r="F662" s="4"/>
      <c r="G662" s="4"/>
      <c r="H662" s="4"/>
      <c r="I662" s="4"/>
      <c r="J662" s="4"/>
      <c r="K662" s="4"/>
      <c r="L662" s="4"/>
      <c r="M662" s="4"/>
      <c r="N662" s="4"/>
      <c r="O662" s="4"/>
      <c r="P662" s="4"/>
      <c r="Q662" s="4"/>
      <c r="R662" s="4"/>
      <c r="S662" s="4"/>
      <c r="T662" s="4"/>
      <c r="U662" s="4"/>
      <c r="V662" s="4"/>
      <c r="W662" s="4"/>
      <c r="X662" s="4"/>
      <c r="Y662" s="4"/>
      <c r="Z662" s="4"/>
    </row>
    <row r="663" spans="1:26" ht="12.75">
      <c r="A663" s="4"/>
      <c r="B663" s="4"/>
      <c r="C663" s="15"/>
      <c r="D663" s="4"/>
      <c r="E663" s="4"/>
      <c r="F663" s="4"/>
      <c r="G663" s="4"/>
      <c r="H663" s="4"/>
      <c r="I663" s="4"/>
      <c r="J663" s="4"/>
      <c r="K663" s="4"/>
      <c r="L663" s="4"/>
      <c r="M663" s="4"/>
      <c r="N663" s="4"/>
      <c r="O663" s="4"/>
      <c r="P663" s="4"/>
      <c r="Q663" s="4"/>
      <c r="R663" s="4"/>
      <c r="S663" s="4"/>
      <c r="T663" s="4"/>
      <c r="U663" s="4"/>
      <c r="V663" s="4"/>
      <c r="W663" s="4"/>
      <c r="X663" s="4"/>
      <c r="Y663" s="4"/>
      <c r="Z663" s="4"/>
    </row>
    <row r="664" spans="1:26" ht="12.75">
      <c r="A664" s="4"/>
      <c r="B664" s="4"/>
      <c r="C664" s="15"/>
      <c r="D664" s="4"/>
      <c r="E664" s="4"/>
      <c r="F664" s="4"/>
      <c r="G664" s="4"/>
      <c r="H664" s="4"/>
      <c r="I664" s="4"/>
      <c r="J664" s="4"/>
      <c r="K664" s="4"/>
      <c r="L664" s="4"/>
      <c r="M664" s="4"/>
      <c r="N664" s="4"/>
      <c r="O664" s="4"/>
      <c r="P664" s="4"/>
      <c r="Q664" s="4"/>
      <c r="R664" s="4"/>
      <c r="S664" s="4"/>
      <c r="T664" s="4"/>
      <c r="U664" s="4"/>
      <c r="V664" s="4"/>
      <c r="W664" s="4"/>
      <c r="X664" s="4"/>
      <c r="Y664" s="4"/>
      <c r="Z664" s="4"/>
    </row>
    <row r="665" spans="1:26" ht="12.75">
      <c r="A665" s="4"/>
      <c r="B665" s="4"/>
      <c r="C665" s="15"/>
      <c r="D665" s="4"/>
      <c r="E665" s="4"/>
      <c r="F665" s="4"/>
      <c r="G665" s="4"/>
      <c r="H665" s="4"/>
      <c r="I665" s="4"/>
      <c r="J665" s="4"/>
      <c r="K665" s="4"/>
      <c r="L665" s="4"/>
      <c r="M665" s="4"/>
      <c r="N665" s="4"/>
      <c r="O665" s="4"/>
      <c r="P665" s="4"/>
      <c r="Q665" s="4"/>
      <c r="R665" s="4"/>
      <c r="S665" s="4"/>
      <c r="T665" s="4"/>
      <c r="U665" s="4"/>
      <c r="V665" s="4"/>
      <c r="W665" s="4"/>
      <c r="X665" s="4"/>
      <c r="Y665" s="4"/>
      <c r="Z665" s="4"/>
    </row>
    <row r="666" spans="1:26" ht="12.75">
      <c r="A666" s="4"/>
      <c r="B666" s="4"/>
      <c r="C666" s="15"/>
      <c r="D666" s="4"/>
      <c r="E666" s="4"/>
      <c r="F666" s="4"/>
      <c r="G666" s="4"/>
      <c r="H666" s="4"/>
      <c r="I666" s="4"/>
      <c r="J666" s="4"/>
      <c r="K666" s="4"/>
      <c r="L666" s="4"/>
      <c r="M666" s="4"/>
      <c r="N666" s="4"/>
      <c r="O666" s="4"/>
      <c r="P666" s="4"/>
      <c r="Q666" s="4"/>
      <c r="R666" s="4"/>
      <c r="S666" s="4"/>
      <c r="T666" s="4"/>
      <c r="U666" s="4"/>
      <c r="V666" s="4"/>
      <c r="W666" s="4"/>
      <c r="X666" s="4"/>
      <c r="Y666" s="4"/>
      <c r="Z666" s="4"/>
    </row>
    <row r="667" spans="1:26" ht="12.75">
      <c r="A667" s="4"/>
      <c r="B667" s="4"/>
      <c r="C667" s="15"/>
      <c r="D667" s="4"/>
      <c r="E667" s="4"/>
      <c r="F667" s="4"/>
      <c r="G667" s="4"/>
      <c r="H667" s="4"/>
      <c r="I667" s="4"/>
      <c r="J667" s="4"/>
      <c r="K667" s="4"/>
      <c r="L667" s="4"/>
      <c r="M667" s="4"/>
      <c r="N667" s="4"/>
      <c r="O667" s="4"/>
      <c r="P667" s="4"/>
      <c r="Q667" s="4"/>
      <c r="R667" s="4"/>
      <c r="S667" s="4"/>
      <c r="T667" s="4"/>
      <c r="U667" s="4"/>
      <c r="V667" s="4"/>
      <c r="W667" s="4"/>
      <c r="X667" s="4"/>
      <c r="Y667" s="4"/>
      <c r="Z667" s="4"/>
    </row>
    <row r="668" spans="1:26" ht="12.75">
      <c r="A668" s="4"/>
      <c r="B668" s="4"/>
      <c r="C668" s="15"/>
      <c r="D668" s="4"/>
      <c r="E668" s="4"/>
      <c r="F668" s="4"/>
      <c r="G668" s="4"/>
      <c r="H668" s="4"/>
      <c r="I668" s="4"/>
      <c r="J668" s="4"/>
      <c r="K668" s="4"/>
      <c r="L668" s="4"/>
      <c r="M668" s="4"/>
      <c r="N668" s="4"/>
      <c r="O668" s="4"/>
      <c r="P668" s="4"/>
      <c r="Q668" s="4"/>
      <c r="R668" s="4"/>
      <c r="S668" s="4"/>
      <c r="T668" s="4"/>
      <c r="U668" s="4"/>
      <c r="V668" s="4"/>
      <c r="W668" s="4"/>
      <c r="X668" s="4"/>
      <c r="Y668" s="4"/>
      <c r="Z668" s="4"/>
    </row>
    <row r="669" spans="1:26" ht="12.75">
      <c r="A669" s="4"/>
      <c r="B669" s="4"/>
      <c r="C669" s="15"/>
      <c r="D669" s="4"/>
      <c r="E669" s="4"/>
      <c r="F669" s="4"/>
      <c r="G669" s="4"/>
      <c r="H669" s="4"/>
      <c r="I669" s="4"/>
      <c r="J669" s="4"/>
      <c r="K669" s="4"/>
      <c r="L669" s="4"/>
      <c r="M669" s="4"/>
      <c r="N669" s="4"/>
      <c r="O669" s="4"/>
      <c r="P669" s="4"/>
      <c r="Q669" s="4"/>
      <c r="R669" s="4"/>
      <c r="S669" s="4"/>
      <c r="T669" s="4"/>
      <c r="U669" s="4"/>
      <c r="V669" s="4"/>
      <c r="W669" s="4"/>
      <c r="X669" s="4"/>
      <c r="Y669" s="4"/>
      <c r="Z669" s="4"/>
    </row>
    <row r="670" spans="1:26" ht="12.75">
      <c r="A670" s="4"/>
      <c r="B670" s="4"/>
      <c r="C670" s="15"/>
      <c r="D670" s="4"/>
      <c r="E670" s="4"/>
      <c r="F670" s="4"/>
      <c r="G670" s="4"/>
      <c r="H670" s="4"/>
      <c r="I670" s="4"/>
      <c r="J670" s="4"/>
      <c r="K670" s="4"/>
      <c r="L670" s="4"/>
      <c r="M670" s="4"/>
      <c r="N670" s="4"/>
      <c r="O670" s="4"/>
      <c r="P670" s="4"/>
      <c r="Q670" s="4"/>
      <c r="R670" s="4"/>
      <c r="S670" s="4"/>
      <c r="T670" s="4"/>
      <c r="U670" s="4"/>
      <c r="V670" s="4"/>
      <c r="W670" s="4"/>
      <c r="X670" s="4"/>
      <c r="Y670" s="4"/>
      <c r="Z670" s="4"/>
    </row>
    <row r="671" spans="1:26" ht="12.75">
      <c r="A671" s="4"/>
      <c r="B671" s="4"/>
      <c r="C671" s="15"/>
      <c r="D671" s="4"/>
      <c r="E671" s="4"/>
      <c r="F671" s="4"/>
      <c r="G671" s="4"/>
      <c r="H671" s="4"/>
      <c r="I671" s="4"/>
      <c r="J671" s="4"/>
      <c r="K671" s="4"/>
      <c r="L671" s="4"/>
      <c r="M671" s="4"/>
      <c r="N671" s="4"/>
      <c r="O671" s="4"/>
      <c r="P671" s="4"/>
      <c r="Q671" s="4"/>
      <c r="R671" s="4"/>
      <c r="S671" s="4"/>
      <c r="T671" s="4"/>
      <c r="U671" s="4"/>
      <c r="V671" s="4"/>
      <c r="W671" s="4"/>
      <c r="X671" s="4"/>
      <c r="Y671" s="4"/>
      <c r="Z671" s="4"/>
    </row>
    <row r="672" spans="1:26" ht="12.75">
      <c r="A672" s="4"/>
      <c r="B672" s="4"/>
      <c r="C672" s="15"/>
      <c r="D672" s="4"/>
      <c r="E672" s="4"/>
      <c r="F672" s="4"/>
      <c r="G672" s="4"/>
      <c r="H672" s="4"/>
      <c r="I672" s="4"/>
      <c r="J672" s="4"/>
      <c r="K672" s="4"/>
      <c r="L672" s="4"/>
      <c r="M672" s="4"/>
      <c r="N672" s="4"/>
      <c r="O672" s="4"/>
      <c r="P672" s="4"/>
      <c r="Q672" s="4"/>
      <c r="R672" s="4"/>
      <c r="S672" s="4"/>
      <c r="T672" s="4"/>
      <c r="U672" s="4"/>
      <c r="V672" s="4"/>
      <c r="W672" s="4"/>
      <c r="X672" s="4"/>
      <c r="Y672" s="4"/>
      <c r="Z672" s="4"/>
    </row>
    <row r="673" spans="1:26" ht="12.75">
      <c r="A673" s="4"/>
      <c r="B673" s="4"/>
      <c r="C673" s="15"/>
      <c r="D673" s="4"/>
      <c r="E673" s="4"/>
      <c r="F673" s="4"/>
      <c r="G673" s="4"/>
      <c r="H673" s="4"/>
      <c r="I673" s="4"/>
      <c r="J673" s="4"/>
      <c r="K673" s="4"/>
      <c r="L673" s="4"/>
      <c r="M673" s="4"/>
      <c r="N673" s="4"/>
      <c r="O673" s="4"/>
      <c r="P673" s="4"/>
      <c r="Q673" s="4"/>
      <c r="R673" s="4"/>
      <c r="S673" s="4"/>
      <c r="T673" s="4"/>
      <c r="U673" s="4"/>
      <c r="V673" s="4"/>
      <c r="W673" s="4"/>
      <c r="X673" s="4"/>
      <c r="Y673" s="4"/>
      <c r="Z673" s="4"/>
    </row>
    <row r="674" spans="1:26" ht="12.75">
      <c r="A674" s="4"/>
      <c r="B674" s="4"/>
      <c r="C674" s="15"/>
      <c r="D674" s="4"/>
      <c r="E674" s="4"/>
      <c r="F674" s="4"/>
      <c r="G674" s="4"/>
      <c r="H674" s="4"/>
      <c r="I674" s="4"/>
      <c r="J674" s="4"/>
      <c r="K674" s="4"/>
      <c r="L674" s="4"/>
      <c r="M674" s="4"/>
      <c r="N674" s="4"/>
      <c r="O674" s="4"/>
      <c r="P674" s="4"/>
      <c r="Q674" s="4"/>
      <c r="R674" s="4"/>
      <c r="S674" s="4"/>
      <c r="T674" s="4"/>
      <c r="U674" s="4"/>
      <c r="V674" s="4"/>
      <c r="W674" s="4"/>
      <c r="X674" s="4"/>
      <c r="Y674" s="4"/>
      <c r="Z674" s="4"/>
    </row>
    <row r="675" spans="1:26" ht="12.75">
      <c r="A675" s="4"/>
      <c r="B675" s="4"/>
      <c r="C675" s="15"/>
      <c r="D675" s="4"/>
      <c r="E675" s="4"/>
      <c r="F675" s="4"/>
      <c r="G675" s="4"/>
      <c r="H675" s="4"/>
      <c r="I675" s="4"/>
      <c r="J675" s="4"/>
      <c r="K675" s="4"/>
      <c r="L675" s="4"/>
      <c r="M675" s="4"/>
      <c r="N675" s="4"/>
      <c r="O675" s="4"/>
      <c r="P675" s="4"/>
      <c r="Q675" s="4"/>
      <c r="R675" s="4"/>
      <c r="S675" s="4"/>
      <c r="T675" s="4"/>
      <c r="U675" s="4"/>
      <c r="V675" s="4"/>
      <c r="W675" s="4"/>
      <c r="X675" s="4"/>
      <c r="Y675" s="4"/>
      <c r="Z675" s="4"/>
    </row>
    <row r="676" spans="1:26" ht="12.75">
      <c r="A676" s="4"/>
      <c r="B676" s="4"/>
      <c r="C676" s="15"/>
      <c r="D676" s="4"/>
      <c r="E676" s="4"/>
      <c r="F676" s="4"/>
      <c r="G676" s="4"/>
      <c r="H676" s="4"/>
      <c r="I676" s="4"/>
      <c r="J676" s="4"/>
      <c r="K676" s="4"/>
      <c r="L676" s="4"/>
      <c r="M676" s="4"/>
      <c r="N676" s="4"/>
      <c r="O676" s="4"/>
      <c r="P676" s="4"/>
      <c r="Q676" s="4"/>
      <c r="R676" s="4"/>
      <c r="S676" s="4"/>
      <c r="T676" s="4"/>
      <c r="U676" s="4"/>
      <c r="V676" s="4"/>
      <c r="W676" s="4"/>
      <c r="X676" s="4"/>
      <c r="Y676" s="4"/>
      <c r="Z676" s="4"/>
    </row>
    <row r="677" spans="1:26" ht="12.75">
      <c r="A677" s="4"/>
      <c r="B677" s="4"/>
      <c r="C677" s="15"/>
      <c r="D677" s="4"/>
      <c r="E677" s="4"/>
      <c r="F677" s="4"/>
      <c r="G677" s="4"/>
      <c r="H677" s="4"/>
      <c r="I677" s="4"/>
      <c r="J677" s="4"/>
      <c r="K677" s="4"/>
      <c r="L677" s="4"/>
      <c r="M677" s="4"/>
      <c r="N677" s="4"/>
      <c r="O677" s="4"/>
      <c r="P677" s="4"/>
      <c r="Q677" s="4"/>
      <c r="R677" s="4"/>
      <c r="S677" s="4"/>
      <c r="T677" s="4"/>
      <c r="U677" s="4"/>
      <c r="V677" s="4"/>
      <c r="W677" s="4"/>
      <c r="X677" s="4"/>
      <c r="Y677" s="4"/>
      <c r="Z677" s="4"/>
    </row>
    <row r="678" spans="1:26" ht="12.75">
      <c r="A678" s="4"/>
      <c r="B678" s="4"/>
      <c r="C678" s="15"/>
      <c r="D678" s="4"/>
      <c r="E678" s="4"/>
      <c r="F678" s="4"/>
      <c r="G678" s="4"/>
      <c r="H678" s="4"/>
      <c r="I678" s="4"/>
      <c r="J678" s="4"/>
      <c r="K678" s="4"/>
      <c r="L678" s="4"/>
      <c r="M678" s="4"/>
      <c r="N678" s="4"/>
      <c r="O678" s="4"/>
      <c r="P678" s="4"/>
      <c r="Q678" s="4"/>
      <c r="R678" s="4"/>
      <c r="S678" s="4"/>
      <c r="T678" s="4"/>
      <c r="U678" s="4"/>
      <c r="V678" s="4"/>
      <c r="W678" s="4"/>
      <c r="X678" s="4"/>
      <c r="Y678" s="4"/>
      <c r="Z678" s="4"/>
    </row>
    <row r="679" spans="1:26" ht="12.75">
      <c r="A679" s="4"/>
      <c r="B679" s="4"/>
      <c r="C679" s="15"/>
      <c r="D679" s="4"/>
      <c r="E679" s="4"/>
      <c r="F679" s="4"/>
      <c r="G679" s="4"/>
      <c r="H679" s="4"/>
      <c r="I679" s="4"/>
      <c r="J679" s="4"/>
      <c r="K679" s="4"/>
      <c r="L679" s="4"/>
      <c r="M679" s="4"/>
      <c r="N679" s="4"/>
      <c r="O679" s="4"/>
      <c r="P679" s="4"/>
      <c r="Q679" s="4"/>
      <c r="R679" s="4"/>
      <c r="S679" s="4"/>
      <c r="T679" s="4"/>
      <c r="U679" s="4"/>
      <c r="V679" s="4"/>
      <c r="W679" s="4"/>
      <c r="X679" s="4"/>
      <c r="Y679" s="4"/>
      <c r="Z679" s="4"/>
    </row>
    <row r="680" spans="1:26" ht="12.75">
      <c r="A680" s="4"/>
      <c r="B680" s="4"/>
      <c r="C680" s="15"/>
      <c r="D680" s="4"/>
      <c r="E680" s="4"/>
      <c r="F680" s="4"/>
      <c r="G680" s="4"/>
      <c r="H680" s="4"/>
      <c r="I680" s="4"/>
      <c r="J680" s="4"/>
      <c r="K680" s="4"/>
      <c r="L680" s="4"/>
      <c r="M680" s="4"/>
      <c r="N680" s="4"/>
      <c r="O680" s="4"/>
      <c r="P680" s="4"/>
      <c r="Q680" s="4"/>
      <c r="R680" s="4"/>
      <c r="S680" s="4"/>
      <c r="T680" s="4"/>
      <c r="U680" s="4"/>
      <c r="V680" s="4"/>
      <c r="W680" s="4"/>
      <c r="X680" s="4"/>
      <c r="Y680" s="4"/>
      <c r="Z680" s="4"/>
    </row>
    <row r="681" spans="1:26" ht="12.75">
      <c r="A681" s="4"/>
      <c r="B681" s="4"/>
      <c r="C681" s="15"/>
      <c r="D681" s="4"/>
      <c r="E681" s="4"/>
      <c r="F681" s="4"/>
      <c r="G681" s="4"/>
      <c r="H681" s="4"/>
      <c r="I681" s="4"/>
      <c r="J681" s="4"/>
      <c r="K681" s="4"/>
      <c r="L681" s="4"/>
      <c r="M681" s="4"/>
      <c r="N681" s="4"/>
      <c r="O681" s="4"/>
      <c r="P681" s="4"/>
      <c r="Q681" s="4"/>
      <c r="R681" s="4"/>
      <c r="S681" s="4"/>
      <c r="T681" s="4"/>
      <c r="U681" s="4"/>
      <c r="V681" s="4"/>
      <c r="W681" s="4"/>
      <c r="X681" s="4"/>
      <c r="Y681" s="4"/>
      <c r="Z681" s="4"/>
    </row>
    <row r="682" spans="1:26" ht="12.75">
      <c r="A682" s="4"/>
      <c r="B682" s="4"/>
      <c r="C682" s="15"/>
      <c r="D682" s="4"/>
      <c r="E682" s="4"/>
      <c r="F682" s="4"/>
      <c r="G682" s="4"/>
      <c r="H682" s="4"/>
      <c r="I682" s="4"/>
      <c r="J682" s="4"/>
      <c r="K682" s="4"/>
      <c r="L682" s="4"/>
      <c r="M682" s="4"/>
      <c r="N682" s="4"/>
      <c r="O682" s="4"/>
      <c r="P682" s="4"/>
      <c r="Q682" s="4"/>
      <c r="R682" s="4"/>
      <c r="S682" s="4"/>
      <c r="T682" s="4"/>
      <c r="U682" s="4"/>
      <c r="V682" s="4"/>
      <c r="W682" s="4"/>
      <c r="X682" s="4"/>
      <c r="Y682" s="4"/>
      <c r="Z682" s="4"/>
    </row>
    <row r="683" spans="1:26" ht="12.75">
      <c r="A683" s="4"/>
      <c r="B683" s="4"/>
      <c r="C683" s="15"/>
      <c r="D683" s="4"/>
      <c r="E683" s="4"/>
      <c r="F683" s="4"/>
      <c r="G683" s="4"/>
      <c r="H683" s="4"/>
      <c r="I683" s="4"/>
      <c r="J683" s="4"/>
      <c r="K683" s="4"/>
      <c r="L683" s="4"/>
      <c r="M683" s="4"/>
      <c r="N683" s="4"/>
      <c r="O683" s="4"/>
      <c r="P683" s="4"/>
      <c r="Q683" s="4"/>
      <c r="R683" s="4"/>
      <c r="S683" s="4"/>
      <c r="T683" s="4"/>
      <c r="U683" s="4"/>
      <c r="V683" s="4"/>
      <c r="W683" s="4"/>
      <c r="X683" s="4"/>
      <c r="Y683" s="4"/>
      <c r="Z683" s="4"/>
    </row>
    <row r="684" spans="1:26" ht="12.75">
      <c r="A684" s="4"/>
      <c r="B684" s="4"/>
      <c r="C684" s="15"/>
      <c r="D684" s="4"/>
      <c r="E684" s="4"/>
      <c r="F684" s="4"/>
      <c r="G684" s="4"/>
      <c r="H684" s="4"/>
      <c r="I684" s="4"/>
      <c r="J684" s="4"/>
      <c r="K684" s="4"/>
      <c r="L684" s="4"/>
      <c r="M684" s="4"/>
      <c r="N684" s="4"/>
      <c r="O684" s="4"/>
      <c r="P684" s="4"/>
      <c r="Q684" s="4"/>
      <c r="R684" s="4"/>
      <c r="S684" s="4"/>
      <c r="T684" s="4"/>
      <c r="U684" s="4"/>
      <c r="V684" s="4"/>
      <c r="W684" s="4"/>
      <c r="X684" s="4"/>
      <c r="Y684" s="4"/>
      <c r="Z684" s="4"/>
    </row>
    <row r="685" spans="1:26" ht="12.75">
      <c r="A685" s="4"/>
      <c r="B685" s="4"/>
      <c r="C685" s="15"/>
      <c r="D685" s="4"/>
      <c r="E685" s="4"/>
      <c r="F685" s="4"/>
      <c r="G685" s="4"/>
      <c r="H685" s="4"/>
      <c r="I685" s="4"/>
      <c r="J685" s="4"/>
      <c r="K685" s="4"/>
      <c r="L685" s="4"/>
      <c r="M685" s="4"/>
      <c r="N685" s="4"/>
      <c r="O685" s="4"/>
      <c r="P685" s="4"/>
      <c r="Q685" s="4"/>
      <c r="R685" s="4"/>
      <c r="S685" s="4"/>
      <c r="T685" s="4"/>
      <c r="U685" s="4"/>
      <c r="V685" s="4"/>
      <c r="W685" s="4"/>
      <c r="X685" s="4"/>
      <c r="Y685" s="4"/>
      <c r="Z685" s="4"/>
    </row>
    <row r="686" spans="1:26" ht="12.75">
      <c r="A686" s="4"/>
      <c r="B686" s="4"/>
      <c r="C686" s="15"/>
      <c r="D686" s="4"/>
      <c r="E686" s="4"/>
      <c r="F686" s="4"/>
      <c r="G686" s="4"/>
      <c r="H686" s="4"/>
      <c r="I686" s="4"/>
      <c r="J686" s="4"/>
      <c r="K686" s="4"/>
      <c r="L686" s="4"/>
      <c r="M686" s="4"/>
      <c r="N686" s="4"/>
      <c r="O686" s="4"/>
      <c r="P686" s="4"/>
      <c r="Q686" s="4"/>
      <c r="R686" s="4"/>
      <c r="S686" s="4"/>
      <c r="T686" s="4"/>
      <c r="U686" s="4"/>
      <c r="V686" s="4"/>
      <c r="W686" s="4"/>
      <c r="X686" s="4"/>
      <c r="Y686" s="4"/>
      <c r="Z686" s="4"/>
    </row>
    <row r="687" spans="1:26" ht="12.75">
      <c r="A687" s="4"/>
      <c r="B687" s="4"/>
      <c r="C687" s="15"/>
      <c r="D687" s="4"/>
      <c r="E687" s="4"/>
      <c r="F687" s="4"/>
      <c r="G687" s="4"/>
      <c r="H687" s="4"/>
      <c r="I687" s="4"/>
      <c r="J687" s="4"/>
      <c r="K687" s="4"/>
      <c r="L687" s="4"/>
      <c r="M687" s="4"/>
      <c r="N687" s="4"/>
      <c r="O687" s="4"/>
      <c r="P687" s="4"/>
      <c r="Q687" s="4"/>
      <c r="R687" s="4"/>
      <c r="S687" s="4"/>
      <c r="T687" s="4"/>
      <c r="U687" s="4"/>
      <c r="V687" s="4"/>
      <c r="W687" s="4"/>
      <c r="X687" s="4"/>
      <c r="Y687" s="4"/>
      <c r="Z687" s="4"/>
    </row>
    <row r="688" spans="1:26" ht="12.75">
      <c r="A688" s="4"/>
      <c r="B688" s="4"/>
      <c r="C688" s="15"/>
      <c r="D688" s="4"/>
      <c r="E688" s="4"/>
      <c r="F688" s="4"/>
      <c r="G688" s="4"/>
      <c r="H688" s="4"/>
      <c r="I688" s="4"/>
      <c r="J688" s="4"/>
      <c r="K688" s="4"/>
      <c r="L688" s="4"/>
      <c r="M688" s="4"/>
      <c r="N688" s="4"/>
      <c r="O688" s="4"/>
      <c r="P688" s="4"/>
      <c r="Q688" s="4"/>
      <c r="R688" s="4"/>
      <c r="S688" s="4"/>
      <c r="T688" s="4"/>
      <c r="U688" s="4"/>
      <c r="V688" s="4"/>
      <c r="W688" s="4"/>
      <c r="X688" s="4"/>
      <c r="Y688" s="4"/>
      <c r="Z688" s="4"/>
    </row>
    <row r="689" spans="1:26" ht="12.75">
      <c r="A689" s="4"/>
      <c r="B689" s="4"/>
      <c r="C689" s="15"/>
      <c r="D689" s="4"/>
      <c r="E689" s="4"/>
      <c r="F689" s="4"/>
      <c r="G689" s="4"/>
      <c r="H689" s="4"/>
      <c r="I689" s="4"/>
      <c r="J689" s="4"/>
      <c r="K689" s="4"/>
      <c r="L689" s="4"/>
      <c r="M689" s="4"/>
      <c r="N689" s="4"/>
      <c r="O689" s="4"/>
      <c r="P689" s="4"/>
      <c r="Q689" s="4"/>
      <c r="R689" s="4"/>
      <c r="S689" s="4"/>
      <c r="T689" s="4"/>
      <c r="U689" s="4"/>
      <c r="V689" s="4"/>
      <c r="W689" s="4"/>
      <c r="X689" s="4"/>
      <c r="Y689" s="4"/>
      <c r="Z689" s="4"/>
    </row>
    <row r="690" spans="1:26" ht="12.75">
      <c r="A690" s="4"/>
      <c r="B690" s="4"/>
      <c r="C690" s="15"/>
      <c r="D690" s="4"/>
      <c r="E690" s="4"/>
      <c r="F690" s="4"/>
      <c r="G690" s="4"/>
      <c r="H690" s="4"/>
      <c r="I690" s="4"/>
      <c r="J690" s="4"/>
      <c r="K690" s="4"/>
      <c r="L690" s="4"/>
      <c r="M690" s="4"/>
      <c r="N690" s="4"/>
      <c r="O690" s="4"/>
      <c r="P690" s="4"/>
      <c r="Q690" s="4"/>
      <c r="R690" s="4"/>
      <c r="S690" s="4"/>
      <c r="T690" s="4"/>
      <c r="U690" s="4"/>
      <c r="V690" s="4"/>
      <c r="W690" s="4"/>
      <c r="X690" s="4"/>
      <c r="Y690" s="4"/>
      <c r="Z690" s="4"/>
    </row>
    <row r="691" spans="1:26" ht="12.75">
      <c r="A691" s="4"/>
      <c r="B691" s="4"/>
      <c r="C691" s="15"/>
      <c r="D691" s="4"/>
      <c r="E691" s="4"/>
      <c r="F691" s="4"/>
      <c r="G691" s="4"/>
      <c r="H691" s="4"/>
      <c r="I691" s="4"/>
      <c r="J691" s="4"/>
      <c r="K691" s="4"/>
      <c r="L691" s="4"/>
      <c r="M691" s="4"/>
      <c r="N691" s="4"/>
      <c r="O691" s="4"/>
      <c r="P691" s="4"/>
      <c r="Q691" s="4"/>
      <c r="R691" s="4"/>
      <c r="S691" s="4"/>
      <c r="T691" s="4"/>
      <c r="U691" s="4"/>
      <c r="V691" s="4"/>
      <c r="W691" s="4"/>
      <c r="X691" s="4"/>
      <c r="Y691" s="4"/>
      <c r="Z691" s="4"/>
    </row>
    <row r="692" spans="1:26" ht="12.75">
      <c r="A692" s="4"/>
      <c r="B692" s="4"/>
      <c r="C692" s="15"/>
      <c r="D692" s="4"/>
      <c r="E692" s="4"/>
      <c r="F692" s="4"/>
      <c r="G692" s="4"/>
      <c r="H692" s="4"/>
      <c r="I692" s="4"/>
      <c r="J692" s="4"/>
      <c r="K692" s="4"/>
      <c r="L692" s="4"/>
      <c r="M692" s="4"/>
      <c r="N692" s="4"/>
      <c r="O692" s="4"/>
      <c r="P692" s="4"/>
      <c r="Q692" s="4"/>
      <c r="R692" s="4"/>
      <c r="S692" s="4"/>
      <c r="T692" s="4"/>
      <c r="U692" s="4"/>
      <c r="V692" s="4"/>
      <c r="W692" s="4"/>
      <c r="X692" s="4"/>
      <c r="Y692" s="4"/>
      <c r="Z692" s="4"/>
    </row>
    <row r="693" spans="1:26" ht="12.75">
      <c r="A693" s="4"/>
      <c r="B693" s="4"/>
      <c r="C693" s="15"/>
      <c r="D693" s="4"/>
      <c r="E693" s="4"/>
      <c r="F693" s="4"/>
      <c r="G693" s="4"/>
      <c r="H693" s="4"/>
      <c r="I693" s="4"/>
      <c r="J693" s="4"/>
      <c r="K693" s="4"/>
      <c r="L693" s="4"/>
      <c r="M693" s="4"/>
      <c r="N693" s="4"/>
      <c r="O693" s="4"/>
      <c r="P693" s="4"/>
      <c r="Q693" s="4"/>
      <c r="R693" s="4"/>
      <c r="S693" s="4"/>
      <c r="T693" s="4"/>
      <c r="U693" s="4"/>
      <c r="V693" s="4"/>
      <c r="W693" s="4"/>
      <c r="X693" s="4"/>
      <c r="Y693" s="4"/>
      <c r="Z693" s="4"/>
    </row>
    <row r="694" spans="1:26" ht="12.75">
      <c r="A694" s="4"/>
      <c r="B694" s="4"/>
      <c r="C694" s="15"/>
      <c r="D694" s="4"/>
      <c r="E694" s="4"/>
      <c r="F694" s="4"/>
      <c r="G694" s="4"/>
      <c r="H694" s="4"/>
      <c r="I694" s="4"/>
      <c r="J694" s="4"/>
      <c r="K694" s="4"/>
      <c r="L694" s="4"/>
      <c r="M694" s="4"/>
      <c r="N694" s="4"/>
      <c r="O694" s="4"/>
      <c r="P694" s="4"/>
      <c r="Q694" s="4"/>
      <c r="R694" s="4"/>
      <c r="S694" s="4"/>
      <c r="T694" s="4"/>
      <c r="U694" s="4"/>
      <c r="V694" s="4"/>
      <c r="W694" s="4"/>
      <c r="X694" s="4"/>
      <c r="Y694" s="4"/>
      <c r="Z694" s="4"/>
    </row>
    <row r="695" spans="1:26" ht="12.75">
      <c r="A695" s="4"/>
      <c r="B695" s="4"/>
      <c r="C695" s="15"/>
      <c r="D695" s="4"/>
      <c r="E695" s="4"/>
      <c r="F695" s="4"/>
      <c r="G695" s="4"/>
      <c r="H695" s="4"/>
      <c r="I695" s="4"/>
      <c r="J695" s="4"/>
      <c r="K695" s="4"/>
      <c r="L695" s="4"/>
      <c r="M695" s="4"/>
      <c r="N695" s="4"/>
      <c r="O695" s="4"/>
      <c r="P695" s="4"/>
      <c r="Q695" s="4"/>
      <c r="R695" s="4"/>
      <c r="S695" s="4"/>
      <c r="T695" s="4"/>
      <c r="U695" s="4"/>
      <c r="V695" s="4"/>
      <c r="W695" s="4"/>
      <c r="X695" s="4"/>
      <c r="Y695" s="4"/>
      <c r="Z695" s="4"/>
    </row>
    <row r="696" spans="1:26" ht="12.75">
      <c r="A696" s="4"/>
      <c r="B696" s="4"/>
      <c r="C696" s="15"/>
      <c r="D696" s="4"/>
      <c r="E696" s="4"/>
      <c r="F696" s="4"/>
      <c r="G696" s="4"/>
      <c r="H696" s="4"/>
      <c r="I696" s="4"/>
      <c r="J696" s="4"/>
      <c r="K696" s="4"/>
      <c r="L696" s="4"/>
      <c r="M696" s="4"/>
      <c r="N696" s="4"/>
      <c r="O696" s="4"/>
      <c r="P696" s="4"/>
      <c r="Q696" s="4"/>
      <c r="R696" s="4"/>
      <c r="S696" s="4"/>
      <c r="T696" s="4"/>
      <c r="U696" s="4"/>
      <c r="V696" s="4"/>
      <c r="W696" s="4"/>
      <c r="X696" s="4"/>
      <c r="Y696" s="4"/>
      <c r="Z696" s="4"/>
    </row>
    <row r="697" spans="1:26" ht="12.75">
      <c r="A697" s="4"/>
      <c r="B697" s="4"/>
      <c r="C697" s="15"/>
      <c r="D697" s="4"/>
      <c r="E697" s="4"/>
      <c r="F697" s="4"/>
      <c r="G697" s="4"/>
      <c r="H697" s="4"/>
      <c r="I697" s="4"/>
      <c r="J697" s="4"/>
      <c r="K697" s="4"/>
      <c r="L697" s="4"/>
      <c r="M697" s="4"/>
      <c r="N697" s="4"/>
      <c r="O697" s="4"/>
      <c r="P697" s="4"/>
      <c r="Q697" s="4"/>
      <c r="R697" s="4"/>
      <c r="S697" s="4"/>
      <c r="T697" s="4"/>
      <c r="U697" s="4"/>
      <c r="V697" s="4"/>
      <c r="W697" s="4"/>
      <c r="X697" s="4"/>
      <c r="Y697" s="4"/>
      <c r="Z697" s="4"/>
    </row>
    <row r="698" spans="1:26" ht="12.75">
      <c r="A698" s="4"/>
      <c r="B698" s="4"/>
      <c r="C698" s="15"/>
      <c r="D698" s="4"/>
      <c r="E698" s="4"/>
      <c r="F698" s="4"/>
      <c r="G698" s="4"/>
      <c r="H698" s="4"/>
      <c r="I698" s="4"/>
      <c r="J698" s="4"/>
      <c r="K698" s="4"/>
      <c r="L698" s="4"/>
      <c r="M698" s="4"/>
      <c r="N698" s="4"/>
      <c r="O698" s="4"/>
      <c r="P698" s="4"/>
      <c r="Q698" s="4"/>
      <c r="R698" s="4"/>
      <c r="S698" s="4"/>
      <c r="T698" s="4"/>
      <c r="U698" s="4"/>
      <c r="V698" s="4"/>
      <c r="W698" s="4"/>
      <c r="X698" s="4"/>
      <c r="Y698" s="4"/>
      <c r="Z698" s="4"/>
    </row>
    <row r="699" spans="1:26" ht="12.75">
      <c r="A699" s="4"/>
      <c r="B699" s="4"/>
      <c r="C699" s="15"/>
      <c r="D699" s="4"/>
      <c r="E699" s="4"/>
      <c r="F699" s="4"/>
      <c r="G699" s="4"/>
      <c r="H699" s="4"/>
      <c r="I699" s="4"/>
      <c r="J699" s="4"/>
      <c r="K699" s="4"/>
      <c r="L699" s="4"/>
      <c r="M699" s="4"/>
      <c r="N699" s="4"/>
      <c r="O699" s="4"/>
      <c r="P699" s="4"/>
      <c r="Q699" s="4"/>
      <c r="R699" s="4"/>
      <c r="S699" s="4"/>
      <c r="T699" s="4"/>
      <c r="U699" s="4"/>
      <c r="V699" s="4"/>
      <c r="W699" s="4"/>
      <c r="X699" s="4"/>
      <c r="Y699" s="4"/>
      <c r="Z699" s="4"/>
    </row>
    <row r="700" spans="1:26" ht="12.75">
      <c r="A700" s="4"/>
      <c r="B700" s="4"/>
      <c r="C700" s="15"/>
      <c r="D700" s="4"/>
      <c r="E700" s="4"/>
      <c r="F700" s="4"/>
      <c r="G700" s="4"/>
      <c r="H700" s="4"/>
      <c r="I700" s="4"/>
      <c r="J700" s="4"/>
      <c r="K700" s="4"/>
      <c r="L700" s="4"/>
      <c r="M700" s="4"/>
      <c r="N700" s="4"/>
      <c r="O700" s="4"/>
      <c r="P700" s="4"/>
      <c r="Q700" s="4"/>
      <c r="R700" s="4"/>
      <c r="S700" s="4"/>
      <c r="T700" s="4"/>
      <c r="U700" s="4"/>
      <c r="V700" s="4"/>
      <c r="W700" s="4"/>
      <c r="X700" s="4"/>
      <c r="Y700" s="4"/>
      <c r="Z700" s="4"/>
    </row>
    <row r="701" spans="1:26" ht="12.75">
      <c r="A701" s="4"/>
      <c r="B701" s="4"/>
      <c r="C701" s="15"/>
      <c r="D701" s="4"/>
      <c r="E701" s="4"/>
      <c r="F701" s="4"/>
      <c r="G701" s="4"/>
      <c r="H701" s="4"/>
      <c r="I701" s="4"/>
      <c r="J701" s="4"/>
      <c r="K701" s="4"/>
      <c r="L701" s="4"/>
      <c r="M701" s="4"/>
      <c r="N701" s="4"/>
      <c r="O701" s="4"/>
      <c r="P701" s="4"/>
      <c r="Q701" s="4"/>
      <c r="R701" s="4"/>
      <c r="S701" s="4"/>
      <c r="T701" s="4"/>
      <c r="U701" s="4"/>
      <c r="V701" s="4"/>
      <c r="W701" s="4"/>
      <c r="X701" s="4"/>
      <c r="Y701" s="4"/>
      <c r="Z701" s="4"/>
    </row>
    <row r="702" spans="1:26" ht="12.75">
      <c r="A702" s="4"/>
      <c r="B702" s="4"/>
      <c r="C702" s="15"/>
      <c r="D702" s="4"/>
      <c r="E702" s="4"/>
      <c r="F702" s="4"/>
      <c r="G702" s="4"/>
      <c r="H702" s="4"/>
      <c r="I702" s="4"/>
      <c r="J702" s="4"/>
      <c r="K702" s="4"/>
      <c r="L702" s="4"/>
      <c r="M702" s="4"/>
      <c r="N702" s="4"/>
      <c r="O702" s="4"/>
      <c r="P702" s="4"/>
      <c r="Q702" s="4"/>
      <c r="R702" s="4"/>
      <c r="S702" s="4"/>
      <c r="T702" s="4"/>
      <c r="U702" s="4"/>
      <c r="V702" s="4"/>
      <c r="W702" s="4"/>
      <c r="X702" s="4"/>
      <c r="Y702" s="4"/>
      <c r="Z702" s="4"/>
    </row>
    <row r="703" spans="1:26" ht="12.75">
      <c r="A703" s="4"/>
      <c r="B703" s="4"/>
      <c r="C703" s="15"/>
      <c r="D703" s="4"/>
      <c r="E703" s="4"/>
      <c r="F703" s="4"/>
      <c r="G703" s="4"/>
      <c r="H703" s="4"/>
      <c r="I703" s="4"/>
      <c r="J703" s="4"/>
      <c r="K703" s="4"/>
      <c r="L703" s="4"/>
      <c r="M703" s="4"/>
      <c r="N703" s="4"/>
      <c r="O703" s="4"/>
      <c r="P703" s="4"/>
      <c r="Q703" s="4"/>
      <c r="R703" s="4"/>
      <c r="S703" s="4"/>
      <c r="T703" s="4"/>
      <c r="U703" s="4"/>
      <c r="V703" s="4"/>
      <c r="W703" s="4"/>
      <c r="X703" s="4"/>
      <c r="Y703" s="4"/>
      <c r="Z703" s="4"/>
    </row>
    <row r="704" spans="1:26" ht="12.75">
      <c r="A704" s="4"/>
      <c r="B704" s="4"/>
      <c r="C704" s="15"/>
      <c r="D704" s="4"/>
      <c r="E704" s="4"/>
      <c r="F704" s="4"/>
      <c r="G704" s="4"/>
      <c r="H704" s="4"/>
      <c r="I704" s="4"/>
      <c r="J704" s="4"/>
      <c r="K704" s="4"/>
      <c r="L704" s="4"/>
      <c r="M704" s="4"/>
      <c r="N704" s="4"/>
      <c r="O704" s="4"/>
      <c r="P704" s="4"/>
      <c r="Q704" s="4"/>
      <c r="R704" s="4"/>
      <c r="S704" s="4"/>
      <c r="T704" s="4"/>
      <c r="U704" s="4"/>
      <c r="V704" s="4"/>
      <c r="W704" s="4"/>
      <c r="X704" s="4"/>
      <c r="Y704" s="4"/>
      <c r="Z704" s="4"/>
    </row>
    <row r="705" spans="1:26" ht="12.75">
      <c r="A705" s="4"/>
      <c r="B705" s="4"/>
      <c r="C705" s="15"/>
      <c r="D705" s="4"/>
      <c r="E705" s="4"/>
      <c r="F705" s="4"/>
      <c r="G705" s="4"/>
      <c r="H705" s="4"/>
      <c r="I705" s="4"/>
      <c r="J705" s="4"/>
      <c r="K705" s="4"/>
      <c r="L705" s="4"/>
      <c r="M705" s="4"/>
      <c r="N705" s="4"/>
      <c r="O705" s="4"/>
      <c r="P705" s="4"/>
      <c r="Q705" s="4"/>
      <c r="R705" s="4"/>
      <c r="S705" s="4"/>
      <c r="T705" s="4"/>
      <c r="U705" s="4"/>
      <c r="V705" s="4"/>
      <c r="W705" s="4"/>
      <c r="X705" s="4"/>
      <c r="Y705" s="4"/>
      <c r="Z705" s="4"/>
    </row>
    <row r="706" spans="1:26" ht="12.75">
      <c r="A706" s="4"/>
      <c r="B706" s="4"/>
      <c r="C706" s="15"/>
      <c r="D706" s="4"/>
      <c r="E706" s="4"/>
      <c r="F706" s="4"/>
      <c r="G706" s="4"/>
      <c r="H706" s="4"/>
      <c r="I706" s="4"/>
      <c r="J706" s="4"/>
      <c r="K706" s="4"/>
      <c r="L706" s="4"/>
      <c r="M706" s="4"/>
      <c r="N706" s="4"/>
      <c r="O706" s="4"/>
      <c r="P706" s="4"/>
      <c r="Q706" s="4"/>
      <c r="R706" s="4"/>
      <c r="S706" s="4"/>
      <c r="T706" s="4"/>
      <c r="U706" s="4"/>
      <c r="V706" s="4"/>
      <c r="W706" s="4"/>
      <c r="X706" s="4"/>
      <c r="Y706" s="4"/>
      <c r="Z706" s="4"/>
    </row>
    <row r="707" spans="1:26" ht="12.75">
      <c r="A707" s="4"/>
      <c r="B707" s="4"/>
      <c r="C707" s="15"/>
      <c r="D707" s="4"/>
      <c r="E707" s="4"/>
      <c r="F707" s="4"/>
      <c r="G707" s="4"/>
      <c r="H707" s="4"/>
      <c r="I707" s="4"/>
      <c r="J707" s="4"/>
      <c r="K707" s="4"/>
      <c r="L707" s="4"/>
      <c r="M707" s="4"/>
      <c r="N707" s="4"/>
      <c r="O707" s="4"/>
      <c r="P707" s="4"/>
      <c r="Q707" s="4"/>
      <c r="R707" s="4"/>
      <c r="S707" s="4"/>
      <c r="T707" s="4"/>
      <c r="U707" s="4"/>
      <c r="V707" s="4"/>
      <c r="W707" s="4"/>
      <c r="X707" s="4"/>
      <c r="Y707" s="4"/>
      <c r="Z707" s="4"/>
    </row>
    <row r="708" spans="1:26" ht="12.75">
      <c r="A708" s="4"/>
      <c r="B708" s="4"/>
      <c r="C708" s="15"/>
      <c r="D708" s="4"/>
      <c r="E708" s="4"/>
      <c r="F708" s="4"/>
      <c r="G708" s="4"/>
      <c r="H708" s="4"/>
      <c r="I708" s="4"/>
      <c r="J708" s="4"/>
      <c r="K708" s="4"/>
      <c r="L708" s="4"/>
      <c r="M708" s="4"/>
      <c r="N708" s="4"/>
      <c r="O708" s="4"/>
      <c r="P708" s="4"/>
      <c r="Q708" s="4"/>
      <c r="R708" s="4"/>
      <c r="S708" s="4"/>
      <c r="T708" s="4"/>
      <c r="U708" s="4"/>
      <c r="V708" s="4"/>
      <c r="W708" s="4"/>
      <c r="X708" s="4"/>
      <c r="Y708" s="4"/>
      <c r="Z708" s="4"/>
    </row>
    <row r="709" spans="1:26" ht="12.75">
      <c r="A709" s="4"/>
      <c r="B709" s="4"/>
      <c r="C709" s="15"/>
      <c r="D709" s="4"/>
      <c r="E709" s="4"/>
      <c r="F709" s="4"/>
      <c r="G709" s="4"/>
      <c r="H709" s="4"/>
      <c r="I709" s="4"/>
      <c r="J709" s="4"/>
      <c r="K709" s="4"/>
      <c r="L709" s="4"/>
      <c r="M709" s="4"/>
      <c r="N709" s="4"/>
      <c r="O709" s="4"/>
      <c r="P709" s="4"/>
      <c r="Q709" s="4"/>
      <c r="R709" s="4"/>
      <c r="S709" s="4"/>
      <c r="T709" s="4"/>
      <c r="U709" s="4"/>
      <c r="V709" s="4"/>
      <c r="W709" s="4"/>
      <c r="X709" s="4"/>
      <c r="Y709" s="4"/>
      <c r="Z709" s="4"/>
    </row>
    <row r="710" spans="1:26" ht="12.75">
      <c r="A710" s="4"/>
      <c r="B710" s="4"/>
      <c r="C710" s="15"/>
      <c r="D710" s="4"/>
      <c r="E710" s="4"/>
      <c r="F710" s="4"/>
      <c r="G710" s="4"/>
      <c r="H710" s="4"/>
      <c r="I710" s="4"/>
      <c r="J710" s="4"/>
      <c r="K710" s="4"/>
      <c r="L710" s="4"/>
      <c r="M710" s="4"/>
      <c r="N710" s="4"/>
      <c r="O710" s="4"/>
      <c r="P710" s="4"/>
      <c r="Q710" s="4"/>
      <c r="R710" s="4"/>
      <c r="S710" s="4"/>
      <c r="T710" s="4"/>
      <c r="U710" s="4"/>
      <c r="V710" s="4"/>
      <c r="W710" s="4"/>
      <c r="X710" s="4"/>
      <c r="Y710" s="4"/>
      <c r="Z710" s="4"/>
    </row>
    <row r="711" spans="1:26" ht="12.75">
      <c r="A711" s="4"/>
      <c r="B711" s="4"/>
      <c r="C711" s="15"/>
      <c r="D711" s="4"/>
      <c r="E711" s="4"/>
      <c r="F711" s="4"/>
      <c r="G711" s="4"/>
      <c r="H711" s="4"/>
      <c r="I711" s="4"/>
      <c r="J711" s="4"/>
      <c r="K711" s="4"/>
      <c r="L711" s="4"/>
      <c r="M711" s="4"/>
      <c r="N711" s="4"/>
      <c r="O711" s="4"/>
      <c r="P711" s="4"/>
      <c r="Q711" s="4"/>
      <c r="R711" s="4"/>
      <c r="S711" s="4"/>
      <c r="T711" s="4"/>
      <c r="U711" s="4"/>
      <c r="V711" s="4"/>
      <c r="W711" s="4"/>
      <c r="X711" s="4"/>
      <c r="Y711" s="4"/>
      <c r="Z711" s="4"/>
    </row>
    <row r="712" spans="1:26" ht="12.75">
      <c r="A712" s="4"/>
      <c r="B712" s="4"/>
      <c r="C712" s="15"/>
      <c r="D712" s="4"/>
      <c r="E712" s="4"/>
      <c r="F712" s="4"/>
      <c r="G712" s="4"/>
      <c r="H712" s="4"/>
      <c r="I712" s="4"/>
      <c r="J712" s="4"/>
      <c r="K712" s="4"/>
      <c r="L712" s="4"/>
      <c r="M712" s="4"/>
      <c r="N712" s="4"/>
      <c r="O712" s="4"/>
      <c r="P712" s="4"/>
      <c r="Q712" s="4"/>
      <c r="R712" s="4"/>
      <c r="S712" s="4"/>
      <c r="T712" s="4"/>
      <c r="U712" s="4"/>
      <c r="V712" s="4"/>
      <c r="W712" s="4"/>
      <c r="X712" s="4"/>
      <c r="Y712" s="4"/>
      <c r="Z712" s="4"/>
    </row>
    <row r="713" spans="1:26" ht="12.75">
      <c r="A713" s="4"/>
      <c r="B713" s="4"/>
      <c r="C713" s="15"/>
      <c r="D713" s="4"/>
      <c r="E713" s="4"/>
      <c r="F713" s="4"/>
      <c r="G713" s="4"/>
      <c r="H713" s="4"/>
      <c r="I713" s="4"/>
      <c r="J713" s="4"/>
      <c r="K713" s="4"/>
      <c r="L713" s="4"/>
      <c r="M713" s="4"/>
      <c r="N713" s="4"/>
      <c r="O713" s="4"/>
      <c r="P713" s="4"/>
      <c r="Q713" s="4"/>
      <c r="R713" s="4"/>
      <c r="S713" s="4"/>
      <c r="T713" s="4"/>
      <c r="U713" s="4"/>
      <c r="V713" s="4"/>
      <c r="W713" s="4"/>
      <c r="X713" s="4"/>
      <c r="Y713" s="4"/>
      <c r="Z713" s="4"/>
    </row>
    <row r="714" spans="1:26" ht="12.75">
      <c r="A714" s="4"/>
      <c r="B714" s="4"/>
      <c r="C714" s="15"/>
      <c r="D714" s="4"/>
      <c r="E714" s="4"/>
      <c r="F714" s="4"/>
      <c r="G714" s="4"/>
      <c r="H714" s="4"/>
      <c r="I714" s="4"/>
      <c r="J714" s="4"/>
      <c r="K714" s="4"/>
      <c r="L714" s="4"/>
      <c r="M714" s="4"/>
      <c r="N714" s="4"/>
      <c r="O714" s="4"/>
      <c r="P714" s="4"/>
      <c r="Q714" s="4"/>
      <c r="R714" s="4"/>
      <c r="S714" s="4"/>
      <c r="T714" s="4"/>
      <c r="U714" s="4"/>
      <c r="V714" s="4"/>
      <c r="W714" s="4"/>
      <c r="X714" s="4"/>
      <c r="Y714" s="4"/>
      <c r="Z714" s="4"/>
    </row>
    <row r="715" spans="1:26" ht="12.75">
      <c r="A715" s="4"/>
      <c r="B715" s="4"/>
      <c r="C715" s="15"/>
      <c r="D715" s="4"/>
      <c r="E715" s="4"/>
      <c r="F715" s="4"/>
      <c r="G715" s="4"/>
      <c r="H715" s="4"/>
      <c r="I715" s="4"/>
      <c r="J715" s="4"/>
      <c r="K715" s="4"/>
      <c r="L715" s="4"/>
      <c r="M715" s="4"/>
      <c r="N715" s="4"/>
      <c r="O715" s="4"/>
      <c r="P715" s="4"/>
      <c r="Q715" s="4"/>
      <c r="R715" s="4"/>
      <c r="S715" s="4"/>
      <c r="T715" s="4"/>
      <c r="U715" s="4"/>
      <c r="V715" s="4"/>
      <c r="W715" s="4"/>
      <c r="X715" s="4"/>
      <c r="Y715" s="4"/>
      <c r="Z715" s="4"/>
    </row>
    <row r="716" spans="1:26" ht="12.75">
      <c r="A716" s="4"/>
      <c r="B716" s="4"/>
      <c r="C716" s="15"/>
      <c r="D716" s="4"/>
      <c r="E716" s="4"/>
      <c r="F716" s="4"/>
      <c r="G716" s="4"/>
      <c r="H716" s="4"/>
      <c r="I716" s="4"/>
      <c r="J716" s="4"/>
      <c r="K716" s="4"/>
      <c r="L716" s="4"/>
      <c r="M716" s="4"/>
      <c r="N716" s="4"/>
      <c r="O716" s="4"/>
      <c r="P716" s="4"/>
      <c r="Q716" s="4"/>
      <c r="R716" s="4"/>
      <c r="S716" s="4"/>
      <c r="T716" s="4"/>
      <c r="U716" s="4"/>
      <c r="V716" s="4"/>
      <c r="W716" s="4"/>
      <c r="X716" s="4"/>
      <c r="Y716" s="4"/>
      <c r="Z716" s="4"/>
    </row>
    <row r="717" spans="1:26" ht="12.75">
      <c r="A717" s="4"/>
      <c r="B717" s="4"/>
      <c r="C717" s="15"/>
      <c r="D717" s="4"/>
      <c r="E717" s="4"/>
      <c r="F717" s="4"/>
      <c r="G717" s="4"/>
      <c r="H717" s="4"/>
      <c r="I717" s="4"/>
      <c r="J717" s="4"/>
      <c r="K717" s="4"/>
      <c r="L717" s="4"/>
      <c r="M717" s="4"/>
      <c r="N717" s="4"/>
      <c r="O717" s="4"/>
      <c r="P717" s="4"/>
      <c r="Q717" s="4"/>
      <c r="R717" s="4"/>
      <c r="S717" s="4"/>
      <c r="T717" s="4"/>
      <c r="U717" s="4"/>
      <c r="V717" s="4"/>
      <c r="W717" s="4"/>
      <c r="X717" s="4"/>
      <c r="Y717" s="4"/>
      <c r="Z717" s="4"/>
    </row>
    <row r="718" spans="1:26" ht="12.75">
      <c r="A718" s="4"/>
      <c r="B718" s="4"/>
      <c r="C718" s="15"/>
      <c r="D718" s="4"/>
      <c r="E718" s="4"/>
      <c r="F718" s="4"/>
      <c r="G718" s="4"/>
      <c r="H718" s="4"/>
      <c r="I718" s="4"/>
      <c r="J718" s="4"/>
      <c r="K718" s="4"/>
      <c r="L718" s="4"/>
      <c r="M718" s="4"/>
      <c r="N718" s="4"/>
      <c r="O718" s="4"/>
      <c r="P718" s="4"/>
      <c r="Q718" s="4"/>
      <c r="R718" s="4"/>
      <c r="S718" s="4"/>
      <c r="T718" s="4"/>
      <c r="U718" s="4"/>
      <c r="V718" s="4"/>
      <c r="W718" s="4"/>
      <c r="X718" s="4"/>
      <c r="Y718" s="4"/>
      <c r="Z718" s="4"/>
    </row>
    <row r="719" spans="1:26" ht="12.75">
      <c r="A719" s="4"/>
      <c r="B719" s="4"/>
      <c r="C719" s="15"/>
      <c r="D719" s="4"/>
      <c r="E719" s="4"/>
      <c r="F719" s="4"/>
      <c r="G719" s="4"/>
      <c r="H719" s="4"/>
      <c r="I719" s="4"/>
      <c r="J719" s="4"/>
      <c r="K719" s="4"/>
      <c r="L719" s="4"/>
      <c r="M719" s="4"/>
      <c r="N719" s="4"/>
      <c r="O719" s="4"/>
      <c r="P719" s="4"/>
      <c r="Q719" s="4"/>
      <c r="R719" s="4"/>
      <c r="S719" s="4"/>
      <c r="T719" s="4"/>
      <c r="U719" s="4"/>
      <c r="V719" s="4"/>
      <c r="W719" s="4"/>
      <c r="X719" s="4"/>
      <c r="Y719" s="4"/>
      <c r="Z719" s="4"/>
    </row>
    <row r="720" spans="1:26" ht="12.75">
      <c r="A720" s="4"/>
      <c r="B720" s="4"/>
      <c r="C720" s="15"/>
      <c r="D720" s="4"/>
      <c r="E720" s="4"/>
      <c r="F720" s="4"/>
      <c r="G720" s="4"/>
      <c r="H720" s="4"/>
      <c r="I720" s="4"/>
      <c r="J720" s="4"/>
      <c r="K720" s="4"/>
      <c r="L720" s="4"/>
      <c r="M720" s="4"/>
      <c r="N720" s="4"/>
      <c r="O720" s="4"/>
      <c r="P720" s="4"/>
      <c r="Q720" s="4"/>
      <c r="R720" s="4"/>
      <c r="S720" s="4"/>
      <c r="T720" s="4"/>
      <c r="U720" s="4"/>
      <c r="V720" s="4"/>
      <c r="W720" s="4"/>
      <c r="X720" s="4"/>
      <c r="Y720" s="4"/>
      <c r="Z720" s="4"/>
    </row>
    <row r="721" spans="1:26" ht="12.75">
      <c r="A721" s="4"/>
      <c r="B721" s="4"/>
      <c r="C721" s="15"/>
      <c r="D721" s="4"/>
      <c r="E721" s="4"/>
      <c r="F721" s="4"/>
      <c r="G721" s="4"/>
      <c r="H721" s="4"/>
      <c r="I721" s="4"/>
      <c r="J721" s="4"/>
      <c r="K721" s="4"/>
      <c r="L721" s="4"/>
      <c r="M721" s="4"/>
      <c r="N721" s="4"/>
      <c r="O721" s="4"/>
      <c r="P721" s="4"/>
      <c r="Q721" s="4"/>
      <c r="R721" s="4"/>
      <c r="S721" s="4"/>
      <c r="T721" s="4"/>
      <c r="U721" s="4"/>
      <c r="V721" s="4"/>
      <c r="W721" s="4"/>
      <c r="X721" s="4"/>
      <c r="Y721" s="4"/>
      <c r="Z721" s="4"/>
    </row>
    <row r="722" spans="1:26" ht="12.75">
      <c r="A722" s="4"/>
      <c r="B722" s="4"/>
      <c r="C722" s="15"/>
      <c r="D722" s="4"/>
      <c r="E722" s="4"/>
      <c r="F722" s="4"/>
      <c r="G722" s="4"/>
      <c r="H722" s="4"/>
      <c r="I722" s="4"/>
      <c r="J722" s="4"/>
      <c r="K722" s="4"/>
      <c r="L722" s="4"/>
      <c r="M722" s="4"/>
      <c r="N722" s="4"/>
      <c r="O722" s="4"/>
      <c r="P722" s="4"/>
      <c r="Q722" s="4"/>
      <c r="R722" s="4"/>
      <c r="S722" s="4"/>
      <c r="T722" s="4"/>
      <c r="U722" s="4"/>
      <c r="V722" s="4"/>
      <c r="W722" s="4"/>
      <c r="X722" s="4"/>
      <c r="Y722" s="4"/>
      <c r="Z722" s="4"/>
    </row>
    <row r="723" spans="1:26" ht="12.75">
      <c r="A723" s="4"/>
      <c r="B723" s="4"/>
      <c r="C723" s="15"/>
      <c r="D723" s="4"/>
      <c r="E723" s="4"/>
      <c r="F723" s="4"/>
      <c r="G723" s="4"/>
      <c r="H723" s="4"/>
      <c r="I723" s="4"/>
      <c r="J723" s="4"/>
      <c r="K723" s="4"/>
      <c r="L723" s="4"/>
      <c r="M723" s="4"/>
      <c r="N723" s="4"/>
      <c r="O723" s="4"/>
      <c r="P723" s="4"/>
      <c r="Q723" s="4"/>
      <c r="R723" s="4"/>
      <c r="S723" s="4"/>
      <c r="T723" s="4"/>
      <c r="U723" s="4"/>
      <c r="V723" s="4"/>
      <c r="W723" s="4"/>
      <c r="X723" s="4"/>
      <c r="Y723" s="4"/>
      <c r="Z723" s="4"/>
    </row>
    <row r="724" spans="1:26" ht="12.75">
      <c r="A724" s="4"/>
      <c r="B724" s="4"/>
      <c r="C724" s="15"/>
      <c r="D724" s="4"/>
      <c r="E724" s="4"/>
      <c r="F724" s="4"/>
      <c r="G724" s="4"/>
      <c r="H724" s="4"/>
      <c r="I724" s="4"/>
      <c r="J724" s="4"/>
      <c r="K724" s="4"/>
      <c r="L724" s="4"/>
      <c r="M724" s="4"/>
      <c r="N724" s="4"/>
      <c r="O724" s="4"/>
      <c r="P724" s="4"/>
      <c r="Q724" s="4"/>
      <c r="R724" s="4"/>
      <c r="S724" s="4"/>
      <c r="T724" s="4"/>
      <c r="U724" s="4"/>
      <c r="V724" s="4"/>
      <c r="W724" s="4"/>
      <c r="X724" s="4"/>
      <c r="Y724" s="4"/>
      <c r="Z724" s="4"/>
    </row>
    <row r="725" spans="1:26" ht="12.75">
      <c r="A725" s="4"/>
      <c r="B725" s="4"/>
      <c r="C725" s="15"/>
      <c r="D725" s="4"/>
      <c r="E725" s="4"/>
      <c r="F725" s="4"/>
      <c r="G725" s="4"/>
      <c r="H725" s="4"/>
      <c r="I725" s="4"/>
      <c r="J725" s="4"/>
      <c r="K725" s="4"/>
      <c r="L725" s="4"/>
      <c r="M725" s="4"/>
      <c r="N725" s="4"/>
      <c r="O725" s="4"/>
      <c r="P725" s="4"/>
      <c r="Q725" s="4"/>
      <c r="R725" s="4"/>
      <c r="S725" s="4"/>
      <c r="T725" s="4"/>
      <c r="U725" s="4"/>
      <c r="V725" s="4"/>
      <c r="W725" s="4"/>
      <c r="X725" s="4"/>
      <c r="Y725" s="4"/>
      <c r="Z725" s="4"/>
    </row>
    <row r="726" spans="1:26" ht="12.75">
      <c r="A726" s="4"/>
      <c r="B726" s="4"/>
      <c r="C726" s="15"/>
      <c r="D726" s="4"/>
      <c r="E726" s="4"/>
      <c r="F726" s="4"/>
      <c r="G726" s="4"/>
      <c r="H726" s="4"/>
      <c r="I726" s="4"/>
      <c r="J726" s="4"/>
      <c r="K726" s="4"/>
      <c r="L726" s="4"/>
      <c r="M726" s="4"/>
      <c r="N726" s="4"/>
      <c r="O726" s="4"/>
      <c r="P726" s="4"/>
      <c r="Q726" s="4"/>
      <c r="R726" s="4"/>
      <c r="S726" s="4"/>
      <c r="T726" s="4"/>
      <c r="U726" s="4"/>
      <c r="V726" s="4"/>
      <c r="W726" s="4"/>
      <c r="X726" s="4"/>
      <c r="Y726" s="4"/>
      <c r="Z726" s="4"/>
    </row>
    <row r="727" spans="1:26" ht="12.75">
      <c r="A727" s="4"/>
      <c r="B727" s="4"/>
      <c r="C727" s="15"/>
      <c r="D727" s="4"/>
      <c r="E727" s="4"/>
      <c r="F727" s="4"/>
      <c r="G727" s="4"/>
      <c r="H727" s="4"/>
      <c r="I727" s="4"/>
      <c r="J727" s="4"/>
      <c r="K727" s="4"/>
      <c r="L727" s="4"/>
      <c r="M727" s="4"/>
      <c r="N727" s="4"/>
      <c r="O727" s="4"/>
      <c r="P727" s="4"/>
      <c r="Q727" s="4"/>
      <c r="R727" s="4"/>
      <c r="S727" s="4"/>
      <c r="T727" s="4"/>
      <c r="U727" s="4"/>
      <c r="V727" s="4"/>
      <c r="W727" s="4"/>
      <c r="X727" s="4"/>
      <c r="Y727" s="4"/>
      <c r="Z727" s="4"/>
    </row>
    <row r="728" spans="1:26" ht="12.75">
      <c r="A728" s="4"/>
      <c r="B728" s="4"/>
      <c r="C728" s="15"/>
      <c r="D728" s="4"/>
      <c r="E728" s="4"/>
      <c r="F728" s="4"/>
      <c r="G728" s="4"/>
      <c r="H728" s="4"/>
      <c r="I728" s="4"/>
      <c r="J728" s="4"/>
      <c r="K728" s="4"/>
      <c r="L728" s="4"/>
      <c r="M728" s="4"/>
      <c r="N728" s="4"/>
      <c r="O728" s="4"/>
      <c r="P728" s="4"/>
      <c r="Q728" s="4"/>
      <c r="R728" s="4"/>
      <c r="S728" s="4"/>
      <c r="T728" s="4"/>
      <c r="U728" s="4"/>
      <c r="V728" s="4"/>
      <c r="W728" s="4"/>
      <c r="X728" s="4"/>
      <c r="Y728" s="4"/>
      <c r="Z728" s="4"/>
    </row>
    <row r="729" spans="1:26" ht="12.75">
      <c r="A729" s="4"/>
      <c r="B729" s="4"/>
      <c r="C729" s="15"/>
      <c r="D729" s="4"/>
      <c r="E729" s="4"/>
      <c r="F729" s="4"/>
      <c r="G729" s="4"/>
      <c r="H729" s="4"/>
      <c r="I729" s="4"/>
      <c r="J729" s="4"/>
      <c r="K729" s="4"/>
      <c r="L729" s="4"/>
      <c r="M729" s="4"/>
      <c r="N729" s="4"/>
      <c r="O729" s="4"/>
      <c r="P729" s="4"/>
      <c r="Q729" s="4"/>
      <c r="R729" s="4"/>
      <c r="S729" s="4"/>
      <c r="T729" s="4"/>
      <c r="U729" s="4"/>
      <c r="V729" s="4"/>
      <c r="W729" s="4"/>
      <c r="X729" s="4"/>
      <c r="Y729" s="4"/>
      <c r="Z729" s="4"/>
    </row>
    <row r="730" spans="1:26" ht="12.75">
      <c r="A730" s="4"/>
      <c r="B730" s="4"/>
      <c r="C730" s="15"/>
      <c r="D730" s="4"/>
      <c r="E730" s="4"/>
      <c r="F730" s="4"/>
      <c r="G730" s="4"/>
      <c r="H730" s="4"/>
      <c r="I730" s="4"/>
      <c r="J730" s="4"/>
      <c r="K730" s="4"/>
      <c r="L730" s="4"/>
      <c r="M730" s="4"/>
      <c r="N730" s="4"/>
      <c r="O730" s="4"/>
      <c r="P730" s="4"/>
      <c r="Q730" s="4"/>
      <c r="R730" s="4"/>
      <c r="S730" s="4"/>
      <c r="T730" s="4"/>
      <c r="U730" s="4"/>
      <c r="V730" s="4"/>
      <c r="W730" s="4"/>
      <c r="X730" s="4"/>
      <c r="Y730" s="4"/>
      <c r="Z730" s="4"/>
    </row>
    <row r="731" spans="1:26" ht="12.75">
      <c r="A731" s="4"/>
      <c r="B731" s="4"/>
      <c r="C731" s="15"/>
      <c r="D731" s="4"/>
      <c r="E731" s="4"/>
      <c r="F731" s="4"/>
      <c r="G731" s="4"/>
      <c r="H731" s="4"/>
      <c r="I731" s="4"/>
      <c r="J731" s="4"/>
      <c r="K731" s="4"/>
      <c r="L731" s="4"/>
      <c r="M731" s="4"/>
      <c r="N731" s="4"/>
      <c r="O731" s="4"/>
      <c r="P731" s="4"/>
      <c r="Q731" s="4"/>
      <c r="R731" s="4"/>
      <c r="S731" s="4"/>
      <c r="T731" s="4"/>
      <c r="U731" s="4"/>
      <c r="V731" s="4"/>
      <c r="W731" s="4"/>
      <c r="X731" s="4"/>
      <c r="Y731" s="4"/>
      <c r="Z731" s="4"/>
    </row>
    <row r="732" spans="1:26" ht="12.75">
      <c r="A732" s="4"/>
      <c r="B732" s="4"/>
      <c r="C732" s="15"/>
      <c r="D732" s="4"/>
      <c r="E732" s="4"/>
      <c r="F732" s="4"/>
      <c r="G732" s="4"/>
      <c r="H732" s="4"/>
      <c r="I732" s="4"/>
      <c r="J732" s="4"/>
      <c r="K732" s="4"/>
      <c r="L732" s="4"/>
      <c r="M732" s="4"/>
      <c r="N732" s="4"/>
      <c r="O732" s="4"/>
      <c r="P732" s="4"/>
      <c r="Q732" s="4"/>
      <c r="R732" s="4"/>
      <c r="S732" s="4"/>
      <c r="T732" s="4"/>
      <c r="U732" s="4"/>
      <c r="V732" s="4"/>
      <c r="W732" s="4"/>
      <c r="X732" s="4"/>
      <c r="Y732" s="4"/>
      <c r="Z732" s="4"/>
    </row>
    <row r="733" spans="1:26" ht="12.75">
      <c r="A733" s="4"/>
      <c r="B733" s="4"/>
      <c r="C733" s="15"/>
      <c r="D733" s="4"/>
      <c r="E733" s="4"/>
      <c r="F733" s="4"/>
      <c r="G733" s="4"/>
      <c r="H733" s="4"/>
      <c r="I733" s="4"/>
      <c r="J733" s="4"/>
      <c r="K733" s="4"/>
      <c r="L733" s="4"/>
      <c r="M733" s="4"/>
      <c r="N733" s="4"/>
      <c r="O733" s="4"/>
      <c r="P733" s="4"/>
      <c r="Q733" s="4"/>
      <c r="R733" s="4"/>
      <c r="S733" s="4"/>
      <c r="T733" s="4"/>
      <c r="U733" s="4"/>
      <c r="V733" s="4"/>
      <c r="W733" s="4"/>
      <c r="X733" s="4"/>
      <c r="Y733" s="4"/>
      <c r="Z733" s="4"/>
    </row>
    <row r="734" spans="1:26" ht="12.75">
      <c r="A734" s="4"/>
      <c r="B734" s="4"/>
      <c r="C734" s="15"/>
      <c r="D734" s="4"/>
      <c r="E734" s="4"/>
      <c r="F734" s="4"/>
      <c r="G734" s="4"/>
      <c r="H734" s="4"/>
      <c r="I734" s="4"/>
      <c r="J734" s="4"/>
      <c r="K734" s="4"/>
      <c r="L734" s="4"/>
      <c r="M734" s="4"/>
      <c r="N734" s="4"/>
      <c r="O734" s="4"/>
      <c r="P734" s="4"/>
      <c r="Q734" s="4"/>
      <c r="R734" s="4"/>
      <c r="S734" s="4"/>
      <c r="T734" s="4"/>
      <c r="U734" s="4"/>
      <c r="V734" s="4"/>
      <c r="W734" s="4"/>
      <c r="X734" s="4"/>
      <c r="Y734" s="4"/>
      <c r="Z734" s="4"/>
    </row>
    <row r="735" spans="1:26" ht="12.75">
      <c r="A735" s="4"/>
      <c r="B735" s="4"/>
      <c r="C735" s="15"/>
      <c r="D735" s="4"/>
      <c r="E735" s="4"/>
      <c r="F735" s="4"/>
      <c r="G735" s="4"/>
      <c r="H735" s="4"/>
      <c r="I735" s="4"/>
      <c r="J735" s="4"/>
      <c r="K735" s="4"/>
      <c r="L735" s="4"/>
      <c r="M735" s="4"/>
      <c r="N735" s="4"/>
      <c r="O735" s="4"/>
      <c r="P735" s="4"/>
      <c r="Q735" s="4"/>
      <c r="R735" s="4"/>
      <c r="S735" s="4"/>
      <c r="T735" s="4"/>
      <c r="U735" s="4"/>
      <c r="V735" s="4"/>
      <c r="W735" s="4"/>
      <c r="X735" s="4"/>
      <c r="Y735" s="4"/>
      <c r="Z735" s="4"/>
    </row>
    <row r="736" spans="1:26" ht="12.75">
      <c r="A736" s="4"/>
      <c r="B736" s="4"/>
      <c r="C736" s="15"/>
      <c r="D736" s="4"/>
      <c r="E736" s="4"/>
      <c r="F736" s="4"/>
      <c r="G736" s="4"/>
      <c r="H736" s="4"/>
      <c r="I736" s="4"/>
      <c r="J736" s="4"/>
      <c r="K736" s="4"/>
      <c r="L736" s="4"/>
      <c r="M736" s="4"/>
      <c r="N736" s="4"/>
      <c r="O736" s="4"/>
      <c r="P736" s="4"/>
      <c r="Q736" s="4"/>
      <c r="R736" s="4"/>
      <c r="S736" s="4"/>
      <c r="T736" s="4"/>
      <c r="U736" s="4"/>
      <c r="V736" s="4"/>
      <c r="W736" s="4"/>
      <c r="X736" s="4"/>
      <c r="Y736" s="4"/>
      <c r="Z736" s="4"/>
    </row>
    <row r="737" spans="1:26" ht="12.75">
      <c r="A737" s="4"/>
      <c r="B737" s="4"/>
      <c r="C737" s="15"/>
      <c r="D737" s="4"/>
      <c r="E737" s="4"/>
      <c r="F737" s="4"/>
      <c r="G737" s="4"/>
      <c r="H737" s="4"/>
      <c r="I737" s="4"/>
      <c r="J737" s="4"/>
      <c r="K737" s="4"/>
      <c r="L737" s="4"/>
      <c r="M737" s="4"/>
      <c r="N737" s="4"/>
      <c r="O737" s="4"/>
      <c r="P737" s="4"/>
      <c r="Q737" s="4"/>
      <c r="R737" s="4"/>
      <c r="S737" s="4"/>
      <c r="T737" s="4"/>
      <c r="U737" s="4"/>
      <c r="V737" s="4"/>
      <c r="W737" s="4"/>
      <c r="X737" s="4"/>
      <c r="Y737" s="4"/>
      <c r="Z737" s="4"/>
    </row>
    <row r="738" spans="1:26" ht="12.75">
      <c r="A738" s="4"/>
      <c r="B738" s="4"/>
      <c r="C738" s="15"/>
      <c r="D738" s="4"/>
      <c r="E738" s="4"/>
      <c r="F738" s="4"/>
      <c r="G738" s="4"/>
      <c r="H738" s="4"/>
      <c r="I738" s="4"/>
      <c r="J738" s="4"/>
      <c r="K738" s="4"/>
      <c r="L738" s="4"/>
      <c r="M738" s="4"/>
      <c r="N738" s="4"/>
      <c r="O738" s="4"/>
      <c r="P738" s="4"/>
      <c r="Q738" s="4"/>
      <c r="R738" s="4"/>
      <c r="S738" s="4"/>
      <c r="T738" s="4"/>
      <c r="U738" s="4"/>
      <c r="V738" s="4"/>
      <c r="W738" s="4"/>
      <c r="X738" s="4"/>
      <c r="Y738" s="4"/>
      <c r="Z738" s="4"/>
    </row>
    <row r="739" spans="1:26" ht="12.75">
      <c r="A739" s="4"/>
      <c r="B739" s="4"/>
      <c r="C739" s="15"/>
      <c r="D739" s="4"/>
      <c r="E739" s="4"/>
      <c r="F739" s="4"/>
      <c r="G739" s="4"/>
      <c r="H739" s="4"/>
      <c r="I739" s="4"/>
      <c r="J739" s="4"/>
      <c r="K739" s="4"/>
      <c r="L739" s="4"/>
      <c r="M739" s="4"/>
      <c r="N739" s="4"/>
      <c r="O739" s="4"/>
      <c r="P739" s="4"/>
      <c r="Q739" s="4"/>
      <c r="R739" s="4"/>
      <c r="S739" s="4"/>
      <c r="T739" s="4"/>
      <c r="U739" s="4"/>
      <c r="V739" s="4"/>
      <c r="W739" s="4"/>
      <c r="X739" s="4"/>
      <c r="Y739" s="4"/>
      <c r="Z739" s="4"/>
    </row>
    <row r="740" spans="1:26" ht="12.75">
      <c r="A740" s="4"/>
      <c r="B740" s="4"/>
      <c r="C740" s="15"/>
      <c r="D740" s="4"/>
      <c r="E740" s="4"/>
      <c r="F740" s="4"/>
      <c r="G740" s="4"/>
      <c r="H740" s="4"/>
      <c r="I740" s="4"/>
      <c r="J740" s="4"/>
      <c r="K740" s="4"/>
      <c r="L740" s="4"/>
      <c r="M740" s="4"/>
      <c r="N740" s="4"/>
      <c r="O740" s="4"/>
      <c r="P740" s="4"/>
      <c r="Q740" s="4"/>
      <c r="R740" s="4"/>
      <c r="S740" s="4"/>
      <c r="T740" s="4"/>
      <c r="U740" s="4"/>
      <c r="V740" s="4"/>
      <c r="W740" s="4"/>
      <c r="X740" s="4"/>
      <c r="Y740" s="4"/>
      <c r="Z740" s="4"/>
    </row>
    <row r="741" spans="1:26" ht="12.75">
      <c r="A741" s="4"/>
      <c r="B741" s="4"/>
      <c r="C741" s="15"/>
      <c r="D741" s="4"/>
      <c r="E741" s="4"/>
      <c r="F741" s="4"/>
      <c r="G741" s="4"/>
      <c r="H741" s="4"/>
      <c r="I741" s="4"/>
      <c r="J741" s="4"/>
      <c r="K741" s="4"/>
      <c r="L741" s="4"/>
      <c r="M741" s="4"/>
      <c r="N741" s="4"/>
      <c r="O741" s="4"/>
      <c r="P741" s="4"/>
      <c r="Q741" s="4"/>
      <c r="R741" s="4"/>
      <c r="S741" s="4"/>
      <c r="T741" s="4"/>
      <c r="U741" s="4"/>
      <c r="V741" s="4"/>
      <c r="W741" s="4"/>
      <c r="X741" s="4"/>
      <c r="Y741" s="4"/>
      <c r="Z741" s="4"/>
    </row>
    <row r="742" spans="1:26" ht="12.75">
      <c r="A742" s="4"/>
      <c r="B742" s="4"/>
      <c r="C742" s="15"/>
      <c r="D742" s="4"/>
      <c r="E742" s="4"/>
      <c r="F742" s="4"/>
      <c r="G742" s="4"/>
      <c r="H742" s="4"/>
      <c r="I742" s="4"/>
      <c r="J742" s="4"/>
      <c r="K742" s="4"/>
      <c r="L742" s="4"/>
      <c r="M742" s="4"/>
      <c r="N742" s="4"/>
      <c r="O742" s="4"/>
      <c r="P742" s="4"/>
      <c r="Q742" s="4"/>
      <c r="R742" s="4"/>
      <c r="S742" s="4"/>
      <c r="T742" s="4"/>
      <c r="U742" s="4"/>
      <c r="V742" s="4"/>
      <c r="W742" s="4"/>
      <c r="X742" s="4"/>
      <c r="Y742" s="4"/>
      <c r="Z742" s="4"/>
    </row>
    <row r="743" spans="1:26" ht="12.75">
      <c r="A743" s="4"/>
      <c r="B743" s="4"/>
      <c r="C743" s="15"/>
      <c r="D743" s="4"/>
      <c r="E743" s="4"/>
      <c r="F743" s="4"/>
      <c r="G743" s="4"/>
      <c r="H743" s="4"/>
      <c r="I743" s="4"/>
      <c r="J743" s="4"/>
      <c r="K743" s="4"/>
      <c r="L743" s="4"/>
      <c r="M743" s="4"/>
      <c r="N743" s="4"/>
      <c r="O743" s="4"/>
      <c r="P743" s="4"/>
      <c r="Q743" s="4"/>
      <c r="R743" s="4"/>
      <c r="S743" s="4"/>
      <c r="T743" s="4"/>
      <c r="U743" s="4"/>
      <c r="V743" s="4"/>
      <c r="W743" s="4"/>
      <c r="X743" s="4"/>
      <c r="Y743" s="4"/>
      <c r="Z743" s="4"/>
    </row>
    <row r="744" spans="1:26" ht="12.75">
      <c r="A744" s="4"/>
      <c r="B744" s="4"/>
      <c r="C744" s="15"/>
      <c r="D744" s="4"/>
      <c r="E744" s="4"/>
      <c r="F744" s="4"/>
      <c r="G744" s="4"/>
      <c r="H744" s="4"/>
      <c r="I744" s="4"/>
      <c r="J744" s="4"/>
      <c r="K744" s="4"/>
      <c r="L744" s="4"/>
      <c r="M744" s="4"/>
      <c r="N744" s="4"/>
      <c r="O744" s="4"/>
      <c r="P744" s="4"/>
      <c r="Q744" s="4"/>
      <c r="R744" s="4"/>
      <c r="S744" s="4"/>
      <c r="T744" s="4"/>
      <c r="U744" s="4"/>
      <c r="V744" s="4"/>
      <c r="W744" s="4"/>
      <c r="X744" s="4"/>
      <c r="Y744" s="4"/>
      <c r="Z744" s="4"/>
    </row>
    <row r="745" spans="1:26" ht="12.75">
      <c r="A745" s="4"/>
      <c r="B745" s="4"/>
      <c r="C745" s="15"/>
      <c r="D745" s="4"/>
      <c r="E745" s="4"/>
      <c r="F745" s="4"/>
      <c r="G745" s="4"/>
      <c r="H745" s="4"/>
      <c r="I745" s="4"/>
      <c r="J745" s="4"/>
      <c r="K745" s="4"/>
      <c r="L745" s="4"/>
      <c r="M745" s="4"/>
      <c r="N745" s="4"/>
      <c r="O745" s="4"/>
      <c r="P745" s="4"/>
      <c r="Q745" s="4"/>
      <c r="R745" s="4"/>
      <c r="S745" s="4"/>
      <c r="T745" s="4"/>
      <c r="U745" s="4"/>
      <c r="V745" s="4"/>
      <c r="W745" s="4"/>
      <c r="X745" s="4"/>
      <c r="Y745" s="4"/>
      <c r="Z745" s="4"/>
    </row>
    <row r="746" spans="1:26" ht="12.75">
      <c r="A746" s="4"/>
      <c r="B746" s="4"/>
      <c r="C746" s="15"/>
      <c r="D746" s="4"/>
      <c r="E746" s="4"/>
      <c r="F746" s="4"/>
      <c r="G746" s="4"/>
      <c r="H746" s="4"/>
      <c r="I746" s="4"/>
      <c r="J746" s="4"/>
      <c r="K746" s="4"/>
      <c r="L746" s="4"/>
      <c r="M746" s="4"/>
      <c r="N746" s="4"/>
      <c r="O746" s="4"/>
      <c r="P746" s="4"/>
      <c r="Q746" s="4"/>
      <c r="R746" s="4"/>
      <c r="S746" s="4"/>
      <c r="T746" s="4"/>
      <c r="U746" s="4"/>
      <c r="V746" s="4"/>
      <c r="W746" s="4"/>
      <c r="X746" s="4"/>
      <c r="Y746" s="4"/>
      <c r="Z746" s="4"/>
    </row>
    <row r="747" spans="1:26" ht="12.75">
      <c r="A747" s="4"/>
      <c r="B747" s="4"/>
      <c r="C747" s="15"/>
      <c r="D747" s="4"/>
      <c r="E747" s="4"/>
      <c r="F747" s="4"/>
      <c r="G747" s="4"/>
      <c r="H747" s="4"/>
      <c r="I747" s="4"/>
      <c r="J747" s="4"/>
      <c r="K747" s="4"/>
      <c r="L747" s="4"/>
      <c r="M747" s="4"/>
      <c r="N747" s="4"/>
      <c r="O747" s="4"/>
      <c r="P747" s="4"/>
      <c r="Q747" s="4"/>
      <c r="R747" s="4"/>
      <c r="S747" s="4"/>
      <c r="T747" s="4"/>
      <c r="U747" s="4"/>
      <c r="V747" s="4"/>
      <c r="W747" s="4"/>
      <c r="X747" s="4"/>
      <c r="Y747" s="4"/>
      <c r="Z747" s="4"/>
    </row>
    <row r="748" spans="1:26" ht="12.75">
      <c r="A748" s="4"/>
      <c r="B748" s="4"/>
      <c r="C748" s="15"/>
      <c r="D748" s="4"/>
      <c r="E748" s="4"/>
      <c r="F748" s="4"/>
      <c r="G748" s="4"/>
      <c r="H748" s="4"/>
      <c r="I748" s="4"/>
      <c r="J748" s="4"/>
      <c r="K748" s="4"/>
      <c r="L748" s="4"/>
      <c r="M748" s="4"/>
      <c r="N748" s="4"/>
      <c r="O748" s="4"/>
      <c r="P748" s="4"/>
      <c r="Q748" s="4"/>
      <c r="R748" s="4"/>
      <c r="S748" s="4"/>
      <c r="T748" s="4"/>
      <c r="U748" s="4"/>
      <c r="V748" s="4"/>
      <c r="W748" s="4"/>
      <c r="X748" s="4"/>
      <c r="Y748" s="4"/>
      <c r="Z748" s="4"/>
    </row>
    <row r="749" spans="1:26" ht="12.75">
      <c r="A749" s="4"/>
      <c r="B749" s="4"/>
      <c r="C749" s="15"/>
      <c r="D749" s="4"/>
      <c r="E749" s="4"/>
      <c r="F749" s="4"/>
      <c r="G749" s="4"/>
      <c r="H749" s="4"/>
      <c r="I749" s="4"/>
      <c r="J749" s="4"/>
      <c r="K749" s="4"/>
      <c r="L749" s="4"/>
      <c r="M749" s="4"/>
      <c r="N749" s="4"/>
      <c r="O749" s="4"/>
      <c r="P749" s="4"/>
      <c r="Q749" s="4"/>
      <c r="R749" s="4"/>
      <c r="S749" s="4"/>
      <c r="T749" s="4"/>
      <c r="U749" s="4"/>
      <c r="V749" s="4"/>
      <c r="W749" s="4"/>
      <c r="X749" s="4"/>
      <c r="Y749" s="4"/>
      <c r="Z749" s="4"/>
    </row>
    <row r="750" spans="1:26" ht="12.75">
      <c r="A750" s="4"/>
      <c r="B750" s="4"/>
      <c r="C750" s="15"/>
      <c r="D750" s="4"/>
      <c r="E750" s="4"/>
      <c r="F750" s="4"/>
      <c r="G750" s="4"/>
      <c r="H750" s="4"/>
      <c r="I750" s="4"/>
      <c r="J750" s="4"/>
      <c r="K750" s="4"/>
      <c r="L750" s="4"/>
      <c r="M750" s="4"/>
      <c r="N750" s="4"/>
      <c r="O750" s="4"/>
      <c r="P750" s="4"/>
      <c r="Q750" s="4"/>
      <c r="R750" s="4"/>
      <c r="S750" s="4"/>
      <c r="T750" s="4"/>
      <c r="U750" s="4"/>
      <c r="V750" s="4"/>
      <c r="W750" s="4"/>
      <c r="X750" s="4"/>
      <c r="Y750" s="4"/>
      <c r="Z750" s="4"/>
    </row>
    <row r="751" spans="1:26" ht="12.75">
      <c r="A751" s="4"/>
      <c r="B751" s="4"/>
      <c r="C751" s="15"/>
      <c r="D751" s="4"/>
      <c r="E751" s="4"/>
      <c r="F751" s="4"/>
      <c r="G751" s="4"/>
      <c r="H751" s="4"/>
      <c r="I751" s="4"/>
      <c r="J751" s="4"/>
      <c r="K751" s="4"/>
      <c r="L751" s="4"/>
      <c r="M751" s="4"/>
      <c r="N751" s="4"/>
      <c r="O751" s="4"/>
      <c r="P751" s="4"/>
      <c r="Q751" s="4"/>
      <c r="R751" s="4"/>
      <c r="S751" s="4"/>
      <c r="T751" s="4"/>
      <c r="U751" s="4"/>
      <c r="V751" s="4"/>
      <c r="W751" s="4"/>
      <c r="X751" s="4"/>
      <c r="Y751" s="4"/>
      <c r="Z751" s="4"/>
    </row>
    <row r="752" spans="1:26" ht="12.75">
      <c r="A752" s="4"/>
      <c r="B752" s="4"/>
      <c r="C752" s="15"/>
      <c r="D752" s="4"/>
      <c r="E752" s="4"/>
      <c r="F752" s="4"/>
      <c r="G752" s="4"/>
      <c r="H752" s="4"/>
      <c r="I752" s="4"/>
      <c r="J752" s="4"/>
      <c r="K752" s="4"/>
      <c r="L752" s="4"/>
      <c r="M752" s="4"/>
      <c r="N752" s="4"/>
      <c r="O752" s="4"/>
      <c r="P752" s="4"/>
      <c r="Q752" s="4"/>
      <c r="R752" s="4"/>
      <c r="S752" s="4"/>
      <c r="T752" s="4"/>
      <c r="U752" s="4"/>
      <c r="V752" s="4"/>
      <c r="W752" s="4"/>
      <c r="X752" s="4"/>
      <c r="Y752" s="4"/>
      <c r="Z752" s="4"/>
    </row>
    <row r="753" spans="1:26" ht="12.75">
      <c r="A753" s="4"/>
      <c r="B753" s="4"/>
      <c r="C753" s="15"/>
      <c r="D753" s="4"/>
      <c r="E753" s="4"/>
      <c r="F753" s="4"/>
      <c r="G753" s="4"/>
      <c r="H753" s="4"/>
      <c r="I753" s="4"/>
      <c r="J753" s="4"/>
      <c r="K753" s="4"/>
      <c r="L753" s="4"/>
      <c r="M753" s="4"/>
      <c r="N753" s="4"/>
      <c r="O753" s="4"/>
      <c r="P753" s="4"/>
      <c r="Q753" s="4"/>
      <c r="R753" s="4"/>
      <c r="S753" s="4"/>
      <c r="T753" s="4"/>
      <c r="U753" s="4"/>
      <c r="V753" s="4"/>
      <c r="W753" s="4"/>
      <c r="X753" s="4"/>
      <c r="Y753" s="4"/>
      <c r="Z753" s="4"/>
    </row>
    <row r="754" spans="1:26" ht="12.75">
      <c r="A754" s="4"/>
      <c r="B754" s="4"/>
      <c r="C754" s="15"/>
      <c r="D754" s="4"/>
      <c r="E754" s="4"/>
      <c r="F754" s="4"/>
      <c r="G754" s="4"/>
      <c r="H754" s="4"/>
      <c r="I754" s="4"/>
      <c r="J754" s="4"/>
      <c r="K754" s="4"/>
      <c r="L754" s="4"/>
      <c r="M754" s="4"/>
      <c r="N754" s="4"/>
      <c r="O754" s="4"/>
      <c r="P754" s="4"/>
      <c r="Q754" s="4"/>
      <c r="R754" s="4"/>
      <c r="S754" s="4"/>
      <c r="T754" s="4"/>
      <c r="U754" s="4"/>
      <c r="V754" s="4"/>
      <c r="W754" s="4"/>
      <c r="X754" s="4"/>
      <c r="Y754" s="4"/>
      <c r="Z754" s="4"/>
    </row>
    <row r="755" spans="1:26" ht="12.75">
      <c r="A755" s="4"/>
      <c r="B755" s="4"/>
      <c r="C755" s="15"/>
      <c r="D755" s="4"/>
      <c r="E755" s="4"/>
      <c r="F755" s="4"/>
      <c r="G755" s="4"/>
      <c r="H755" s="4"/>
      <c r="I755" s="4"/>
      <c r="J755" s="4"/>
      <c r="K755" s="4"/>
      <c r="L755" s="4"/>
      <c r="M755" s="4"/>
      <c r="N755" s="4"/>
      <c r="O755" s="4"/>
      <c r="P755" s="4"/>
      <c r="Q755" s="4"/>
      <c r="R755" s="4"/>
      <c r="S755" s="4"/>
      <c r="T755" s="4"/>
      <c r="U755" s="4"/>
      <c r="V755" s="4"/>
      <c r="W755" s="4"/>
      <c r="X755" s="4"/>
      <c r="Y755" s="4"/>
      <c r="Z755" s="4"/>
    </row>
    <row r="756" spans="1:26" ht="12.75">
      <c r="A756" s="4"/>
      <c r="B756" s="4"/>
      <c r="C756" s="15"/>
      <c r="D756" s="4"/>
      <c r="E756" s="4"/>
      <c r="F756" s="4"/>
      <c r="G756" s="4"/>
      <c r="H756" s="4"/>
      <c r="I756" s="4"/>
      <c r="J756" s="4"/>
      <c r="K756" s="4"/>
      <c r="L756" s="4"/>
      <c r="M756" s="4"/>
      <c r="N756" s="4"/>
      <c r="O756" s="4"/>
      <c r="P756" s="4"/>
      <c r="Q756" s="4"/>
      <c r="R756" s="4"/>
      <c r="S756" s="4"/>
      <c r="T756" s="4"/>
      <c r="U756" s="4"/>
      <c r="V756" s="4"/>
      <c r="W756" s="4"/>
      <c r="X756" s="4"/>
      <c r="Y756" s="4"/>
      <c r="Z756" s="4"/>
    </row>
    <row r="757" spans="1:26" ht="12.75">
      <c r="A757" s="4"/>
      <c r="B757" s="4"/>
      <c r="C757" s="15"/>
      <c r="D757" s="4"/>
      <c r="E757" s="4"/>
      <c r="F757" s="4"/>
      <c r="G757" s="4"/>
      <c r="H757" s="4"/>
      <c r="I757" s="4"/>
      <c r="J757" s="4"/>
      <c r="K757" s="4"/>
      <c r="L757" s="4"/>
      <c r="M757" s="4"/>
      <c r="N757" s="4"/>
      <c r="O757" s="4"/>
      <c r="P757" s="4"/>
      <c r="Q757" s="4"/>
      <c r="R757" s="4"/>
      <c r="S757" s="4"/>
      <c r="T757" s="4"/>
      <c r="U757" s="4"/>
      <c r="V757" s="4"/>
      <c r="W757" s="4"/>
      <c r="X757" s="4"/>
      <c r="Y757" s="4"/>
      <c r="Z757" s="4"/>
    </row>
    <row r="758" spans="1:26" ht="12.75">
      <c r="A758" s="4"/>
      <c r="B758" s="4"/>
      <c r="C758" s="15"/>
      <c r="D758" s="4"/>
      <c r="E758" s="4"/>
      <c r="F758" s="4"/>
      <c r="G758" s="4"/>
      <c r="H758" s="4"/>
      <c r="I758" s="4"/>
      <c r="J758" s="4"/>
      <c r="K758" s="4"/>
      <c r="L758" s="4"/>
      <c r="M758" s="4"/>
      <c r="N758" s="4"/>
      <c r="O758" s="4"/>
      <c r="P758" s="4"/>
      <c r="Q758" s="4"/>
      <c r="R758" s="4"/>
      <c r="S758" s="4"/>
      <c r="T758" s="4"/>
      <c r="U758" s="4"/>
      <c r="V758" s="4"/>
      <c r="W758" s="4"/>
      <c r="X758" s="4"/>
      <c r="Y758" s="4"/>
      <c r="Z758" s="4"/>
    </row>
    <row r="759" spans="1:26" ht="12.75">
      <c r="A759" s="4"/>
      <c r="B759" s="4"/>
      <c r="C759" s="15"/>
      <c r="D759" s="4"/>
      <c r="E759" s="4"/>
      <c r="F759" s="4"/>
      <c r="G759" s="4"/>
      <c r="H759" s="4"/>
      <c r="I759" s="4"/>
      <c r="J759" s="4"/>
      <c r="K759" s="4"/>
      <c r="L759" s="4"/>
      <c r="M759" s="4"/>
      <c r="N759" s="4"/>
      <c r="O759" s="4"/>
      <c r="P759" s="4"/>
      <c r="Q759" s="4"/>
      <c r="R759" s="4"/>
      <c r="S759" s="4"/>
      <c r="T759" s="4"/>
      <c r="U759" s="4"/>
      <c r="V759" s="4"/>
      <c r="W759" s="4"/>
      <c r="X759" s="4"/>
      <c r="Y759" s="4"/>
      <c r="Z759" s="4"/>
    </row>
    <row r="760" spans="1:26" ht="12.75">
      <c r="A760" s="4"/>
      <c r="B760" s="4"/>
      <c r="C760" s="15"/>
      <c r="D760" s="4"/>
      <c r="E760" s="4"/>
      <c r="F760" s="4"/>
      <c r="G760" s="4"/>
      <c r="H760" s="4"/>
      <c r="I760" s="4"/>
      <c r="J760" s="4"/>
      <c r="K760" s="4"/>
      <c r="L760" s="4"/>
      <c r="M760" s="4"/>
      <c r="N760" s="4"/>
      <c r="O760" s="4"/>
      <c r="P760" s="4"/>
      <c r="Q760" s="4"/>
      <c r="R760" s="4"/>
      <c r="S760" s="4"/>
      <c r="T760" s="4"/>
      <c r="U760" s="4"/>
      <c r="V760" s="4"/>
      <c r="W760" s="4"/>
      <c r="X760" s="4"/>
      <c r="Y760" s="4"/>
      <c r="Z760" s="4"/>
    </row>
    <row r="761" spans="1:26" ht="12.75">
      <c r="A761" s="4"/>
      <c r="B761" s="4"/>
      <c r="C761" s="15"/>
      <c r="D761" s="4"/>
      <c r="E761" s="4"/>
      <c r="F761" s="4"/>
      <c r="G761" s="4"/>
      <c r="H761" s="4"/>
      <c r="I761" s="4"/>
      <c r="J761" s="4"/>
      <c r="K761" s="4"/>
      <c r="L761" s="4"/>
      <c r="M761" s="4"/>
      <c r="N761" s="4"/>
      <c r="O761" s="4"/>
      <c r="P761" s="4"/>
      <c r="Q761" s="4"/>
      <c r="R761" s="4"/>
      <c r="S761" s="4"/>
      <c r="T761" s="4"/>
      <c r="U761" s="4"/>
      <c r="V761" s="4"/>
      <c r="W761" s="4"/>
      <c r="X761" s="4"/>
      <c r="Y761" s="4"/>
      <c r="Z761" s="4"/>
    </row>
    <row r="762" spans="1:26" ht="12.75">
      <c r="A762" s="4"/>
      <c r="B762" s="4"/>
      <c r="C762" s="15"/>
      <c r="D762" s="4"/>
      <c r="E762" s="4"/>
      <c r="F762" s="4"/>
      <c r="G762" s="4"/>
      <c r="H762" s="4"/>
      <c r="I762" s="4"/>
      <c r="J762" s="4"/>
      <c r="K762" s="4"/>
      <c r="L762" s="4"/>
      <c r="M762" s="4"/>
      <c r="N762" s="4"/>
      <c r="O762" s="4"/>
      <c r="P762" s="4"/>
      <c r="Q762" s="4"/>
      <c r="R762" s="4"/>
      <c r="S762" s="4"/>
      <c r="T762" s="4"/>
      <c r="U762" s="4"/>
      <c r="V762" s="4"/>
      <c r="W762" s="4"/>
      <c r="X762" s="4"/>
      <c r="Y762" s="4"/>
      <c r="Z762" s="4"/>
    </row>
    <row r="763" spans="1:26" ht="12.75">
      <c r="A763" s="4"/>
      <c r="B763" s="4"/>
      <c r="C763" s="15"/>
      <c r="D763" s="4"/>
      <c r="E763" s="4"/>
      <c r="F763" s="4"/>
      <c r="G763" s="4"/>
      <c r="H763" s="4"/>
      <c r="I763" s="4"/>
      <c r="J763" s="4"/>
      <c r="K763" s="4"/>
      <c r="L763" s="4"/>
      <c r="M763" s="4"/>
      <c r="N763" s="4"/>
      <c r="O763" s="4"/>
      <c r="P763" s="4"/>
      <c r="Q763" s="4"/>
      <c r="R763" s="4"/>
      <c r="S763" s="4"/>
      <c r="T763" s="4"/>
      <c r="U763" s="4"/>
      <c r="V763" s="4"/>
      <c r="W763" s="4"/>
      <c r="X763" s="4"/>
      <c r="Y763" s="4"/>
      <c r="Z763" s="4"/>
    </row>
    <row r="764" spans="1:26" ht="12.75">
      <c r="A764" s="4"/>
      <c r="B764" s="4"/>
      <c r="C764" s="15"/>
      <c r="D764" s="4"/>
      <c r="E764" s="4"/>
      <c r="F764" s="4"/>
      <c r="G764" s="4"/>
      <c r="H764" s="4"/>
      <c r="I764" s="4"/>
      <c r="J764" s="4"/>
      <c r="K764" s="4"/>
      <c r="L764" s="4"/>
      <c r="M764" s="4"/>
      <c r="N764" s="4"/>
      <c r="O764" s="4"/>
      <c r="P764" s="4"/>
      <c r="Q764" s="4"/>
      <c r="R764" s="4"/>
      <c r="S764" s="4"/>
      <c r="T764" s="4"/>
      <c r="U764" s="4"/>
      <c r="V764" s="4"/>
      <c r="W764" s="4"/>
      <c r="X764" s="4"/>
      <c r="Y764" s="4"/>
      <c r="Z764" s="4"/>
    </row>
    <row r="765" spans="1:26" ht="12.75">
      <c r="A765" s="4"/>
      <c r="B765" s="4"/>
      <c r="C765" s="15"/>
      <c r="D765" s="4"/>
      <c r="E765" s="4"/>
      <c r="F765" s="4"/>
      <c r="G765" s="4"/>
      <c r="H765" s="4"/>
      <c r="I765" s="4"/>
      <c r="J765" s="4"/>
      <c r="K765" s="4"/>
      <c r="L765" s="4"/>
      <c r="M765" s="4"/>
      <c r="N765" s="4"/>
      <c r="O765" s="4"/>
      <c r="P765" s="4"/>
      <c r="Q765" s="4"/>
      <c r="R765" s="4"/>
      <c r="S765" s="4"/>
      <c r="T765" s="4"/>
      <c r="U765" s="4"/>
      <c r="V765" s="4"/>
      <c r="W765" s="4"/>
      <c r="X765" s="4"/>
      <c r="Y765" s="4"/>
      <c r="Z765" s="4"/>
    </row>
    <row r="766" spans="1:26" ht="12.75">
      <c r="A766" s="4"/>
      <c r="B766" s="4"/>
      <c r="C766" s="15"/>
      <c r="D766" s="4"/>
      <c r="E766" s="4"/>
      <c r="F766" s="4"/>
      <c r="G766" s="4"/>
      <c r="H766" s="4"/>
      <c r="I766" s="4"/>
      <c r="J766" s="4"/>
      <c r="K766" s="4"/>
      <c r="L766" s="4"/>
      <c r="M766" s="4"/>
      <c r="N766" s="4"/>
      <c r="O766" s="4"/>
      <c r="P766" s="4"/>
      <c r="Q766" s="4"/>
      <c r="R766" s="4"/>
      <c r="S766" s="4"/>
      <c r="T766" s="4"/>
      <c r="U766" s="4"/>
      <c r="V766" s="4"/>
      <c r="W766" s="4"/>
      <c r="X766" s="4"/>
      <c r="Y766" s="4"/>
      <c r="Z766" s="4"/>
    </row>
    <row r="767" spans="1:26" ht="12.75">
      <c r="A767" s="4"/>
      <c r="B767" s="4"/>
      <c r="C767" s="15"/>
      <c r="D767" s="4"/>
      <c r="E767" s="4"/>
      <c r="F767" s="4"/>
      <c r="G767" s="4"/>
      <c r="H767" s="4"/>
      <c r="I767" s="4"/>
      <c r="J767" s="4"/>
      <c r="K767" s="4"/>
      <c r="L767" s="4"/>
      <c r="M767" s="4"/>
      <c r="N767" s="4"/>
      <c r="O767" s="4"/>
      <c r="P767" s="4"/>
      <c r="Q767" s="4"/>
      <c r="R767" s="4"/>
      <c r="S767" s="4"/>
      <c r="T767" s="4"/>
      <c r="U767" s="4"/>
      <c r="V767" s="4"/>
      <c r="W767" s="4"/>
      <c r="X767" s="4"/>
      <c r="Y767" s="4"/>
      <c r="Z767" s="4"/>
    </row>
    <row r="768" spans="1:26" ht="12.75">
      <c r="A768" s="4"/>
      <c r="B768" s="4"/>
      <c r="C768" s="15"/>
      <c r="D768" s="4"/>
      <c r="E768" s="4"/>
      <c r="F768" s="4"/>
      <c r="G768" s="4"/>
      <c r="H768" s="4"/>
      <c r="I768" s="4"/>
      <c r="J768" s="4"/>
      <c r="K768" s="4"/>
      <c r="L768" s="4"/>
      <c r="M768" s="4"/>
      <c r="N768" s="4"/>
      <c r="O768" s="4"/>
      <c r="P768" s="4"/>
      <c r="Q768" s="4"/>
      <c r="R768" s="4"/>
      <c r="S768" s="4"/>
      <c r="T768" s="4"/>
      <c r="U768" s="4"/>
      <c r="V768" s="4"/>
      <c r="W768" s="4"/>
      <c r="X768" s="4"/>
      <c r="Y768" s="4"/>
      <c r="Z768" s="4"/>
    </row>
    <row r="769" spans="1:26" ht="12.75">
      <c r="A769" s="4"/>
      <c r="B769" s="4"/>
      <c r="C769" s="15"/>
      <c r="D769" s="4"/>
      <c r="E769" s="4"/>
      <c r="F769" s="4"/>
      <c r="G769" s="4"/>
      <c r="H769" s="4"/>
      <c r="I769" s="4"/>
      <c r="J769" s="4"/>
      <c r="K769" s="4"/>
      <c r="L769" s="4"/>
      <c r="M769" s="4"/>
      <c r="N769" s="4"/>
      <c r="O769" s="4"/>
      <c r="P769" s="4"/>
      <c r="Q769" s="4"/>
      <c r="R769" s="4"/>
      <c r="S769" s="4"/>
      <c r="T769" s="4"/>
      <c r="U769" s="4"/>
      <c r="V769" s="4"/>
      <c r="W769" s="4"/>
      <c r="X769" s="4"/>
      <c r="Y769" s="4"/>
      <c r="Z769" s="4"/>
    </row>
    <row r="770" spans="1:26" ht="12.75">
      <c r="A770" s="4"/>
      <c r="B770" s="4"/>
      <c r="C770" s="15"/>
      <c r="D770" s="4"/>
      <c r="E770" s="4"/>
      <c r="F770" s="4"/>
      <c r="G770" s="4"/>
      <c r="H770" s="4"/>
      <c r="I770" s="4"/>
      <c r="J770" s="4"/>
      <c r="K770" s="4"/>
      <c r="L770" s="4"/>
      <c r="M770" s="4"/>
      <c r="N770" s="4"/>
      <c r="O770" s="4"/>
      <c r="P770" s="4"/>
      <c r="Q770" s="4"/>
      <c r="R770" s="4"/>
      <c r="S770" s="4"/>
      <c r="T770" s="4"/>
      <c r="U770" s="4"/>
      <c r="V770" s="4"/>
      <c r="W770" s="4"/>
      <c r="X770" s="4"/>
      <c r="Y770" s="4"/>
      <c r="Z770" s="4"/>
    </row>
    <row r="771" spans="1:26" ht="12.75">
      <c r="A771" s="4"/>
      <c r="B771" s="4"/>
      <c r="C771" s="15"/>
      <c r="D771" s="4"/>
      <c r="E771" s="4"/>
      <c r="F771" s="4"/>
      <c r="G771" s="4"/>
      <c r="H771" s="4"/>
      <c r="I771" s="4"/>
      <c r="J771" s="4"/>
      <c r="K771" s="4"/>
      <c r="L771" s="4"/>
      <c r="M771" s="4"/>
      <c r="N771" s="4"/>
      <c r="O771" s="4"/>
      <c r="P771" s="4"/>
      <c r="Q771" s="4"/>
      <c r="R771" s="4"/>
      <c r="S771" s="4"/>
      <c r="T771" s="4"/>
      <c r="U771" s="4"/>
      <c r="V771" s="4"/>
      <c r="W771" s="4"/>
      <c r="X771" s="4"/>
      <c r="Y771" s="4"/>
      <c r="Z771" s="4"/>
    </row>
    <row r="772" spans="1:26" ht="12.75">
      <c r="A772" s="4"/>
      <c r="B772" s="4"/>
      <c r="C772" s="15"/>
      <c r="D772" s="4"/>
      <c r="E772" s="4"/>
      <c r="F772" s="4"/>
      <c r="G772" s="4"/>
      <c r="H772" s="4"/>
      <c r="I772" s="4"/>
      <c r="J772" s="4"/>
      <c r="K772" s="4"/>
      <c r="L772" s="4"/>
      <c r="M772" s="4"/>
      <c r="N772" s="4"/>
      <c r="O772" s="4"/>
      <c r="P772" s="4"/>
      <c r="Q772" s="4"/>
      <c r="R772" s="4"/>
      <c r="S772" s="4"/>
      <c r="T772" s="4"/>
      <c r="U772" s="4"/>
      <c r="V772" s="4"/>
      <c r="W772" s="4"/>
      <c r="X772" s="4"/>
      <c r="Y772" s="4"/>
      <c r="Z772" s="4"/>
    </row>
    <row r="773" spans="1:26" ht="12.75">
      <c r="A773" s="4"/>
      <c r="B773" s="4"/>
      <c r="C773" s="15"/>
      <c r="D773" s="4"/>
      <c r="E773" s="4"/>
      <c r="F773" s="4"/>
      <c r="G773" s="4"/>
      <c r="H773" s="4"/>
      <c r="I773" s="4"/>
      <c r="J773" s="4"/>
      <c r="K773" s="4"/>
      <c r="L773" s="4"/>
      <c r="M773" s="4"/>
      <c r="N773" s="4"/>
      <c r="O773" s="4"/>
      <c r="P773" s="4"/>
      <c r="Q773" s="4"/>
      <c r="R773" s="4"/>
      <c r="S773" s="4"/>
      <c r="T773" s="4"/>
      <c r="U773" s="4"/>
      <c r="V773" s="4"/>
      <c r="W773" s="4"/>
      <c r="X773" s="4"/>
      <c r="Y773" s="4"/>
      <c r="Z773" s="4"/>
    </row>
    <row r="774" spans="1:26" ht="12.75">
      <c r="A774" s="4"/>
      <c r="B774" s="4"/>
      <c r="C774" s="15"/>
      <c r="D774" s="4"/>
      <c r="E774" s="4"/>
      <c r="F774" s="4"/>
      <c r="G774" s="4"/>
      <c r="H774" s="4"/>
      <c r="I774" s="4"/>
      <c r="J774" s="4"/>
      <c r="K774" s="4"/>
      <c r="L774" s="4"/>
      <c r="M774" s="4"/>
      <c r="N774" s="4"/>
      <c r="O774" s="4"/>
      <c r="P774" s="4"/>
      <c r="Q774" s="4"/>
      <c r="R774" s="4"/>
      <c r="S774" s="4"/>
      <c r="T774" s="4"/>
      <c r="U774" s="4"/>
      <c r="V774" s="4"/>
      <c r="W774" s="4"/>
      <c r="X774" s="4"/>
      <c r="Y774" s="4"/>
      <c r="Z774" s="4"/>
    </row>
    <row r="775" spans="1:26" ht="12.75">
      <c r="A775" s="4"/>
      <c r="B775" s="4"/>
      <c r="C775" s="15"/>
      <c r="D775" s="4"/>
      <c r="E775" s="4"/>
      <c r="F775" s="4"/>
      <c r="G775" s="4"/>
      <c r="H775" s="4"/>
      <c r="I775" s="4"/>
      <c r="J775" s="4"/>
      <c r="K775" s="4"/>
      <c r="L775" s="4"/>
      <c r="M775" s="4"/>
      <c r="N775" s="4"/>
      <c r="O775" s="4"/>
      <c r="P775" s="4"/>
      <c r="Q775" s="4"/>
      <c r="R775" s="4"/>
      <c r="S775" s="4"/>
      <c r="T775" s="4"/>
      <c r="U775" s="4"/>
      <c r="V775" s="4"/>
      <c r="W775" s="4"/>
      <c r="X775" s="4"/>
      <c r="Y775" s="4"/>
      <c r="Z775" s="4"/>
    </row>
    <row r="776" spans="1:26" ht="12.75">
      <c r="A776" s="4"/>
      <c r="B776" s="4"/>
      <c r="C776" s="15"/>
      <c r="D776" s="4"/>
      <c r="E776" s="4"/>
      <c r="F776" s="4"/>
      <c r="G776" s="4"/>
      <c r="H776" s="4"/>
      <c r="I776" s="4"/>
      <c r="J776" s="4"/>
      <c r="K776" s="4"/>
      <c r="L776" s="4"/>
      <c r="M776" s="4"/>
      <c r="N776" s="4"/>
      <c r="O776" s="4"/>
      <c r="P776" s="4"/>
      <c r="Q776" s="4"/>
      <c r="R776" s="4"/>
      <c r="S776" s="4"/>
      <c r="T776" s="4"/>
      <c r="U776" s="4"/>
      <c r="V776" s="4"/>
      <c r="W776" s="4"/>
      <c r="X776" s="4"/>
      <c r="Y776" s="4"/>
      <c r="Z776" s="4"/>
    </row>
    <row r="777" spans="1:26" ht="12.75">
      <c r="A777" s="4"/>
      <c r="B777" s="4"/>
      <c r="C777" s="15"/>
      <c r="D777" s="4"/>
      <c r="E777" s="4"/>
      <c r="F777" s="4"/>
      <c r="G777" s="4"/>
      <c r="H777" s="4"/>
      <c r="I777" s="4"/>
      <c r="J777" s="4"/>
      <c r="K777" s="4"/>
      <c r="L777" s="4"/>
      <c r="M777" s="4"/>
      <c r="N777" s="4"/>
      <c r="O777" s="4"/>
      <c r="P777" s="4"/>
      <c r="Q777" s="4"/>
      <c r="R777" s="4"/>
      <c r="S777" s="4"/>
      <c r="T777" s="4"/>
      <c r="U777" s="4"/>
      <c r="V777" s="4"/>
      <c r="W777" s="4"/>
      <c r="X777" s="4"/>
      <c r="Y777" s="4"/>
      <c r="Z777" s="4"/>
    </row>
    <row r="778" spans="1:26" ht="12.75">
      <c r="A778" s="4"/>
      <c r="B778" s="4"/>
      <c r="C778" s="15"/>
      <c r="D778" s="4"/>
      <c r="E778" s="4"/>
      <c r="F778" s="4"/>
      <c r="G778" s="4"/>
      <c r="H778" s="4"/>
      <c r="I778" s="4"/>
      <c r="J778" s="4"/>
      <c r="K778" s="4"/>
      <c r="L778" s="4"/>
      <c r="M778" s="4"/>
      <c r="N778" s="4"/>
      <c r="O778" s="4"/>
      <c r="P778" s="4"/>
      <c r="Q778" s="4"/>
      <c r="R778" s="4"/>
      <c r="S778" s="4"/>
      <c r="T778" s="4"/>
      <c r="U778" s="4"/>
      <c r="V778" s="4"/>
      <c r="W778" s="4"/>
      <c r="X778" s="4"/>
      <c r="Y778" s="4"/>
      <c r="Z778" s="4"/>
    </row>
    <row r="779" spans="1:26" ht="12.75">
      <c r="A779" s="4"/>
      <c r="B779" s="4"/>
      <c r="C779" s="15"/>
      <c r="D779" s="4"/>
      <c r="E779" s="4"/>
      <c r="F779" s="4"/>
      <c r="G779" s="4"/>
      <c r="H779" s="4"/>
      <c r="I779" s="4"/>
      <c r="J779" s="4"/>
      <c r="K779" s="4"/>
      <c r="L779" s="4"/>
      <c r="M779" s="4"/>
      <c r="N779" s="4"/>
      <c r="O779" s="4"/>
      <c r="P779" s="4"/>
      <c r="Q779" s="4"/>
      <c r="R779" s="4"/>
      <c r="S779" s="4"/>
      <c r="T779" s="4"/>
      <c r="U779" s="4"/>
      <c r="V779" s="4"/>
      <c r="W779" s="4"/>
      <c r="X779" s="4"/>
      <c r="Y779" s="4"/>
      <c r="Z779" s="4"/>
    </row>
    <row r="780" spans="1:26" ht="12.75">
      <c r="A780" s="4"/>
      <c r="B780" s="4"/>
      <c r="C780" s="15"/>
      <c r="D780" s="4"/>
      <c r="E780" s="4"/>
      <c r="F780" s="4"/>
      <c r="G780" s="4"/>
      <c r="H780" s="4"/>
      <c r="I780" s="4"/>
      <c r="J780" s="4"/>
      <c r="K780" s="4"/>
      <c r="L780" s="4"/>
      <c r="M780" s="4"/>
      <c r="N780" s="4"/>
      <c r="O780" s="4"/>
      <c r="P780" s="4"/>
      <c r="Q780" s="4"/>
      <c r="R780" s="4"/>
      <c r="S780" s="4"/>
      <c r="T780" s="4"/>
      <c r="U780" s="4"/>
      <c r="V780" s="4"/>
      <c r="W780" s="4"/>
      <c r="X780" s="4"/>
      <c r="Y780" s="4"/>
      <c r="Z780" s="4"/>
    </row>
    <row r="781" spans="1:26" ht="12.75">
      <c r="A781" s="4"/>
      <c r="B781" s="4"/>
      <c r="C781" s="15"/>
      <c r="D781" s="4"/>
      <c r="E781" s="4"/>
      <c r="F781" s="4"/>
      <c r="G781" s="4"/>
      <c r="H781" s="4"/>
      <c r="I781" s="4"/>
      <c r="J781" s="4"/>
      <c r="K781" s="4"/>
      <c r="L781" s="4"/>
      <c r="M781" s="4"/>
      <c r="N781" s="4"/>
      <c r="O781" s="4"/>
      <c r="P781" s="4"/>
      <c r="Q781" s="4"/>
      <c r="R781" s="4"/>
      <c r="S781" s="4"/>
      <c r="T781" s="4"/>
      <c r="U781" s="4"/>
      <c r="V781" s="4"/>
      <c r="W781" s="4"/>
      <c r="X781" s="4"/>
      <c r="Y781" s="4"/>
      <c r="Z781" s="4"/>
    </row>
    <row r="782" spans="1:26" ht="12.75">
      <c r="A782" s="4"/>
      <c r="B782" s="4"/>
      <c r="C782" s="15"/>
      <c r="D782" s="4"/>
      <c r="E782" s="4"/>
      <c r="F782" s="4"/>
      <c r="G782" s="4"/>
      <c r="H782" s="4"/>
      <c r="I782" s="4"/>
      <c r="J782" s="4"/>
      <c r="K782" s="4"/>
      <c r="L782" s="4"/>
      <c r="M782" s="4"/>
      <c r="N782" s="4"/>
      <c r="O782" s="4"/>
      <c r="P782" s="4"/>
      <c r="Q782" s="4"/>
      <c r="R782" s="4"/>
      <c r="S782" s="4"/>
      <c r="T782" s="4"/>
      <c r="U782" s="4"/>
      <c r="V782" s="4"/>
      <c r="W782" s="4"/>
      <c r="X782" s="4"/>
      <c r="Y782" s="4"/>
      <c r="Z782" s="4"/>
    </row>
    <row r="783" spans="1:26" ht="12.75">
      <c r="A783" s="4"/>
      <c r="B783" s="4"/>
      <c r="C783" s="15"/>
      <c r="D783" s="4"/>
      <c r="E783" s="4"/>
      <c r="F783" s="4"/>
      <c r="G783" s="4"/>
      <c r="H783" s="4"/>
      <c r="I783" s="4"/>
      <c r="J783" s="4"/>
      <c r="K783" s="4"/>
      <c r="L783" s="4"/>
      <c r="M783" s="4"/>
      <c r="N783" s="4"/>
      <c r="O783" s="4"/>
      <c r="P783" s="4"/>
      <c r="Q783" s="4"/>
      <c r="R783" s="4"/>
      <c r="S783" s="4"/>
      <c r="T783" s="4"/>
      <c r="U783" s="4"/>
      <c r="V783" s="4"/>
      <c r="W783" s="4"/>
      <c r="X783" s="4"/>
      <c r="Y783" s="4"/>
      <c r="Z783" s="4"/>
    </row>
    <row r="784" spans="1:26" ht="12.75">
      <c r="A784" s="4"/>
      <c r="B784" s="4"/>
      <c r="C784" s="15"/>
      <c r="D784" s="4"/>
      <c r="E784" s="4"/>
      <c r="F784" s="4"/>
      <c r="G784" s="4"/>
      <c r="H784" s="4"/>
      <c r="I784" s="4"/>
      <c r="J784" s="4"/>
      <c r="K784" s="4"/>
      <c r="L784" s="4"/>
      <c r="M784" s="4"/>
      <c r="N784" s="4"/>
      <c r="O784" s="4"/>
      <c r="P784" s="4"/>
      <c r="Q784" s="4"/>
      <c r="R784" s="4"/>
      <c r="S784" s="4"/>
      <c r="T784" s="4"/>
      <c r="U784" s="4"/>
      <c r="V784" s="4"/>
      <c r="W784" s="4"/>
      <c r="X784" s="4"/>
      <c r="Y784" s="4"/>
      <c r="Z784" s="4"/>
    </row>
    <row r="785" spans="1:26" ht="12.75">
      <c r="A785" s="4"/>
      <c r="B785" s="4"/>
      <c r="C785" s="15"/>
      <c r="D785" s="4"/>
      <c r="E785" s="4"/>
      <c r="F785" s="4"/>
      <c r="G785" s="4"/>
      <c r="H785" s="4"/>
      <c r="I785" s="4"/>
      <c r="J785" s="4"/>
      <c r="K785" s="4"/>
      <c r="L785" s="4"/>
      <c r="M785" s="4"/>
      <c r="N785" s="4"/>
      <c r="O785" s="4"/>
      <c r="P785" s="4"/>
      <c r="Q785" s="4"/>
      <c r="R785" s="4"/>
      <c r="S785" s="4"/>
      <c r="T785" s="4"/>
      <c r="U785" s="4"/>
      <c r="V785" s="4"/>
      <c r="W785" s="4"/>
      <c r="X785" s="4"/>
      <c r="Y785" s="4"/>
      <c r="Z785" s="4"/>
    </row>
    <row r="786" spans="1:26" ht="12.75">
      <c r="A786" s="4"/>
      <c r="B786" s="4"/>
      <c r="C786" s="15"/>
      <c r="D786" s="4"/>
      <c r="E786" s="4"/>
      <c r="F786" s="4"/>
      <c r="G786" s="4"/>
      <c r="H786" s="4"/>
      <c r="I786" s="4"/>
      <c r="J786" s="4"/>
      <c r="K786" s="4"/>
      <c r="L786" s="4"/>
      <c r="M786" s="4"/>
      <c r="N786" s="4"/>
      <c r="O786" s="4"/>
      <c r="P786" s="4"/>
      <c r="Q786" s="4"/>
      <c r="R786" s="4"/>
      <c r="S786" s="4"/>
      <c r="T786" s="4"/>
      <c r="U786" s="4"/>
      <c r="V786" s="4"/>
      <c r="W786" s="4"/>
      <c r="X786" s="4"/>
      <c r="Y786" s="4"/>
      <c r="Z786" s="4"/>
    </row>
    <row r="787" spans="1:26" ht="12.75">
      <c r="A787" s="4"/>
      <c r="B787" s="4"/>
      <c r="C787" s="15"/>
      <c r="D787" s="4"/>
      <c r="E787" s="4"/>
      <c r="F787" s="4"/>
      <c r="G787" s="4"/>
      <c r="H787" s="4"/>
      <c r="I787" s="4"/>
      <c r="J787" s="4"/>
      <c r="K787" s="4"/>
      <c r="L787" s="4"/>
      <c r="M787" s="4"/>
      <c r="N787" s="4"/>
      <c r="O787" s="4"/>
      <c r="P787" s="4"/>
      <c r="Q787" s="4"/>
      <c r="R787" s="4"/>
      <c r="S787" s="4"/>
      <c r="T787" s="4"/>
      <c r="U787" s="4"/>
      <c r="V787" s="4"/>
      <c r="W787" s="4"/>
      <c r="X787" s="4"/>
      <c r="Y787" s="4"/>
      <c r="Z787" s="4"/>
    </row>
    <row r="788" spans="1:26" ht="12.75">
      <c r="A788" s="4"/>
      <c r="B788" s="4"/>
      <c r="C788" s="15"/>
      <c r="D788" s="4"/>
      <c r="E788" s="4"/>
      <c r="F788" s="4"/>
      <c r="G788" s="4"/>
      <c r="H788" s="4"/>
      <c r="I788" s="4"/>
      <c r="J788" s="4"/>
      <c r="K788" s="4"/>
      <c r="L788" s="4"/>
      <c r="M788" s="4"/>
      <c r="N788" s="4"/>
      <c r="O788" s="4"/>
      <c r="P788" s="4"/>
      <c r="Q788" s="4"/>
      <c r="R788" s="4"/>
      <c r="S788" s="4"/>
      <c r="T788" s="4"/>
      <c r="U788" s="4"/>
      <c r="V788" s="4"/>
      <c r="W788" s="4"/>
      <c r="X788" s="4"/>
      <c r="Y788" s="4"/>
      <c r="Z788" s="4"/>
    </row>
    <row r="789" spans="1:26" ht="12.75">
      <c r="A789" s="4"/>
      <c r="B789" s="4"/>
      <c r="C789" s="15"/>
      <c r="D789" s="4"/>
      <c r="E789" s="4"/>
      <c r="F789" s="4"/>
      <c r="G789" s="4"/>
      <c r="H789" s="4"/>
      <c r="I789" s="4"/>
      <c r="J789" s="4"/>
      <c r="K789" s="4"/>
      <c r="L789" s="4"/>
      <c r="M789" s="4"/>
      <c r="N789" s="4"/>
      <c r="O789" s="4"/>
      <c r="P789" s="4"/>
      <c r="Q789" s="4"/>
      <c r="R789" s="4"/>
      <c r="S789" s="4"/>
      <c r="T789" s="4"/>
      <c r="U789" s="4"/>
      <c r="V789" s="4"/>
      <c r="W789" s="4"/>
      <c r="X789" s="4"/>
      <c r="Y789" s="4"/>
      <c r="Z789" s="4"/>
    </row>
    <row r="790" spans="1:26" ht="12.75">
      <c r="A790" s="4"/>
      <c r="B790" s="4"/>
      <c r="C790" s="15"/>
      <c r="D790" s="4"/>
      <c r="E790" s="4"/>
      <c r="F790" s="4"/>
      <c r="G790" s="4"/>
      <c r="H790" s="4"/>
      <c r="I790" s="4"/>
      <c r="J790" s="4"/>
      <c r="K790" s="4"/>
      <c r="L790" s="4"/>
      <c r="M790" s="4"/>
      <c r="N790" s="4"/>
      <c r="O790" s="4"/>
      <c r="P790" s="4"/>
      <c r="Q790" s="4"/>
      <c r="R790" s="4"/>
      <c r="S790" s="4"/>
      <c r="T790" s="4"/>
      <c r="U790" s="4"/>
      <c r="V790" s="4"/>
      <c r="W790" s="4"/>
      <c r="X790" s="4"/>
      <c r="Y790" s="4"/>
      <c r="Z790" s="4"/>
    </row>
    <row r="791" spans="1:26" ht="12.75">
      <c r="A791" s="4"/>
      <c r="B791" s="4"/>
      <c r="C791" s="15"/>
      <c r="D791" s="4"/>
      <c r="E791" s="4"/>
      <c r="F791" s="4"/>
      <c r="G791" s="4"/>
      <c r="H791" s="4"/>
      <c r="I791" s="4"/>
      <c r="J791" s="4"/>
      <c r="K791" s="4"/>
      <c r="L791" s="4"/>
      <c r="M791" s="4"/>
      <c r="N791" s="4"/>
      <c r="O791" s="4"/>
      <c r="P791" s="4"/>
      <c r="Q791" s="4"/>
      <c r="R791" s="4"/>
      <c r="S791" s="4"/>
      <c r="T791" s="4"/>
      <c r="U791" s="4"/>
      <c r="V791" s="4"/>
      <c r="W791" s="4"/>
      <c r="X791" s="4"/>
      <c r="Y791" s="4"/>
      <c r="Z791" s="4"/>
    </row>
    <row r="792" spans="1:26" ht="12.75">
      <c r="A792" s="4"/>
      <c r="B792" s="4"/>
      <c r="C792" s="15"/>
      <c r="D792" s="4"/>
      <c r="E792" s="4"/>
      <c r="F792" s="4"/>
      <c r="G792" s="4"/>
      <c r="H792" s="4"/>
      <c r="I792" s="4"/>
      <c r="J792" s="4"/>
      <c r="K792" s="4"/>
      <c r="L792" s="4"/>
      <c r="M792" s="4"/>
      <c r="N792" s="4"/>
      <c r="O792" s="4"/>
      <c r="P792" s="4"/>
      <c r="Q792" s="4"/>
      <c r="R792" s="4"/>
      <c r="S792" s="4"/>
      <c r="T792" s="4"/>
      <c r="U792" s="4"/>
      <c r="V792" s="4"/>
      <c r="W792" s="4"/>
      <c r="X792" s="4"/>
      <c r="Y792" s="4"/>
      <c r="Z792" s="4"/>
    </row>
    <row r="793" spans="1:26" ht="12.75">
      <c r="A793" s="4"/>
      <c r="B793" s="4"/>
      <c r="C793" s="15"/>
      <c r="D793" s="4"/>
      <c r="E793" s="4"/>
      <c r="F793" s="4"/>
      <c r="G793" s="4"/>
      <c r="H793" s="4"/>
      <c r="I793" s="4"/>
      <c r="J793" s="4"/>
      <c r="K793" s="4"/>
      <c r="L793" s="4"/>
      <c r="M793" s="4"/>
      <c r="N793" s="4"/>
      <c r="O793" s="4"/>
      <c r="P793" s="4"/>
      <c r="Q793" s="4"/>
      <c r="R793" s="4"/>
      <c r="S793" s="4"/>
      <c r="T793" s="4"/>
      <c r="U793" s="4"/>
      <c r="V793" s="4"/>
      <c r="W793" s="4"/>
      <c r="X793" s="4"/>
      <c r="Y793" s="4"/>
      <c r="Z793" s="4"/>
    </row>
    <row r="794" spans="1:26" ht="12.75">
      <c r="A794" s="4"/>
      <c r="B794" s="4"/>
      <c r="C794" s="15"/>
      <c r="D794" s="4"/>
      <c r="E794" s="4"/>
      <c r="F794" s="4"/>
      <c r="G794" s="4"/>
      <c r="H794" s="4"/>
      <c r="I794" s="4"/>
      <c r="J794" s="4"/>
      <c r="K794" s="4"/>
      <c r="L794" s="4"/>
      <c r="M794" s="4"/>
      <c r="N794" s="4"/>
      <c r="O794" s="4"/>
      <c r="P794" s="4"/>
      <c r="Q794" s="4"/>
      <c r="R794" s="4"/>
      <c r="S794" s="4"/>
      <c r="T794" s="4"/>
      <c r="U794" s="4"/>
      <c r="V794" s="4"/>
      <c r="W794" s="4"/>
      <c r="X794" s="4"/>
      <c r="Y794" s="4"/>
      <c r="Z794" s="4"/>
    </row>
    <row r="795" spans="1:26" ht="12.75">
      <c r="A795" s="4"/>
      <c r="B795" s="4"/>
      <c r="C795" s="15"/>
      <c r="D795" s="4"/>
      <c r="E795" s="4"/>
      <c r="F795" s="4"/>
      <c r="G795" s="4"/>
      <c r="H795" s="4"/>
      <c r="I795" s="4"/>
      <c r="J795" s="4"/>
      <c r="K795" s="4"/>
      <c r="L795" s="4"/>
      <c r="M795" s="4"/>
      <c r="N795" s="4"/>
      <c r="O795" s="4"/>
      <c r="P795" s="4"/>
      <c r="Q795" s="4"/>
      <c r="R795" s="4"/>
      <c r="S795" s="4"/>
      <c r="T795" s="4"/>
      <c r="U795" s="4"/>
      <c r="V795" s="4"/>
      <c r="W795" s="4"/>
      <c r="X795" s="4"/>
      <c r="Y795" s="4"/>
      <c r="Z795" s="4"/>
    </row>
    <row r="796" spans="1:26" ht="12.75">
      <c r="A796" s="4"/>
      <c r="B796" s="4"/>
      <c r="C796" s="15"/>
      <c r="D796" s="4"/>
      <c r="E796" s="4"/>
      <c r="F796" s="4"/>
      <c r="G796" s="4"/>
      <c r="H796" s="4"/>
      <c r="I796" s="4"/>
      <c r="J796" s="4"/>
      <c r="K796" s="4"/>
      <c r="L796" s="4"/>
      <c r="M796" s="4"/>
      <c r="N796" s="4"/>
      <c r="O796" s="4"/>
      <c r="P796" s="4"/>
      <c r="Q796" s="4"/>
      <c r="R796" s="4"/>
      <c r="S796" s="4"/>
      <c r="T796" s="4"/>
      <c r="U796" s="4"/>
      <c r="V796" s="4"/>
      <c r="W796" s="4"/>
      <c r="X796" s="4"/>
      <c r="Y796" s="4"/>
      <c r="Z796" s="4"/>
    </row>
    <row r="797" spans="1:26" ht="12.75">
      <c r="A797" s="4"/>
      <c r="B797" s="4"/>
      <c r="C797" s="15"/>
      <c r="D797" s="4"/>
      <c r="E797" s="4"/>
      <c r="F797" s="4"/>
      <c r="G797" s="4"/>
      <c r="H797" s="4"/>
      <c r="I797" s="4"/>
      <c r="J797" s="4"/>
      <c r="K797" s="4"/>
      <c r="L797" s="4"/>
      <c r="M797" s="4"/>
      <c r="N797" s="4"/>
      <c r="O797" s="4"/>
      <c r="P797" s="4"/>
      <c r="Q797" s="4"/>
      <c r="R797" s="4"/>
      <c r="S797" s="4"/>
      <c r="T797" s="4"/>
      <c r="U797" s="4"/>
      <c r="V797" s="4"/>
      <c r="W797" s="4"/>
      <c r="X797" s="4"/>
      <c r="Y797" s="4"/>
      <c r="Z797" s="4"/>
    </row>
    <row r="798" spans="1:26" ht="12.75">
      <c r="A798" s="4"/>
      <c r="B798" s="4"/>
      <c r="C798" s="15"/>
      <c r="D798" s="4"/>
      <c r="E798" s="4"/>
      <c r="F798" s="4"/>
      <c r="G798" s="4"/>
      <c r="H798" s="4"/>
      <c r="I798" s="4"/>
      <c r="J798" s="4"/>
      <c r="K798" s="4"/>
      <c r="L798" s="4"/>
      <c r="M798" s="4"/>
      <c r="N798" s="4"/>
      <c r="O798" s="4"/>
      <c r="P798" s="4"/>
      <c r="Q798" s="4"/>
      <c r="R798" s="4"/>
      <c r="S798" s="4"/>
      <c r="T798" s="4"/>
      <c r="U798" s="4"/>
      <c r="V798" s="4"/>
      <c r="W798" s="4"/>
      <c r="X798" s="4"/>
      <c r="Y798" s="4"/>
      <c r="Z798" s="4"/>
    </row>
    <row r="799" spans="1:26" ht="12.75">
      <c r="A799" s="4"/>
      <c r="B799" s="4"/>
      <c r="C799" s="15"/>
      <c r="D799" s="4"/>
      <c r="E799" s="4"/>
      <c r="F799" s="4"/>
      <c r="G799" s="4"/>
      <c r="H799" s="4"/>
      <c r="I799" s="4"/>
      <c r="J799" s="4"/>
      <c r="K799" s="4"/>
      <c r="L799" s="4"/>
      <c r="M799" s="4"/>
      <c r="N799" s="4"/>
      <c r="O799" s="4"/>
      <c r="P799" s="4"/>
      <c r="Q799" s="4"/>
      <c r="R799" s="4"/>
      <c r="S799" s="4"/>
      <c r="T799" s="4"/>
      <c r="U799" s="4"/>
      <c r="V799" s="4"/>
      <c r="W799" s="4"/>
      <c r="X799" s="4"/>
      <c r="Y799" s="4"/>
      <c r="Z799" s="4"/>
    </row>
    <row r="800" spans="1:26" ht="12.75">
      <c r="A800" s="4"/>
      <c r="B800" s="4"/>
      <c r="C800" s="15"/>
      <c r="D800" s="4"/>
      <c r="E800" s="4"/>
      <c r="F800" s="4"/>
      <c r="G800" s="4"/>
      <c r="H800" s="4"/>
      <c r="I800" s="4"/>
      <c r="J800" s="4"/>
      <c r="K800" s="4"/>
      <c r="L800" s="4"/>
      <c r="M800" s="4"/>
      <c r="N800" s="4"/>
      <c r="O800" s="4"/>
      <c r="P800" s="4"/>
      <c r="Q800" s="4"/>
      <c r="R800" s="4"/>
      <c r="S800" s="4"/>
      <c r="T800" s="4"/>
      <c r="U800" s="4"/>
      <c r="V800" s="4"/>
      <c r="W800" s="4"/>
      <c r="X800" s="4"/>
      <c r="Y800" s="4"/>
      <c r="Z800" s="4"/>
    </row>
    <row r="801" spans="1:26" ht="12.75">
      <c r="A801" s="4"/>
      <c r="B801" s="4"/>
      <c r="C801" s="15"/>
      <c r="D801" s="4"/>
      <c r="E801" s="4"/>
      <c r="F801" s="4"/>
      <c r="G801" s="4"/>
      <c r="H801" s="4"/>
      <c r="I801" s="4"/>
      <c r="J801" s="4"/>
      <c r="K801" s="4"/>
      <c r="L801" s="4"/>
      <c r="M801" s="4"/>
      <c r="N801" s="4"/>
      <c r="O801" s="4"/>
      <c r="P801" s="4"/>
      <c r="Q801" s="4"/>
      <c r="R801" s="4"/>
      <c r="S801" s="4"/>
      <c r="T801" s="4"/>
      <c r="U801" s="4"/>
      <c r="V801" s="4"/>
      <c r="W801" s="4"/>
      <c r="X801" s="4"/>
      <c r="Y801" s="4"/>
      <c r="Z801" s="4"/>
    </row>
    <row r="802" spans="1:26" ht="12.75">
      <c r="A802" s="4"/>
      <c r="B802" s="4"/>
      <c r="C802" s="15"/>
      <c r="D802" s="4"/>
      <c r="E802" s="4"/>
      <c r="F802" s="4"/>
      <c r="G802" s="4"/>
      <c r="H802" s="4"/>
      <c r="I802" s="4"/>
      <c r="J802" s="4"/>
      <c r="K802" s="4"/>
      <c r="L802" s="4"/>
      <c r="M802" s="4"/>
      <c r="N802" s="4"/>
      <c r="O802" s="4"/>
      <c r="P802" s="4"/>
      <c r="Q802" s="4"/>
      <c r="R802" s="4"/>
      <c r="S802" s="4"/>
      <c r="T802" s="4"/>
      <c r="U802" s="4"/>
      <c r="V802" s="4"/>
      <c r="W802" s="4"/>
      <c r="X802" s="4"/>
      <c r="Y802" s="4"/>
      <c r="Z802" s="4"/>
    </row>
    <row r="803" spans="1:26" ht="12.75">
      <c r="A803" s="4"/>
      <c r="B803" s="4"/>
      <c r="C803" s="15"/>
      <c r="D803" s="4"/>
      <c r="E803" s="4"/>
      <c r="F803" s="4"/>
      <c r="G803" s="4"/>
      <c r="H803" s="4"/>
      <c r="I803" s="4"/>
      <c r="J803" s="4"/>
      <c r="K803" s="4"/>
      <c r="L803" s="4"/>
      <c r="M803" s="4"/>
      <c r="N803" s="4"/>
      <c r="O803" s="4"/>
      <c r="P803" s="4"/>
      <c r="Q803" s="4"/>
      <c r="R803" s="4"/>
      <c r="S803" s="4"/>
      <c r="T803" s="4"/>
      <c r="U803" s="4"/>
      <c r="V803" s="4"/>
      <c r="W803" s="4"/>
      <c r="X803" s="4"/>
      <c r="Y803" s="4"/>
      <c r="Z803" s="4"/>
    </row>
    <row r="804" spans="1:26" ht="12.75">
      <c r="A804" s="4"/>
      <c r="B804" s="4"/>
      <c r="C804" s="15"/>
      <c r="D804" s="4"/>
      <c r="E804" s="4"/>
      <c r="F804" s="4"/>
      <c r="G804" s="4"/>
      <c r="H804" s="4"/>
      <c r="I804" s="4"/>
      <c r="J804" s="4"/>
      <c r="K804" s="4"/>
      <c r="L804" s="4"/>
      <c r="M804" s="4"/>
      <c r="N804" s="4"/>
      <c r="O804" s="4"/>
      <c r="P804" s="4"/>
      <c r="Q804" s="4"/>
      <c r="R804" s="4"/>
      <c r="S804" s="4"/>
      <c r="T804" s="4"/>
      <c r="U804" s="4"/>
      <c r="V804" s="4"/>
      <c r="W804" s="4"/>
      <c r="X804" s="4"/>
      <c r="Y804" s="4"/>
      <c r="Z804" s="4"/>
    </row>
    <row r="805" spans="1:26" ht="12.75">
      <c r="A805" s="4"/>
      <c r="B805" s="4"/>
      <c r="C805" s="15"/>
      <c r="D805" s="4"/>
      <c r="E805" s="4"/>
      <c r="F805" s="4"/>
      <c r="G805" s="4"/>
      <c r="H805" s="4"/>
      <c r="I805" s="4"/>
      <c r="J805" s="4"/>
      <c r="K805" s="4"/>
      <c r="L805" s="4"/>
      <c r="M805" s="4"/>
      <c r="N805" s="4"/>
      <c r="O805" s="4"/>
      <c r="P805" s="4"/>
      <c r="Q805" s="4"/>
      <c r="R805" s="4"/>
      <c r="S805" s="4"/>
      <c r="T805" s="4"/>
      <c r="U805" s="4"/>
      <c r="V805" s="4"/>
      <c r="W805" s="4"/>
      <c r="X805" s="4"/>
      <c r="Y805" s="4"/>
      <c r="Z805" s="4"/>
    </row>
    <row r="806" spans="1:26" ht="12.75">
      <c r="A806" s="4"/>
      <c r="B806" s="4"/>
      <c r="C806" s="15"/>
      <c r="D806" s="4"/>
      <c r="E806" s="4"/>
      <c r="F806" s="4"/>
      <c r="G806" s="4"/>
      <c r="H806" s="4"/>
      <c r="I806" s="4"/>
      <c r="J806" s="4"/>
      <c r="K806" s="4"/>
      <c r="L806" s="4"/>
      <c r="M806" s="4"/>
      <c r="N806" s="4"/>
      <c r="O806" s="4"/>
      <c r="P806" s="4"/>
      <c r="Q806" s="4"/>
      <c r="R806" s="4"/>
      <c r="S806" s="4"/>
      <c r="T806" s="4"/>
      <c r="U806" s="4"/>
      <c r="V806" s="4"/>
      <c r="W806" s="4"/>
      <c r="X806" s="4"/>
      <c r="Y806" s="4"/>
      <c r="Z806" s="4"/>
    </row>
    <row r="807" spans="1:26" ht="12.75">
      <c r="A807" s="4"/>
      <c r="B807" s="4"/>
      <c r="C807" s="15"/>
      <c r="D807" s="4"/>
      <c r="E807" s="4"/>
      <c r="F807" s="4"/>
      <c r="G807" s="4"/>
      <c r="H807" s="4"/>
      <c r="I807" s="4"/>
      <c r="J807" s="4"/>
      <c r="K807" s="4"/>
      <c r="L807" s="4"/>
      <c r="M807" s="4"/>
      <c r="N807" s="4"/>
      <c r="O807" s="4"/>
      <c r="P807" s="4"/>
      <c r="Q807" s="4"/>
      <c r="R807" s="4"/>
      <c r="S807" s="4"/>
      <c r="T807" s="4"/>
      <c r="U807" s="4"/>
      <c r="V807" s="4"/>
      <c r="W807" s="4"/>
      <c r="X807" s="4"/>
      <c r="Y807" s="4"/>
      <c r="Z807" s="4"/>
    </row>
    <row r="808" spans="1:26" ht="12.75">
      <c r="A808" s="4"/>
      <c r="B808" s="4"/>
      <c r="C808" s="15"/>
      <c r="D808" s="4"/>
      <c r="E808" s="4"/>
      <c r="F808" s="4"/>
      <c r="G808" s="4"/>
      <c r="H808" s="4"/>
      <c r="I808" s="4"/>
      <c r="J808" s="4"/>
      <c r="K808" s="4"/>
      <c r="L808" s="4"/>
      <c r="M808" s="4"/>
      <c r="N808" s="4"/>
      <c r="O808" s="4"/>
      <c r="P808" s="4"/>
      <c r="Q808" s="4"/>
      <c r="R808" s="4"/>
      <c r="S808" s="4"/>
      <c r="T808" s="4"/>
      <c r="U808" s="4"/>
      <c r="V808" s="4"/>
      <c r="W808" s="4"/>
      <c r="X808" s="4"/>
      <c r="Y808" s="4"/>
      <c r="Z808" s="4"/>
    </row>
    <row r="809" spans="1:26" ht="12.75">
      <c r="A809" s="4"/>
      <c r="B809" s="4"/>
      <c r="C809" s="15"/>
      <c r="D809" s="4"/>
      <c r="E809" s="4"/>
      <c r="F809" s="4"/>
      <c r="G809" s="4"/>
      <c r="H809" s="4"/>
      <c r="I809" s="4"/>
      <c r="J809" s="4"/>
      <c r="K809" s="4"/>
      <c r="L809" s="4"/>
      <c r="M809" s="4"/>
      <c r="N809" s="4"/>
      <c r="O809" s="4"/>
      <c r="P809" s="4"/>
      <c r="Q809" s="4"/>
      <c r="R809" s="4"/>
      <c r="S809" s="4"/>
      <c r="T809" s="4"/>
      <c r="U809" s="4"/>
      <c r="V809" s="4"/>
      <c r="W809" s="4"/>
      <c r="X809" s="4"/>
      <c r="Y809" s="4"/>
      <c r="Z809" s="4"/>
    </row>
    <row r="810" spans="1:26" ht="12.75">
      <c r="A810" s="4"/>
      <c r="B810" s="4"/>
      <c r="C810" s="15"/>
      <c r="D810" s="4"/>
      <c r="E810" s="4"/>
      <c r="F810" s="4"/>
      <c r="G810" s="4"/>
      <c r="H810" s="4"/>
      <c r="I810" s="4"/>
      <c r="J810" s="4"/>
      <c r="K810" s="4"/>
      <c r="L810" s="4"/>
      <c r="M810" s="4"/>
      <c r="N810" s="4"/>
      <c r="O810" s="4"/>
      <c r="P810" s="4"/>
      <c r="Q810" s="4"/>
      <c r="R810" s="4"/>
      <c r="S810" s="4"/>
      <c r="T810" s="4"/>
      <c r="U810" s="4"/>
      <c r="V810" s="4"/>
      <c r="W810" s="4"/>
      <c r="X810" s="4"/>
      <c r="Y810" s="4"/>
      <c r="Z810" s="4"/>
    </row>
    <row r="811" spans="1:26" ht="12.75">
      <c r="A811" s="4"/>
      <c r="B811" s="4"/>
      <c r="C811" s="15"/>
      <c r="D811" s="4"/>
      <c r="E811" s="4"/>
      <c r="F811" s="4"/>
      <c r="G811" s="4"/>
      <c r="H811" s="4"/>
      <c r="I811" s="4"/>
      <c r="J811" s="4"/>
      <c r="K811" s="4"/>
      <c r="L811" s="4"/>
      <c r="M811" s="4"/>
      <c r="N811" s="4"/>
      <c r="O811" s="4"/>
      <c r="P811" s="4"/>
      <c r="Q811" s="4"/>
      <c r="R811" s="4"/>
      <c r="S811" s="4"/>
      <c r="T811" s="4"/>
      <c r="U811" s="4"/>
      <c r="V811" s="4"/>
      <c r="W811" s="4"/>
      <c r="X811" s="4"/>
      <c r="Y811" s="4"/>
      <c r="Z811" s="4"/>
    </row>
    <row r="812" spans="1:26" ht="12.75">
      <c r="A812" s="4"/>
      <c r="B812" s="4"/>
      <c r="C812" s="15"/>
      <c r="D812" s="4"/>
      <c r="E812" s="4"/>
      <c r="F812" s="4"/>
      <c r="G812" s="4"/>
      <c r="H812" s="4"/>
      <c r="I812" s="4"/>
      <c r="J812" s="4"/>
      <c r="K812" s="4"/>
      <c r="L812" s="4"/>
      <c r="M812" s="4"/>
      <c r="N812" s="4"/>
      <c r="O812" s="4"/>
      <c r="P812" s="4"/>
      <c r="Q812" s="4"/>
      <c r="R812" s="4"/>
      <c r="S812" s="4"/>
      <c r="T812" s="4"/>
      <c r="U812" s="4"/>
      <c r="V812" s="4"/>
      <c r="W812" s="4"/>
      <c r="X812" s="4"/>
      <c r="Y812" s="4"/>
      <c r="Z812" s="4"/>
    </row>
    <row r="813" spans="1:26" ht="12.75">
      <c r="A813" s="4"/>
      <c r="B813" s="4"/>
      <c r="C813" s="15"/>
      <c r="D813" s="4"/>
      <c r="E813" s="4"/>
      <c r="F813" s="4"/>
      <c r="G813" s="4"/>
      <c r="H813" s="4"/>
      <c r="I813" s="4"/>
      <c r="J813" s="4"/>
      <c r="K813" s="4"/>
      <c r="L813" s="4"/>
      <c r="M813" s="4"/>
      <c r="N813" s="4"/>
      <c r="O813" s="4"/>
      <c r="P813" s="4"/>
      <c r="Q813" s="4"/>
      <c r="R813" s="4"/>
      <c r="S813" s="4"/>
      <c r="T813" s="4"/>
      <c r="U813" s="4"/>
      <c r="V813" s="4"/>
      <c r="W813" s="4"/>
      <c r="X813" s="4"/>
      <c r="Y813" s="4"/>
      <c r="Z813" s="4"/>
    </row>
    <row r="814" spans="1:26" ht="12.75">
      <c r="A814" s="4"/>
      <c r="B814" s="4"/>
      <c r="C814" s="15"/>
      <c r="D814" s="4"/>
      <c r="E814" s="4"/>
      <c r="F814" s="4"/>
      <c r="G814" s="4"/>
      <c r="H814" s="4"/>
      <c r="I814" s="4"/>
      <c r="J814" s="4"/>
      <c r="K814" s="4"/>
      <c r="L814" s="4"/>
      <c r="M814" s="4"/>
      <c r="N814" s="4"/>
      <c r="O814" s="4"/>
      <c r="P814" s="4"/>
      <c r="Q814" s="4"/>
      <c r="R814" s="4"/>
      <c r="S814" s="4"/>
      <c r="T814" s="4"/>
      <c r="U814" s="4"/>
      <c r="V814" s="4"/>
      <c r="W814" s="4"/>
      <c r="X814" s="4"/>
      <c r="Y814" s="4"/>
      <c r="Z814" s="4"/>
    </row>
    <row r="815" spans="1:26" ht="12.75">
      <c r="A815" s="4"/>
      <c r="B815" s="4"/>
      <c r="C815" s="15"/>
      <c r="D815" s="4"/>
      <c r="E815" s="4"/>
      <c r="F815" s="4"/>
      <c r="G815" s="4"/>
      <c r="H815" s="4"/>
      <c r="I815" s="4"/>
      <c r="J815" s="4"/>
      <c r="K815" s="4"/>
      <c r="L815" s="4"/>
      <c r="M815" s="4"/>
      <c r="N815" s="4"/>
      <c r="O815" s="4"/>
      <c r="P815" s="4"/>
      <c r="Q815" s="4"/>
      <c r="R815" s="4"/>
      <c r="S815" s="4"/>
      <c r="T815" s="4"/>
      <c r="U815" s="4"/>
      <c r="V815" s="4"/>
      <c r="W815" s="4"/>
      <c r="X815" s="4"/>
      <c r="Y815" s="4"/>
      <c r="Z815" s="4"/>
    </row>
    <row r="816" spans="1:26" ht="12.75">
      <c r="A816" s="4"/>
      <c r="B816" s="4"/>
      <c r="C816" s="15"/>
      <c r="D816" s="4"/>
      <c r="E816" s="4"/>
      <c r="F816" s="4"/>
      <c r="G816" s="4"/>
      <c r="H816" s="4"/>
      <c r="I816" s="4"/>
      <c r="J816" s="4"/>
      <c r="K816" s="4"/>
      <c r="L816" s="4"/>
      <c r="M816" s="4"/>
      <c r="N816" s="4"/>
      <c r="O816" s="4"/>
      <c r="P816" s="4"/>
      <c r="Q816" s="4"/>
      <c r="R816" s="4"/>
      <c r="S816" s="4"/>
      <c r="T816" s="4"/>
      <c r="U816" s="4"/>
      <c r="V816" s="4"/>
      <c r="W816" s="4"/>
      <c r="X816" s="4"/>
      <c r="Y816" s="4"/>
      <c r="Z816" s="4"/>
    </row>
    <row r="817" spans="1:26" ht="12.75">
      <c r="A817" s="4"/>
      <c r="B817" s="4"/>
      <c r="C817" s="15"/>
      <c r="D817" s="4"/>
      <c r="E817" s="4"/>
      <c r="F817" s="4"/>
      <c r="G817" s="4"/>
      <c r="H817" s="4"/>
      <c r="I817" s="4"/>
      <c r="J817" s="4"/>
      <c r="K817" s="4"/>
      <c r="L817" s="4"/>
      <c r="M817" s="4"/>
      <c r="N817" s="4"/>
      <c r="O817" s="4"/>
      <c r="P817" s="4"/>
      <c r="Q817" s="4"/>
      <c r="R817" s="4"/>
      <c r="S817" s="4"/>
      <c r="T817" s="4"/>
      <c r="U817" s="4"/>
      <c r="V817" s="4"/>
      <c r="W817" s="4"/>
      <c r="X817" s="4"/>
      <c r="Y817" s="4"/>
      <c r="Z817" s="4"/>
    </row>
    <row r="818" spans="1:26" ht="12.75">
      <c r="A818" s="4"/>
      <c r="B818" s="4"/>
      <c r="C818" s="15"/>
      <c r="D818" s="4"/>
      <c r="E818" s="4"/>
      <c r="F818" s="4"/>
      <c r="G818" s="4"/>
      <c r="H818" s="4"/>
      <c r="I818" s="4"/>
      <c r="J818" s="4"/>
      <c r="K818" s="4"/>
      <c r="L818" s="4"/>
      <c r="M818" s="4"/>
      <c r="N818" s="4"/>
      <c r="O818" s="4"/>
      <c r="P818" s="4"/>
      <c r="Q818" s="4"/>
      <c r="R818" s="4"/>
      <c r="S818" s="4"/>
      <c r="T818" s="4"/>
      <c r="U818" s="4"/>
      <c r="V818" s="4"/>
      <c r="W818" s="4"/>
      <c r="X818" s="4"/>
      <c r="Y818" s="4"/>
      <c r="Z818" s="4"/>
    </row>
    <row r="819" spans="1:26" ht="12.75">
      <c r="A819" s="4"/>
      <c r="B819" s="4"/>
      <c r="C819" s="15"/>
      <c r="D819" s="4"/>
      <c r="E819" s="4"/>
      <c r="F819" s="4"/>
      <c r="G819" s="4"/>
      <c r="H819" s="4"/>
      <c r="I819" s="4"/>
      <c r="J819" s="4"/>
      <c r="K819" s="4"/>
      <c r="L819" s="4"/>
      <c r="M819" s="4"/>
      <c r="N819" s="4"/>
      <c r="O819" s="4"/>
      <c r="P819" s="4"/>
      <c r="Q819" s="4"/>
      <c r="R819" s="4"/>
      <c r="S819" s="4"/>
      <c r="T819" s="4"/>
      <c r="U819" s="4"/>
      <c r="V819" s="4"/>
      <c r="W819" s="4"/>
      <c r="X819" s="4"/>
      <c r="Y819" s="4"/>
      <c r="Z819" s="4"/>
    </row>
    <row r="820" spans="1:26" ht="12.75">
      <c r="A820" s="4"/>
      <c r="B820" s="4"/>
      <c r="C820" s="15"/>
      <c r="D820" s="4"/>
      <c r="E820" s="4"/>
      <c r="F820" s="4"/>
      <c r="G820" s="4"/>
      <c r="H820" s="4"/>
      <c r="I820" s="4"/>
      <c r="J820" s="4"/>
      <c r="K820" s="4"/>
      <c r="L820" s="4"/>
      <c r="M820" s="4"/>
      <c r="N820" s="4"/>
      <c r="O820" s="4"/>
      <c r="P820" s="4"/>
      <c r="Q820" s="4"/>
      <c r="R820" s="4"/>
      <c r="S820" s="4"/>
      <c r="T820" s="4"/>
      <c r="U820" s="4"/>
      <c r="V820" s="4"/>
      <c r="W820" s="4"/>
      <c r="X820" s="4"/>
      <c r="Y820" s="4"/>
      <c r="Z820" s="4"/>
    </row>
    <row r="821" spans="1:26" ht="12.75">
      <c r="A821" s="4"/>
      <c r="B821" s="4"/>
      <c r="C821" s="15"/>
      <c r="D821" s="4"/>
      <c r="E821" s="4"/>
      <c r="F821" s="4"/>
      <c r="G821" s="4"/>
      <c r="H821" s="4"/>
      <c r="I821" s="4"/>
      <c r="J821" s="4"/>
      <c r="K821" s="4"/>
      <c r="L821" s="4"/>
      <c r="M821" s="4"/>
      <c r="N821" s="4"/>
      <c r="O821" s="4"/>
      <c r="P821" s="4"/>
      <c r="Q821" s="4"/>
      <c r="R821" s="4"/>
      <c r="S821" s="4"/>
      <c r="T821" s="4"/>
      <c r="U821" s="4"/>
      <c r="V821" s="4"/>
      <c r="W821" s="4"/>
      <c r="X821" s="4"/>
      <c r="Y821" s="4"/>
      <c r="Z821" s="4"/>
    </row>
    <row r="822" spans="1:26" ht="12.75">
      <c r="A822" s="4"/>
      <c r="B822" s="4"/>
      <c r="C822" s="15"/>
      <c r="D822" s="4"/>
      <c r="E822" s="4"/>
      <c r="F822" s="4"/>
      <c r="G822" s="4"/>
      <c r="H822" s="4"/>
      <c r="I822" s="4"/>
      <c r="J822" s="4"/>
      <c r="K822" s="4"/>
      <c r="L822" s="4"/>
      <c r="M822" s="4"/>
      <c r="N822" s="4"/>
      <c r="O822" s="4"/>
      <c r="P822" s="4"/>
      <c r="Q822" s="4"/>
      <c r="R822" s="4"/>
      <c r="S822" s="4"/>
      <c r="T822" s="4"/>
      <c r="U822" s="4"/>
      <c r="V822" s="4"/>
      <c r="W822" s="4"/>
      <c r="X822" s="4"/>
      <c r="Y822" s="4"/>
      <c r="Z822" s="4"/>
    </row>
    <row r="823" spans="1:26" ht="12.75">
      <c r="A823" s="4"/>
      <c r="B823" s="4"/>
      <c r="C823" s="15"/>
      <c r="D823" s="4"/>
      <c r="E823" s="4"/>
      <c r="F823" s="4"/>
      <c r="G823" s="4"/>
      <c r="H823" s="4"/>
      <c r="I823" s="4"/>
      <c r="J823" s="4"/>
      <c r="K823" s="4"/>
      <c r="L823" s="4"/>
      <c r="M823" s="4"/>
      <c r="N823" s="4"/>
      <c r="O823" s="4"/>
      <c r="P823" s="4"/>
      <c r="Q823" s="4"/>
      <c r="R823" s="4"/>
      <c r="S823" s="4"/>
      <c r="T823" s="4"/>
      <c r="U823" s="4"/>
      <c r="V823" s="4"/>
      <c r="W823" s="4"/>
      <c r="X823" s="4"/>
      <c r="Y823" s="4"/>
      <c r="Z823" s="4"/>
    </row>
    <row r="824" spans="1:26" ht="12.75">
      <c r="A824" s="4"/>
      <c r="B824" s="4"/>
      <c r="C824" s="15"/>
      <c r="D824" s="4"/>
      <c r="E824" s="4"/>
      <c r="F824" s="4"/>
      <c r="G824" s="4"/>
      <c r="H824" s="4"/>
      <c r="I824" s="4"/>
      <c r="J824" s="4"/>
      <c r="K824" s="4"/>
      <c r="L824" s="4"/>
      <c r="M824" s="4"/>
      <c r="N824" s="4"/>
      <c r="O824" s="4"/>
      <c r="P824" s="4"/>
      <c r="Q824" s="4"/>
      <c r="R824" s="4"/>
      <c r="S824" s="4"/>
      <c r="T824" s="4"/>
      <c r="U824" s="4"/>
      <c r="V824" s="4"/>
      <c r="W824" s="4"/>
      <c r="X824" s="4"/>
      <c r="Y824" s="4"/>
      <c r="Z824" s="4"/>
    </row>
    <row r="825" spans="1:26" ht="12.75">
      <c r="A825" s="4"/>
      <c r="B825" s="4"/>
      <c r="C825" s="15"/>
      <c r="D825" s="4"/>
      <c r="E825" s="4"/>
      <c r="F825" s="4"/>
      <c r="G825" s="4"/>
      <c r="H825" s="4"/>
      <c r="I825" s="4"/>
      <c r="J825" s="4"/>
      <c r="K825" s="4"/>
      <c r="L825" s="4"/>
      <c r="M825" s="4"/>
      <c r="N825" s="4"/>
      <c r="O825" s="4"/>
      <c r="P825" s="4"/>
      <c r="Q825" s="4"/>
      <c r="R825" s="4"/>
      <c r="S825" s="4"/>
      <c r="T825" s="4"/>
      <c r="U825" s="4"/>
      <c r="V825" s="4"/>
      <c r="W825" s="4"/>
      <c r="X825" s="4"/>
      <c r="Y825" s="4"/>
      <c r="Z825" s="4"/>
    </row>
    <row r="826" spans="1:26" ht="12.75">
      <c r="A826" s="4"/>
      <c r="B826" s="4"/>
      <c r="C826" s="15"/>
      <c r="D826" s="4"/>
      <c r="E826" s="4"/>
      <c r="F826" s="4"/>
      <c r="G826" s="4"/>
      <c r="H826" s="4"/>
      <c r="I826" s="4"/>
      <c r="J826" s="4"/>
      <c r="K826" s="4"/>
      <c r="L826" s="4"/>
      <c r="M826" s="4"/>
      <c r="N826" s="4"/>
      <c r="O826" s="4"/>
      <c r="P826" s="4"/>
      <c r="Q826" s="4"/>
      <c r="R826" s="4"/>
      <c r="S826" s="4"/>
      <c r="T826" s="4"/>
      <c r="U826" s="4"/>
      <c r="V826" s="4"/>
      <c r="W826" s="4"/>
      <c r="X826" s="4"/>
      <c r="Y826" s="4"/>
      <c r="Z826" s="4"/>
    </row>
    <row r="827" spans="1:26" ht="12.75">
      <c r="A827" s="4"/>
      <c r="B827" s="4"/>
      <c r="C827" s="15"/>
      <c r="D827" s="4"/>
      <c r="E827" s="4"/>
      <c r="F827" s="4"/>
      <c r="G827" s="4"/>
      <c r="H827" s="4"/>
      <c r="I827" s="4"/>
      <c r="J827" s="4"/>
      <c r="K827" s="4"/>
      <c r="L827" s="4"/>
      <c r="M827" s="4"/>
      <c r="N827" s="4"/>
      <c r="O827" s="4"/>
      <c r="P827" s="4"/>
      <c r="Q827" s="4"/>
      <c r="R827" s="4"/>
      <c r="S827" s="4"/>
      <c r="T827" s="4"/>
      <c r="U827" s="4"/>
      <c r="V827" s="4"/>
      <c r="W827" s="4"/>
      <c r="X827" s="4"/>
      <c r="Y827" s="4"/>
      <c r="Z827" s="4"/>
    </row>
    <row r="828" spans="1:26" ht="12.75">
      <c r="A828" s="4"/>
      <c r="B828" s="4"/>
      <c r="C828" s="15"/>
      <c r="D828" s="4"/>
      <c r="E828" s="4"/>
      <c r="F828" s="4"/>
      <c r="G828" s="4"/>
      <c r="H828" s="4"/>
      <c r="I828" s="4"/>
      <c r="J828" s="4"/>
      <c r="K828" s="4"/>
      <c r="L828" s="4"/>
      <c r="M828" s="4"/>
      <c r="N828" s="4"/>
      <c r="O828" s="4"/>
      <c r="P828" s="4"/>
      <c r="Q828" s="4"/>
      <c r="R828" s="4"/>
      <c r="S828" s="4"/>
      <c r="T828" s="4"/>
      <c r="U828" s="4"/>
      <c r="V828" s="4"/>
      <c r="W828" s="4"/>
      <c r="X828" s="4"/>
      <c r="Y828" s="4"/>
      <c r="Z828" s="4"/>
    </row>
    <row r="829" spans="1:26" ht="12.75">
      <c r="A829" s="4"/>
      <c r="B829" s="4"/>
      <c r="C829" s="15"/>
      <c r="D829" s="4"/>
      <c r="E829" s="4"/>
      <c r="F829" s="4"/>
      <c r="G829" s="4"/>
      <c r="H829" s="4"/>
      <c r="I829" s="4"/>
      <c r="J829" s="4"/>
      <c r="K829" s="4"/>
      <c r="L829" s="4"/>
      <c r="M829" s="4"/>
      <c r="N829" s="4"/>
      <c r="O829" s="4"/>
      <c r="P829" s="4"/>
      <c r="Q829" s="4"/>
      <c r="R829" s="4"/>
      <c r="S829" s="4"/>
      <c r="T829" s="4"/>
      <c r="U829" s="4"/>
      <c r="V829" s="4"/>
      <c r="W829" s="4"/>
      <c r="X829" s="4"/>
      <c r="Y829" s="4"/>
      <c r="Z829" s="4"/>
    </row>
    <row r="830" spans="1:26" ht="12.75">
      <c r="A830" s="4"/>
      <c r="B830" s="4"/>
      <c r="C830" s="15"/>
      <c r="D830" s="4"/>
      <c r="E830" s="4"/>
      <c r="F830" s="4"/>
      <c r="G830" s="4"/>
      <c r="H830" s="4"/>
      <c r="I830" s="4"/>
      <c r="J830" s="4"/>
      <c r="K830" s="4"/>
      <c r="L830" s="4"/>
      <c r="M830" s="4"/>
      <c r="N830" s="4"/>
      <c r="O830" s="4"/>
      <c r="P830" s="4"/>
      <c r="Q830" s="4"/>
      <c r="R830" s="4"/>
      <c r="S830" s="4"/>
      <c r="T830" s="4"/>
      <c r="U830" s="4"/>
      <c r="V830" s="4"/>
      <c r="W830" s="4"/>
      <c r="X830" s="4"/>
      <c r="Y830" s="4"/>
      <c r="Z830" s="4"/>
    </row>
    <row r="831" spans="1:26" ht="12.75">
      <c r="A831" s="4"/>
      <c r="B831" s="4"/>
      <c r="C831" s="15"/>
      <c r="D831" s="4"/>
      <c r="E831" s="4"/>
      <c r="F831" s="4"/>
      <c r="G831" s="4"/>
      <c r="H831" s="4"/>
      <c r="I831" s="4"/>
      <c r="J831" s="4"/>
      <c r="K831" s="4"/>
      <c r="L831" s="4"/>
      <c r="M831" s="4"/>
      <c r="N831" s="4"/>
      <c r="O831" s="4"/>
      <c r="P831" s="4"/>
      <c r="Q831" s="4"/>
      <c r="R831" s="4"/>
      <c r="S831" s="4"/>
      <c r="T831" s="4"/>
      <c r="U831" s="4"/>
      <c r="V831" s="4"/>
      <c r="W831" s="4"/>
      <c r="X831" s="4"/>
      <c r="Y831" s="4"/>
      <c r="Z831" s="4"/>
    </row>
    <row r="832" spans="1:26" ht="12.75">
      <c r="A832" s="4"/>
      <c r="B832" s="4"/>
      <c r="C832" s="15"/>
      <c r="D832" s="4"/>
      <c r="E832" s="4"/>
      <c r="F832" s="4"/>
      <c r="G832" s="4"/>
      <c r="H832" s="4"/>
      <c r="I832" s="4"/>
      <c r="J832" s="4"/>
      <c r="K832" s="4"/>
      <c r="L832" s="4"/>
      <c r="M832" s="4"/>
      <c r="N832" s="4"/>
      <c r="O832" s="4"/>
      <c r="P832" s="4"/>
      <c r="Q832" s="4"/>
      <c r="R832" s="4"/>
      <c r="S832" s="4"/>
      <c r="T832" s="4"/>
      <c r="U832" s="4"/>
      <c r="V832" s="4"/>
      <c r="W832" s="4"/>
      <c r="X832" s="4"/>
      <c r="Y832" s="4"/>
      <c r="Z832" s="4"/>
    </row>
    <row r="833" spans="1:26" ht="12.75">
      <c r="A833" s="4"/>
      <c r="B833" s="4"/>
      <c r="C833" s="15"/>
      <c r="D833" s="4"/>
      <c r="E833" s="4"/>
      <c r="F833" s="4"/>
      <c r="G833" s="4"/>
      <c r="H833" s="4"/>
      <c r="I833" s="4"/>
      <c r="J833" s="4"/>
      <c r="K833" s="4"/>
      <c r="L833" s="4"/>
      <c r="M833" s="4"/>
      <c r="N833" s="4"/>
      <c r="O833" s="4"/>
      <c r="P833" s="4"/>
      <c r="Q833" s="4"/>
      <c r="R833" s="4"/>
      <c r="S833" s="4"/>
      <c r="T833" s="4"/>
      <c r="U833" s="4"/>
      <c r="V833" s="4"/>
      <c r="W833" s="4"/>
      <c r="X833" s="4"/>
      <c r="Y833" s="4"/>
      <c r="Z833" s="4"/>
    </row>
    <row r="834" spans="1:26" ht="12.75">
      <c r="A834" s="4"/>
      <c r="B834" s="4"/>
      <c r="C834" s="15"/>
      <c r="D834" s="4"/>
      <c r="E834" s="4"/>
      <c r="F834" s="4"/>
      <c r="G834" s="4"/>
      <c r="H834" s="4"/>
      <c r="I834" s="4"/>
      <c r="J834" s="4"/>
      <c r="K834" s="4"/>
      <c r="L834" s="4"/>
      <c r="M834" s="4"/>
      <c r="N834" s="4"/>
      <c r="O834" s="4"/>
      <c r="P834" s="4"/>
      <c r="Q834" s="4"/>
      <c r="R834" s="4"/>
      <c r="S834" s="4"/>
      <c r="T834" s="4"/>
      <c r="U834" s="4"/>
      <c r="V834" s="4"/>
      <c r="W834" s="4"/>
      <c r="X834" s="4"/>
      <c r="Y834" s="4"/>
      <c r="Z834" s="4"/>
    </row>
    <row r="835" spans="1:26" ht="12.75">
      <c r="A835" s="4"/>
      <c r="B835" s="4"/>
      <c r="C835" s="15"/>
      <c r="D835" s="4"/>
      <c r="E835" s="4"/>
      <c r="F835" s="4"/>
      <c r="G835" s="4"/>
      <c r="H835" s="4"/>
      <c r="I835" s="4"/>
      <c r="J835" s="4"/>
      <c r="K835" s="4"/>
      <c r="L835" s="4"/>
      <c r="M835" s="4"/>
      <c r="N835" s="4"/>
      <c r="O835" s="4"/>
      <c r="P835" s="4"/>
      <c r="Q835" s="4"/>
      <c r="R835" s="4"/>
      <c r="S835" s="4"/>
      <c r="T835" s="4"/>
      <c r="U835" s="4"/>
      <c r="V835" s="4"/>
      <c r="W835" s="4"/>
      <c r="X835" s="4"/>
      <c r="Y835" s="4"/>
      <c r="Z835" s="4"/>
    </row>
    <row r="836" spans="1:26" ht="12.75">
      <c r="A836" s="4"/>
      <c r="B836" s="4"/>
      <c r="C836" s="15"/>
      <c r="D836" s="4"/>
      <c r="E836" s="4"/>
      <c r="F836" s="4"/>
      <c r="G836" s="4"/>
      <c r="H836" s="4"/>
      <c r="I836" s="4"/>
      <c r="J836" s="4"/>
      <c r="K836" s="4"/>
      <c r="L836" s="4"/>
      <c r="M836" s="4"/>
      <c r="N836" s="4"/>
      <c r="O836" s="4"/>
      <c r="P836" s="4"/>
      <c r="Q836" s="4"/>
      <c r="R836" s="4"/>
      <c r="S836" s="4"/>
      <c r="T836" s="4"/>
      <c r="U836" s="4"/>
      <c r="V836" s="4"/>
      <c r="W836" s="4"/>
      <c r="X836" s="4"/>
      <c r="Y836" s="4"/>
      <c r="Z836" s="4"/>
    </row>
    <row r="837" spans="1:26" ht="12.75">
      <c r="A837" s="4"/>
      <c r="B837" s="4"/>
      <c r="C837" s="15"/>
      <c r="D837" s="4"/>
      <c r="E837" s="4"/>
      <c r="F837" s="4"/>
      <c r="G837" s="4"/>
      <c r="H837" s="4"/>
      <c r="I837" s="4"/>
      <c r="J837" s="4"/>
      <c r="K837" s="4"/>
      <c r="L837" s="4"/>
      <c r="M837" s="4"/>
      <c r="N837" s="4"/>
      <c r="O837" s="4"/>
      <c r="P837" s="4"/>
      <c r="Q837" s="4"/>
      <c r="R837" s="4"/>
      <c r="S837" s="4"/>
      <c r="T837" s="4"/>
      <c r="U837" s="4"/>
      <c r="V837" s="4"/>
      <c r="W837" s="4"/>
      <c r="X837" s="4"/>
      <c r="Y837" s="4"/>
      <c r="Z837" s="4"/>
    </row>
    <row r="838" spans="1:26" ht="12.75">
      <c r="A838" s="4"/>
      <c r="B838" s="4"/>
      <c r="C838" s="15"/>
      <c r="D838" s="4"/>
      <c r="E838" s="4"/>
      <c r="F838" s="4"/>
      <c r="G838" s="4"/>
      <c r="H838" s="4"/>
      <c r="I838" s="4"/>
      <c r="J838" s="4"/>
      <c r="K838" s="4"/>
      <c r="L838" s="4"/>
      <c r="M838" s="4"/>
      <c r="N838" s="4"/>
      <c r="O838" s="4"/>
      <c r="P838" s="4"/>
      <c r="Q838" s="4"/>
      <c r="R838" s="4"/>
      <c r="S838" s="4"/>
      <c r="T838" s="4"/>
      <c r="U838" s="4"/>
      <c r="V838" s="4"/>
      <c r="W838" s="4"/>
      <c r="X838" s="4"/>
      <c r="Y838" s="4"/>
      <c r="Z838" s="4"/>
    </row>
    <row r="839" spans="1:26" ht="12.75">
      <c r="A839" s="4"/>
      <c r="B839" s="4"/>
      <c r="C839" s="15"/>
      <c r="D839" s="4"/>
      <c r="E839" s="4"/>
      <c r="F839" s="4"/>
      <c r="G839" s="4"/>
      <c r="H839" s="4"/>
      <c r="I839" s="4"/>
      <c r="J839" s="4"/>
      <c r="K839" s="4"/>
      <c r="L839" s="4"/>
      <c r="M839" s="4"/>
      <c r="N839" s="4"/>
      <c r="O839" s="4"/>
      <c r="P839" s="4"/>
      <c r="Q839" s="4"/>
      <c r="R839" s="4"/>
      <c r="S839" s="4"/>
      <c r="T839" s="4"/>
      <c r="U839" s="4"/>
      <c r="V839" s="4"/>
      <c r="W839" s="4"/>
      <c r="X839" s="4"/>
      <c r="Y839" s="4"/>
      <c r="Z839" s="4"/>
    </row>
    <row r="840" spans="1:26" ht="12.75">
      <c r="A840" s="4"/>
      <c r="B840" s="4"/>
      <c r="C840" s="15"/>
      <c r="D840" s="4"/>
      <c r="E840" s="4"/>
      <c r="F840" s="4"/>
      <c r="G840" s="4"/>
      <c r="H840" s="4"/>
      <c r="I840" s="4"/>
      <c r="J840" s="4"/>
      <c r="K840" s="4"/>
      <c r="L840" s="4"/>
      <c r="M840" s="4"/>
      <c r="N840" s="4"/>
      <c r="O840" s="4"/>
      <c r="P840" s="4"/>
      <c r="Q840" s="4"/>
      <c r="R840" s="4"/>
      <c r="S840" s="4"/>
      <c r="T840" s="4"/>
      <c r="U840" s="4"/>
      <c r="V840" s="4"/>
      <c r="W840" s="4"/>
      <c r="X840" s="4"/>
      <c r="Y840" s="4"/>
      <c r="Z840" s="4"/>
    </row>
    <row r="841" spans="1:26" ht="12.75">
      <c r="A841" s="4"/>
      <c r="B841" s="4"/>
      <c r="C841" s="15"/>
      <c r="D841" s="4"/>
      <c r="E841" s="4"/>
      <c r="F841" s="4"/>
      <c r="G841" s="4"/>
      <c r="H841" s="4"/>
      <c r="I841" s="4"/>
      <c r="J841" s="4"/>
      <c r="K841" s="4"/>
      <c r="L841" s="4"/>
      <c r="M841" s="4"/>
      <c r="N841" s="4"/>
      <c r="O841" s="4"/>
      <c r="P841" s="4"/>
      <c r="Q841" s="4"/>
      <c r="R841" s="4"/>
      <c r="S841" s="4"/>
      <c r="T841" s="4"/>
      <c r="U841" s="4"/>
      <c r="V841" s="4"/>
      <c r="W841" s="4"/>
      <c r="X841" s="4"/>
      <c r="Y841" s="4"/>
      <c r="Z841" s="4"/>
    </row>
    <row r="842" spans="1:26" ht="12.75">
      <c r="A842" s="4"/>
      <c r="B842" s="4"/>
      <c r="C842" s="15"/>
      <c r="D842" s="4"/>
      <c r="E842" s="4"/>
      <c r="F842" s="4"/>
      <c r="G842" s="4"/>
      <c r="H842" s="4"/>
      <c r="I842" s="4"/>
      <c r="J842" s="4"/>
      <c r="K842" s="4"/>
      <c r="L842" s="4"/>
      <c r="M842" s="4"/>
      <c r="N842" s="4"/>
      <c r="O842" s="4"/>
      <c r="P842" s="4"/>
      <c r="Q842" s="4"/>
      <c r="R842" s="4"/>
      <c r="S842" s="4"/>
      <c r="T842" s="4"/>
      <c r="U842" s="4"/>
      <c r="V842" s="4"/>
      <c r="W842" s="4"/>
      <c r="X842" s="4"/>
      <c r="Y842" s="4"/>
      <c r="Z842" s="4"/>
    </row>
    <row r="843" spans="1:26" ht="12.75">
      <c r="A843" s="4"/>
      <c r="B843" s="4"/>
      <c r="C843" s="15"/>
      <c r="D843" s="4"/>
      <c r="E843" s="4"/>
      <c r="F843" s="4"/>
      <c r="G843" s="4"/>
      <c r="H843" s="4"/>
      <c r="I843" s="4"/>
      <c r="J843" s="4"/>
      <c r="K843" s="4"/>
      <c r="L843" s="4"/>
      <c r="M843" s="4"/>
      <c r="N843" s="4"/>
      <c r="O843" s="4"/>
      <c r="P843" s="4"/>
      <c r="Q843" s="4"/>
      <c r="R843" s="4"/>
      <c r="S843" s="4"/>
      <c r="T843" s="4"/>
      <c r="U843" s="4"/>
      <c r="V843" s="4"/>
      <c r="W843" s="4"/>
      <c r="X843" s="4"/>
      <c r="Y843" s="4"/>
      <c r="Z843" s="4"/>
    </row>
    <row r="844" spans="1:26" ht="12.75">
      <c r="A844" s="4"/>
      <c r="B844" s="4"/>
      <c r="C844" s="15"/>
      <c r="D844" s="4"/>
      <c r="E844" s="4"/>
      <c r="F844" s="4"/>
      <c r="G844" s="4"/>
      <c r="H844" s="4"/>
      <c r="I844" s="4"/>
      <c r="J844" s="4"/>
      <c r="K844" s="4"/>
      <c r="L844" s="4"/>
      <c r="M844" s="4"/>
      <c r="N844" s="4"/>
      <c r="O844" s="4"/>
      <c r="P844" s="4"/>
      <c r="Q844" s="4"/>
      <c r="R844" s="4"/>
      <c r="S844" s="4"/>
      <c r="T844" s="4"/>
      <c r="U844" s="4"/>
      <c r="V844" s="4"/>
      <c r="W844" s="4"/>
      <c r="X844" s="4"/>
      <c r="Y844" s="4"/>
      <c r="Z844" s="4"/>
    </row>
    <row r="845" spans="1:26" ht="12.75">
      <c r="A845" s="4"/>
      <c r="B845" s="4"/>
      <c r="C845" s="15"/>
      <c r="D845" s="4"/>
      <c r="E845" s="4"/>
      <c r="F845" s="4"/>
      <c r="G845" s="4"/>
      <c r="H845" s="4"/>
      <c r="I845" s="4"/>
      <c r="J845" s="4"/>
      <c r="K845" s="4"/>
      <c r="L845" s="4"/>
      <c r="M845" s="4"/>
      <c r="N845" s="4"/>
      <c r="O845" s="4"/>
      <c r="P845" s="4"/>
      <c r="Q845" s="4"/>
      <c r="R845" s="4"/>
      <c r="S845" s="4"/>
      <c r="T845" s="4"/>
      <c r="U845" s="4"/>
      <c r="V845" s="4"/>
      <c r="W845" s="4"/>
      <c r="X845" s="4"/>
      <c r="Y845" s="4"/>
      <c r="Z845" s="4"/>
    </row>
    <row r="846" spans="1:26" ht="12.75">
      <c r="A846" s="4"/>
      <c r="B846" s="4"/>
      <c r="C846" s="15"/>
      <c r="D846" s="4"/>
      <c r="E846" s="4"/>
      <c r="F846" s="4"/>
      <c r="G846" s="4"/>
      <c r="H846" s="4"/>
      <c r="I846" s="4"/>
      <c r="J846" s="4"/>
      <c r="K846" s="4"/>
      <c r="L846" s="4"/>
      <c r="M846" s="4"/>
      <c r="N846" s="4"/>
      <c r="O846" s="4"/>
      <c r="P846" s="4"/>
      <c r="Q846" s="4"/>
      <c r="R846" s="4"/>
      <c r="S846" s="4"/>
      <c r="T846" s="4"/>
      <c r="U846" s="4"/>
      <c r="V846" s="4"/>
      <c r="W846" s="4"/>
      <c r="X846" s="4"/>
      <c r="Y846" s="4"/>
      <c r="Z846" s="4"/>
    </row>
    <row r="847" spans="1:26" ht="12.75">
      <c r="A847" s="4"/>
      <c r="B847" s="4"/>
      <c r="C847" s="15"/>
      <c r="D847" s="4"/>
      <c r="E847" s="4"/>
      <c r="F847" s="4"/>
      <c r="G847" s="4"/>
      <c r="H847" s="4"/>
      <c r="I847" s="4"/>
      <c r="J847" s="4"/>
      <c r="K847" s="4"/>
      <c r="L847" s="4"/>
      <c r="M847" s="4"/>
      <c r="N847" s="4"/>
      <c r="O847" s="4"/>
      <c r="P847" s="4"/>
      <c r="Q847" s="4"/>
      <c r="R847" s="4"/>
      <c r="S847" s="4"/>
      <c r="T847" s="4"/>
      <c r="U847" s="4"/>
      <c r="V847" s="4"/>
      <c r="W847" s="4"/>
      <c r="X847" s="4"/>
      <c r="Y847" s="4"/>
      <c r="Z847" s="4"/>
    </row>
    <row r="848" spans="1:26" ht="12.75">
      <c r="A848" s="4"/>
      <c r="B848" s="4"/>
      <c r="C848" s="15"/>
      <c r="D848" s="4"/>
      <c r="E848" s="4"/>
      <c r="F848" s="4"/>
      <c r="G848" s="4"/>
      <c r="H848" s="4"/>
      <c r="I848" s="4"/>
      <c r="J848" s="4"/>
      <c r="K848" s="4"/>
      <c r="L848" s="4"/>
      <c r="M848" s="4"/>
      <c r="N848" s="4"/>
      <c r="O848" s="4"/>
      <c r="P848" s="4"/>
      <c r="Q848" s="4"/>
      <c r="R848" s="4"/>
      <c r="S848" s="4"/>
      <c r="T848" s="4"/>
      <c r="U848" s="4"/>
      <c r="V848" s="4"/>
      <c r="W848" s="4"/>
      <c r="X848" s="4"/>
      <c r="Y848" s="4"/>
      <c r="Z848" s="4"/>
    </row>
    <row r="849" spans="1:26" ht="12.75">
      <c r="A849" s="4"/>
      <c r="B849" s="4"/>
      <c r="C849" s="15"/>
      <c r="D849" s="4"/>
      <c r="E849" s="4"/>
      <c r="F849" s="4"/>
      <c r="G849" s="4"/>
      <c r="H849" s="4"/>
      <c r="I849" s="4"/>
      <c r="J849" s="4"/>
      <c r="K849" s="4"/>
      <c r="L849" s="4"/>
      <c r="M849" s="4"/>
      <c r="N849" s="4"/>
      <c r="O849" s="4"/>
      <c r="P849" s="4"/>
      <c r="Q849" s="4"/>
      <c r="R849" s="4"/>
      <c r="S849" s="4"/>
      <c r="T849" s="4"/>
      <c r="U849" s="4"/>
      <c r="V849" s="4"/>
      <c r="W849" s="4"/>
      <c r="X849" s="4"/>
      <c r="Y849" s="4"/>
      <c r="Z849" s="4"/>
    </row>
    <row r="850" spans="1:26" ht="12.75">
      <c r="A850" s="4"/>
      <c r="B850" s="4"/>
      <c r="C850" s="15"/>
      <c r="D850" s="4"/>
      <c r="E850" s="4"/>
      <c r="F850" s="4"/>
      <c r="G850" s="4"/>
      <c r="H850" s="4"/>
      <c r="I850" s="4"/>
      <c r="J850" s="4"/>
      <c r="K850" s="4"/>
      <c r="L850" s="4"/>
      <c r="M850" s="4"/>
      <c r="N850" s="4"/>
      <c r="O850" s="4"/>
      <c r="P850" s="4"/>
      <c r="Q850" s="4"/>
      <c r="R850" s="4"/>
      <c r="S850" s="4"/>
      <c r="T850" s="4"/>
      <c r="U850" s="4"/>
      <c r="V850" s="4"/>
      <c r="W850" s="4"/>
      <c r="X850" s="4"/>
      <c r="Y850" s="4"/>
      <c r="Z850" s="4"/>
    </row>
    <row r="851" spans="1:26" ht="12.75">
      <c r="A851" s="4"/>
      <c r="B851" s="4"/>
      <c r="C851" s="15"/>
      <c r="D851" s="4"/>
      <c r="E851" s="4"/>
      <c r="F851" s="4"/>
      <c r="G851" s="4"/>
      <c r="H851" s="4"/>
      <c r="I851" s="4"/>
      <c r="J851" s="4"/>
      <c r="K851" s="4"/>
      <c r="L851" s="4"/>
      <c r="M851" s="4"/>
      <c r="N851" s="4"/>
      <c r="O851" s="4"/>
      <c r="P851" s="4"/>
      <c r="Q851" s="4"/>
      <c r="R851" s="4"/>
      <c r="S851" s="4"/>
      <c r="T851" s="4"/>
      <c r="U851" s="4"/>
      <c r="V851" s="4"/>
      <c r="W851" s="4"/>
      <c r="X851" s="4"/>
      <c r="Y851" s="4"/>
      <c r="Z851" s="4"/>
    </row>
    <row r="852" spans="1:26" ht="12.75">
      <c r="A852" s="4"/>
      <c r="B852" s="4"/>
      <c r="C852" s="15"/>
      <c r="D852" s="4"/>
      <c r="E852" s="4"/>
      <c r="F852" s="4"/>
      <c r="G852" s="4"/>
      <c r="H852" s="4"/>
      <c r="I852" s="4"/>
      <c r="J852" s="4"/>
      <c r="K852" s="4"/>
      <c r="L852" s="4"/>
      <c r="M852" s="4"/>
      <c r="N852" s="4"/>
      <c r="O852" s="4"/>
      <c r="P852" s="4"/>
      <c r="Q852" s="4"/>
      <c r="R852" s="4"/>
      <c r="S852" s="4"/>
      <c r="T852" s="4"/>
      <c r="U852" s="4"/>
      <c r="V852" s="4"/>
      <c r="W852" s="4"/>
      <c r="X852" s="4"/>
      <c r="Y852" s="4"/>
      <c r="Z852" s="4"/>
    </row>
    <row r="853" spans="1:26" ht="12.75">
      <c r="A853" s="4"/>
      <c r="B853" s="4"/>
      <c r="C853" s="15"/>
      <c r="D853" s="4"/>
      <c r="E853" s="4"/>
      <c r="F853" s="4"/>
      <c r="G853" s="4"/>
      <c r="H853" s="4"/>
      <c r="I853" s="4"/>
      <c r="J853" s="4"/>
      <c r="K853" s="4"/>
      <c r="L853" s="4"/>
      <c r="M853" s="4"/>
      <c r="N853" s="4"/>
      <c r="O853" s="4"/>
      <c r="P853" s="4"/>
      <c r="Q853" s="4"/>
      <c r="R853" s="4"/>
      <c r="S853" s="4"/>
      <c r="T853" s="4"/>
      <c r="U853" s="4"/>
      <c r="V853" s="4"/>
      <c r="W853" s="4"/>
      <c r="X853" s="4"/>
      <c r="Y853" s="4"/>
      <c r="Z853" s="4"/>
    </row>
    <row r="854" spans="1:26" ht="12.75">
      <c r="A854" s="4"/>
      <c r="B854" s="4"/>
      <c r="C854" s="15"/>
      <c r="D854" s="4"/>
      <c r="E854" s="4"/>
      <c r="F854" s="4"/>
      <c r="G854" s="4"/>
      <c r="H854" s="4"/>
      <c r="I854" s="4"/>
      <c r="J854" s="4"/>
      <c r="K854" s="4"/>
      <c r="L854" s="4"/>
      <c r="M854" s="4"/>
      <c r="N854" s="4"/>
      <c r="O854" s="4"/>
      <c r="P854" s="4"/>
      <c r="Q854" s="4"/>
      <c r="R854" s="4"/>
      <c r="S854" s="4"/>
      <c r="T854" s="4"/>
      <c r="U854" s="4"/>
      <c r="V854" s="4"/>
      <c r="W854" s="4"/>
      <c r="X854" s="4"/>
      <c r="Y854" s="4"/>
      <c r="Z854" s="4"/>
    </row>
    <row r="855" spans="1:26" ht="12.75">
      <c r="A855" s="4"/>
      <c r="B855" s="4"/>
      <c r="C855" s="15"/>
      <c r="D855" s="4"/>
      <c r="E855" s="4"/>
      <c r="F855" s="4"/>
      <c r="G855" s="4"/>
      <c r="H855" s="4"/>
      <c r="I855" s="4"/>
      <c r="J855" s="4"/>
      <c r="K855" s="4"/>
      <c r="L855" s="4"/>
      <c r="M855" s="4"/>
      <c r="N855" s="4"/>
      <c r="O855" s="4"/>
      <c r="P855" s="4"/>
      <c r="Q855" s="4"/>
      <c r="R855" s="4"/>
      <c r="S855" s="4"/>
      <c r="T855" s="4"/>
      <c r="U855" s="4"/>
      <c r="V855" s="4"/>
      <c r="W855" s="4"/>
      <c r="X855" s="4"/>
      <c r="Y855" s="4"/>
      <c r="Z855" s="4"/>
    </row>
    <row r="856" spans="1:26" ht="12.75">
      <c r="A856" s="4"/>
      <c r="B856" s="4"/>
      <c r="C856" s="15"/>
      <c r="D856" s="4"/>
      <c r="E856" s="4"/>
      <c r="F856" s="4"/>
      <c r="G856" s="4"/>
      <c r="H856" s="4"/>
      <c r="I856" s="4"/>
      <c r="J856" s="4"/>
      <c r="K856" s="4"/>
      <c r="L856" s="4"/>
      <c r="M856" s="4"/>
      <c r="N856" s="4"/>
      <c r="O856" s="4"/>
      <c r="P856" s="4"/>
      <c r="Q856" s="4"/>
      <c r="R856" s="4"/>
      <c r="S856" s="4"/>
      <c r="T856" s="4"/>
      <c r="U856" s="4"/>
      <c r="V856" s="4"/>
      <c r="W856" s="4"/>
      <c r="X856" s="4"/>
      <c r="Y856" s="4"/>
      <c r="Z856" s="4"/>
    </row>
    <row r="857" spans="1:26" ht="12.75">
      <c r="A857" s="4"/>
      <c r="B857" s="4"/>
      <c r="C857" s="15"/>
      <c r="D857" s="4"/>
      <c r="E857" s="4"/>
      <c r="F857" s="4"/>
      <c r="G857" s="4"/>
      <c r="H857" s="4"/>
      <c r="I857" s="4"/>
      <c r="J857" s="4"/>
      <c r="K857" s="4"/>
      <c r="L857" s="4"/>
      <c r="M857" s="4"/>
      <c r="N857" s="4"/>
      <c r="O857" s="4"/>
      <c r="P857" s="4"/>
      <c r="Q857" s="4"/>
      <c r="R857" s="4"/>
      <c r="S857" s="4"/>
      <c r="T857" s="4"/>
      <c r="U857" s="4"/>
      <c r="V857" s="4"/>
      <c r="W857" s="4"/>
      <c r="X857" s="4"/>
      <c r="Y857" s="4"/>
      <c r="Z857" s="4"/>
    </row>
    <row r="858" spans="1:26" ht="12.75">
      <c r="A858" s="4"/>
      <c r="B858" s="4"/>
      <c r="C858" s="15"/>
      <c r="D858" s="4"/>
      <c r="E858" s="4"/>
      <c r="F858" s="4"/>
      <c r="G858" s="4"/>
      <c r="H858" s="4"/>
      <c r="I858" s="4"/>
      <c r="J858" s="4"/>
      <c r="K858" s="4"/>
      <c r="L858" s="4"/>
      <c r="M858" s="4"/>
      <c r="N858" s="4"/>
      <c r="O858" s="4"/>
      <c r="P858" s="4"/>
      <c r="Q858" s="4"/>
      <c r="R858" s="4"/>
      <c r="S858" s="4"/>
      <c r="T858" s="4"/>
      <c r="U858" s="4"/>
      <c r="V858" s="4"/>
      <c r="W858" s="4"/>
      <c r="X858" s="4"/>
      <c r="Y858" s="4"/>
      <c r="Z858" s="4"/>
    </row>
    <row r="859" spans="1:26" ht="12.75">
      <c r="A859" s="4"/>
      <c r="B859" s="4"/>
      <c r="C859" s="15"/>
      <c r="D859" s="4"/>
      <c r="E859" s="4"/>
      <c r="F859" s="4"/>
      <c r="G859" s="4"/>
      <c r="H859" s="4"/>
      <c r="I859" s="4"/>
      <c r="J859" s="4"/>
      <c r="K859" s="4"/>
      <c r="L859" s="4"/>
      <c r="M859" s="4"/>
      <c r="N859" s="4"/>
      <c r="O859" s="4"/>
      <c r="P859" s="4"/>
      <c r="Q859" s="4"/>
      <c r="R859" s="4"/>
      <c r="S859" s="4"/>
      <c r="T859" s="4"/>
      <c r="U859" s="4"/>
      <c r="V859" s="4"/>
      <c r="W859" s="4"/>
      <c r="X859" s="4"/>
      <c r="Y859" s="4"/>
      <c r="Z859" s="4"/>
    </row>
    <row r="860" spans="1:26" ht="12.75">
      <c r="A860" s="4"/>
      <c r="B860" s="4"/>
      <c r="C860" s="15"/>
      <c r="D860" s="4"/>
      <c r="E860" s="4"/>
      <c r="F860" s="4"/>
      <c r="G860" s="4"/>
      <c r="H860" s="4"/>
      <c r="I860" s="4"/>
      <c r="J860" s="4"/>
      <c r="K860" s="4"/>
      <c r="L860" s="4"/>
      <c r="M860" s="4"/>
      <c r="N860" s="4"/>
      <c r="O860" s="4"/>
      <c r="P860" s="4"/>
      <c r="Q860" s="4"/>
      <c r="R860" s="4"/>
      <c r="S860" s="4"/>
      <c r="T860" s="4"/>
      <c r="U860" s="4"/>
      <c r="V860" s="4"/>
      <c r="W860" s="4"/>
      <c r="X860" s="4"/>
      <c r="Y860" s="4"/>
      <c r="Z860" s="4"/>
    </row>
    <row r="861" spans="1:26" ht="12.75">
      <c r="A861" s="4"/>
      <c r="B861" s="4"/>
      <c r="C861" s="15"/>
      <c r="D861" s="4"/>
      <c r="E861" s="4"/>
      <c r="F861" s="4"/>
      <c r="G861" s="4"/>
      <c r="H861" s="4"/>
      <c r="I861" s="4"/>
      <c r="J861" s="4"/>
      <c r="K861" s="4"/>
      <c r="L861" s="4"/>
      <c r="M861" s="4"/>
      <c r="N861" s="4"/>
      <c r="O861" s="4"/>
      <c r="P861" s="4"/>
      <c r="Q861" s="4"/>
      <c r="R861" s="4"/>
      <c r="S861" s="4"/>
      <c r="T861" s="4"/>
      <c r="U861" s="4"/>
      <c r="V861" s="4"/>
      <c r="W861" s="4"/>
      <c r="X861" s="4"/>
      <c r="Y861" s="4"/>
      <c r="Z861" s="4"/>
    </row>
    <row r="862" spans="1:26" ht="12.75">
      <c r="A862" s="4"/>
      <c r="B862" s="4"/>
      <c r="C862" s="15"/>
      <c r="D862" s="4"/>
      <c r="E862" s="4"/>
      <c r="F862" s="4"/>
      <c r="G862" s="4"/>
      <c r="H862" s="4"/>
      <c r="I862" s="4"/>
      <c r="J862" s="4"/>
      <c r="K862" s="4"/>
      <c r="L862" s="4"/>
      <c r="M862" s="4"/>
      <c r="N862" s="4"/>
      <c r="O862" s="4"/>
      <c r="P862" s="4"/>
      <c r="Q862" s="4"/>
      <c r="R862" s="4"/>
      <c r="S862" s="4"/>
      <c r="T862" s="4"/>
      <c r="U862" s="4"/>
      <c r="V862" s="4"/>
      <c r="W862" s="4"/>
      <c r="X862" s="4"/>
      <c r="Y862" s="4"/>
      <c r="Z862" s="4"/>
    </row>
    <row r="863" spans="1:26" ht="12.75">
      <c r="A863" s="4"/>
      <c r="B863" s="4"/>
      <c r="C863" s="15"/>
      <c r="D863" s="4"/>
      <c r="E863" s="4"/>
      <c r="F863" s="4"/>
      <c r="G863" s="4"/>
      <c r="H863" s="4"/>
      <c r="I863" s="4"/>
      <c r="J863" s="4"/>
      <c r="K863" s="4"/>
      <c r="L863" s="4"/>
      <c r="M863" s="4"/>
      <c r="N863" s="4"/>
      <c r="O863" s="4"/>
      <c r="P863" s="4"/>
      <c r="Q863" s="4"/>
      <c r="R863" s="4"/>
      <c r="S863" s="4"/>
      <c r="T863" s="4"/>
      <c r="U863" s="4"/>
      <c r="V863" s="4"/>
      <c r="W863" s="4"/>
      <c r="X863" s="4"/>
      <c r="Y863" s="4"/>
      <c r="Z863" s="4"/>
    </row>
    <row r="864" spans="1:26" ht="12.75">
      <c r="A864" s="4"/>
      <c r="B864" s="4"/>
      <c r="C864" s="15"/>
      <c r="D864" s="4"/>
      <c r="E864" s="4"/>
      <c r="F864" s="4"/>
      <c r="G864" s="4"/>
      <c r="H864" s="4"/>
      <c r="I864" s="4"/>
      <c r="J864" s="4"/>
      <c r="K864" s="4"/>
      <c r="L864" s="4"/>
      <c r="M864" s="4"/>
      <c r="N864" s="4"/>
      <c r="O864" s="4"/>
      <c r="P864" s="4"/>
      <c r="Q864" s="4"/>
      <c r="R864" s="4"/>
      <c r="S864" s="4"/>
      <c r="T864" s="4"/>
      <c r="U864" s="4"/>
      <c r="V864" s="4"/>
      <c r="W864" s="4"/>
      <c r="X864" s="4"/>
      <c r="Y864" s="4"/>
      <c r="Z864" s="4"/>
    </row>
    <row r="865" spans="1:26" ht="12.75">
      <c r="A865" s="4"/>
      <c r="B865" s="4"/>
      <c r="C865" s="15"/>
      <c r="D865" s="4"/>
      <c r="E865" s="4"/>
      <c r="F865" s="4"/>
      <c r="G865" s="4"/>
      <c r="H865" s="4"/>
      <c r="I865" s="4"/>
      <c r="J865" s="4"/>
      <c r="K865" s="4"/>
      <c r="L865" s="4"/>
      <c r="M865" s="4"/>
      <c r="N865" s="4"/>
      <c r="O865" s="4"/>
      <c r="P865" s="4"/>
      <c r="Q865" s="4"/>
      <c r="R865" s="4"/>
      <c r="S865" s="4"/>
      <c r="T865" s="4"/>
      <c r="U865" s="4"/>
      <c r="V865" s="4"/>
      <c r="W865" s="4"/>
      <c r="X865" s="4"/>
      <c r="Y865" s="4"/>
      <c r="Z865" s="4"/>
    </row>
    <row r="866" spans="1:26" ht="12.75">
      <c r="A866" s="4"/>
      <c r="B866" s="4"/>
      <c r="C866" s="15"/>
      <c r="D866" s="4"/>
      <c r="E866" s="4"/>
      <c r="F866" s="4"/>
      <c r="G866" s="4"/>
      <c r="H866" s="4"/>
      <c r="I866" s="4"/>
      <c r="J866" s="4"/>
      <c r="K866" s="4"/>
      <c r="L866" s="4"/>
      <c r="M866" s="4"/>
      <c r="N866" s="4"/>
      <c r="O866" s="4"/>
      <c r="P866" s="4"/>
      <c r="Q866" s="4"/>
      <c r="R866" s="4"/>
      <c r="S866" s="4"/>
      <c r="T866" s="4"/>
      <c r="U866" s="4"/>
      <c r="V866" s="4"/>
      <c r="W866" s="4"/>
      <c r="X866" s="4"/>
      <c r="Y866" s="4"/>
      <c r="Z866" s="4"/>
    </row>
    <row r="867" spans="1:26" ht="12.75">
      <c r="A867" s="4"/>
      <c r="B867" s="4"/>
      <c r="C867" s="15"/>
      <c r="D867" s="4"/>
      <c r="E867" s="4"/>
      <c r="F867" s="4"/>
      <c r="G867" s="4"/>
      <c r="H867" s="4"/>
      <c r="I867" s="4"/>
      <c r="J867" s="4"/>
      <c r="K867" s="4"/>
      <c r="L867" s="4"/>
      <c r="M867" s="4"/>
      <c r="N867" s="4"/>
      <c r="O867" s="4"/>
      <c r="P867" s="4"/>
      <c r="Q867" s="4"/>
      <c r="R867" s="4"/>
      <c r="S867" s="4"/>
      <c r="T867" s="4"/>
      <c r="U867" s="4"/>
      <c r="V867" s="4"/>
      <c r="W867" s="4"/>
      <c r="X867" s="4"/>
      <c r="Y867" s="4"/>
      <c r="Z867" s="4"/>
    </row>
    <row r="868" spans="1:26" ht="12.75">
      <c r="A868" s="4"/>
      <c r="B868" s="4"/>
      <c r="C868" s="15"/>
      <c r="D868" s="4"/>
      <c r="E868" s="4"/>
      <c r="F868" s="4"/>
      <c r="G868" s="4"/>
      <c r="H868" s="4"/>
      <c r="I868" s="4"/>
      <c r="J868" s="4"/>
      <c r="K868" s="4"/>
      <c r="L868" s="4"/>
      <c r="M868" s="4"/>
      <c r="N868" s="4"/>
      <c r="O868" s="4"/>
      <c r="P868" s="4"/>
      <c r="Q868" s="4"/>
      <c r="R868" s="4"/>
      <c r="S868" s="4"/>
      <c r="T868" s="4"/>
      <c r="U868" s="4"/>
      <c r="V868" s="4"/>
      <c r="W868" s="4"/>
      <c r="X868" s="4"/>
      <c r="Y868" s="4"/>
      <c r="Z868" s="4"/>
    </row>
    <row r="869" spans="1:26" ht="12.75">
      <c r="A869" s="4"/>
      <c r="B869" s="4"/>
      <c r="C869" s="15"/>
      <c r="D869" s="4"/>
      <c r="E869" s="4"/>
      <c r="F869" s="4"/>
      <c r="G869" s="4"/>
      <c r="H869" s="4"/>
      <c r="I869" s="4"/>
      <c r="J869" s="4"/>
      <c r="K869" s="4"/>
      <c r="L869" s="4"/>
      <c r="M869" s="4"/>
      <c r="N869" s="4"/>
      <c r="O869" s="4"/>
      <c r="P869" s="4"/>
      <c r="Q869" s="4"/>
      <c r="R869" s="4"/>
      <c r="S869" s="4"/>
      <c r="T869" s="4"/>
      <c r="U869" s="4"/>
      <c r="V869" s="4"/>
      <c r="W869" s="4"/>
      <c r="X869" s="4"/>
      <c r="Y869" s="4"/>
      <c r="Z869" s="4"/>
    </row>
    <row r="870" spans="1:26" ht="12.75">
      <c r="A870" s="4"/>
      <c r="B870" s="4"/>
      <c r="C870" s="15"/>
      <c r="D870" s="4"/>
      <c r="E870" s="4"/>
      <c r="F870" s="4"/>
      <c r="G870" s="4"/>
      <c r="H870" s="4"/>
      <c r="I870" s="4"/>
      <c r="J870" s="4"/>
      <c r="K870" s="4"/>
      <c r="L870" s="4"/>
      <c r="M870" s="4"/>
      <c r="N870" s="4"/>
      <c r="O870" s="4"/>
      <c r="P870" s="4"/>
      <c r="Q870" s="4"/>
      <c r="R870" s="4"/>
      <c r="S870" s="4"/>
      <c r="T870" s="4"/>
      <c r="U870" s="4"/>
      <c r="V870" s="4"/>
      <c r="W870" s="4"/>
      <c r="X870" s="4"/>
      <c r="Y870" s="4"/>
      <c r="Z870" s="4"/>
    </row>
    <row r="871" spans="1:26" ht="12.75">
      <c r="A871" s="4"/>
      <c r="B871" s="4"/>
      <c r="C871" s="15"/>
      <c r="D871" s="4"/>
      <c r="E871" s="4"/>
      <c r="F871" s="4"/>
      <c r="G871" s="4"/>
      <c r="H871" s="4"/>
      <c r="I871" s="4"/>
      <c r="J871" s="4"/>
      <c r="K871" s="4"/>
      <c r="L871" s="4"/>
      <c r="M871" s="4"/>
      <c r="N871" s="4"/>
      <c r="O871" s="4"/>
      <c r="P871" s="4"/>
      <c r="Q871" s="4"/>
      <c r="R871" s="4"/>
      <c r="S871" s="4"/>
      <c r="T871" s="4"/>
      <c r="U871" s="4"/>
      <c r="V871" s="4"/>
      <c r="W871" s="4"/>
      <c r="X871" s="4"/>
      <c r="Y871" s="4"/>
      <c r="Z871" s="4"/>
    </row>
    <row r="872" spans="1:26" ht="12.75">
      <c r="A872" s="4"/>
      <c r="B872" s="4"/>
      <c r="C872" s="15"/>
      <c r="D872" s="4"/>
      <c r="E872" s="4"/>
      <c r="F872" s="4"/>
      <c r="G872" s="4"/>
      <c r="H872" s="4"/>
      <c r="I872" s="4"/>
      <c r="J872" s="4"/>
      <c r="K872" s="4"/>
      <c r="L872" s="4"/>
      <c r="M872" s="4"/>
      <c r="N872" s="4"/>
      <c r="O872" s="4"/>
      <c r="P872" s="4"/>
      <c r="Q872" s="4"/>
      <c r="R872" s="4"/>
      <c r="S872" s="4"/>
      <c r="T872" s="4"/>
      <c r="U872" s="4"/>
      <c r="V872" s="4"/>
      <c r="W872" s="4"/>
      <c r="X872" s="4"/>
      <c r="Y872" s="4"/>
      <c r="Z872" s="4"/>
    </row>
    <row r="873" spans="1:26" ht="12.75">
      <c r="A873" s="4"/>
      <c r="B873" s="4"/>
      <c r="C873" s="15"/>
      <c r="D873" s="4"/>
      <c r="E873" s="4"/>
      <c r="F873" s="4"/>
      <c r="G873" s="4"/>
      <c r="H873" s="4"/>
      <c r="I873" s="4"/>
      <c r="J873" s="4"/>
      <c r="K873" s="4"/>
      <c r="L873" s="4"/>
      <c r="M873" s="4"/>
      <c r="N873" s="4"/>
      <c r="O873" s="4"/>
      <c r="P873" s="4"/>
      <c r="Q873" s="4"/>
      <c r="R873" s="4"/>
      <c r="S873" s="4"/>
      <c r="T873" s="4"/>
      <c r="U873" s="4"/>
      <c r="V873" s="4"/>
      <c r="W873" s="4"/>
      <c r="X873" s="4"/>
      <c r="Y873" s="4"/>
      <c r="Z873" s="4"/>
    </row>
    <row r="874" spans="1:26" ht="12.75">
      <c r="A874" s="4"/>
      <c r="B874" s="4"/>
      <c r="C874" s="15"/>
      <c r="D874" s="4"/>
      <c r="E874" s="4"/>
      <c r="F874" s="4"/>
      <c r="G874" s="4"/>
      <c r="H874" s="4"/>
      <c r="I874" s="4"/>
      <c r="J874" s="4"/>
      <c r="K874" s="4"/>
      <c r="L874" s="4"/>
      <c r="M874" s="4"/>
      <c r="N874" s="4"/>
      <c r="O874" s="4"/>
      <c r="P874" s="4"/>
      <c r="Q874" s="4"/>
      <c r="R874" s="4"/>
      <c r="S874" s="4"/>
      <c r="T874" s="4"/>
      <c r="U874" s="4"/>
      <c r="V874" s="4"/>
      <c r="W874" s="4"/>
      <c r="X874" s="4"/>
      <c r="Y874" s="4"/>
      <c r="Z874" s="4"/>
    </row>
    <row r="875" spans="1:26" ht="12.75">
      <c r="A875" s="4"/>
      <c r="B875" s="4"/>
      <c r="C875" s="15"/>
      <c r="D875" s="4"/>
      <c r="E875" s="4"/>
      <c r="F875" s="4"/>
      <c r="G875" s="4"/>
      <c r="H875" s="4"/>
      <c r="I875" s="4"/>
      <c r="J875" s="4"/>
      <c r="K875" s="4"/>
      <c r="L875" s="4"/>
      <c r="M875" s="4"/>
      <c r="N875" s="4"/>
      <c r="O875" s="4"/>
      <c r="P875" s="4"/>
      <c r="Q875" s="4"/>
      <c r="R875" s="4"/>
      <c r="S875" s="4"/>
      <c r="T875" s="4"/>
      <c r="U875" s="4"/>
      <c r="V875" s="4"/>
      <c r="W875" s="4"/>
      <c r="X875" s="4"/>
      <c r="Y875" s="4"/>
      <c r="Z875" s="4"/>
    </row>
    <row r="876" spans="1:26" ht="12.75">
      <c r="A876" s="4"/>
      <c r="B876" s="4"/>
      <c r="C876" s="15"/>
      <c r="D876" s="4"/>
      <c r="E876" s="4"/>
      <c r="F876" s="4"/>
      <c r="G876" s="4"/>
      <c r="H876" s="4"/>
      <c r="I876" s="4"/>
      <c r="J876" s="4"/>
      <c r="K876" s="4"/>
      <c r="L876" s="4"/>
      <c r="M876" s="4"/>
      <c r="N876" s="4"/>
      <c r="O876" s="4"/>
      <c r="P876" s="4"/>
      <c r="Q876" s="4"/>
      <c r="R876" s="4"/>
      <c r="S876" s="4"/>
      <c r="T876" s="4"/>
      <c r="U876" s="4"/>
      <c r="V876" s="4"/>
      <c r="W876" s="4"/>
      <c r="X876" s="4"/>
      <c r="Y876" s="4"/>
      <c r="Z876" s="4"/>
    </row>
    <row r="877" spans="1:26" ht="12.75">
      <c r="A877" s="4"/>
      <c r="B877" s="4"/>
      <c r="C877" s="15"/>
      <c r="D877" s="4"/>
      <c r="E877" s="4"/>
      <c r="F877" s="4"/>
      <c r="G877" s="4"/>
      <c r="H877" s="4"/>
      <c r="I877" s="4"/>
      <c r="J877" s="4"/>
      <c r="K877" s="4"/>
      <c r="L877" s="4"/>
      <c r="M877" s="4"/>
      <c r="N877" s="4"/>
      <c r="O877" s="4"/>
      <c r="P877" s="4"/>
      <c r="Q877" s="4"/>
      <c r="R877" s="4"/>
      <c r="S877" s="4"/>
      <c r="T877" s="4"/>
      <c r="U877" s="4"/>
      <c r="V877" s="4"/>
      <c r="W877" s="4"/>
      <c r="X877" s="4"/>
      <c r="Y877" s="4"/>
      <c r="Z877" s="4"/>
    </row>
    <row r="878" spans="1:26" ht="12.75">
      <c r="A878" s="4"/>
      <c r="B878" s="4"/>
      <c r="C878" s="15"/>
      <c r="D878" s="4"/>
      <c r="E878" s="4"/>
      <c r="F878" s="4"/>
      <c r="G878" s="4"/>
      <c r="H878" s="4"/>
      <c r="I878" s="4"/>
      <c r="J878" s="4"/>
      <c r="K878" s="4"/>
      <c r="L878" s="4"/>
      <c r="M878" s="4"/>
      <c r="N878" s="4"/>
      <c r="O878" s="4"/>
      <c r="P878" s="4"/>
      <c r="Q878" s="4"/>
      <c r="R878" s="4"/>
      <c r="S878" s="4"/>
      <c r="T878" s="4"/>
      <c r="U878" s="4"/>
      <c r="V878" s="4"/>
      <c r="W878" s="4"/>
      <c r="X878" s="4"/>
      <c r="Y878" s="4"/>
      <c r="Z878" s="4"/>
    </row>
    <row r="879" spans="1:26" ht="12.75">
      <c r="A879" s="4"/>
      <c r="B879" s="4"/>
      <c r="C879" s="15"/>
      <c r="D879" s="4"/>
      <c r="E879" s="4"/>
      <c r="F879" s="4"/>
      <c r="G879" s="4"/>
      <c r="H879" s="4"/>
      <c r="I879" s="4"/>
      <c r="J879" s="4"/>
      <c r="K879" s="4"/>
      <c r="L879" s="4"/>
      <c r="M879" s="4"/>
      <c r="N879" s="4"/>
      <c r="O879" s="4"/>
      <c r="P879" s="4"/>
      <c r="Q879" s="4"/>
      <c r="R879" s="4"/>
      <c r="S879" s="4"/>
      <c r="T879" s="4"/>
      <c r="U879" s="4"/>
      <c r="V879" s="4"/>
      <c r="W879" s="4"/>
      <c r="X879" s="4"/>
      <c r="Y879" s="4"/>
      <c r="Z879" s="4"/>
    </row>
    <row r="880" spans="1:26" ht="12.75">
      <c r="A880" s="4"/>
      <c r="B880" s="4"/>
      <c r="C880" s="15"/>
      <c r="D880" s="4"/>
      <c r="E880" s="4"/>
      <c r="F880" s="4"/>
      <c r="G880" s="4"/>
      <c r="H880" s="4"/>
      <c r="I880" s="4"/>
      <c r="J880" s="4"/>
      <c r="K880" s="4"/>
      <c r="L880" s="4"/>
      <c r="M880" s="4"/>
      <c r="N880" s="4"/>
      <c r="O880" s="4"/>
      <c r="P880" s="4"/>
      <c r="Q880" s="4"/>
      <c r="R880" s="4"/>
      <c r="S880" s="4"/>
      <c r="T880" s="4"/>
      <c r="U880" s="4"/>
      <c r="V880" s="4"/>
      <c r="W880" s="4"/>
      <c r="X880" s="4"/>
      <c r="Y880" s="4"/>
      <c r="Z880" s="4"/>
    </row>
    <row r="881" spans="1:26" ht="12.75">
      <c r="A881" s="4"/>
      <c r="B881" s="4"/>
      <c r="C881" s="15"/>
      <c r="D881" s="4"/>
      <c r="E881" s="4"/>
      <c r="F881" s="4"/>
      <c r="G881" s="4"/>
      <c r="H881" s="4"/>
      <c r="I881" s="4"/>
      <c r="J881" s="4"/>
      <c r="K881" s="4"/>
      <c r="L881" s="4"/>
      <c r="M881" s="4"/>
      <c r="N881" s="4"/>
      <c r="O881" s="4"/>
      <c r="P881" s="4"/>
      <c r="Q881" s="4"/>
      <c r="R881" s="4"/>
      <c r="S881" s="4"/>
      <c r="T881" s="4"/>
      <c r="U881" s="4"/>
      <c r="V881" s="4"/>
      <c r="W881" s="4"/>
      <c r="X881" s="4"/>
      <c r="Y881" s="4"/>
      <c r="Z881" s="4"/>
    </row>
    <row r="882" spans="1:26" ht="12.75">
      <c r="A882" s="4"/>
      <c r="B882" s="4"/>
      <c r="C882" s="15"/>
      <c r="D882" s="4"/>
      <c r="E882" s="4"/>
      <c r="F882" s="4"/>
      <c r="G882" s="4"/>
      <c r="H882" s="4"/>
      <c r="I882" s="4"/>
      <c r="J882" s="4"/>
      <c r="K882" s="4"/>
      <c r="L882" s="4"/>
      <c r="M882" s="4"/>
      <c r="N882" s="4"/>
      <c r="O882" s="4"/>
      <c r="P882" s="4"/>
      <c r="Q882" s="4"/>
      <c r="R882" s="4"/>
      <c r="S882" s="4"/>
      <c r="T882" s="4"/>
      <c r="U882" s="4"/>
      <c r="V882" s="4"/>
      <c r="W882" s="4"/>
      <c r="X882" s="4"/>
      <c r="Y882" s="4"/>
      <c r="Z882" s="4"/>
    </row>
    <row r="883" spans="1:26" ht="12.75">
      <c r="A883" s="4"/>
      <c r="B883" s="4"/>
      <c r="C883" s="15"/>
      <c r="D883" s="4"/>
      <c r="E883" s="4"/>
      <c r="F883" s="4"/>
      <c r="G883" s="4"/>
      <c r="H883" s="4"/>
      <c r="I883" s="4"/>
      <c r="J883" s="4"/>
      <c r="K883" s="4"/>
      <c r="L883" s="4"/>
      <c r="M883" s="4"/>
      <c r="N883" s="4"/>
      <c r="O883" s="4"/>
      <c r="P883" s="4"/>
      <c r="Q883" s="4"/>
      <c r="R883" s="4"/>
      <c r="S883" s="4"/>
      <c r="T883" s="4"/>
      <c r="U883" s="4"/>
      <c r="V883" s="4"/>
      <c r="W883" s="4"/>
      <c r="X883" s="4"/>
      <c r="Y883" s="4"/>
      <c r="Z883" s="4"/>
    </row>
    <row r="884" spans="1:26" ht="12.75">
      <c r="A884" s="4"/>
      <c r="B884" s="4"/>
      <c r="C884" s="15"/>
      <c r="D884" s="4"/>
      <c r="E884" s="4"/>
      <c r="F884" s="4"/>
      <c r="G884" s="4"/>
      <c r="H884" s="4"/>
      <c r="I884" s="4"/>
      <c r="J884" s="4"/>
      <c r="K884" s="4"/>
      <c r="L884" s="4"/>
      <c r="M884" s="4"/>
      <c r="N884" s="4"/>
      <c r="O884" s="4"/>
      <c r="P884" s="4"/>
      <c r="Q884" s="4"/>
      <c r="R884" s="4"/>
      <c r="S884" s="4"/>
      <c r="T884" s="4"/>
      <c r="U884" s="4"/>
      <c r="V884" s="4"/>
      <c r="W884" s="4"/>
      <c r="X884" s="4"/>
      <c r="Y884" s="4"/>
      <c r="Z884" s="4"/>
    </row>
    <row r="885" spans="1:26" ht="12.75">
      <c r="A885" s="4"/>
      <c r="B885" s="4"/>
      <c r="C885" s="15"/>
      <c r="D885" s="4"/>
      <c r="E885" s="4"/>
      <c r="F885" s="4"/>
      <c r="G885" s="4"/>
      <c r="H885" s="4"/>
      <c r="I885" s="4"/>
      <c r="J885" s="4"/>
      <c r="K885" s="4"/>
      <c r="L885" s="4"/>
      <c r="M885" s="4"/>
      <c r="N885" s="4"/>
      <c r="O885" s="4"/>
      <c r="P885" s="4"/>
      <c r="Q885" s="4"/>
      <c r="R885" s="4"/>
      <c r="S885" s="4"/>
      <c r="T885" s="4"/>
      <c r="U885" s="4"/>
      <c r="V885" s="4"/>
      <c r="W885" s="4"/>
      <c r="X885" s="4"/>
      <c r="Y885" s="4"/>
      <c r="Z885" s="4"/>
    </row>
    <row r="886" spans="1:26" ht="12.75">
      <c r="A886" s="4"/>
      <c r="B886" s="4"/>
      <c r="C886" s="15"/>
      <c r="D886" s="4"/>
      <c r="E886" s="4"/>
      <c r="F886" s="4"/>
      <c r="G886" s="4"/>
      <c r="H886" s="4"/>
      <c r="I886" s="4"/>
      <c r="J886" s="4"/>
      <c r="K886" s="4"/>
      <c r="L886" s="4"/>
      <c r="M886" s="4"/>
      <c r="N886" s="4"/>
      <c r="O886" s="4"/>
      <c r="P886" s="4"/>
      <c r="Q886" s="4"/>
      <c r="R886" s="4"/>
      <c r="S886" s="4"/>
      <c r="T886" s="4"/>
      <c r="U886" s="4"/>
      <c r="V886" s="4"/>
      <c r="W886" s="4"/>
      <c r="X886" s="4"/>
      <c r="Y886" s="4"/>
      <c r="Z886" s="4"/>
    </row>
    <row r="887" spans="1:26" ht="12.75">
      <c r="A887" s="4"/>
      <c r="B887" s="4"/>
      <c r="C887" s="15"/>
      <c r="D887" s="4"/>
      <c r="E887" s="4"/>
      <c r="F887" s="4"/>
      <c r="G887" s="4"/>
      <c r="H887" s="4"/>
      <c r="I887" s="4"/>
      <c r="J887" s="4"/>
      <c r="K887" s="4"/>
      <c r="L887" s="4"/>
      <c r="M887" s="4"/>
      <c r="N887" s="4"/>
      <c r="O887" s="4"/>
      <c r="P887" s="4"/>
      <c r="Q887" s="4"/>
      <c r="R887" s="4"/>
      <c r="S887" s="4"/>
      <c r="T887" s="4"/>
      <c r="U887" s="4"/>
      <c r="V887" s="4"/>
      <c r="W887" s="4"/>
      <c r="X887" s="4"/>
      <c r="Y887" s="4"/>
      <c r="Z887" s="4"/>
    </row>
    <row r="888" spans="1:26" ht="12.75">
      <c r="A888" s="4"/>
      <c r="B888" s="4"/>
      <c r="C888" s="15"/>
      <c r="D888" s="4"/>
      <c r="E888" s="4"/>
      <c r="F888" s="4"/>
      <c r="G888" s="4"/>
      <c r="H888" s="4"/>
      <c r="I888" s="4"/>
      <c r="J888" s="4"/>
      <c r="K888" s="4"/>
      <c r="L888" s="4"/>
      <c r="M888" s="4"/>
      <c r="N888" s="4"/>
      <c r="O888" s="4"/>
      <c r="P888" s="4"/>
      <c r="Q888" s="4"/>
      <c r="R888" s="4"/>
      <c r="S888" s="4"/>
      <c r="T888" s="4"/>
      <c r="U888" s="4"/>
      <c r="V888" s="4"/>
      <c r="W888" s="4"/>
      <c r="X888" s="4"/>
      <c r="Y888" s="4"/>
      <c r="Z888" s="4"/>
    </row>
    <row r="889" spans="1:26" ht="12.75">
      <c r="A889" s="4"/>
      <c r="B889" s="4"/>
      <c r="C889" s="15"/>
      <c r="D889" s="4"/>
      <c r="E889" s="4"/>
      <c r="F889" s="4"/>
      <c r="G889" s="4"/>
      <c r="H889" s="4"/>
      <c r="I889" s="4"/>
      <c r="J889" s="4"/>
      <c r="K889" s="4"/>
      <c r="L889" s="4"/>
      <c r="M889" s="4"/>
      <c r="N889" s="4"/>
      <c r="O889" s="4"/>
      <c r="P889" s="4"/>
      <c r="Q889" s="4"/>
      <c r="R889" s="4"/>
      <c r="S889" s="4"/>
      <c r="T889" s="4"/>
      <c r="U889" s="4"/>
      <c r="V889" s="4"/>
      <c r="W889" s="4"/>
      <c r="X889" s="4"/>
      <c r="Y889" s="4"/>
      <c r="Z889" s="4"/>
    </row>
    <row r="890" spans="1:26" ht="12.75">
      <c r="A890" s="4"/>
      <c r="B890" s="4"/>
      <c r="C890" s="15"/>
      <c r="D890" s="4"/>
      <c r="E890" s="4"/>
      <c r="F890" s="4"/>
      <c r="G890" s="4"/>
      <c r="H890" s="4"/>
      <c r="I890" s="4"/>
      <c r="J890" s="4"/>
      <c r="K890" s="4"/>
      <c r="L890" s="4"/>
      <c r="M890" s="4"/>
      <c r="N890" s="4"/>
      <c r="O890" s="4"/>
      <c r="P890" s="4"/>
      <c r="Q890" s="4"/>
      <c r="R890" s="4"/>
      <c r="S890" s="4"/>
      <c r="T890" s="4"/>
      <c r="U890" s="4"/>
      <c r="V890" s="4"/>
      <c r="W890" s="4"/>
      <c r="X890" s="4"/>
      <c r="Y890" s="4"/>
      <c r="Z890" s="4"/>
    </row>
    <row r="891" spans="1:26" ht="12.75">
      <c r="A891" s="4"/>
      <c r="B891" s="4"/>
      <c r="C891" s="15"/>
      <c r="D891" s="4"/>
      <c r="E891" s="4"/>
      <c r="F891" s="4"/>
      <c r="G891" s="4"/>
      <c r="H891" s="4"/>
      <c r="I891" s="4"/>
      <c r="J891" s="4"/>
      <c r="K891" s="4"/>
      <c r="L891" s="4"/>
      <c r="M891" s="4"/>
      <c r="N891" s="4"/>
      <c r="O891" s="4"/>
      <c r="P891" s="4"/>
      <c r="Q891" s="4"/>
      <c r="R891" s="4"/>
      <c r="S891" s="4"/>
      <c r="T891" s="4"/>
      <c r="U891" s="4"/>
      <c r="V891" s="4"/>
      <c r="W891" s="4"/>
      <c r="X891" s="4"/>
      <c r="Y891" s="4"/>
      <c r="Z891" s="4"/>
    </row>
    <row r="892" spans="1:26" ht="12.75">
      <c r="A892" s="4"/>
      <c r="B892" s="4"/>
      <c r="C892" s="15"/>
      <c r="D892" s="4"/>
      <c r="E892" s="4"/>
      <c r="F892" s="4"/>
      <c r="G892" s="4"/>
      <c r="H892" s="4"/>
      <c r="I892" s="4"/>
      <c r="J892" s="4"/>
      <c r="K892" s="4"/>
      <c r="L892" s="4"/>
      <c r="M892" s="4"/>
      <c r="N892" s="4"/>
      <c r="O892" s="4"/>
      <c r="P892" s="4"/>
      <c r="Q892" s="4"/>
      <c r="R892" s="4"/>
      <c r="S892" s="4"/>
      <c r="T892" s="4"/>
      <c r="U892" s="4"/>
      <c r="V892" s="4"/>
      <c r="W892" s="4"/>
      <c r="X892" s="4"/>
      <c r="Y892" s="4"/>
      <c r="Z892" s="4"/>
    </row>
    <row r="893" spans="1:26" ht="12.75">
      <c r="A893" s="4"/>
      <c r="B893" s="4"/>
      <c r="C893" s="15"/>
      <c r="D893" s="4"/>
      <c r="E893" s="4"/>
      <c r="F893" s="4"/>
      <c r="G893" s="4"/>
      <c r="H893" s="4"/>
      <c r="I893" s="4"/>
      <c r="J893" s="4"/>
      <c r="K893" s="4"/>
      <c r="L893" s="4"/>
      <c r="M893" s="4"/>
      <c r="N893" s="4"/>
      <c r="O893" s="4"/>
      <c r="P893" s="4"/>
      <c r="Q893" s="4"/>
      <c r="R893" s="4"/>
      <c r="S893" s="4"/>
      <c r="T893" s="4"/>
      <c r="U893" s="4"/>
      <c r="V893" s="4"/>
      <c r="W893" s="4"/>
      <c r="X893" s="4"/>
      <c r="Y893" s="4"/>
      <c r="Z893" s="4"/>
    </row>
    <row r="894" spans="1:26" ht="12.75">
      <c r="A894" s="4"/>
      <c r="B894" s="4"/>
      <c r="C894" s="15"/>
      <c r="D894" s="4"/>
      <c r="E894" s="4"/>
      <c r="F894" s="4"/>
      <c r="G894" s="4"/>
      <c r="H894" s="4"/>
      <c r="I894" s="4"/>
      <c r="J894" s="4"/>
      <c r="K894" s="4"/>
      <c r="L894" s="4"/>
      <c r="M894" s="4"/>
      <c r="N894" s="4"/>
      <c r="O894" s="4"/>
      <c r="P894" s="4"/>
      <c r="Q894" s="4"/>
      <c r="R894" s="4"/>
      <c r="S894" s="4"/>
      <c r="T894" s="4"/>
      <c r="U894" s="4"/>
      <c r="V894" s="4"/>
      <c r="W894" s="4"/>
      <c r="X894" s="4"/>
      <c r="Y894" s="4"/>
      <c r="Z894" s="4"/>
    </row>
    <row r="895" spans="1:26" ht="12.75">
      <c r="A895" s="4"/>
      <c r="B895" s="4"/>
      <c r="C895" s="15"/>
      <c r="D895" s="4"/>
      <c r="E895" s="4"/>
      <c r="F895" s="4"/>
      <c r="G895" s="4"/>
      <c r="H895" s="4"/>
      <c r="I895" s="4"/>
      <c r="J895" s="4"/>
      <c r="K895" s="4"/>
      <c r="L895" s="4"/>
      <c r="M895" s="4"/>
      <c r="N895" s="4"/>
      <c r="O895" s="4"/>
      <c r="P895" s="4"/>
      <c r="Q895" s="4"/>
      <c r="R895" s="4"/>
      <c r="S895" s="4"/>
      <c r="T895" s="4"/>
      <c r="U895" s="4"/>
      <c r="V895" s="4"/>
      <c r="W895" s="4"/>
      <c r="X895" s="4"/>
      <c r="Y895" s="4"/>
      <c r="Z895" s="4"/>
    </row>
    <row r="896" spans="1:26" ht="12.75">
      <c r="A896" s="4"/>
      <c r="B896" s="4"/>
      <c r="C896" s="15"/>
      <c r="D896" s="4"/>
      <c r="E896" s="4"/>
      <c r="F896" s="4"/>
      <c r="G896" s="4"/>
      <c r="H896" s="4"/>
      <c r="I896" s="4"/>
      <c r="J896" s="4"/>
      <c r="K896" s="4"/>
      <c r="L896" s="4"/>
      <c r="M896" s="4"/>
      <c r="N896" s="4"/>
      <c r="O896" s="4"/>
      <c r="P896" s="4"/>
      <c r="Q896" s="4"/>
      <c r="R896" s="4"/>
      <c r="S896" s="4"/>
      <c r="T896" s="4"/>
      <c r="U896" s="4"/>
      <c r="V896" s="4"/>
      <c r="W896" s="4"/>
      <c r="X896" s="4"/>
      <c r="Y896" s="4"/>
      <c r="Z896" s="4"/>
    </row>
    <row r="897" spans="1:26" ht="12.75">
      <c r="A897" s="4"/>
      <c r="B897" s="4"/>
      <c r="C897" s="15"/>
      <c r="D897" s="4"/>
      <c r="E897" s="4"/>
      <c r="F897" s="4"/>
      <c r="G897" s="4"/>
      <c r="H897" s="4"/>
      <c r="I897" s="4"/>
      <c r="J897" s="4"/>
      <c r="K897" s="4"/>
      <c r="L897" s="4"/>
      <c r="M897" s="4"/>
      <c r="N897" s="4"/>
      <c r="O897" s="4"/>
      <c r="P897" s="4"/>
      <c r="Q897" s="4"/>
      <c r="R897" s="4"/>
      <c r="S897" s="4"/>
      <c r="T897" s="4"/>
      <c r="U897" s="4"/>
      <c r="V897" s="4"/>
      <c r="W897" s="4"/>
      <c r="X897" s="4"/>
      <c r="Y897" s="4"/>
      <c r="Z897" s="4"/>
    </row>
    <row r="898" spans="1:26" ht="12.75">
      <c r="A898" s="4"/>
      <c r="B898" s="4"/>
      <c r="C898" s="15"/>
      <c r="D898" s="4"/>
      <c r="E898" s="4"/>
      <c r="F898" s="4"/>
      <c r="G898" s="4"/>
      <c r="H898" s="4"/>
      <c r="I898" s="4"/>
      <c r="J898" s="4"/>
      <c r="K898" s="4"/>
      <c r="L898" s="4"/>
      <c r="M898" s="4"/>
      <c r="N898" s="4"/>
      <c r="O898" s="4"/>
      <c r="P898" s="4"/>
      <c r="Q898" s="4"/>
      <c r="R898" s="4"/>
      <c r="S898" s="4"/>
      <c r="T898" s="4"/>
      <c r="U898" s="4"/>
      <c r="V898" s="4"/>
      <c r="W898" s="4"/>
      <c r="X898" s="4"/>
      <c r="Y898" s="4"/>
      <c r="Z898" s="4"/>
    </row>
    <row r="899" spans="1:26" ht="12.75">
      <c r="A899" s="4"/>
      <c r="B899" s="4"/>
      <c r="C899" s="15"/>
      <c r="D899" s="4"/>
      <c r="E899" s="4"/>
      <c r="F899" s="4"/>
      <c r="G899" s="4"/>
      <c r="H899" s="4"/>
      <c r="I899" s="4"/>
      <c r="J899" s="4"/>
      <c r="K899" s="4"/>
      <c r="L899" s="4"/>
      <c r="M899" s="4"/>
      <c r="N899" s="4"/>
      <c r="O899" s="4"/>
      <c r="P899" s="4"/>
      <c r="Q899" s="4"/>
      <c r="R899" s="4"/>
      <c r="S899" s="4"/>
      <c r="T899" s="4"/>
      <c r="U899" s="4"/>
      <c r="V899" s="4"/>
      <c r="W899" s="4"/>
      <c r="X899" s="4"/>
      <c r="Y899" s="4"/>
      <c r="Z899" s="4"/>
    </row>
    <row r="900" spans="1:26" ht="12.75">
      <c r="A900" s="4"/>
      <c r="B900" s="4"/>
      <c r="C900" s="15"/>
      <c r="D900" s="4"/>
      <c r="E900" s="4"/>
      <c r="F900" s="4"/>
      <c r="G900" s="4"/>
      <c r="H900" s="4"/>
      <c r="I900" s="4"/>
      <c r="J900" s="4"/>
      <c r="K900" s="4"/>
      <c r="L900" s="4"/>
      <c r="M900" s="4"/>
      <c r="N900" s="4"/>
      <c r="O900" s="4"/>
      <c r="P900" s="4"/>
      <c r="Q900" s="4"/>
      <c r="R900" s="4"/>
      <c r="S900" s="4"/>
      <c r="T900" s="4"/>
      <c r="U900" s="4"/>
      <c r="V900" s="4"/>
      <c r="W900" s="4"/>
      <c r="X900" s="4"/>
      <c r="Y900" s="4"/>
      <c r="Z900" s="4"/>
    </row>
    <row r="901" spans="1:26" ht="12.75">
      <c r="A901" s="4"/>
      <c r="B901" s="4"/>
      <c r="C901" s="15"/>
      <c r="D901" s="4"/>
      <c r="E901" s="4"/>
      <c r="F901" s="4"/>
      <c r="G901" s="4"/>
      <c r="H901" s="4"/>
      <c r="I901" s="4"/>
      <c r="J901" s="4"/>
      <c r="K901" s="4"/>
      <c r="L901" s="4"/>
      <c r="M901" s="4"/>
      <c r="N901" s="4"/>
      <c r="O901" s="4"/>
      <c r="P901" s="4"/>
      <c r="Q901" s="4"/>
      <c r="R901" s="4"/>
      <c r="S901" s="4"/>
      <c r="T901" s="4"/>
      <c r="U901" s="4"/>
      <c r="V901" s="4"/>
      <c r="W901" s="4"/>
      <c r="X901" s="4"/>
      <c r="Y901" s="4"/>
      <c r="Z901" s="4"/>
    </row>
    <row r="902" spans="1:26" ht="12.75">
      <c r="A902" s="4"/>
      <c r="B902" s="4"/>
      <c r="C902" s="15"/>
      <c r="D902" s="4"/>
      <c r="E902" s="4"/>
      <c r="F902" s="4"/>
      <c r="G902" s="4"/>
      <c r="H902" s="4"/>
      <c r="I902" s="4"/>
      <c r="J902" s="4"/>
      <c r="K902" s="4"/>
      <c r="L902" s="4"/>
      <c r="M902" s="4"/>
      <c r="N902" s="4"/>
      <c r="O902" s="4"/>
      <c r="P902" s="4"/>
      <c r="Q902" s="4"/>
      <c r="R902" s="4"/>
      <c r="S902" s="4"/>
      <c r="T902" s="4"/>
      <c r="U902" s="4"/>
      <c r="V902" s="4"/>
      <c r="W902" s="4"/>
      <c r="X902" s="4"/>
      <c r="Y902" s="4"/>
      <c r="Z902" s="4"/>
    </row>
    <row r="903" spans="1:26" ht="12.75">
      <c r="A903" s="4"/>
      <c r="B903" s="4"/>
      <c r="C903" s="15"/>
      <c r="D903" s="4"/>
      <c r="E903" s="4"/>
      <c r="F903" s="4"/>
      <c r="G903" s="4"/>
      <c r="H903" s="4"/>
      <c r="I903" s="4"/>
      <c r="J903" s="4"/>
      <c r="K903" s="4"/>
      <c r="L903" s="4"/>
      <c r="M903" s="4"/>
      <c r="N903" s="4"/>
      <c r="O903" s="4"/>
      <c r="P903" s="4"/>
      <c r="Q903" s="4"/>
      <c r="R903" s="4"/>
      <c r="S903" s="4"/>
      <c r="T903" s="4"/>
      <c r="U903" s="4"/>
      <c r="V903" s="4"/>
      <c r="W903" s="4"/>
      <c r="X903" s="4"/>
      <c r="Y903" s="4"/>
      <c r="Z903" s="4"/>
    </row>
    <row r="904" spans="1:26" ht="12.75">
      <c r="A904" s="4"/>
      <c r="B904" s="4"/>
      <c r="C904" s="15"/>
      <c r="D904" s="4"/>
      <c r="E904" s="4"/>
      <c r="F904" s="4"/>
      <c r="G904" s="4"/>
      <c r="H904" s="4"/>
      <c r="I904" s="4"/>
      <c r="J904" s="4"/>
      <c r="K904" s="4"/>
      <c r="L904" s="4"/>
      <c r="M904" s="4"/>
      <c r="N904" s="4"/>
      <c r="O904" s="4"/>
      <c r="P904" s="4"/>
      <c r="Q904" s="4"/>
      <c r="R904" s="4"/>
      <c r="S904" s="4"/>
      <c r="T904" s="4"/>
      <c r="U904" s="4"/>
      <c r="V904" s="4"/>
      <c r="W904" s="4"/>
      <c r="X904" s="4"/>
      <c r="Y904" s="4"/>
      <c r="Z904" s="4"/>
    </row>
    <row r="905" spans="1:26" ht="12.75">
      <c r="A905" s="4"/>
      <c r="B905" s="4"/>
      <c r="C905" s="15"/>
      <c r="D905" s="4"/>
      <c r="E905" s="4"/>
      <c r="F905" s="4"/>
      <c r="G905" s="4"/>
      <c r="H905" s="4"/>
      <c r="I905" s="4"/>
      <c r="J905" s="4"/>
      <c r="K905" s="4"/>
      <c r="L905" s="4"/>
      <c r="M905" s="4"/>
      <c r="N905" s="4"/>
      <c r="O905" s="4"/>
      <c r="P905" s="4"/>
      <c r="Q905" s="4"/>
      <c r="R905" s="4"/>
      <c r="S905" s="4"/>
      <c r="T905" s="4"/>
      <c r="U905" s="4"/>
      <c r="V905" s="4"/>
      <c r="W905" s="4"/>
      <c r="X905" s="4"/>
      <c r="Y905" s="4"/>
      <c r="Z905" s="4"/>
    </row>
    <row r="906" spans="1:26" ht="12.75">
      <c r="A906" s="4"/>
      <c r="B906" s="4"/>
      <c r="C906" s="15"/>
      <c r="D906" s="4"/>
      <c r="E906" s="4"/>
      <c r="F906" s="4"/>
      <c r="G906" s="4"/>
      <c r="H906" s="4"/>
      <c r="I906" s="4"/>
      <c r="J906" s="4"/>
      <c r="K906" s="4"/>
      <c r="L906" s="4"/>
      <c r="M906" s="4"/>
      <c r="N906" s="4"/>
      <c r="O906" s="4"/>
      <c r="P906" s="4"/>
      <c r="Q906" s="4"/>
      <c r="R906" s="4"/>
      <c r="S906" s="4"/>
      <c r="T906" s="4"/>
      <c r="U906" s="4"/>
      <c r="V906" s="4"/>
      <c r="W906" s="4"/>
      <c r="X906" s="4"/>
      <c r="Y906" s="4"/>
      <c r="Z906" s="4"/>
    </row>
    <row r="907" spans="1:26" ht="12.75">
      <c r="A907" s="4"/>
      <c r="B907" s="4"/>
      <c r="C907" s="15"/>
      <c r="D907" s="4"/>
      <c r="E907" s="4"/>
      <c r="F907" s="4"/>
      <c r="G907" s="4"/>
      <c r="H907" s="4"/>
      <c r="I907" s="4"/>
      <c r="J907" s="4"/>
      <c r="K907" s="4"/>
      <c r="L907" s="4"/>
      <c r="M907" s="4"/>
      <c r="N907" s="4"/>
      <c r="O907" s="4"/>
      <c r="P907" s="4"/>
      <c r="Q907" s="4"/>
      <c r="R907" s="4"/>
      <c r="S907" s="4"/>
      <c r="T907" s="4"/>
      <c r="U907" s="4"/>
      <c r="V907" s="4"/>
      <c r="W907" s="4"/>
      <c r="X907" s="4"/>
      <c r="Y907" s="4"/>
      <c r="Z907" s="4"/>
    </row>
    <row r="908" spans="1:26" ht="12.75">
      <c r="A908" s="4"/>
      <c r="B908" s="4"/>
      <c r="C908" s="15"/>
      <c r="D908" s="4"/>
      <c r="E908" s="4"/>
      <c r="F908" s="4"/>
      <c r="G908" s="4"/>
      <c r="H908" s="4"/>
      <c r="I908" s="4"/>
      <c r="J908" s="4"/>
      <c r="K908" s="4"/>
      <c r="L908" s="4"/>
      <c r="M908" s="4"/>
      <c r="N908" s="4"/>
      <c r="O908" s="4"/>
      <c r="P908" s="4"/>
      <c r="Q908" s="4"/>
      <c r="R908" s="4"/>
      <c r="S908" s="4"/>
      <c r="T908" s="4"/>
      <c r="U908" s="4"/>
      <c r="V908" s="4"/>
      <c r="W908" s="4"/>
      <c r="X908" s="4"/>
      <c r="Y908" s="4"/>
      <c r="Z908" s="4"/>
    </row>
    <row r="909" spans="1:26" ht="12.75">
      <c r="A909" s="4"/>
      <c r="B909" s="4"/>
      <c r="C909" s="15"/>
      <c r="D909" s="4"/>
      <c r="E909" s="4"/>
      <c r="F909" s="4"/>
      <c r="G909" s="4"/>
      <c r="H909" s="4"/>
      <c r="I909" s="4"/>
      <c r="J909" s="4"/>
      <c r="K909" s="4"/>
      <c r="L909" s="4"/>
      <c r="M909" s="4"/>
      <c r="N909" s="4"/>
      <c r="O909" s="4"/>
      <c r="P909" s="4"/>
      <c r="Q909" s="4"/>
      <c r="R909" s="4"/>
      <c r="S909" s="4"/>
      <c r="T909" s="4"/>
      <c r="U909" s="4"/>
      <c r="V909" s="4"/>
      <c r="W909" s="4"/>
      <c r="X909" s="4"/>
      <c r="Y909" s="4"/>
      <c r="Z909" s="4"/>
    </row>
    <row r="910" spans="1:26" ht="12.75">
      <c r="A910" s="4"/>
      <c r="B910" s="4"/>
      <c r="C910" s="15"/>
      <c r="D910" s="4"/>
      <c r="E910" s="4"/>
      <c r="F910" s="4"/>
      <c r="G910" s="4"/>
      <c r="H910" s="4"/>
      <c r="I910" s="4"/>
      <c r="J910" s="4"/>
      <c r="K910" s="4"/>
      <c r="L910" s="4"/>
      <c r="M910" s="4"/>
      <c r="N910" s="4"/>
      <c r="O910" s="4"/>
      <c r="P910" s="4"/>
      <c r="Q910" s="4"/>
      <c r="R910" s="4"/>
      <c r="S910" s="4"/>
      <c r="T910" s="4"/>
      <c r="U910" s="4"/>
      <c r="V910" s="4"/>
      <c r="W910" s="4"/>
      <c r="X910" s="4"/>
      <c r="Y910" s="4"/>
      <c r="Z910" s="4"/>
    </row>
    <row r="911" spans="1:26" ht="12.75">
      <c r="A911" s="4"/>
      <c r="B911" s="4"/>
      <c r="C911" s="15"/>
      <c r="D911" s="4"/>
      <c r="E911" s="4"/>
      <c r="F911" s="4"/>
      <c r="G911" s="4"/>
      <c r="H911" s="4"/>
      <c r="I911" s="4"/>
      <c r="J911" s="4"/>
      <c r="K911" s="4"/>
      <c r="L911" s="4"/>
      <c r="M911" s="4"/>
      <c r="N911" s="4"/>
      <c r="O911" s="4"/>
      <c r="P911" s="4"/>
      <c r="Q911" s="4"/>
      <c r="R911" s="4"/>
      <c r="S911" s="4"/>
      <c r="T911" s="4"/>
      <c r="U911" s="4"/>
      <c r="V911" s="4"/>
      <c r="W911" s="4"/>
      <c r="X911" s="4"/>
      <c r="Y911" s="4"/>
      <c r="Z911" s="4"/>
    </row>
    <row r="912" spans="1:26" ht="12.75">
      <c r="A912" s="4"/>
      <c r="B912" s="4"/>
      <c r="C912" s="15"/>
      <c r="D912" s="4"/>
      <c r="E912" s="4"/>
      <c r="F912" s="4"/>
      <c r="G912" s="4"/>
      <c r="H912" s="4"/>
      <c r="I912" s="4"/>
      <c r="J912" s="4"/>
      <c r="K912" s="4"/>
      <c r="L912" s="4"/>
      <c r="M912" s="4"/>
      <c r="N912" s="4"/>
      <c r="O912" s="4"/>
      <c r="P912" s="4"/>
      <c r="Q912" s="4"/>
      <c r="R912" s="4"/>
      <c r="S912" s="4"/>
      <c r="T912" s="4"/>
      <c r="U912" s="4"/>
      <c r="V912" s="4"/>
      <c r="W912" s="4"/>
      <c r="X912" s="4"/>
      <c r="Y912" s="4"/>
      <c r="Z912" s="4"/>
    </row>
    <row r="913" spans="1:26" ht="12.75">
      <c r="A913" s="4"/>
      <c r="B913" s="4"/>
      <c r="C913" s="15"/>
      <c r="D913" s="4"/>
      <c r="E913" s="4"/>
      <c r="F913" s="4"/>
      <c r="G913" s="4"/>
      <c r="H913" s="4"/>
      <c r="I913" s="4"/>
      <c r="J913" s="4"/>
      <c r="K913" s="4"/>
      <c r="L913" s="4"/>
      <c r="M913" s="4"/>
      <c r="N913" s="4"/>
      <c r="O913" s="4"/>
      <c r="P913" s="4"/>
      <c r="Q913" s="4"/>
      <c r="R913" s="4"/>
      <c r="S913" s="4"/>
      <c r="T913" s="4"/>
      <c r="U913" s="4"/>
      <c r="V913" s="4"/>
      <c r="W913" s="4"/>
      <c r="X913" s="4"/>
      <c r="Y913" s="4"/>
      <c r="Z913" s="4"/>
    </row>
    <row r="914" spans="1:26" ht="12.75">
      <c r="A914" s="4"/>
      <c r="B914" s="4"/>
      <c r="C914" s="15"/>
      <c r="D914" s="4"/>
      <c r="E914" s="4"/>
      <c r="F914" s="4"/>
      <c r="G914" s="4"/>
      <c r="H914" s="4"/>
      <c r="I914" s="4"/>
      <c r="J914" s="4"/>
      <c r="K914" s="4"/>
      <c r="L914" s="4"/>
      <c r="M914" s="4"/>
      <c r="N914" s="4"/>
      <c r="O914" s="4"/>
      <c r="P914" s="4"/>
      <c r="Q914" s="4"/>
      <c r="R914" s="4"/>
      <c r="S914" s="4"/>
      <c r="T914" s="4"/>
      <c r="U914" s="4"/>
      <c r="V914" s="4"/>
      <c r="W914" s="4"/>
      <c r="X914" s="4"/>
      <c r="Y914" s="4"/>
      <c r="Z914" s="4"/>
    </row>
    <row r="915" spans="1:26" ht="12.75">
      <c r="A915" s="4"/>
      <c r="B915" s="4"/>
      <c r="C915" s="15"/>
      <c r="D915" s="4"/>
      <c r="E915" s="4"/>
      <c r="F915" s="4"/>
      <c r="G915" s="4"/>
      <c r="H915" s="4"/>
      <c r="I915" s="4"/>
      <c r="J915" s="4"/>
      <c r="K915" s="4"/>
      <c r="L915" s="4"/>
      <c r="M915" s="4"/>
      <c r="N915" s="4"/>
      <c r="O915" s="4"/>
      <c r="P915" s="4"/>
      <c r="Q915" s="4"/>
      <c r="R915" s="4"/>
      <c r="S915" s="4"/>
      <c r="T915" s="4"/>
      <c r="U915" s="4"/>
      <c r="V915" s="4"/>
      <c r="W915" s="4"/>
      <c r="X915" s="4"/>
      <c r="Y915" s="4"/>
      <c r="Z915" s="4"/>
    </row>
    <row r="916" spans="1:26" ht="12.75">
      <c r="A916" s="4"/>
      <c r="B916" s="4"/>
      <c r="C916" s="15"/>
      <c r="D916" s="4"/>
      <c r="E916" s="4"/>
      <c r="F916" s="4"/>
      <c r="G916" s="4"/>
      <c r="H916" s="4"/>
      <c r="I916" s="4"/>
      <c r="J916" s="4"/>
      <c r="K916" s="4"/>
      <c r="L916" s="4"/>
      <c r="M916" s="4"/>
      <c r="N916" s="4"/>
      <c r="O916" s="4"/>
      <c r="P916" s="4"/>
      <c r="Q916" s="4"/>
      <c r="R916" s="4"/>
      <c r="S916" s="4"/>
      <c r="T916" s="4"/>
      <c r="U916" s="4"/>
      <c r="V916" s="4"/>
      <c r="W916" s="4"/>
      <c r="X916" s="4"/>
      <c r="Y916" s="4"/>
      <c r="Z916" s="4"/>
    </row>
    <row r="917" spans="1:26" ht="12.75">
      <c r="A917" s="4"/>
      <c r="B917" s="4"/>
      <c r="C917" s="15"/>
      <c r="D917" s="4"/>
      <c r="E917" s="4"/>
      <c r="F917" s="4"/>
      <c r="G917" s="4"/>
      <c r="H917" s="4"/>
      <c r="I917" s="4"/>
      <c r="J917" s="4"/>
      <c r="K917" s="4"/>
      <c r="L917" s="4"/>
      <c r="M917" s="4"/>
      <c r="N917" s="4"/>
      <c r="O917" s="4"/>
      <c r="P917" s="4"/>
      <c r="Q917" s="4"/>
      <c r="R917" s="4"/>
      <c r="S917" s="4"/>
      <c r="T917" s="4"/>
      <c r="U917" s="4"/>
      <c r="V917" s="4"/>
      <c r="W917" s="4"/>
      <c r="X917" s="4"/>
      <c r="Y917" s="4"/>
      <c r="Z917" s="4"/>
    </row>
    <row r="918" spans="1:26" ht="12.75">
      <c r="A918" s="4"/>
      <c r="B918" s="4"/>
      <c r="C918" s="15"/>
      <c r="D918" s="4"/>
      <c r="E918" s="4"/>
      <c r="F918" s="4"/>
      <c r="G918" s="4"/>
      <c r="H918" s="4"/>
      <c r="I918" s="4"/>
      <c r="J918" s="4"/>
      <c r="K918" s="4"/>
      <c r="L918" s="4"/>
      <c r="M918" s="4"/>
      <c r="N918" s="4"/>
      <c r="O918" s="4"/>
      <c r="P918" s="4"/>
      <c r="Q918" s="4"/>
      <c r="R918" s="4"/>
      <c r="S918" s="4"/>
      <c r="T918" s="4"/>
      <c r="U918" s="4"/>
      <c r="V918" s="4"/>
      <c r="W918" s="4"/>
      <c r="X918" s="4"/>
      <c r="Y918" s="4"/>
      <c r="Z918" s="4"/>
    </row>
    <row r="919" spans="1:26" ht="12.75">
      <c r="A919" s="4"/>
      <c r="B919" s="4"/>
      <c r="C919" s="15"/>
      <c r="D919" s="4"/>
      <c r="E919" s="4"/>
      <c r="F919" s="4"/>
      <c r="G919" s="4"/>
      <c r="H919" s="4"/>
      <c r="I919" s="4"/>
      <c r="J919" s="4"/>
      <c r="K919" s="4"/>
      <c r="L919" s="4"/>
      <c r="M919" s="4"/>
      <c r="N919" s="4"/>
      <c r="O919" s="4"/>
      <c r="P919" s="4"/>
      <c r="Q919" s="4"/>
      <c r="R919" s="4"/>
      <c r="S919" s="4"/>
      <c r="T919" s="4"/>
      <c r="U919" s="4"/>
      <c r="V919" s="4"/>
      <c r="W919" s="4"/>
      <c r="X919" s="4"/>
      <c r="Y919" s="4"/>
      <c r="Z919" s="4"/>
    </row>
    <row r="920" spans="1:26" ht="12.75">
      <c r="A920" s="4"/>
      <c r="B920" s="4"/>
      <c r="C920" s="15"/>
      <c r="D920" s="4"/>
      <c r="E920" s="4"/>
      <c r="F920" s="4"/>
      <c r="G920" s="4"/>
      <c r="H920" s="4"/>
      <c r="I920" s="4"/>
      <c r="J920" s="4"/>
      <c r="K920" s="4"/>
      <c r="L920" s="4"/>
      <c r="M920" s="4"/>
      <c r="N920" s="4"/>
      <c r="O920" s="4"/>
      <c r="P920" s="4"/>
      <c r="Q920" s="4"/>
      <c r="R920" s="4"/>
      <c r="S920" s="4"/>
      <c r="T920" s="4"/>
      <c r="U920" s="4"/>
      <c r="V920" s="4"/>
      <c r="W920" s="4"/>
      <c r="X920" s="4"/>
      <c r="Y920" s="4"/>
      <c r="Z920" s="4"/>
    </row>
    <row r="921" spans="1:26" ht="12.75">
      <c r="A921" s="4"/>
      <c r="B921" s="4"/>
      <c r="C921" s="15"/>
      <c r="D921" s="4"/>
      <c r="E921" s="4"/>
      <c r="F921" s="4"/>
      <c r="G921" s="4"/>
      <c r="H921" s="4"/>
      <c r="I921" s="4"/>
      <c r="J921" s="4"/>
      <c r="K921" s="4"/>
      <c r="L921" s="4"/>
      <c r="M921" s="4"/>
      <c r="N921" s="4"/>
      <c r="O921" s="4"/>
      <c r="P921" s="4"/>
      <c r="Q921" s="4"/>
      <c r="R921" s="4"/>
      <c r="S921" s="4"/>
      <c r="T921" s="4"/>
      <c r="U921" s="4"/>
      <c r="V921" s="4"/>
      <c r="W921" s="4"/>
      <c r="X921" s="4"/>
      <c r="Y921" s="4"/>
      <c r="Z921" s="4"/>
    </row>
    <row r="922" spans="1:26" ht="12.75">
      <c r="A922" s="4"/>
      <c r="B922" s="4"/>
      <c r="C922" s="15"/>
      <c r="D922" s="4"/>
      <c r="E922" s="4"/>
      <c r="F922" s="4"/>
      <c r="G922" s="4"/>
      <c r="H922" s="4"/>
      <c r="I922" s="4"/>
      <c r="J922" s="4"/>
      <c r="K922" s="4"/>
      <c r="L922" s="4"/>
      <c r="M922" s="4"/>
      <c r="N922" s="4"/>
      <c r="O922" s="4"/>
      <c r="P922" s="4"/>
      <c r="Q922" s="4"/>
      <c r="R922" s="4"/>
      <c r="S922" s="4"/>
      <c r="T922" s="4"/>
      <c r="U922" s="4"/>
      <c r="V922" s="4"/>
      <c r="W922" s="4"/>
      <c r="X922" s="4"/>
      <c r="Y922" s="4"/>
      <c r="Z922" s="4"/>
    </row>
    <row r="923" spans="1:26" ht="12.75">
      <c r="A923" s="4"/>
      <c r="B923" s="4"/>
      <c r="C923" s="15"/>
      <c r="D923" s="4"/>
      <c r="E923" s="4"/>
      <c r="F923" s="4"/>
      <c r="G923" s="4"/>
      <c r="H923" s="4"/>
      <c r="I923" s="4"/>
      <c r="J923" s="4"/>
      <c r="K923" s="4"/>
      <c r="L923" s="4"/>
      <c r="M923" s="4"/>
      <c r="N923" s="4"/>
      <c r="O923" s="4"/>
      <c r="P923" s="4"/>
      <c r="Q923" s="4"/>
      <c r="R923" s="4"/>
      <c r="S923" s="4"/>
      <c r="T923" s="4"/>
      <c r="U923" s="4"/>
      <c r="V923" s="4"/>
      <c r="W923" s="4"/>
      <c r="X923" s="4"/>
      <c r="Y923" s="4"/>
      <c r="Z923" s="4"/>
    </row>
    <row r="924" spans="1:26" ht="12.75">
      <c r="A924" s="4"/>
      <c r="B924" s="4"/>
      <c r="C924" s="15"/>
      <c r="D924" s="4"/>
      <c r="E924" s="4"/>
      <c r="F924" s="4"/>
      <c r="G924" s="4"/>
      <c r="H924" s="4"/>
      <c r="I924" s="4"/>
      <c r="J924" s="4"/>
      <c r="K924" s="4"/>
      <c r="L924" s="4"/>
      <c r="M924" s="4"/>
      <c r="N924" s="4"/>
      <c r="O924" s="4"/>
      <c r="P924" s="4"/>
      <c r="Q924" s="4"/>
      <c r="R924" s="4"/>
      <c r="S924" s="4"/>
      <c r="T924" s="4"/>
      <c r="U924" s="4"/>
      <c r="V924" s="4"/>
      <c r="W924" s="4"/>
      <c r="X924" s="4"/>
      <c r="Y924" s="4"/>
      <c r="Z924" s="4"/>
    </row>
    <row r="925" spans="1:26" ht="12.75">
      <c r="A925" s="4"/>
      <c r="B925" s="4"/>
      <c r="C925" s="15"/>
      <c r="D925" s="4"/>
      <c r="E925" s="4"/>
      <c r="F925" s="4"/>
      <c r="G925" s="4"/>
      <c r="H925" s="4"/>
      <c r="I925" s="4"/>
      <c r="J925" s="4"/>
      <c r="K925" s="4"/>
      <c r="L925" s="4"/>
      <c r="M925" s="4"/>
      <c r="N925" s="4"/>
      <c r="O925" s="4"/>
      <c r="P925" s="4"/>
      <c r="Q925" s="4"/>
      <c r="R925" s="4"/>
      <c r="S925" s="4"/>
      <c r="T925" s="4"/>
      <c r="U925" s="4"/>
      <c r="V925" s="4"/>
      <c r="W925" s="4"/>
      <c r="X925" s="4"/>
      <c r="Y925" s="4"/>
      <c r="Z925" s="4"/>
    </row>
    <row r="926" spans="1:26" ht="12.75">
      <c r="A926" s="4"/>
      <c r="B926" s="4"/>
      <c r="C926" s="15"/>
      <c r="D926" s="4"/>
      <c r="E926" s="4"/>
      <c r="F926" s="4"/>
      <c r="G926" s="4"/>
      <c r="H926" s="4"/>
      <c r="I926" s="4"/>
      <c r="J926" s="4"/>
      <c r="K926" s="4"/>
      <c r="L926" s="4"/>
      <c r="M926" s="4"/>
      <c r="N926" s="4"/>
      <c r="O926" s="4"/>
      <c r="P926" s="4"/>
      <c r="Q926" s="4"/>
      <c r="R926" s="4"/>
      <c r="S926" s="4"/>
      <c r="T926" s="4"/>
      <c r="U926" s="4"/>
      <c r="V926" s="4"/>
      <c r="W926" s="4"/>
      <c r="X926" s="4"/>
      <c r="Y926" s="4"/>
      <c r="Z926" s="4"/>
    </row>
    <row r="927" spans="1:26" ht="12.75">
      <c r="A927" s="4"/>
      <c r="B927" s="4"/>
      <c r="C927" s="15"/>
      <c r="D927" s="4"/>
      <c r="E927" s="4"/>
      <c r="F927" s="4"/>
      <c r="G927" s="4"/>
      <c r="H927" s="4"/>
      <c r="I927" s="4"/>
      <c r="J927" s="4"/>
      <c r="K927" s="4"/>
      <c r="L927" s="4"/>
      <c r="M927" s="4"/>
      <c r="N927" s="4"/>
      <c r="O927" s="4"/>
      <c r="P927" s="4"/>
      <c r="Q927" s="4"/>
      <c r="R927" s="4"/>
      <c r="S927" s="4"/>
      <c r="T927" s="4"/>
      <c r="U927" s="4"/>
      <c r="V927" s="4"/>
      <c r="W927" s="4"/>
      <c r="X927" s="4"/>
      <c r="Y927" s="4"/>
      <c r="Z927" s="4"/>
    </row>
    <row r="928" spans="1:26" ht="12.75">
      <c r="A928" s="4"/>
      <c r="B928" s="4"/>
      <c r="C928" s="15"/>
      <c r="D928" s="4"/>
      <c r="E928" s="4"/>
      <c r="F928" s="4"/>
      <c r="G928" s="4"/>
      <c r="H928" s="4"/>
      <c r="I928" s="4"/>
      <c r="J928" s="4"/>
      <c r="K928" s="4"/>
      <c r="L928" s="4"/>
      <c r="M928" s="4"/>
      <c r="N928" s="4"/>
      <c r="O928" s="4"/>
      <c r="P928" s="4"/>
      <c r="Q928" s="4"/>
      <c r="R928" s="4"/>
      <c r="S928" s="4"/>
      <c r="T928" s="4"/>
      <c r="U928" s="4"/>
      <c r="V928" s="4"/>
      <c r="W928" s="4"/>
      <c r="X928" s="4"/>
      <c r="Y928" s="4"/>
      <c r="Z928" s="4"/>
    </row>
    <row r="929" spans="1:26" ht="12.75">
      <c r="A929" s="4"/>
      <c r="B929" s="4"/>
      <c r="C929" s="15"/>
      <c r="D929" s="4"/>
      <c r="E929" s="4"/>
      <c r="F929" s="4"/>
      <c r="G929" s="4"/>
      <c r="H929" s="4"/>
      <c r="I929" s="4"/>
      <c r="J929" s="4"/>
      <c r="K929" s="4"/>
      <c r="L929" s="4"/>
      <c r="M929" s="4"/>
      <c r="N929" s="4"/>
      <c r="O929" s="4"/>
      <c r="P929" s="4"/>
      <c r="Q929" s="4"/>
      <c r="R929" s="4"/>
      <c r="S929" s="4"/>
      <c r="T929" s="4"/>
      <c r="U929" s="4"/>
      <c r="V929" s="4"/>
      <c r="W929" s="4"/>
      <c r="X929" s="4"/>
      <c r="Y929" s="4"/>
      <c r="Z929" s="4"/>
    </row>
    <row r="930" spans="1:26" ht="12.75">
      <c r="A930" s="4"/>
      <c r="B930" s="4"/>
      <c r="C930" s="15"/>
      <c r="D930" s="4"/>
      <c r="E930" s="4"/>
      <c r="F930" s="4"/>
      <c r="G930" s="4"/>
      <c r="H930" s="4"/>
      <c r="I930" s="4"/>
      <c r="J930" s="4"/>
      <c r="K930" s="4"/>
      <c r="L930" s="4"/>
      <c r="M930" s="4"/>
      <c r="N930" s="4"/>
      <c r="O930" s="4"/>
      <c r="P930" s="4"/>
      <c r="Q930" s="4"/>
      <c r="R930" s="4"/>
      <c r="S930" s="4"/>
      <c r="T930" s="4"/>
      <c r="U930" s="4"/>
      <c r="V930" s="4"/>
      <c r="W930" s="4"/>
      <c r="X930" s="4"/>
      <c r="Y930" s="4"/>
      <c r="Z930" s="4"/>
    </row>
    <row r="931" spans="1:26" ht="12.75">
      <c r="A931" s="4"/>
      <c r="B931" s="4"/>
      <c r="C931" s="15"/>
      <c r="D931" s="4"/>
      <c r="E931" s="4"/>
      <c r="F931" s="4"/>
      <c r="G931" s="4"/>
      <c r="H931" s="4"/>
      <c r="I931" s="4"/>
      <c r="J931" s="4"/>
      <c r="K931" s="4"/>
      <c r="L931" s="4"/>
      <c r="M931" s="4"/>
      <c r="N931" s="4"/>
      <c r="O931" s="4"/>
      <c r="P931" s="4"/>
      <c r="Q931" s="4"/>
      <c r="R931" s="4"/>
      <c r="S931" s="4"/>
      <c r="T931" s="4"/>
      <c r="U931" s="4"/>
      <c r="V931" s="4"/>
      <c r="W931" s="4"/>
      <c r="X931" s="4"/>
      <c r="Y931" s="4"/>
      <c r="Z931" s="4"/>
    </row>
    <row r="932" spans="1:26" ht="12.75">
      <c r="A932" s="4"/>
      <c r="B932" s="4"/>
      <c r="C932" s="15"/>
      <c r="D932" s="4"/>
      <c r="E932" s="4"/>
      <c r="F932" s="4"/>
      <c r="G932" s="4"/>
      <c r="H932" s="4"/>
      <c r="I932" s="4"/>
      <c r="J932" s="4"/>
      <c r="K932" s="4"/>
      <c r="L932" s="4"/>
      <c r="M932" s="4"/>
      <c r="N932" s="4"/>
      <c r="O932" s="4"/>
      <c r="P932" s="4"/>
      <c r="Q932" s="4"/>
      <c r="R932" s="4"/>
      <c r="S932" s="4"/>
      <c r="T932" s="4"/>
      <c r="U932" s="4"/>
      <c r="V932" s="4"/>
      <c r="W932" s="4"/>
      <c r="X932" s="4"/>
      <c r="Y932" s="4"/>
      <c r="Z932" s="4"/>
    </row>
    <row r="933" spans="1:26" ht="12.75">
      <c r="A933" s="4"/>
      <c r="B933" s="4"/>
      <c r="C933" s="15"/>
      <c r="D933" s="4"/>
      <c r="E933" s="4"/>
      <c r="F933" s="4"/>
      <c r="G933" s="4"/>
      <c r="H933" s="4"/>
      <c r="I933" s="4"/>
      <c r="J933" s="4"/>
      <c r="K933" s="4"/>
      <c r="L933" s="4"/>
      <c r="M933" s="4"/>
      <c r="N933" s="4"/>
      <c r="O933" s="4"/>
      <c r="P933" s="4"/>
      <c r="Q933" s="4"/>
      <c r="R933" s="4"/>
      <c r="S933" s="4"/>
      <c r="T933" s="4"/>
      <c r="U933" s="4"/>
      <c r="V933" s="4"/>
      <c r="W933" s="4"/>
      <c r="X933" s="4"/>
      <c r="Y933" s="4"/>
      <c r="Z933" s="4"/>
    </row>
    <row r="934" spans="1:26" ht="12.75">
      <c r="A934" s="4"/>
      <c r="B934" s="4"/>
      <c r="C934" s="15"/>
      <c r="D934" s="4"/>
      <c r="E934" s="4"/>
      <c r="F934" s="4"/>
      <c r="G934" s="4"/>
      <c r="H934" s="4"/>
      <c r="I934" s="4"/>
      <c r="J934" s="4"/>
      <c r="K934" s="4"/>
      <c r="L934" s="4"/>
      <c r="M934" s="4"/>
      <c r="N934" s="4"/>
      <c r="O934" s="4"/>
      <c r="P934" s="4"/>
      <c r="Q934" s="4"/>
      <c r="R934" s="4"/>
      <c r="S934" s="4"/>
      <c r="T934" s="4"/>
      <c r="U934" s="4"/>
      <c r="V934" s="4"/>
      <c r="W934" s="4"/>
      <c r="X934" s="4"/>
      <c r="Y934" s="4"/>
      <c r="Z934" s="4"/>
    </row>
    <row r="935" spans="1:26" ht="12.75">
      <c r="A935" s="4"/>
      <c r="B935" s="4"/>
      <c r="C935" s="15"/>
      <c r="D935" s="4"/>
      <c r="E935" s="4"/>
      <c r="F935" s="4"/>
      <c r="G935" s="4"/>
      <c r="H935" s="4"/>
      <c r="I935" s="4"/>
      <c r="J935" s="4"/>
      <c r="K935" s="4"/>
      <c r="L935" s="4"/>
      <c r="M935" s="4"/>
      <c r="N935" s="4"/>
      <c r="O935" s="4"/>
      <c r="P935" s="4"/>
      <c r="Q935" s="4"/>
      <c r="R935" s="4"/>
      <c r="S935" s="4"/>
      <c r="T935" s="4"/>
      <c r="U935" s="4"/>
      <c r="V935" s="4"/>
      <c r="W935" s="4"/>
      <c r="X935" s="4"/>
      <c r="Y935" s="4"/>
      <c r="Z935" s="4"/>
    </row>
    <row r="936" spans="1:26" ht="12.75">
      <c r="A936" s="4"/>
      <c r="B936" s="4"/>
      <c r="C936" s="15"/>
      <c r="D936" s="4"/>
      <c r="E936" s="4"/>
      <c r="F936" s="4"/>
      <c r="G936" s="4"/>
      <c r="H936" s="4"/>
      <c r="I936" s="4"/>
      <c r="J936" s="4"/>
      <c r="K936" s="4"/>
      <c r="L936" s="4"/>
      <c r="M936" s="4"/>
      <c r="N936" s="4"/>
      <c r="O936" s="4"/>
      <c r="P936" s="4"/>
      <c r="Q936" s="4"/>
      <c r="R936" s="4"/>
      <c r="S936" s="4"/>
      <c r="T936" s="4"/>
      <c r="U936" s="4"/>
      <c r="V936" s="4"/>
      <c r="W936" s="4"/>
      <c r="X936" s="4"/>
      <c r="Y936" s="4"/>
      <c r="Z936" s="4"/>
    </row>
    <row r="937" spans="1:26" ht="12.75">
      <c r="A937" s="4"/>
      <c r="B937" s="4"/>
      <c r="C937" s="15"/>
      <c r="D937" s="4"/>
      <c r="E937" s="4"/>
      <c r="F937" s="4"/>
      <c r="G937" s="4"/>
      <c r="H937" s="4"/>
      <c r="I937" s="4"/>
      <c r="J937" s="4"/>
      <c r="K937" s="4"/>
      <c r="L937" s="4"/>
      <c r="M937" s="4"/>
      <c r="N937" s="4"/>
      <c r="O937" s="4"/>
      <c r="P937" s="4"/>
      <c r="Q937" s="4"/>
      <c r="R937" s="4"/>
      <c r="S937" s="4"/>
      <c r="T937" s="4"/>
      <c r="U937" s="4"/>
      <c r="V937" s="4"/>
      <c r="W937" s="4"/>
      <c r="X937" s="4"/>
      <c r="Y937" s="4"/>
      <c r="Z937" s="4"/>
    </row>
    <row r="938" spans="1:26" ht="12.75">
      <c r="A938" s="4"/>
      <c r="B938" s="4"/>
      <c r="C938" s="15"/>
      <c r="D938" s="4"/>
      <c r="E938" s="4"/>
      <c r="F938" s="4"/>
      <c r="G938" s="4"/>
      <c r="H938" s="4"/>
      <c r="I938" s="4"/>
      <c r="J938" s="4"/>
      <c r="K938" s="4"/>
      <c r="L938" s="4"/>
      <c r="M938" s="4"/>
      <c r="N938" s="4"/>
      <c r="O938" s="4"/>
      <c r="P938" s="4"/>
      <c r="Q938" s="4"/>
      <c r="R938" s="4"/>
      <c r="S938" s="4"/>
      <c r="T938" s="4"/>
      <c r="U938" s="4"/>
      <c r="V938" s="4"/>
      <c r="W938" s="4"/>
      <c r="X938" s="4"/>
      <c r="Y938" s="4"/>
      <c r="Z938" s="4"/>
    </row>
    <row r="939" spans="1:26" ht="12.75">
      <c r="A939" s="4"/>
      <c r="B939" s="4"/>
      <c r="C939" s="15"/>
      <c r="D939" s="4"/>
      <c r="E939" s="4"/>
      <c r="F939" s="4"/>
      <c r="G939" s="4"/>
      <c r="H939" s="4"/>
      <c r="I939" s="4"/>
      <c r="J939" s="4"/>
      <c r="K939" s="4"/>
      <c r="L939" s="4"/>
      <c r="M939" s="4"/>
      <c r="N939" s="4"/>
      <c r="O939" s="4"/>
      <c r="P939" s="4"/>
      <c r="Q939" s="4"/>
      <c r="R939" s="4"/>
      <c r="S939" s="4"/>
      <c r="T939" s="4"/>
      <c r="U939" s="4"/>
      <c r="V939" s="4"/>
      <c r="W939" s="4"/>
      <c r="X939" s="4"/>
      <c r="Y939" s="4"/>
      <c r="Z939" s="4"/>
    </row>
    <row r="940" spans="1:26" ht="12.75">
      <c r="A940" s="4"/>
      <c r="B940" s="4"/>
      <c r="C940" s="15"/>
      <c r="D940" s="4"/>
      <c r="E940" s="4"/>
      <c r="F940" s="4"/>
      <c r="G940" s="4"/>
      <c r="H940" s="4"/>
      <c r="I940" s="4"/>
      <c r="J940" s="4"/>
      <c r="K940" s="4"/>
      <c r="L940" s="4"/>
      <c r="M940" s="4"/>
      <c r="N940" s="4"/>
      <c r="O940" s="4"/>
      <c r="P940" s="4"/>
      <c r="Q940" s="4"/>
      <c r="R940" s="4"/>
      <c r="S940" s="4"/>
      <c r="T940" s="4"/>
      <c r="U940" s="4"/>
      <c r="V940" s="4"/>
      <c r="W940" s="4"/>
      <c r="X940" s="4"/>
      <c r="Y940" s="4"/>
      <c r="Z940" s="4"/>
    </row>
    <row r="941" spans="1:26" ht="12.75">
      <c r="A941" s="4"/>
      <c r="B941" s="4"/>
      <c r="C941" s="15"/>
      <c r="D941" s="4"/>
      <c r="E941" s="4"/>
      <c r="F941" s="4"/>
      <c r="G941" s="4"/>
      <c r="H941" s="4"/>
      <c r="I941" s="4"/>
      <c r="J941" s="4"/>
      <c r="K941" s="4"/>
      <c r="L941" s="4"/>
      <c r="M941" s="4"/>
      <c r="N941" s="4"/>
      <c r="O941" s="4"/>
      <c r="P941" s="4"/>
      <c r="Q941" s="4"/>
      <c r="R941" s="4"/>
      <c r="S941" s="4"/>
      <c r="T941" s="4"/>
      <c r="U941" s="4"/>
      <c r="V941" s="4"/>
      <c r="W941" s="4"/>
      <c r="X941" s="4"/>
      <c r="Y941" s="4"/>
      <c r="Z941" s="4"/>
    </row>
    <row r="942" spans="1:26" ht="12.75">
      <c r="A942" s="4"/>
      <c r="B942" s="4"/>
      <c r="C942" s="15"/>
      <c r="D942" s="4"/>
      <c r="E942" s="4"/>
      <c r="F942" s="4"/>
      <c r="G942" s="4"/>
      <c r="H942" s="4"/>
      <c r="I942" s="4"/>
      <c r="J942" s="4"/>
      <c r="K942" s="4"/>
      <c r="L942" s="4"/>
      <c r="M942" s="4"/>
      <c r="N942" s="4"/>
      <c r="O942" s="4"/>
      <c r="P942" s="4"/>
      <c r="Q942" s="4"/>
      <c r="R942" s="4"/>
      <c r="S942" s="4"/>
      <c r="T942" s="4"/>
      <c r="U942" s="4"/>
      <c r="V942" s="4"/>
      <c r="W942" s="4"/>
      <c r="X942" s="4"/>
      <c r="Y942" s="4"/>
      <c r="Z942" s="4"/>
    </row>
    <row r="943" spans="1:26" ht="12.75">
      <c r="A943" s="4"/>
      <c r="B943" s="4"/>
      <c r="C943" s="15"/>
      <c r="D943" s="4"/>
      <c r="E943" s="4"/>
      <c r="F943" s="4"/>
      <c r="G943" s="4"/>
      <c r="H943" s="4"/>
      <c r="I943" s="4"/>
      <c r="J943" s="4"/>
      <c r="K943" s="4"/>
      <c r="L943" s="4"/>
      <c r="M943" s="4"/>
      <c r="N943" s="4"/>
      <c r="O943" s="4"/>
      <c r="P943" s="4"/>
      <c r="Q943" s="4"/>
      <c r="R943" s="4"/>
      <c r="S943" s="4"/>
      <c r="T943" s="4"/>
      <c r="U943" s="4"/>
      <c r="V943" s="4"/>
      <c r="W943" s="4"/>
      <c r="X943" s="4"/>
      <c r="Y943" s="4"/>
      <c r="Z943" s="4"/>
    </row>
    <row r="944" spans="1:26" ht="12.75">
      <c r="A944" s="4"/>
      <c r="B944" s="4"/>
      <c r="C944" s="15"/>
      <c r="D944" s="4"/>
      <c r="E944" s="4"/>
      <c r="F944" s="4"/>
      <c r="G944" s="4"/>
      <c r="H944" s="4"/>
      <c r="I944" s="4"/>
      <c r="J944" s="4"/>
      <c r="K944" s="4"/>
      <c r="L944" s="4"/>
      <c r="M944" s="4"/>
      <c r="N944" s="4"/>
      <c r="O944" s="4"/>
      <c r="P944" s="4"/>
      <c r="Q944" s="4"/>
      <c r="R944" s="4"/>
      <c r="S944" s="4"/>
      <c r="T944" s="4"/>
      <c r="U944" s="4"/>
      <c r="V944" s="4"/>
      <c r="W944" s="4"/>
      <c r="X944" s="4"/>
      <c r="Y944" s="4"/>
      <c r="Z944" s="4"/>
    </row>
    <row r="945" spans="1:26" ht="12.75">
      <c r="A945" s="4"/>
      <c r="B945" s="4"/>
      <c r="C945" s="15"/>
      <c r="D945" s="4"/>
      <c r="E945" s="4"/>
      <c r="F945" s="4"/>
      <c r="G945" s="4"/>
      <c r="H945" s="4"/>
      <c r="I945" s="4"/>
      <c r="J945" s="4"/>
      <c r="K945" s="4"/>
      <c r="L945" s="4"/>
      <c r="M945" s="4"/>
      <c r="N945" s="4"/>
      <c r="O945" s="4"/>
      <c r="P945" s="4"/>
      <c r="Q945" s="4"/>
      <c r="R945" s="4"/>
      <c r="S945" s="4"/>
      <c r="T945" s="4"/>
      <c r="U945" s="4"/>
      <c r="V945" s="4"/>
      <c r="W945" s="4"/>
      <c r="X945" s="4"/>
      <c r="Y945" s="4"/>
      <c r="Z945" s="4"/>
    </row>
    <row r="946" spans="1:26" ht="12.75">
      <c r="A946" s="4"/>
      <c r="B946" s="4"/>
      <c r="C946" s="15"/>
      <c r="D946" s="4"/>
      <c r="E946" s="4"/>
      <c r="F946" s="4"/>
      <c r="G946" s="4"/>
      <c r="H946" s="4"/>
      <c r="I946" s="4"/>
      <c r="J946" s="4"/>
      <c r="K946" s="4"/>
      <c r="L946" s="4"/>
      <c r="M946" s="4"/>
      <c r="N946" s="4"/>
      <c r="O946" s="4"/>
      <c r="P946" s="4"/>
      <c r="Q946" s="4"/>
      <c r="R946" s="4"/>
      <c r="S946" s="4"/>
      <c r="T946" s="4"/>
      <c r="U946" s="4"/>
      <c r="V946" s="4"/>
      <c r="W946" s="4"/>
      <c r="X946" s="4"/>
      <c r="Y946" s="4"/>
      <c r="Z946" s="4"/>
    </row>
    <row r="947" spans="1:26" ht="12.75">
      <c r="A947" s="4"/>
      <c r="B947" s="4"/>
      <c r="C947" s="15"/>
      <c r="D947" s="4"/>
      <c r="E947" s="4"/>
      <c r="F947" s="4"/>
      <c r="G947" s="4"/>
      <c r="H947" s="4"/>
      <c r="I947" s="4"/>
      <c r="J947" s="4"/>
      <c r="K947" s="4"/>
      <c r="L947" s="4"/>
      <c r="M947" s="4"/>
      <c r="N947" s="4"/>
      <c r="O947" s="4"/>
      <c r="P947" s="4"/>
      <c r="Q947" s="4"/>
      <c r="R947" s="4"/>
      <c r="S947" s="4"/>
      <c r="T947" s="4"/>
      <c r="U947" s="4"/>
      <c r="V947" s="4"/>
      <c r="W947" s="4"/>
      <c r="X947" s="4"/>
      <c r="Y947" s="4"/>
      <c r="Z947" s="4"/>
    </row>
    <row r="948" spans="1:26" ht="12.75">
      <c r="A948" s="4"/>
      <c r="B948" s="4"/>
      <c r="C948" s="15"/>
      <c r="D948" s="4"/>
      <c r="E948" s="4"/>
      <c r="F948" s="4"/>
      <c r="G948" s="4"/>
      <c r="H948" s="4"/>
      <c r="I948" s="4"/>
      <c r="J948" s="4"/>
      <c r="K948" s="4"/>
      <c r="L948" s="4"/>
      <c r="M948" s="4"/>
      <c r="N948" s="4"/>
      <c r="O948" s="4"/>
      <c r="P948" s="4"/>
      <c r="Q948" s="4"/>
      <c r="R948" s="4"/>
      <c r="S948" s="4"/>
      <c r="T948" s="4"/>
      <c r="U948" s="4"/>
      <c r="V948" s="4"/>
      <c r="W948" s="4"/>
      <c r="X948" s="4"/>
      <c r="Y948" s="4"/>
      <c r="Z948" s="4"/>
    </row>
    <row r="949" spans="1:26" ht="12.75">
      <c r="A949" s="4"/>
      <c r="B949" s="4"/>
      <c r="C949" s="15"/>
      <c r="D949" s="4"/>
      <c r="E949" s="4"/>
      <c r="F949" s="4"/>
      <c r="G949" s="4"/>
      <c r="H949" s="4"/>
      <c r="I949" s="4"/>
      <c r="J949" s="4"/>
      <c r="K949" s="4"/>
      <c r="L949" s="4"/>
      <c r="M949" s="4"/>
      <c r="N949" s="4"/>
      <c r="O949" s="4"/>
      <c r="P949" s="4"/>
      <c r="Q949" s="4"/>
      <c r="R949" s="4"/>
      <c r="S949" s="4"/>
      <c r="T949" s="4"/>
      <c r="U949" s="4"/>
      <c r="V949" s="4"/>
      <c r="W949" s="4"/>
      <c r="X949" s="4"/>
      <c r="Y949" s="4"/>
      <c r="Z949" s="4"/>
    </row>
    <row r="950" spans="1:26" ht="12.75">
      <c r="A950" s="4"/>
      <c r="B950" s="4"/>
      <c r="C950" s="15"/>
      <c r="D950" s="4"/>
      <c r="E950" s="4"/>
      <c r="F950" s="4"/>
      <c r="G950" s="4"/>
      <c r="H950" s="4"/>
      <c r="I950" s="4"/>
      <c r="J950" s="4"/>
      <c r="K950" s="4"/>
      <c r="L950" s="4"/>
      <c r="M950" s="4"/>
      <c r="N950" s="4"/>
      <c r="O950" s="4"/>
      <c r="P950" s="4"/>
      <c r="Q950" s="4"/>
      <c r="R950" s="4"/>
      <c r="S950" s="4"/>
      <c r="T950" s="4"/>
      <c r="U950" s="4"/>
      <c r="V950" s="4"/>
      <c r="W950" s="4"/>
      <c r="X950" s="4"/>
      <c r="Y950" s="4"/>
      <c r="Z950" s="4"/>
    </row>
    <row r="951" spans="1:26" ht="12.75">
      <c r="A951" s="4"/>
      <c r="B951" s="4"/>
      <c r="C951" s="15"/>
      <c r="D951" s="4"/>
      <c r="E951" s="4"/>
      <c r="F951" s="4"/>
      <c r="G951" s="4"/>
      <c r="H951" s="4"/>
      <c r="I951" s="4"/>
      <c r="J951" s="4"/>
      <c r="K951" s="4"/>
      <c r="L951" s="4"/>
      <c r="M951" s="4"/>
      <c r="N951" s="4"/>
      <c r="O951" s="4"/>
      <c r="P951" s="4"/>
      <c r="Q951" s="4"/>
      <c r="R951" s="4"/>
      <c r="S951" s="4"/>
      <c r="T951" s="4"/>
      <c r="U951" s="4"/>
      <c r="V951" s="4"/>
      <c r="W951" s="4"/>
      <c r="X951" s="4"/>
      <c r="Y951" s="4"/>
      <c r="Z951" s="4"/>
    </row>
    <row r="952" spans="1:26" ht="12.75">
      <c r="A952" s="4"/>
      <c r="B952" s="4"/>
      <c r="C952" s="15"/>
      <c r="D952" s="4"/>
      <c r="E952" s="4"/>
      <c r="F952" s="4"/>
      <c r="G952" s="4"/>
      <c r="H952" s="4"/>
      <c r="I952" s="4"/>
      <c r="J952" s="4"/>
      <c r="K952" s="4"/>
      <c r="L952" s="4"/>
      <c r="M952" s="4"/>
      <c r="N952" s="4"/>
      <c r="O952" s="4"/>
      <c r="P952" s="4"/>
      <c r="Q952" s="4"/>
      <c r="R952" s="4"/>
      <c r="S952" s="4"/>
      <c r="T952" s="4"/>
      <c r="U952" s="4"/>
      <c r="V952" s="4"/>
      <c r="W952" s="4"/>
      <c r="X952" s="4"/>
      <c r="Y952" s="4"/>
      <c r="Z952" s="4"/>
    </row>
    <row r="953" spans="1:26" ht="12.75">
      <c r="A953" s="4"/>
      <c r="B953" s="4"/>
      <c r="C953" s="15"/>
      <c r="D953" s="4"/>
      <c r="E953" s="4"/>
      <c r="F953" s="4"/>
      <c r="G953" s="4"/>
      <c r="H953" s="4"/>
      <c r="I953" s="4"/>
      <c r="J953" s="4"/>
      <c r="K953" s="4"/>
      <c r="L953" s="4"/>
      <c r="M953" s="4"/>
      <c r="N953" s="4"/>
      <c r="O953" s="4"/>
      <c r="P953" s="4"/>
      <c r="Q953" s="4"/>
      <c r="R953" s="4"/>
      <c r="S953" s="4"/>
      <c r="T953" s="4"/>
      <c r="U953" s="4"/>
      <c r="V953" s="4"/>
      <c r="W953" s="4"/>
      <c r="X953" s="4"/>
      <c r="Y953" s="4"/>
      <c r="Z953" s="4"/>
    </row>
    <row r="954" spans="1:26" ht="12.75">
      <c r="A954" s="4"/>
      <c r="B954" s="4"/>
      <c r="C954" s="15"/>
      <c r="D954" s="4"/>
      <c r="E954" s="4"/>
      <c r="F954" s="4"/>
      <c r="G954" s="4"/>
      <c r="H954" s="4"/>
      <c r="I954" s="4"/>
      <c r="J954" s="4"/>
      <c r="K954" s="4"/>
      <c r="L954" s="4"/>
      <c r="M954" s="4"/>
      <c r="N954" s="4"/>
      <c r="O954" s="4"/>
      <c r="P954" s="4"/>
      <c r="Q954" s="4"/>
      <c r="R954" s="4"/>
      <c r="S954" s="4"/>
      <c r="T954" s="4"/>
      <c r="U954" s="4"/>
      <c r="V954" s="4"/>
      <c r="W954" s="4"/>
      <c r="X954" s="4"/>
      <c r="Y954" s="4"/>
      <c r="Z954" s="4"/>
    </row>
    <row r="955" spans="1:26" ht="12.75">
      <c r="A955" s="4"/>
      <c r="B955" s="4"/>
      <c r="C955" s="15"/>
      <c r="D955" s="4"/>
      <c r="E955" s="4"/>
      <c r="F955" s="4"/>
      <c r="G955" s="4"/>
      <c r="H955" s="4"/>
      <c r="I955" s="4"/>
      <c r="J955" s="4"/>
      <c r="K955" s="4"/>
      <c r="L955" s="4"/>
      <c r="M955" s="4"/>
      <c r="N955" s="4"/>
      <c r="O955" s="4"/>
      <c r="P955" s="4"/>
      <c r="Q955" s="4"/>
      <c r="R955" s="4"/>
      <c r="S955" s="4"/>
      <c r="T955" s="4"/>
      <c r="U955" s="4"/>
      <c r="V955" s="4"/>
      <c r="W955" s="4"/>
      <c r="X955" s="4"/>
      <c r="Y955" s="4"/>
      <c r="Z955" s="4"/>
    </row>
    <row r="956" spans="1:26" ht="12.75">
      <c r="A956" s="4"/>
      <c r="B956" s="4"/>
      <c r="C956" s="15"/>
      <c r="D956" s="4"/>
      <c r="E956" s="4"/>
      <c r="F956" s="4"/>
      <c r="G956" s="4"/>
      <c r="H956" s="4"/>
      <c r="I956" s="4"/>
      <c r="J956" s="4"/>
      <c r="K956" s="4"/>
      <c r="L956" s="4"/>
      <c r="M956" s="4"/>
      <c r="N956" s="4"/>
      <c r="O956" s="4"/>
      <c r="P956" s="4"/>
      <c r="Q956" s="4"/>
      <c r="R956" s="4"/>
      <c r="S956" s="4"/>
      <c r="T956" s="4"/>
      <c r="U956" s="4"/>
      <c r="V956" s="4"/>
      <c r="W956" s="4"/>
      <c r="X956" s="4"/>
      <c r="Y956" s="4"/>
      <c r="Z956" s="4"/>
    </row>
    <row r="957" spans="1:26" ht="12.75">
      <c r="A957" s="4"/>
      <c r="B957" s="4"/>
      <c r="C957" s="15"/>
      <c r="D957" s="4"/>
      <c r="E957" s="4"/>
      <c r="F957" s="4"/>
      <c r="G957" s="4"/>
      <c r="H957" s="4"/>
      <c r="I957" s="4"/>
      <c r="J957" s="4"/>
      <c r="K957" s="4"/>
      <c r="L957" s="4"/>
      <c r="M957" s="4"/>
      <c r="N957" s="4"/>
      <c r="O957" s="4"/>
      <c r="P957" s="4"/>
      <c r="Q957" s="4"/>
      <c r="R957" s="4"/>
      <c r="S957" s="4"/>
      <c r="T957" s="4"/>
      <c r="U957" s="4"/>
      <c r="V957" s="4"/>
      <c r="W957" s="4"/>
      <c r="X957" s="4"/>
      <c r="Y957" s="4"/>
      <c r="Z957" s="4"/>
    </row>
    <row r="958" spans="1:26" ht="12.75">
      <c r="A958" s="4"/>
      <c r="B958" s="4"/>
      <c r="C958" s="15"/>
      <c r="D958" s="4"/>
      <c r="E958" s="4"/>
      <c r="F958" s="4"/>
      <c r="G958" s="4"/>
      <c r="H958" s="4"/>
      <c r="I958" s="4"/>
      <c r="J958" s="4"/>
      <c r="K958" s="4"/>
      <c r="L958" s="4"/>
      <c r="M958" s="4"/>
      <c r="N958" s="4"/>
      <c r="O958" s="4"/>
      <c r="P958" s="4"/>
      <c r="Q958" s="4"/>
      <c r="R958" s="4"/>
      <c r="S958" s="4"/>
      <c r="T958" s="4"/>
      <c r="U958" s="4"/>
      <c r="V958" s="4"/>
      <c r="W958" s="4"/>
      <c r="X958" s="4"/>
      <c r="Y958" s="4"/>
      <c r="Z958" s="4"/>
    </row>
    <row r="959" spans="1:26" ht="12.75">
      <c r="A959" s="4"/>
      <c r="B959" s="4"/>
      <c r="C959" s="15"/>
      <c r="D959" s="4"/>
      <c r="E959" s="4"/>
      <c r="F959" s="4"/>
      <c r="G959" s="4"/>
      <c r="H959" s="4"/>
      <c r="I959" s="4"/>
      <c r="J959" s="4"/>
      <c r="K959" s="4"/>
      <c r="L959" s="4"/>
      <c r="M959" s="4"/>
      <c r="N959" s="4"/>
      <c r="O959" s="4"/>
      <c r="P959" s="4"/>
      <c r="Q959" s="4"/>
      <c r="R959" s="4"/>
      <c r="S959" s="4"/>
      <c r="T959" s="4"/>
      <c r="U959" s="4"/>
      <c r="V959" s="4"/>
      <c r="W959" s="4"/>
      <c r="X959" s="4"/>
      <c r="Y959" s="4"/>
      <c r="Z959" s="4"/>
    </row>
    <row r="960" spans="1:26" ht="12.75">
      <c r="A960" s="4"/>
      <c r="B960" s="4"/>
      <c r="C960" s="15"/>
      <c r="D960" s="4"/>
      <c r="E960" s="4"/>
      <c r="F960" s="4"/>
      <c r="G960" s="4"/>
      <c r="H960" s="4"/>
      <c r="I960" s="4"/>
      <c r="J960" s="4"/>
      <c r="K960" s="4"/>
      <c r="L960" s="4"/>
      <c r="M960" s="4"/>
      <c r="N960" s="4"/>
      <c r="O960" s="4"/>
      <c r="P960" s="4"/>
      <c r="Q960" s="4"/>
      <c r="R960" s="4"/>
      <c r="S960" s="4"/>
      <c r="T960" s="4"/>
      <c r="U960" s="4"/>
      <c r="V960" s="4"/>
      <c r="W960" s="4"/>
      <c r="X960" s="4"/>
      <c r="Y960" s="4"/>
      <c r="Z960" s="4"/>
    </row>
    <row r="961" spans="1:26" ht="12.75">
      <c r="A961" s="4"/>
      <c r="B961" s="4"/>
      <c r="C961" s="15"/>
      <c r="D961" s="4"/>
      <c r="E961" s="4"/>
      <c r="F961" s="4"/>
      <c r="G961" s="4"/>
      <c r="H961" s="4"/>
      <c r="I961" s="4"/>
      <c r="J961" s="4"/>
      <c r="K961" s="4"/>
      <c r="L961" s="4"/>
      <c r="M961" s="4"/>
      <c r="N961" s="4"/>
      <c r="O961" s="4"/>
      <c r="P961" s="4"/>
      <c r="Q961" s="4"/>
      <c r="R961" s="4"/>
      <c r="S961" s="4"/>
      <c r="T961" s="4"/>
      <c r="U961" s="4"/>
      <c r="V961" s="4"/>
      <c r="W961" s="4"/>
      <c r="X961" s="4"/>
      <c r="Y961" s="4"/>
      <c r="Z961" s="4"/>
    </row>
    <row r="962" spans="1:26" ht="12.75">
      <c r="A962" s="4"/>
      <c r="B962" s="4"/>
      <c r="C962" s="15"/>
      <c r="D962" s="4"/>
      <c r="E962" s="4"/>
      <c r="F962" s="4"/>
      <c r="G962" s="4"/>
      <c r="H962" s="4"/>
      <c r="I962" s="4"/>
      <c r="J962" s="4"/>
      <c r="K962" s="4"/>
      <c r="L962" s="4"/>
      <c r="M962" s="4"/>
      <c r="N962" s="4"/>
      <c r="O962" s="4"/>
      <c r="P962" s="4"/>
      <c r="Q962" s="4"/>
      <c r="R962" s="4"/>
      <c r="S962" s="4"/>
      <c r="T962" s="4"/>
      <c r="U962" s="4"/>
      <c r="V962" s="4"/>
      <c r="W962" s="4"/>
      <c r="X962" s="4"/>
      <c r="Y962" s="4"/>
      <c r="Z962" s="4"/>
    </row>
    <row r="963" spans="1:26" ht="12.75">
      <c r="A963" s="4"/>
      <c r="B963" s="4"/>
      <c r="C963" s="15"/>
      <c r="D963" s="4"/>
      <c r="E963" s="4"/>
      <c r="F963" s="4"/>
      <c r="G963" s="4"/>
      <c r="H963" s="4"/>
      <c r="I963" s="4"/>
      <c r="J963" s="4"/>
      <c r="K963" s="4"/>
      <c r="L963" s="4"/>
      <c r="M963" s="4"/>
      <c r="N963" s="4"/>
      <c r="O963" s="4"/>
      <c r="P963" s="4"/>
      <c r="Q963" s="4"/>
      <c r="R963" s="4"/>
      <c r="S963" s="4"/>
      <c r="T963" s="4"/>
      <c r="U963" s="4"/>
      <c r="V963" s="4"/>
      <c r="W963" s="4"/>
      <c r="X963" s="4"/>
      <c r="Y963" s="4"/>
      <c r="Z963" s="4"/>
    </row>
    <row r="964" spans="1:26" ht="12.75">
      <c r="A964" s="4"/>
      <c r="B964" s="4"/>
      <c r="C964" s="15"/>
      <c r="D964" s="4"/>
      <c r="E964" s="4"/>
      <c r="F964" s="4"/>
      <c r="G964" s="4"/>
      <c r="H964" s="4"/>
      <c r="I964" s="4"/>
      <c r="J964" s="4"/>
      <c r="K964" s="4"/>
      <c r="L964" s="4"/>
      <c r="M964" s="4"/>
      <c r="N964" s="4"/>
      <c r="O964" s="4"/>
      <c r="P964" s="4"/>
      <c r="Q964" s="4"/>
      <c r="R964" s="4"/>
      <c r="S964" s="4"/>
      <c r="T964" s="4"/>
      <c r="U964" s="4"/>
      <c r="V964" s="4"/>
      <c r="W964" s="4"/>
      <c r="X964" s="4"/>
      <c r="Y964" s="4"/>
      <c r="Z964" s="4"/>
    </row>
    <row r="965" spans="1:26" ht="12.75">
      <c r="A965" s="4"/>
      <c r="B965" s="4"/>
      <c r="C965" s="15"/>
      <c r="D965" s="4"/>
      <c r="E965" s="4"/>
      <c r="F965" s="4"/>
      <c r="G965" s="4"/>
      <c r="H965" s="4"/>
      <c r="I965" s="4"/>
      <c r="J965" s="4"/>
      <c r="K965" s="4"/>
      <c r="L965" s="4"/>
      <c r="M965" s="4"/>
      <c r="N965" s="4"/>
      <c r="O965" s="4"/>
      <c r="P965" s="4"/>
      <c r="Q965" s="4"/>
      <c r="R965" s="4"/>
      <c r="S965" s="4"/>
      <c r="T965" s="4"/>
      <c r="U965" s="4"/>
      <c r="V965" s="4"/>
      <c r="W965" s="4"/>
      <c r="X965" s="4"/>
      <c r="Y965" s="4"/>
      <c r="Z965" s="4"/>
    </row>
    <row r="966" spans="1:26" ht="12.75">
      <c r="A966" s="4"/>
      <c r="B966" s="4"/>
      <c r="C966" s="15"/>
      <c r="D966" s="4"/>
      <c r="E966" s="4"/>
      <c r="F966" s="4"/>
      <c r="G966" s="4"/>
      <c r="H966" s="4"/>
      <c r="I966" s="4"/>
      <c r="J966" s="4"/>
      <c r="K966" s="4"/>
      <c r="L966" s="4"/>
      <c r="M966" s="4"/>
      <c r="N966" s="4"/>
      <c r="O966" s="4"/>
      <c r="P966" s="4"/>
      <c r="Q966" s="4"/>
      <c r="R966" s="4"/>
      <c r="S966" s="4"/>
      <c r="T966" s="4"/>
      <c r="U966" s="4"/>
      <c r="V966" s="4"/>
      <c r="W966" s="4"/>
      <c r="X966" s="4"/>
      <c r="Y966" s="4"/>
      <c r="Z966" s="4"/>
    </row>
    <row r="967" spans="1:26" ht="12.75">
      <c r="A967" s="4"/>
      <c r="B967" s="4"/>
      <c r="C967" s="15"/>
      <c r="D967" s="4"/>
      <c r="E967" s="4"/>
      <c r="F967" s="4"/>
      <c r="G967" s="4"/>
      <c r="H967" s="4"/>
      <c r="I967" s="4"/>
      <c r="J967" s="4"/>
      <c r="K967" s="4"/>
      <c r="L967" s="4"/>
      <c r="M967" s="4"/>
      <c r="N967" s="4"/>
      <c r="O967" s="4"/>
      <c r="P967" s="4"/>
      <c r="Q967" s="4"/>
      <c r="R967" s="4"/>
      <c r="S967" s="4"/>
      <c r="T967" s="4"/>
      <c r="U967" s="4"/>
      <c r="V967" s="4"/>
      <c r="W967" s="4"/>
      <c r="X967" s="4"/>
      <c r="Y967" s="4"/>
      <c r="Z967" s="4"/>
    </row>
    <row r="968" spans="1:26" ht="12.75">
      <c r="A968" s="4"/>
      <c r="B968" s="4"/>
      <c r="C968" s="15"/>
      <c r="D968" s="4"/>
      <c r="E968" s="4"/>
      <c r="F968" s="4"/>
      <c r="G968" s="4"/>
      <c r="H968" s="4"/>
      <c r="I968" s="4"/>
      <c r="J968" s="4"/>
      <c r="K968" s="4"/>
      <c r="L968" s="4"/>
      <c r="M968" s="4"/>
      <c r="N968" s="4"/>
      <c r="O968" s="4"/>
      <c r="P968" s="4"/>
      <c r="Q968" s="4"/>
      <c r="R968" s="4"/>
      <c r="S968" s="4"/>
      <c r="T968" s="4"/>
      <c r="U968" s="4"/>
      <c r="V968" s="4"/>
      <c r="W968" s="4"/>
      <c r="X968" s="4"/>
      <c r="Y968" s="4"/>
      <c r="Z968" s="4"/>
    </row>
    <row r="969" spans="1:26" ht="12.75">
      <c r="A969" s="4"/>
      <c r="B969" s="4"/>
      <c r="C969" s="15"/>
      <c r="D969" s="4"/>
      <c r="E969" s="4"/>
      <c r="F969" s="4"/>
      <c r="G969" s="4"/>
      <c r="H969" s="4"/>
      <c r="I969" s="4"/>
      <c r="J969" s="4"/>
      <c r="K969" s="4"/>
      <c r="L969" s="4"/>
      <c r="M969" s="4"/>
      <c r="N969" s="4"/>
      <c r="O969" s="4"/>
      <c r="P969" s="4"/>
      <c r="Q969" s="4"/>
      <c r="R969" s="4"/>
      <c r="S969" s="4"/>
      <c r="T969" s="4"/>
      <c r="U969" s="4"/>
      <c r="V969" s="4"/>
      <c r="W969" s="4"/>
      <c r="X969" s="4"/>
      <c r="Y969" s="4"/>
      <c r="Z969" s="4"/>
    </row>
    <row r="970" spans="1:26" ht="12.75">
      <c r="A970" s="4"/>
      <c r="B970" s="4"/>
      <c r="C970" s="15"/>
      <c r="D970" s="4"/>
      <c r="E970" s="4"/>
      <c r="F970" s="4"/>
      <c r="G970" s="4"/>
      <c r="H970" s="4"/>
      <c r="I970" s="4"/>
      <c r="J970" s="4"/>
      <c r="K970" s="4"/>
      <c r="L970" s="4"/>
      <c r="M970" s="4"/>
      <c r="N970" s="4"/>
      <c r="O970" s="4"/>
      <c r="P970" s="4"/>
      <c r="Q970" s="4"/>
      <c r="R970" s="4"/>
      <c r="S970" s="4"/>
      <c r="T970" s="4"/>
      <c r="U970" s="4"/>
      <c r="V970" s="4"/>
      <c r="W970" s="4"/>
      <c r="X970" s="4"/>
      <c r="Y970" s="4"/>
      <c r="Z970" s="4"/>
    </row>
    <row r="971" spans="1:26" ht="12.75">
      <c r="A971" s="4"/>
      <c r="B971" s="4"/>
      <c r="C971" s="15"/>
      <c r="D971" s="4"/>
      <c r="E971" s="4"/>
      <c r="F971" s="4"/>
      <c r="G971" s="4"/>
      <c r="H971" s="4"/>
      <c r="I971" s="4"/>
      <c r="J971" s="4"/>
      <c r="K971" s="4"/>
      <c r="L971" s="4"/>
      <c r="M971" s="4"/>
      <c r="N971" s="4"/>
      <c r="O971" s="4"/>
      <c r="P971" s="4"/>
      <c r="Q971" s="4"/>
      <c r="R971" s="4"/>
      <c r="S971" s="4"/>
      <c r="T971" s="4"/>
      <c r="U971" s="4"/>
      <c r="V971" s="4"/>
      <c r="W971" s="4"/>
      <c r="X971" s="4"/>
      <c r="Y971" s="4"/>
      <c r="Z971" s="4"/>
    </row>
    <row r="972" spans="1:26" ht="12.75">
      <c r="A972" s="4"/>
      <c r="B972" s="4"/>
      <c r="C972" s="15"/>
      <c r="D972" s="4"/>
      <c r="E972" s="4"/>
      <c r="F972" s="4"/>
      <c r="G972" s="4"/>
      <c r="H972" s="4"/>
      <c r="I972" s="4"/>
      <c r="J972" s="4"/>
      <c r="K972" s="4"/>
      <c r="L972" s="4"/>
      <c r="M972" s="4"/>
      <c r="N972" s="4"/>
      <c r="O972" s="4"/>
      <c r="P972" s="4"/>
      <c r="Q972" s="4"/>
      <c r="R972" s="4"/>
      <c r="S972" s="4"/>
      <c r="T972" s="4"/>
      <c r="U972" s="4"/>
      <c r="V972" s="4"/>
      <c r="W972" s="4"/>
      <c r="X972" s="4"/>
      <c r="Y972" s="4"/>
      <c r="Z972" s="4"/>
    </row>
    <row r="973" spans="1:26" ht="12.75">
      <c r="A973" s="4"/>
      <c r="B973" s="4"/>
      <c r="C973" s="15"/>
      <c r="D973" s="4"/>
      <c r="E973" s="4"/>
      <c r="F973" s="4"/>
      <c r="G973" s="4"/>
      <c r="H973" s="4"/>
      <c r="I973" s="4"/>
      <c r="J973" s="4"/>
      <c r="K973" s="4"/>
      <c r="L973" s="4"/>
      <c r="M973" s="4"/>
      <c r="N973" s="4"/>
      <c r="O973" s="4"/>
      <c r="P973" s="4"/>
      <c r="Q973" s="4"/>
      <c r="R973" s="4"/>
      <c r="S973" s="4"/>
      <c r="T973" s="4"/>
      <c r="U973" s="4"/>
      <c r="V973" s="4"/>
      <c r="W973" s="4"/>
      <c r="X973" s="4"/>
      <c r="Y973" s="4"/>
      <c r="Z973" s="4"/>
    </row>
    <row r="974" spans="1:26" ht="12.75">
      <c r="A974" s="4"/>
      <c r="B974" s="4"/>
      <c r="C974" s="15"/>
      <c r="D974" s="4"/>
      <c r="E974" s="4"/>
      <c r="F974" s="4"/>
      <c r="G974" s="4"/>
      <c r="H974" s="4"/>
      <c r="I974" s="4"/>
      <c r="J974" s="4"/>
      <c r="K974" s="4"/>
      <c r="L974" s="4"/>
      <c r="M974" s="4"/>
      <c r="N974" s="4"/>
      <c r="O974" s="4"/>
      <c r="P974" s="4"/>
      <c r="Q974" s="4"/>
      <c r="R974" s="4"/>
      <c r="S974" s="4"/>
      <c r="T974" s="4"/>
      <c r="U974" s="4"/>
      <c r="V974" s="4"/>
      <c r="W974" s="4"/>
      <c r="X974" s="4"/>
      <c r="Y974" s="4"/>
      <c r="Z974" s="4"/>
    </row>
    <row r="975" spans="1:26" ht="12.75">
      <c r="A975" s="4"/>
      <c r="B975" s="4"/>
      <c r="C975" s="15"/>
      <c r="D975" s="4"/>
      <c r="E975" s="4"/>
      <c r="F975" s="4"/>
      <c r="G975" s="4"/>
      <c r="H975" s="4"/>
      <c r="I975" s="4"/>
      <c r="J975" s="4"/>
      <c r="K975" s="4"/>
      <c r="L975" s="4"/>
      <c r="M975" s="4"/>
      <c r="N975" s="4"/>
      <c r="O975" s="4"/>
      <c r="P975" s="4"/>
      <c r="Q975" s="4"/>
      <c r="R975" s="4"/>
      <c r="S975" s="4"/>
      <c r="T975" s="4"/>
      <c r="U975" s="4"/>
      <c r="V975" s="4"/>
      <c r="W975" s="4"/>
      <c r="X975" s="4"/>
      <c r="Y975" s="4"/>
      <c r="Z975" s="4"/>
    </row>
    <row r="976" spans="1:26" ht="12.75">
      <c r="A976" s="4"/>
      <c r="B976" s="4"/>
      <c r="C976" s="15"/>
      <c r="D976" s="4"/>
      <c r="E976" s="4"/>
      <c r="F976" s="4"/>
      <c r="G976" s="4"/>
      <c r="H976" s="4"/>
      <c r="I976" s="4"/>
      <c r="J976" s="4"/>
      <c r="K976" s="4"/>
      <c r="L976" s="4"/>
      <c r="M976" s="4"/>
      <c r="N976" s="4"/>
      <c r="O976" s="4"/>
      <c r="P976" s="4"/>
      <c r="Q976" s="4"/>
      <c r="R976" s="4"/>
      <c r="S976" s="4"/>
      <c r="T976" s="4"/>
      <c r="U976" s="4"/>
      <c r="V976" s="4"/>
      <c r="W976" s="4"/>
      <c r="X976" s="4"/>
      <c r="Y976" s="4"/>
      <c r="Z976" s="4"/>
    </row>
    <row r="977" spans="1:26" ht="12.75">
      <c r="A977" s="4"/>
      <c r="B977" s="4"/>
      <c r="C977" s="15"/>
      <c r="D977" s="4"/>
      <c r="E977" s="4"/>
      <c r="F977" s="4"/>
      <c r="G977" s="4"/>
      <c r="H977" s="4"/>
      <c r="I977" s="4"/>
      <c r="J977" s="4"/>
      <c r="K977" s="4"/>
      <c r="L977" s="4"/>
      <c r="M977" s="4"/>
      <c r="N977" s="4"/>
      <c r="O977" s="4"/>
      <c r="P977" s="4"/>
      <c r="Q977" s="4"/>
      <c r="R977" s="4"/>
      <c r="S977" s="4"/>
      <c r="T977" s="4"/>
      <c r="U977" s="4"/>
      <c r="V977" s="4"/>
      <c r="W977" s="4"/>
      <c r="X977" s="4"/>
      <c r="Y977" s="4"/>
      <c r="Z977" s="4"/>
    </row>
    <row r="978" spans="1:26" ht="12.75">
      <c r="A978" s="4"/>
      <c r="B978" s="4"/>
      <c r="C978" s="15"/>
      <c r="D978" s="4"/>
      <c r="E978" s="4"/>
      <c r="F978" s="4"/>
      <c r="G978" s="4"/>
      <c r="H978" s="4"/>
      <c r="I978" s="4"/>
      <c r="J978" s="4"/>
      <c r="K978" s="4"/>
      <c r="L978" s="4"/>
      <c r="M978" s="4"/>
      <c r="N978" s="4"/>
      <c r="O978" s="4"/>
      <c r="P978" s="4"/>
      <c r="Q978" s="4"/>
      <c r="R978" s="4"/>
      <c r="S978" s="4"/>
      <c r="T978" s="4"/>
      <c r="U978" s="4"/>
      <c r="V978" s="4"/>
      <c r="W978" s="4"/>
      <c r="X978" s="4"/>
      <c r="Y978" s="4"/>
      <c r="Z978" s="4"/>
    </row>
    <row r="979" spans="1:26" ht="12.75">
      <c r="A979" s="4"/>
      <c r="B979" s="4"/>
      <c r="C979" s="15"/>
      <c r="D979" s="4"/>
      <c r="E979" s="4"/>
      <c r="F979" s="4"/>
      <c r="G979" s="4"/>
      <c r="H979" s="4"/>
      <c r="I979" s="4"/>
      <c r="J979" s="4"/>
      <c r="K979" s="4"/>
      <c r="L979" s="4"/>
      <c r="M979" s="4"/>
      <c r="N979" s="4"/>
      <c r="O979" s="4"/>
      <c r="P979" s="4"/>
      <c r="Q979" s="4"/>
      <c r="R979" s="4"/>
      <c r="S979" s="4"/>
      <c r="T979" s="4"/>
      <c r="U979" s="4"/>
      <c r="V979" s="4"/>
      <c r="W979" s="4"/>
      <c r="X979" s="4"/>
      <c r="Y979" s="4"/>
      <c r="Z979" s="4"/>
    </row>
    <row r="980" spans="1:26" ht="12.75">
      <c r="A980" s="4"/>
      <c r="B980" s="4"/>
      <c r="C980" s="15"/>
      <c r="D980" s="4"/>
      <c r="E980" s="4"/>
      <c r="F980" s="4"/>
      <c r="G980" s="4"/>
      <c r="H980" s="4"/>
      <c r="I980" s="4"/>
      <c r="J980" s="4"/>
      <c r="K980" s="4"/>
      <c r="L980" s="4"/>
      <c r="M980" s="4"/>
      <c r="N980" s="4"/>
      <c r="O980" s="4"/>
      <c r="P980" s="4"/>
      <c r="Q980" s="4"/>
      <c r="R980" s="4"/>
      <c r="S980" s="4"/>
      <c r="T980" s="4"/>
      <c r="U980" s="4"/>
      <c r="V980" s="4"/>
      <c r="W980" s="4"/>
      <c r="X980" s="4"/>
      <c r="Y980" s="4"/>
      <c r="Z980" s="4"/>
    </row>
    <row r="981" spans="1:26" ht="12.75">
      <c r="A981" s="4"/>
      <c r="B981" s="4"/>
      <c r="C981" s="15"/>
      <c r="D981" s="4"/>
      <c r="E981" s="4"/>
      <c r="F981" s="4"/>
      <c r="G981" s="4"/>
      <c r="H981" s="4"/>
      <c r="I981" s="4"/>
      <c r="J981" s="4"/>
      <c r="K981" s="4"/>
      <c r="L981" s="4"/>
      <c r="M981" s="4"/>
      <c r="N981" s="4"/>
      <c r="O981" s="4"/>
      <c r="P981" s="4"/>
      <c r="Q981" s="4"/>
      <c r="R981" s="4"/>
      <c r="S981" s="4"/>
      <c r="T981" s="4"/>
      <c r="U981" s="4"/>
      <c r="V981" s="4"/>
      <c r="W981" s="4"/>
      <c r="X981" s="4"/>
      <c r="Y981" s="4"/>
      <c r="Z981" s="4"/>
    </row>
    <row r="982" spans="1:26" ht="12.75">
      <c r="A982" s="4"/>
      <c r="B982" s="4"/>
      <c r="C982" s="15"/>
      <c r="D982" s="4"/>
      <c r="E982" s="4"/>
      <c r="F982" s="4"/>
      <c r="G982" s="4"/>
      <c r="H982" s="4"/>
      <c r="I982" s="4"/>
      <c r="J982" s="4"/>
      <c r="K982" s="4"/>
      <c r="L982" s="4"/>
      <c r="M982" s="4"/>
      <c r="N982" s="4"/>
      <c r="O982" s="4"/>
      <c r="P982" s="4"/>
      <c r="Q982" s="4"/>
      <c r="R982" s="4"/>
      <c r="S982" s="4"/>
      <c r="T982" s="4"/>
      <c r="U982" s="4"/>
      <c r="V982" s="4"/>
      <c r="W982" s="4"/>
      <c r="X982" s="4"/>
      <c r="Y982" s="4"/>
      <c r="Z982" s="4"/>
    </row>
    <row r="983" spans="1:26" ht="12.75">
      <c r="A983" s="4"/>
      <c r="B983" s="4"/>
      <c r="C983" s="15"/>
      <c r="D983" s="4"/>
      <c r="E983" s="4"/>
      <c r="F983" s="4"/>
      <c r="G983" s="4"/>
      <c r="H983" s="4"/>
      <c r="I983" s="4"/>
      <c r="J983" s="4"/>
      <c r="K983" s="4"/>
      <c r="L983" s="4"/>
      <c r="M983" s="4"/>
      <c r="N983" s="4"/>
      <c r="O983" s="4"/>
      <c r="P983" s="4"/>
      <c r="Q983" s="4"/>
      <c r="R983" s="4"/>
      <c r="S983" s="4"/>
      <c r="T983" s="4"/>
      <c r="U983" s="4"/>
      <c r="V983" s="4"/>
      <c r="W983" s="4"/>
      <c r="X983" s="4"/>
      <c r="Y983" s="4"/>
      <c r="Z983" s="4"/>
    </row>
    <row r="984" spans="1:26" ht="12.75">
      <c r="A984" s="4"/>
      <c r="B984" s="4"/>
      <c r="C984" s="15"/>
      <c r="D984" s="4"/>
      <c r="E984" s="4"/>
      <c r="F984" s="4"/>
      <c r="G984" s="4"/>
      <c r="H984" s="4"/>
      <c r="I984" s="4"/>
      <c r="J984" s="4"/>
      <c r="K984" s="4"/>
      <c r="L984" s="4"/>
      <c r="M984" s="4"/>
      <c r="N984" s="4"/>
      <c r="O984" s="4"/>
      <c r="P984" s="4"/>
      <c r="Q984" s="4"/>
      <c r="R984" s="4"/>
      <c r="S984" s="4"/>
      <c r="T984" s="4"/>
      <c r="U984" s="4"/>
      <c r="V984" s="4"/>
      <c r="W984" s="4"/>
      <c r="X984" s="4"/>
      <c r="Y984" s="4"/>
      <c r="Z984" s="4"/>
    </row>
    <row r="985" spans="1:26" ht="12.75">
      <c r="A985" s="4"/>
      <c r="B985" s="4"/>
      <c r="C985" s="15"/>
      <c r="D985" s="4"/>
      <c r="E985" s="4"/>
      <c r="F985" s="4"/>
      <c r="G985" s="4"/>
      <c r="H985" s="4"/>
      <c r="I985" s="4"/>
      <c r="J985" s="4"/>
      <c r="K985" s="4"/>
      <c r="L985" s="4"/>
      <c r="M985" s="4"/>
      <c r="N985" s="4"/>
      <c r="O985" s="4"/>
      <c r="P985" s="4"/>
      <c r="Q985" s="4"/>
      <c r="R985" s="4"/>
      <c r="S985" s="4"/>
      <c r="T985" s="4"/>
      <c r="U985" s="4"/>
      <c r="V985" s="4"/>
      <c r="W985" s="4"/>
      <c r="X985" s="4"/>
      <c r="Y985" s="4"/>
      <c r="Z985" s="4"/>
    </row>
    <row r="986" spans="1:26" ht="12.75">
      <c r="A986" s="4"/>
      <c r="B986" s="4"/>
      <c r="C986" s="15"/>
      <c r="D986" s="4"/>
      <c r="E986" s="4"/>
      <c r="F986" s="4"/>
      <c r="G986" s="4"/>
      <c r="H986" s="4"/>
      <c r="I986" s="4"/>
      <c r="J986" s="4"/>
      <c r="K986" s="4"/>
      <c r="L986" s="4"/>
      <c r="M986" s="4"/>
      <c r="N986" s="4"/>
      <c r="O986" s="4"/>
      <c r="P986" s="4"/>
      <c r="Q986" s="4"/>
      <c r="R986" s="4"/>
      <c r="S986" s="4"/>
      <c r="T986" s="4"/>
      <c r="U986" s="4"/>
      <c r="V986" s="4"/>
      <c r="W986" s="4"/>
      <c r="X986" s="4"/>
      <c r="Y986" s="4"/>
      <c r="Z986" s="4"/>
    </row>
    <row r="987" spans="1:26" ht="12.75">
      <c r="A987" s="4"/>
      <c r="B987" s="4"/>
      <c r="C987" s="15"/>
      <c r="D987" s="4"/>
      <c r="E987" s="4"/>
      <c r="F987" s="4"/>
      <c r="G987" s="4"/>
      <c r="H987" s="4"/>
      <c r="I987" s="4"/>
      <c r="J987" s="4"/>
      <c r="K987" s="4"/>
      <c r="L987" s="4"/>
      <c r="M987" s="4"/>
      <c r="N987" s="4"/>
      <c r="O987" s="4"/>
      <c r="P987" s="4"/>
      <c r="Q987" s="4"/>
      <c r="R987" s="4"/>
      <c r="S987" s="4"/>
      <c r="T987" s="4"/>
      <c r="U987" s="4"/>
      <c r="V987" s="4"/>
      <c r="W987" s="4"/>
      <c r="X987" s="4"/>
      <c r="Y987" s="4"/>
      <c r="Z987" s="4"/>
    </row>
    <row r="988" spans="1:26" ht="12.75">
      <c r="A988" s="4"/>
      <c r="B988" s="4"/>
      <c r="C988" s="15"/>
      <c r="D988" s="4"/>
      <c r="E988" s="4"/>
      <c r="F988" s="4"/>
      <c r="G988" s="4"/>
      <c r="H988" s="4"/>
      <c r="I988" s="4"/>
      <c r="J988" s="4"/>
      <c r="K988" s="4"/>
      <c r="L988" s="4"/>
      <c r="M988" s="4"/>
      <c r="N988" s="4"/>
      <c r="O988" s="4"/>
      <c r="P988" s="4"/>
      <c r="Q988" s="4"/>
      <c r="R988" s="4"/>
      <c r="S988" s="4"/>
      <c r="T988" s="4"/>
      <c r="U988" s="4"/>
      <c r="V988" s="4"/>
      <c r="W988" s="4"/>
      <c r="X988" s="4"/>
      <c r="Y988" s="4"/>
      <c r="Z988" s="4"/>
    </row>
    <row r="989" spans="1:26" ht="12.75">
      <c r="A989" s="4"/>
      <c r="B989" s="4"/>
      <c r="C989" s="15"/>
      <c r="D989" s="4"/>
      <c r="E989" s="4"/>
      <c r="F989" s="4"/>
      <c r="G989" s="4"/>
      <c r="H989" s="4"/>
      <c r="I989" s="4"/>
      <c r="J989" s="4"/>
      <c r="K989" s="4"/>
      <c r="L989" s="4"/>
      <c r="M989" s="4"/>
      <c r="N989" s="4"/>
      <c r="O989" s="4"/>
      <c r="P989" s="4"/>
      <c r="Q989" s="4"/>
      <c r="R989" s="4"/>
      <c r="S989" s="4"/>
      <c r="T989" s="4"/>
      <c r="U989" s="4"/>
      <c r="V989" s="4"/>
      <c r="W989" s="4"/>
      <c r="X989" s="4"/>
      <c r="Y989" s="4"/>
      <c r="Z989" s="4"/>
    </row>
    <row r="990" spans="1:26" ht="12.75">
      <c r="A990" s="4"/>
      <c r="B990" s="4"/>
      <c r="C990" s="15"/>
      <c r="D990" s="4"/>
      <c r="E990" s="4"/>
      <c r="F990" s="4"/>
      <c r="G990" s="4"/>
      <c r="H990" s="4"/>
      <c r="I990" s="4"/>
      <c r="J990" s="4"/>
      <c r="K990" s="4"/>
      <c r="L990" s="4"/>
      <c r="M990" s="4"/>
      <c r="N990" s="4"/>
      <c r="O990" s="4"/>
      <c r="P990" s="4"/>
      <c r="Q990" s="4"/>
      <c r="R990" s="4"/>
      <c r="S990" s="4"/>
      <c r="T990" s="4"/>
      <c r="U990" s="4"/>
      <c r="V990" s="4"/>
      <c r="W990" s="4"/>
      <c r="X990" s="4"/>
      <c r="Y990" s="4"/>
      <c r="Z990" s="4"/>
    </row>
    <row r="991" spans="1:26" ht="12.75">
      <c r="A991" s="4"/>
      <c r="B991" s="4"/>
      <c r="C991" s="15"/>
      <c r="D991" s="4"/>
      <c r="E991" s="4"/>
      <c r="F991" s="4"/>
      <c r="G991" s="4"/>
      <c r="H991" s="4"/>
      <c r="I991" s="4"/>
      <c r="J991" s="4"/>
      <c r="K991" s="4"/>
      <c r="L991" s="4"/>
      <c r="M991" s="4"/>
      <c r="N991" s="4"/>
      <c r="O991" s="4"/>
      <c r="P991" s="4"/>
      <c r="Q991" s="4"/>
      <c r="R991" s="4"/>
      <c r="S991" s="4"/>
      <c r="T991" s="4"/>
      <c r="U991" s="4"/>
      <c r="V991" s="4"/>
      <c r="W991" s="4"/>
      <c r="X991" s="4"/>
      <c r="Y991" s="4"/>
      <c r="Z991" s="4"/>
    </row>
    <row r="992" spans="1:26" ht="12.75">
      <c r="A992" s="4"/>
      <c r="B992" s="4"/>
      <c r="C992" s="15"/>
      <c r="D992" s="4"/>
      <c r="E992" s="4"/>
      <c r="F992" s="4"/>
      <c r="G992" s="4"/>
      <c r="H992" s="4"/>
      <c r="I992" s="4"/>
      <c r="J992" s="4"/>
      <c r="K992" s="4"/>
      <c r="L992" s="4"/>
      <c r="M992" s="4"/>
      <c r="N992" s="4"/>
      <c r="O992" s="4"/>
      <c r="P992" s="4"/>
      <c r="Q992" s="4"/>
      <c r="R992" s="4"/>
      <c r="S992" s="4"/>
      <c r="T992" s="4"/>
      <c r="U992" s="4"/>
      <c r="V992" s="4"/>
      <c r="W992" s="4"/>
      <c r="X992" s="4"/>
      <c r="Y992" s="4"/>
      <c r="Z992" s="4"/>
    </row>
    <row r="993" spans="1:26" ht="12.75">
      <c r="A993" s="4"/>
      <c r="B993" s="4"/>
      <c r="C993" s="15"/>
      <c r="D993" s="4"/>
      <c r="E993" s="4"/>
      <c r="F993" s="4"/>
      <c r="G993" s="4"/>
      <c r="H993" s="4"/>
      <c r="I993" s="4"/>
      <c r="J993" s="4"/>
      <c r="K993" s="4"/>
      <c r="L993" s="4"/>
      <c r="M993" s="4"/>
      <c r="N993" s="4"/>
      <c r="O993" s="4"/>
      <c r="P993" s="4"/>
      <c r="Q993" s="4"/>
      <c r="R993" s="4"/>
      <c r="S993" s="4"/>
      <c r="T993" s="4"/>
      <c r="U993" s="4"/>
      <c r="V993" s="4"/>
      <c r="W993" s="4"/>
      <c r="X993" s="4"/>
      <c r="Y993" s="4"/>
      <c r="Z993" s="4"/>
    </row>
    <row r="994" spans="1:26" ht="12.75">
      <c r="A994" s="4"/>
      <c r="B994" s="4"/>
      <c r="C994" s="15"/>
      <c r="D994" s="4"/>
      <c r="E994" s="4"/>
      <c r="F994" s="4"/>
      <c r="G994" s="4"/>
      <c r="H994" s="4"/>
      <c r="I994" s="4"/>
      <c r="J994" s="4"/>
      <c r="K994" s="4"/>
      <c r="L994" s="4"/>
      <c r="M994" s="4"/>
      <c r="N994" s="4"/>
      <c r="O994" s="4"/>
      <c r="P994" s="4"/>
      <c r="Q994" s="4"/>
      <c r="R994" s="4"/>
      <c r="S994" s="4"/>
      <c r="T994" s="4"/>
      <c r="U994" s="4"/>
      <c r="V994" s="4"/>
      <c r="W994" s="4"/>
      <c r="X994" s="4"/>
      <c r="Y994" s="4"/>
      <c r="Z994" s="4"/>
    </row>
    <row r="995" spans="1:26" ht="12.75">
      <c r="A995" s="4"/>
      <c r="B995" s="4"/>
      <c r="C995" s="15"/>
      <c r="D995" s="4"/>
      <c r="E995" s="4"/>
      <c r="F995" s="4"/>
      <c r="G995" s="4"/>
      <c r="H995" s="4"/>
      <c r="I995" s="4"/>
      <c r="J995" s="4"/>
      <c r="K995" s="4"/>
      <c r="L995" s="4"/>
      <c r="M995" s="4"/>
      <c r="N995" s="4"/>
      <c r="O995" s="4"/>
      <c r="P995" s="4"/>
      <c r="Q995" s="4"/>
      <c r="R995" s="4"/>
      <c r="S995" s="4"/>
      <c r="T995" s="4"/>
      <c r="U995" s="4"/>
      <c r="V995" s="4"/>
      <c r="W995" s="4"/>
      <c r="X995" s="4"/>
      <c r="Y995" s="4"/>
      <c r="Z995" s="4"/>
    </row>
  </sheetData>
  <mergeCells count="1">
    <mergeCell ref="B1:C1"/>
  </mergeCell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4">
    <tabColor rgb="FFC9DAF8"/>
  </sheetPr>
  <dimension ref="A1:XFC61"/>
  <sheetViews>
    <sheetView showGridLines="0" tabSelected="1" zoomScale="80" zoomScaleNormal="80" workbookViewId="0">
      <selection activeCell="E8" sqref="E8:G8"/>
    </sheetView>
  </sheetViews>
  <sheetFormatPr defaultRowHeight="12.75"/>
  <cols>
    <col min="4" max="4" width="2.85546875" customWidth="1"/>
    <col min="5" max="6" width="13.7109375" customWidth="1"/>
    <col min="7" max="7" width="3.7109375" customWidth="1"/>
    <col min="8" max="9" width="13.7109375" customWidth="1"/>
    <col min="10" max="10" width="3.7109375" customWidth="1"/>
    <col min="11" max="12" width="13.7109375" customWidth="1"/>
    <col min="13" max="13" width="3.7109375" customWidth="1"/>
    <col min="14" max="15" width="13.7109375" customWidth="1"/>
    <col min="16" max="16" width="3.7109375" customWidth="1"/>
    <col min="17" max="18" width="7.7109375" customWidth="1"/>
    <col min="19" max="19" width="9.28515625" customWidth="1"/>
    <col min="20" max="20" width="1.85546875" customWidth="1"/>
    <col min="16382" max="16382" width="11.28515625" bestFit="1" customWidth="1"/>
  </cols>
  <sheetData>
    <row r="1" spans="5:20 16382:16383">
      <c r="XFB1" s="31" t="s">
        <v>5</v>
      </c>
      <c r="XFC1" s="29">
        <v>43101</v>
      </c>
    </row>
    <row r="2" spans="5:20 16382:16383" ht="13.5" thickBot="1">
      <c r="P2" s="28"/>
      <c r="Q2" s="28"/>
      <c r="R2" s="28"/>
      <c r="S2" s="28"/>
      <c r="T2" s="28"/>
      <c r="XFB2" s="31" t="s">
        <v>6</v>
      </c>
      <c r="XFC2" s="29">
        <v>43132</v>
      </c>
    </row>
    <row r="3" spans="5:20 16382:16383">
      <c r="E3" s="41" t="s">
        <v>5</v>
      </c>
      <c r="F3" s="42"/>
      <c r="H3" s="47" t="s">
        <v>6</v>
      </c>
      <c r="I3" s="48"/>
      <c r="K3" s="49" t="s">
        <v>162</v>
      </c>
      <c r="L3" s="50"/>
      <c r="N3" s="51" t="s">
        <v>8</v>
      </c>
      <c r="O3" s="52"/>
      <c r="P3" s="28"/>
      <c r="Q3" s="39" t="s">
        <v>157</v>
      </c>
      <c r="R3" s="40"/>
      <c r="S3" s="30">
        <v>43101</v>
      </c>
      <c r="T3" s="28"/>
      <c r="XFB3" t="s">
        <v>7</v>
      </c>
      <c r="XFC3" s="29">
        <v>43160</v>
      </c>
    </row>
    <row r="4" spans="5:20 16382:16383">
      <c r="E4" s="43">
        <f>IFERROR(GETPIVOTDATA("Soma de Visitantes",'Case Analítico Aux Dinâmicas'!$A$11),0)</f>
        <v>7608302</v>
      </c>
      <c r="F4" s="44"/>
      <c r="H4" s="43">
        <f>IFERROR(GETPIVOTDATA("Soma de Anunciantes",'Case Analítico Aux Dinâmicas'!$A$11),0)</f>
        <v>245356</v>
      </c>
      <c r="I4" s="44"/>
      <c r="K4" s="43">
        <f>IFERROR(GETPIVOTDATA("Soma de Anúncios aprovados",'Case Analítico Aux Dinâmicas'!$A$11),0)</f>
        <v>2626265</v>
      </c>
      <c r="L4" s="44"/>
      <c r="N4" s="53">
        <f>IFERROR(GETPIVOTDATA("Soma de Receita",'Case Analítico Aux Dinâmicas'!$A$11),0)</f>
        <v>36591624.014439523</v>
      </c>
      <c r="O4" s="54"/>
      <c r="P4" s="28"/>
      <c r="Q4" s="39" t="s">
        <v>158</v>
      </c>
      <c r="R4" s="40"/>
      <c r="S4" s="30">
        <v>43709</v>
      </c>
      <c r="T4" s="28"/>
      <c r="XFB4" s="31" t="s">
        <v>8</v>
      </c>
      <c r="XFC4" s="29">
        <v>43191</v>
      </c>
    </row>
    <row r="5" spans="5:20 16382:16383" ht="13.5" thickBot="1">
      <c r="E5" s="45"/>
      <c r="F5" s="46"/>
      <c r="H5" s="45"/>
      <c r="I5" s="46"/>
      <c r="K5" s="45"/>
      <c r="L5" s="46"/>
      <c r="N5" s="55"/>
      <c r="O5" s="56"/>
      <c r="P5" s="28"/>
      <c r="Q5" s="28"/>
      <c r="R5" s="28"/>
      <c r="S5" s="28"/>
      <c r="T5" s="28"/>
      <c r="XFC5" s="29">
        <v>43221</v>
      </c>
    </row>
    <row r="6" spans="5:20 16382:16383">
      <c r="P6" s="28"/>
      <c r="Q6" s="28"/>
      <c r="R6" s="28"/>
      <c r="S6" s="28"/>
      <c r="T6" s="28"/>
      <c r="XFC6" s="29">
        <v>43252</v>
      </c>
    </row>
    <row r="7" spans="5:20 16382:16383">
      <c r="P7" s="28"/>
      <c r="Q7" s="28"/>
      <c r="R7" s="28"/>
      <c r="S7" s="28"/>
      <c r="T7" s="28"/>
      <c r="XFC7" s="29">
        <v>43282</v>
      </c>
    </row>
    <row r="8" spans="5:20 16382:16383">
      <c r="E8" s="62" t="s">
        <v>5</v>
      </c>
      <c r="F8" s="62"/>
      <c r="G8" s="62"/>
      <c r="P8" s="28"/>
      <c r="Q8" s="28"/>
      <c r="R8" s="28"/>
      <c r="S8" s="28"/>
      <c r="T8" s="28"/>
      <c r="XFC8" s="29">
        <v>43313</v>
      </c>
    </row>
    <row r="9" spans="5:20 16382:16383">
      <c r="E9" s="63"/>
      <c r="F9" s="63"/>
      <c r="G9" s="63"/>
      <c r="H9" s="63"/>
      <c r="I9" s="63"/>
      <c r="J9" s="63"/>
      <c r="K9" s="63"/>
      <c r="L9" s="63"/>
      <c r="M9" s="63"/>
      <c r="N9" s="63"/>
      <c r="O9" s="63"/>
      <c r="P9" s="63"/>
      <c r="Q9" s="63"/>
      <c r="R9" s="63"/>
      <c r="S9" s="63"/>
      <c r="T9" s="63"/>
      <c r="XFC9" s="29">
        <v>43344</v>
      </c>
    </row>
    <row r="10" spans="5:20 16382:16383">
      <c r="E10" s="63"/>
      <c r="F10" s="63"/>
      <c r="G10" s="63"/>
      <c r="H10" s="63"/>
      <c r="I10" s="63"/>
      <c r="J10" s="63"/>
      <c r="K10" s="63"/>
      <c r="L10" s="63"/>
      <c r="M10" s="63"/>
      <c r="N10" s="63"/>
      <c r="O10" s="63"/>
      <c r="P10" s="63"/>
      <c r="Q10" s="63"/>
      <c r="R10" s="63"/>
      <c r="S10" s="63"/>
      <c r="T10" s="63"/>
      <c r="XFC10" s="29">
        <v>43374</v>
      </c>
    </row>
    <row r="11" spans="5:20 16382:16383">
      <c r="E11" s="63"/>
      <c r="F11" s="63"/>
      <c r="G11" s="63"/>
      <c r="H11" s="63"/>
      <c r="I11" s="63"/>
      <c r="J11" s="63"/>
      <c r="K11" s="63"/>
      <c r="L11" s="63"/>
      <c r="M11" s="63"/>
      <c r="N11" s="63"/>
      <c r="O11" s="63"/>
      <c r="P11" s="63"/>
      <c r="Q11" s="63"/>
      <c r="R11" s="63"/>
      <c r="S11" s="63"/>
      <c r="T11" s="63"/>
      <c r="XFC11" s="29">
        <v>43405</v>
      </c>
    </row>
    <row r="12" spans="5:20 16382:16383">
      <c r="E12" s="63"/>
      <c r="F12" s="63"/>
      <c r="G12" s="63"/>
      <c r="H12" s="63"/>
      <c r="I12" s="63"/>
      <c r="J12" s="63"/>
      <c r="K12" s="63"/>
      <c r="L12" s="63"/>
      <c r="M12" s="63"/>
      <c r="N12" s="63"/>
      <c r="O12" s="63"/>
      <c r="P12" s="63"/>
      <c r="Q12" s="63"/>
      <c r="R12" s="63"/>
      <c r="S12" s="63"/>
      <c r="T12" s="63"/>
      <c r="XFC12" s="29">
        <v>43435</v>
      </c>
    </row>
    <row r="13" spans="5:20 16382:16383">
      <c r="E13" s="63"/>
      <c r="F13" s="63"/>
      <c r="G13" s="63"/>
      <c r="H13" s="63"/>
      <c r="I13" s="63"/>
      <c r="J13" s="63"/>
      <c r="K13" s="63"/>
      <c r="L13" s="63"/>
      <c r="M13" s="63"/>
      <c r="N13" s="63"/>
      <c r="O13" s="63"/>
      <c r="P13" s="63"/>
      <c r="Q13" s="63"/>
      <c r="R13" s="63"/>
      <c r="S13" s="63"/>
      <c r="T13" s="63"/>
      <c r="XFC13" s="29">
        <v>43466</v>
      </c>
    </row>
    <row r="14" spans="5:20 16382:16383">
      <c r="E14" s="63"/>
      <c r="F14" s="63"/>
      <c r="G14" s="63"/>
      <c r="H14" s="63"/>
      <c r="I14" s="63"/>
      <c r="J14" s="63"/>
      <c r="K14" s="63"/>
      <c r="L14" s="63"/>
      <c r="M14" s="63"/>
      <c r="N14" s="63"/>
      <c r="O14" s="63"/>
      <c r="P14" s="63"/>
      <c r="Q14" s="63"/>
      <c r="R14" s="63"/>
      <c r="S14" s="63"/>
      <c r="T14" s="63"/>
      <c r="XFC14" s="29">
        <v>43497</v>
      </c>
    </row>
    <row r="15" spans="5:20 16382:16383">
      <c r="E15" s="63"/>
      <c r="F15" s="63"/>
      <c r="G15" s="63"/>
      <c r="H15" s="63"/>
      <c r="I15" s="63"/>
      <c r="J15" s="63"/>
      <c r="K15" s="63"/>
      <c r="L15" s="63"/>
      <c r="M15" s="63"/>
      <c r="N15" s="63"/>
      <c r="O15" s="63"/>
      <c r="P15" s="63"/>
      <c r="Q15" s="63"/>
      <c r="R15" s="63"/>
      <c r="S15" s="63"/>
      <c r="T15" s="63"/>
      <c r="XFC15" s="29">
        <v>43525</v>
      </c>
    </row>
    <row r="16" spans="5:20 16382:16383">
      <c r="E16" s="63"/>
      <c r="F16" s="63"/>
      <c r="G16" s="63"/>
      <c r="H16" s="63"/>
      <c r="I16" s="63"/>
      <c r="J16" s="63"/>
      <c r="K16" s="63"/>
      <c r="L16" s="63"/>
      <c r="M16" s="63"/>
      <c r="N16" s="63"/>
      <c r="O16" s="63"/>
      <c r="P16" s="63"/>
      <c r="Q16" s="63"/>
      <c r="R16" s="63"/>
      <c r="S16" s="63"/>
      <c r="T16" s="63"/>
      <c r="XFC16" s="29">
        <v>43556</v>
      </c>
    </row>
    <row r="17" spans="5:20 16383:16383">
      <c r="E17" s="63"/>
      <c r="F17" s="63"/>
      <c r="G17" s="63"/>
      <c r="H17" s="63"/>
      <c r="I17" s="63"/>
      <c r="J17" s="63"/>
      <c r="K17" s="63"/>
      <c r="L17" s="63"/>
      <c r="M17" s="63"/>
      <c r="N17" s="63"/>
      <c r="O17" s="63"/>
      <c r="P17" s="63"/>
      <c r="Q17" s="63"/>
      <c r="R17" s="63"/>
      <c r="S17" s="63"/>
      <c r="T17" s="63"/>
      <c r="XFC17" s="29">
        <v>43586</v>
      </c>
    </row>
    <row r="18" spans="5:20 16383:16383">
      <c r="E18" s="63"/>
      <c r="F18" s="63"/>
      <c r="G18" s="63"/>
      <c r="H18" s="63"/>
      <c r="I18" s="63"/>
      <c r="J18" s="63"/>
      <c r="K18" s="63"/>
      <c r="L18" s="63"/>
      <c r="M18" s="63"/>
      <c r="N18" s="63"/>
      <c r="O18" s="63"/>
      <c r="P18" s="63"/>
      <c r="Q18" s="63"/>
      <c r="R18" s="63"/>
      <c r="S18" s="63"/>
      <c r="T18" s="63"/>
      <c r="XFC18" s="29">
        <v>43617</v>
      </c>
    </row>
    <row r="19" spans="5:20 16383:16383">
      <c r="E19" s="63"/>
      <c r="F19" s="63"/>
      <c r="G19" s="63"/>
      <c r="H19" s="63"/>
      <c r="I19" s="63"/>
      <c r="J19" s="63"/>
      <c r="K19" s="63"/>
      <c r="L19" s="63"/>
      <c r="M19" s="63"/>
      <c r="N19" s="63"/>
      <c r="O19" s="63"/>
      <c r="P19" s="63"/>
      <c r="Q19" s="63"/>
      <c r="R19" s="63"/>
      <c r="S19" s="63"/>
      <c r="T19" s="63"/>
      <c r="XFC19" s="29">
        <v>43647</v>
      </c>
    </row>
    <row r="20" spans="5:20 16383:16383">
      <c r="E20" s="63"/>
      <c r="F20" s="63"/>
      <c r="G20" s="63"/>
      <c r="H20" s="63"/>
      <c r="I20" s="63"/>
      <c r="J20" s="63"/>
      <c r="K20" s="63"/>
      <c r="L20" s="63"/>
      <c r="M20" s="63"/>
      <c r="N20" s="63"/>
      <c r="O20" s="63"/>
      <c r="P20" s="63"/>
      <c r="Q20" s="63"/>
      <c r="R20" s="63"/>
      <c r="S20" s="63"/>
      <c r="T20" s="63"/>
      <c r="XFC20" s="29">
        <v>43678</v>
      </c>
    </row>
    <row r="21" spans="5:20 16383:16383">
      <c r="E21" s="63"/>
      <c r="F21" s="63"/>
      <c r="G21" s="63"/>
      <c r="H21" s="63"/>
      <c r="I21" s="63"/>
      <c r="J21" s="63"/>
      <c r="K21" s="63"/>
      <c r="L21" s="63"/>
      <c r="M21" s="63"/>
      <c r="N21" s="63"/>
      <c r="O21" s="63"/>
      <c r="P21" s="63"/>
      <c r="Q21" s="63"/>
      <c r="R21" s="63"/>
      <c r="S21" s="63"/>
      <c r="T21" s="63"/>
      <c r="XFC21" s="29">
        <v>43709</v>
      </c>
    </row>
    <row r="22" spans="5:20 16383:16383">
      <c r="E22" s="63"/>
      <c r="F22" s="63"/>
      <c r="G22" s="63"/>
      <c r="H22" s="63"/>
      <c r="I22" s="63"/>
      <c r="J22" s="63"/>
      <c r="K22" s="63"/>
      <c r="L22" s="63"/>
      <c r="M22" s="63"/>
      <c r="N22" s="63"/>
      <c r="O22" s="63"/>
      <c r="P22" s="63"/>
      <c r="Q22" s="63"/>
      <c r="R22" s="63"/>
      <c r="S22" s="63"/>
      <c r="T22" s="63"/>
    </row>
    <row r="23" spans="5:20 16383:16383">
      <c r="E23" s="63"/>
      <c r="F23" s="63"/>
      <c r="G23" s="63"/>
      <c r="H23" s="63"/>
      <c r="I23" s="63"/>
      <c r="J23" s="63"/>
      <c r="K23" s="63"/>
      <c r="L23" s="63"/>
      <c r="M23" s="63"/>
      <c r="N23" s="63"/>
      <c r="O23" s="63"/>
      <c r="P23" s="63"/>
      <c r="Q23" s="63"/>
      <c r="R23" s="63"/>
      <c r="S23" s="63"/>
      <c r="T23" s="63"/>
    </row>
    <row r="24" spans="5:20 16383:16383">
      <c r="E24" s="63"/>
      <c r="F24" s="63"/>
      <c r="G24" s="63"/>
      <c r="H24" s="63"/>
      <c r="I24" s="63"/>
      <c r="J24" s="63"/>
      <c r="K24" s="63"/>
      <c r="L24" s="63"/>
      <c r="M24" s="63"/>
      <c r="N24" s="63"/>
      <c r="O24" s="63"/>
      <c r="P24" s="63"/>
      <c r="Q24" s="63"/>
      <c r="R24" s="63"/>
      <c r="S24" s="63"/>
      <c r="T24" s="63"/>
    </row>
    <row r="25" spans="5:20 16383:16383">
      <c r="E25" s="63"/>
      <c r="F25" s="63"/>
      <c r="G25" s="63"/>
      <c r="H25" s="63"/>
      <c r="I25" s="63"/>
      <c r="J25" s="63"/>
      <c r="K25" s="63"/>
      <c r="L25" s="63"/>
      <c r="M25" s="63"/>
      <c r="N25" s="63"/>
      <c r="O25" s="63"/>
      <c r="P25" s="63"/>
      <c r="Q25" s="63"/>
      <c r="R25" s="63"/>
      <c r="S25" s="63"/>
      <c r="T25" s="63"/>
    </row>
    <row r="26" spans="5:20 16383:16383">
      <c r="E26" s="63"/>
      <c r="F26" s="63"/>
      <c r="G26" s="63"/>
      <c r="H26" s="63"/>
      <c r="I26" s="63"/>
      <c r="J26" s="63"/>
      <c r="K26" s="63"/>
      <c r="L26" s="63"/>
      <c r="M26" s="63"/>
      <c r="N26" s="63"/>
      <c r="O26" s="63"/>
      <c r="P26" s="63"/>
      <c r="Q26" s="63"/>
      <c r="R26" s="63"/>
      <c r="S26" s="63"/>
      <c r="T26" s="63"/>
    </row>
    <row r="27" spans="5:20 16383:16383">
      <c r="E27" s="63"/>
      <c r="F27" s="63"/>
      <c r="G27" s="63"/>
      <c r="H27" s="63"/>
      <c r="I27" s="63"/>
      <c r="J27" s="63"/>
      <c r="K27" s="63"/>
      <c r="L27" s="63"/>
      <c r="M27" s="63"/>
      <c r="N27" s="63"/>
      <c r="O27" s="63"/>
      <c r="P27" s="63"/>
      <c r="Q27" s="63"/>
      <c r="R27" s="63"/>
      <c r="S27" s="63"/>
      <c r="T27" s="63"/>
    </row>
    <row r="28" spans="5:20 16383:16383">
      <c r="E28" s="63"/>
      <c r="F28" s="63"/>
      <c r="G28" s="63"/>
      <c r="H28" s="63"/>
      <c r="I28" s="63"/>
      <c r="J28" s="63"/>
      <c r="K28" s="63"/>
      <c r="L28" s="63"/>
      <c r="M28" s="63"/>
      <c r="N28" s="63"/>
      <c r="O28" s="63"/>
      <c r="P28" s="63"/>
      <c r="Q28" s="63"/>
      <c r="R28" s="63"/>
      <c r="S28" s="63"/>
      <c r="T28" s="63"/>
    </row>
    <row r="29" spans="5:20 16383:16383">
      <c r="E29" s="63"/>
      <c r="F29" s="63"/>
      <c r="G29" s="63"/>
      <c r="H29" s="63"/>
      <c r="I29" s="63"/>
      <c r="J29" s="63"/>
      <c r="K29" s="63"/>
      <c r="L29" s="63"/>
      <c r="M29" s="63"/>
      <c r="N29" s="63"/>
      <c r="O29" s="63"/>
      <c r="P29" s="63"/>
      <c r="Q29" s="63"/>
      <c r="R29" s="63"/>
      <c r="S29" s="63"/>
      <c r="T29" s="63"/>
    </row>
    <row r="30" spans="5:20 16383:16383">
      <c r="E30" s="63"/>
      <c r="F30" s="63"/>
      <c r="G30" s="63"/>
      <c r="H30" s="63"/>
      <c r="I30" s="63"/>
      <c r="J30" s="63"/>
      <c r="K30" s="63"/>
      <c r="L30" s="63"/>
      <c r="M30" s="63"/>
      <c r="N30" s="63"/>
      <c r="O30" s="63"/>
      <c r="P30" s="63"/>
      <c r="Q30" s="63"/>
      <c r="R30" s="63"/>
      <c r="S30" s="63"/>
      <c r="T30" s="63"/>
    </row>
    <row r="31" spans="5:20 16383:16383">
      <c r="E31" s="63"/>
      <c r="F31" s="63"/>
      <c r="G31" s="63"/>
      <c r="H31" s="63"/>
      <c r="I31" s="63"/>
      <c r="J31" s="63"/>
      <c r="K31" s="63"/>
      <c r="L31" s="63"/>
      <c r="M31" s="63"/>
      <c r="N31" s="63"/>
      <c r="O31" s="63"/>
      <c r="P31" s="63"/>
      <c r="Q31" s="63"/>
      <c r="R31" s="63"/>
      <c r="S31" s="63"/>
      <c r="T31" s="63"/>
    </row>
    <row r="32" spans="5:20 16383:16383">
      <c r="E32" s="63"/>
      <c r="F32" s="63"/>
      <c r="G32" s="63"/>
      <c r="H32" s="63"/>
      <c r="I32" s="63"/>
      <c r="J32" s="63"/>
      <c r="K32" s="63"/>
      <c r="L32" s="63"/>
      <c r="M32" s="63"/>
      <c r="N32" s="63"/>
      <c r="O32" s="63"/>
      <c r="P32" s="63"/>
      <c r="Q32" s="63"/>
      <c r="R32" s="63"/>
      <c r="S32" s="63"/>
      <c r="T32" s="63"/>
    </row>
    <row r="33" spans="1:20">
      <c r="E33" s="63"/>
      <c r="F33" s="63"/>
      <c r="G33" s="63"/>
      <c r="H33" s="63"/>
      <c r="I33" s="63"/>
      <c r="J33" s="63"/>
      <c r="K33" s="63"/>
      <c r="L33" s="63"/>
      <c r="M33" s="63"/>
      <c r="N33" s="63"/>
      <c r="O33" s="63"/>
      <c r="P33" s="63"/>
      <c r="Q33" s="63"/>
      <c r="R33" s="63"/>
      <c r="S33" s="63"/>
      <c r="T33" s="63"/>
    </row>
    <row r="34" spans="1:20">
      <c r="E34" s="63"/>
      <c r="F34" s="63"/>
      <c r="G34" s="63"/>
      <c r="H34" s="63"/>
      <c r="I34" s="63"/>
      <c r="J34" s="63"/>
      <c r="K34" s="63"/>
      <c r="L34" s="63"/>
      <c r="M34" s="63"/>
      <c r="N34" s="63"/>
      <c r="O34" s="63"/>
      <c r="P34" s="63"/>
      <c r="Q34" s="63"/>
      <c r="R34" s="63"/>
      <c r="S34" s="63"/>
      <c r="T34" s="63"/>
    </row>
    <row r="35" spans="1:20">
      <c r="E35" s="63"/>
      <c r="F35" s="63"/>
      <c r="G35" s="63"/>
      <c r="H35" s="63"/>
      <c r="I35" s="63"/>
      <c r="J35" s="63"/>
      <c r="K35" s="63"/>
      <c r="L35" s="63"/>
      <c r="M35" s="63"/>
      <c r="N35" s="63"/>
      <c r="O35" s="63"/>
      <c r="P35" s="63"/>
      <c r="Q35" s="63"/>
      <c r="R35" s="63"/>
      <c r="S35" s="63"/>
      <c r="T35" s="63"/>
    </row>
    <row r="36" spans="1:20">
      <c r="E36" s="63"/>
      <c r="F36" s="63"/>
      <c r="G36" s="63"/>
      <c r="H36" s="63"/>
      <c r="I36" s="63"/>
      <c r="J36" s="63"/>
      <c r="K36" s="63"/>
      <c r="L36" s="63"/>
      <c r="M36" s="63"/>
      <c r="N36" s="63"/>
      <c r="O36" s="63"/>
      <c r="P36" s="63"/>
      <c r="Q36" s="63"/>
      <c r="R36" s="63"/>
      <c r="S36" s="63"/>
      <c r="T36" s="63"/>
    </row>
    <row r="37" spans="1:20">
      <c r="E37" s="63"/>
      <c r="F37" s="63"/>
      <c r="G37" s="63"/>
      <c r="H37" s="63"/>
      <c r="I37" s="63"/>
      <c r="J37" s="63"/>
      <c r="K37" s="63"/>
      <c r="L37" s="63"/>
      <c r="M37" s="63"/>
      <c r="N37" s="63"/>
      <c r="O37" s="63"/>
      <c r="P37" s="63"/>
      <c r="Q37" s="63"/>
      <c r="R37" s="63"/>
      <c r="S37" s="63"/>
      <c r="T37" s="63"/>
    </row>
    <row r="38" spans="1:20">
      <c r="E38" s="63"/>
      <c r="F38" s="63"/>
      <c r="G38" s="63"/>
      <c r="H38" s="63"/>
      <c r="I38" s="63"/>
      <c r="J38" s="63"/>
      <c r="K38" s="63"/>
      <c r="L38" s="63"/>
      <c r="M38" s="63"/>
      <c r="N38" s="63"/>
      <c r="O38" s="63"/>
      <c r="P38" s="63"/>
      <c r="Q38" s="63"/>
      <c r="R38" s="63"/>
      <c r="S38" s="63"/>
      <c r="T38" s="63"/>
    </row>
    <row r="39" spans="1:20">
      <c r="E39" s="63"/>
      <c r="F39" s="63"/>
      <c r="G39" s="63"/>
      <c r="H39" s="63"/>
      <c r="I39" s="63"/>
      <c r="J39" s="63"/>
      <c r="K39" s="63"/>
      <c r="L39" s="63"/>
      <c r="M39" s="63"/>
      <c r="N39" s="63"/>
      <c r="O39" s="63"/>
      <c r="P39" s="63"/>
      <c r="Q39" s="63"/>
      <c r="R39" s="63"/>
      <c r="S39" s="63"/>
      <c r="T39" s="63"/>
    </row>
    <row r="40" spans="1:20">
      <c r="E40" s="63"/>
      <c r="F40" s="63"/>
      <c r="G40" s="63"/>
      <c r="H40" s="63"/>
      <c r="I40" s="63"/>
      <c r="J40" s="63"/>
      <c r="K40" s="63"/>
      <c r="L40" s="63"/>
      <c r="M40" s="63"/>
      <c r="N40" s="63"/>
      <c r="O40" s="63"/>
      <c r="P40" s="63"/>
      <c r="Q40" s="63"/>
      <c r="R40" s="63"/>
      <c r="S40" s="63"/>
      <c r="T40" s="63"/>
    </row>
    <row r="41" spans="1:20">
      <c r="E41" s="63"/>
      <c r="F41" s="63"/>
      <c r="G41" s="63"/>
      <c r="H41" s="63"/>
      <c r="I41" s="63"/>
      <c r="J41" s="63"/>
      <c r="K41" s="63"/>
      <c r="L41" s="63"/>
      <c r="M41" s="63"/>
      <c r="N41" s="63"/>
      <c r="O41" s="63"/>
      <c r="P41" s="63"/>
      <c r="Q41" s="63"/>
      <c r="R41" s="63"/>
      <c r="S41" s="63"/>
      <c r="T41" s="63"/>
    </row>
    <row r="42" spans="1:20">
      <c r="E42" s="63"/>
      <c r="F42" s="63"/>
      <c r="G42" s="63"/>
      <c r="H42" s="63"/>
      <c r="I42" s="63"/>
      <c r="J42" s="63"/>
      <c r="K42" s="63"/>
      <c r="L42" s="63"/>
      <c r="M42" s="63"/>
      <c r="N42" s="63"/>
      <c r="O42" s="63"/>
      <c r="P42" s="63"/>
      <c r="Q42" s="63"/>
      <c r="R42" s="63"/>
      <c r="S42" s="63"/>
      <c r="T42" s="63"/>
    </row>
    <row r="43" spans="1:20">
      <c r="E43" s="63"/>
      <c r="F43" s="63"/>
      <c r="G43" s="63"/>
      <c r="H43" s="63"/>
      <c r="I43" s="63"/>
      <c r="J43" s="63"/>
      <c r="K43" s="63"/>
      <c r="L43" s="63"/>
      <c r="M43" s="63"/>
      <c r="N43" s="63"/>
      <c r="O43" s="63"/>
      <c r="P43" s="63"/>
      <c r="Q43" s="63"/>
      <c r="R43" s="63"/>
      <c r="S43" s="63"/>
      <c r="T43" s="63"/>
    </row>
    <row r="44" spans="1:20">
      <c r="E44" s="63"/>
      <c r="F44" s="63"/>
      <c r="G44" s="63"/>
      <c r="H44" s="63"/>
      <c r="I44" s="63"/>
      <c r="J44" s="63"/>
      <c r="K44" s="63"/>
      <c r="L44" s="63"/>
      <c r="M44" s="63"/>
      <c r="N44" s="63"/>
      <c r="O44" s="63"/>
      <c r="P44" s="63"/>
      <c r="Q44" s="63"/>
      <c r="R44" s="63"/>
      <c r="S44" s="63"/>
      <c r="T44" s="63"/>
    </row>
    <row r="45" spans="1:20">
      <c r="E45" s="63"/>
      <c r="F45" s="63"/>
      <c r="G45" s="63"/>
      <c r="H45" s="63"/>
      <c r="I45" s="63"/>
      <c r="J45" s="63"/>
      <c r="K45" s="63"/>
      <c r="L45" s="63"/>
      <c r="M45" s="63"/>
      <c r="N45" s="63"/>
      <c r="O45" s="63"/>
      <c r="P45" s="63"/>
      <c r="Q45" s="63"/>
      <c r="R45" s="63"/>
      <c r="S45" s="63"/>
      <c r="T45" s="63"/>
    </row>
    <row r="46" spans="1:20">
      <c r="E46" s="63"/>
      <c r="F46" s="63"/>
      <c r="G46" s="63"/>
      <c r="H46" s="63"/>
      <c r="I46" s="63"/>
      <c r="J46" s="63"/>
      <c r="K46" s="63"/>
      <c r="L46" s="63"/>
      <c r="M46" s="63"/>
      <c r="N46" s="63"/>
      <c r="O46" s="63"/>
      <c r="P46" s="63"/>
      <c r="Q46" s="63"/>
      <c r="R46" s="63"/>
      <c r="S46" s="63"/>
      <c r="T46" s="63"/>
    </row>
    <row r="47" spans="1:20">
      <c r="E47" s="63"/>
      <c r="F47" s="63"/>
      <c r="G47" s="63"/>
      <c r="H47" s="63"/>
      <c r="I47" s="63"/>
      <c r="J47" s="63"/>
      <c r="K47" s="63"/>
      <c r="L47" s="63"/>
      <c r="M47" s="63"/>
      <c r="N47" s="63"/>
      <c r="O47" s="63"/>
      <c r="P47" s="63"/>
      <c r="Q47" s="63"/>
      <c r="R47" s="63"/>
      <c r="S47" s="63"/>
      <c r="T47" s="63"/>
    </row>
    <row r="48" spans="1:20">
      <c r="A48" s="31"/>
      <c r="E48" s="63"/>
      <c r="F48" s="63"/>
      <c r="G48" s="63"/>
      <c r="H48" s="63"/>
      <c r="I48" s="63"/>
      <c r="J48" s="63"/>
      <c r="K48" s="63"/>
      <c r="L48" s="63"/>
      <c r="M48" s="63"/>
      <c r="N48" s="63"/>
      <c r="O48" s="63"/>
      <c r="P48" s="63"/>
      <c r="Q48" s="63"/>
      <c r="R48" s="63"/>
      <c r="S48" s="63"/>
      <c r="T48" s="63"/>
    </row>
    <row r="49" spans="5:20">
      <c r="E49" s="63"/>
      <c r="F49" s="63"/>
      <c r="G49" s="63"/>
      <c r="H49" s="63"/>
      <c r="I49" s="63"/>
      <c r="J49" s="63"/>
      <c r="K49" s="63"/>
      <c r="L49" s="63"/>
      <c r="M49" s="63"/>
      <c r="N49" s="63"/>
      <c r="O49" s="63"/>
      <c r="P49" s="63"/>
      <c r="Q49" s="63"/>
      <c r="R49" s="63"/>
      <c r="S49" s="63"/>
      <c r="T49" s="63"/>
    </row>
    <row r="50" spans="5:20">
      <c r="E50" s="63"/>
      <c r="F50" s="63"/>
      <c r="G50" s="63"/>
      <c r="H50" s="63"/>
      <c r="I50" s="63"/>
      <c r="J50" s="63"/>
      <c r="K50" s="63"/>
      <c r="L50" s="63"/>
      <c r="M50" s="63"/>
      <c r="N50" s="63"/>
      <c r="O50" s="63"/>
      <c r="P50" s="63"/>
      <c r="Q50" s="63"/>
      <c r="R50" s="63"/>
      <c r="S50" s="63"/>
      <c r="T50" s="63"/>
    </row>
    <row r="51" spans="5:20">
      <c r="E51" s="63"/>
      <c r="F51" s="63"/>
      <c r="G51" s="63"/>
      <c r="H51" s="63"/>
      <c r="I51" s="63"/>
      <c r="J51" s="63"/>
      <c r="K51" s="63"/>
      <c r="L51" s="63"/>
      <c r="M51" s="63"/>
      <c r="N51" s="63"/>
      <c r="O51" s="63"/>
      <c r="P51" s="63"/>
      <c r="Q51" s="63"/>
      <c r="R51" s="63"/>
      <c r="S51" s="63"/>
      <c r="T51" s="63"/>
    </row>
    <row r="52" spans="5:20">
      <c r="E52" s="63"/>
      <c r="F52" s="63"/>
      <c r="G52" s="63"/>
      <c r="H52" s="63"/>
      <c r="I52" s="63"/>
      <c r="J52" s="63"/>
      <c r="K52" s="63"/>
      <c r="L52" s="63"/>
      <c r="M52" s="63"/>
      <c r="N52" s="63"/>
      <c r="O52" s="63"/>
      <c r="P52" s="63"/>
      <c r="Q52" s="63"/>
      <c r="R52" s="63"/>
      <c r="S52" s="63"/>
      <c r="T52" s="63"/>
    </row>
    <row r="53" spans="5:20">
      <c r="E53" s="63"/>
      <c r="F53" s="63"/>
      <c r="G53" s="63"/>
      <c r="H53" s="63"/>
      <c r="I53" s="63"/>
      <c r="J53" s="63"/>
      <c r="K53" s="63"/>
      <c r="L53" s="63"/>
      <c r="M53" s="63"/>
      <c r="N53" s="63"/>
      <c r="O53" s="63"/>
      <c r="P53" s="63"/>
      <c r="Q53" s="63"/>
      <c r="R53" s="63"/>
      <c r="S53" s="63"/>
      <c r="T53" s="63"/>
    </row>
    <row r="54" spans="5:20">
      <c r="E54" s="63"/>
      <c r="F54" s="63"/>
      <c r="G54" s="63"/>
      <c r="H54" s="63"/>
      <c r="I54" s="63"/>
      <c r="J54" s="63"/>
      <c r="K54" s="63"/>
      <c r="L54" s="63"/>
      <c r="M54" s="63"/>
      <c r="N54" s="63"/>
      <c r="O54" s="63"/>
      <c r="P54" s="63"/>
      <c r="Q54" s="63"/>
      <c r="R54" s="63"/>
      <c r="S54" s="63"/>
      <c r="T54" s="63"/>
    </row>
    <row r="55" spans="5:20">
      <c r="E55" s="63"/>
      <c r="F55" s="63"/>
      <c r="G55" s="63"/>
      <c r="H55" s="63"/>
      <c r="I55" s="63"/>
      <c r="J55" s="63"/>
      <c r="K55" s="63"/>
      <c r="L55" s="63"/>
      <c r="M55" s="63"/>
      <c r="N55" s="63"/>
      <c r="O55" s="63"/>
      <c r="P55" s="63"/>
      <c r="Q55" s="63"/>
      <c r="R55" s="63"/>
      <c r="S55" s="63"/>
      <c r="T55" s="63"/>
    </row>
    <row r="56" spans="5:20">
      <c r="E56" s="63"/>
      <c r="F56" s="63"/>
      <c r="G56" s="63"/>
      <c r="H56" s="63"/>
      <c r="I56" s="63"/>
      <c r="J56" s="63"/>
      <c r="K56" s="63"/>
      <c r="L56" s="63"/>
      <c r="M56" s="63"/>
      <c r="N56" s="63"/>
      <c r="O56" s="63"/>
      <c r="P56" s="63"/>
      <c r="Q56" s="63"/>
      <c r="R56" s="63"/>
      <c r="S56" s="63"/>
      <c r="T56" s="63"/>
    </row>
    <row r="57" spans="5:20">
      <c r="E57" s="63"/>
      <c r="F57" s="63"/>
      <c r="G57" s="63"/>
      <c r="H57" s="63"/>
      <c r="I57" s="63"/>
      <c r="J57" s="63"/>
      <c r="K57" s="63"/>
      <c r="L57" s="63"/>
      <c r="M57" s="63"/>
      <c r="N57" s="63"/>
      <c r="O57" s="63"/>
      <c r="P57" s="63"/>
      <c r="Q57" s="63"/>
      <c r="R57" s="63"/>
      <c r="S57" s="63"/>
      <c r="T57" s="63"/>
    </row>
    <row r="58" spans="5:20">
      <c r="E58" s="63"/>
      <c r="F58" s="63"/>
      <c r="G58" s="63"/>
      <c r="H58" s="63"/>
      <c r="I58" s="63"/>
      <c r="J58" s="63"/>
      <c r="K58" s="63"/>
      <c r="L58" s="63"/>
      <c r="M58" s="63"/>
      <c r="N58" s="63"/>
      <c r="O58" s="63"/>
      <c r="P58" s="63"/>
      <c r="Q58" s="63"/>
      <c r="R58" s="63"/>
      <c r="S58" s="63"/>
      <c r="T58" s="63"/>
    </row>
    <row r="59" spans="5:20">
      <c r="E59" s="63"/>
      <c r="F59" s="63"/>
      <c r="G59" s="63"/>
      <c r="H59" s="63"/>
      <c r="I59" s="63"/>
      <c r="J59" s="63"/>
      <c r="K59" s="63"/>
      <c r="L59" s="63"/>
      <c r="M59" s="63"/>
      <c r="N59" s="63"/>
      <c r="O59" s="63"/>
      <c r="P59" s="63"/>
      <c r="Q59" s="63"/>
      <c r="R59" s="63"/>
      <c r="S59" s="63"/>
      <c r="T59" s="63"/>
    </row>
    <row r="60" spans="5:20">
      <c r="E60" s="63"/>
      <c r="F60" s="63"/>
      <c r="G60" s="63"/>
      <c r="H60" s="63"/>
      <c r="I60" s="63"/>
      <c r="J60" s="63"/>
      <c r="K60" s="63"/>
      <c r="L60" s="63"/>
      <c r="M60" s="63"/>
      <c r="N60" s="63"/>
      <c r="O60" s="63"/>
      <c r="P60" s="63"/>
      <c r="Q60" s="63"/>
      <c r="R60" s="63"/>
      <c r="S60" s="63"/>
      <c r="T60" s="63"/>
    </row>
    <row r="61" spans="5:20">
      <c r="E61" s="63"/>
      <c r="F61" s="63"/>
      <c r="G61" s="63"/>
      <c r="H61" s="63"/>
      <c r="I61" s="63"/>
      <c r="J61" s="63"/>
      <c r="K61" s="63"/>
      <c r="L61" s="63"/>
      <c r="M61" s="63"/>
      <c r="N61" s="63"/>
      <c r="O61" s="63"/>
      <c r="P61" s="63"/>
      <c r="Q61" s="63"/>
      <c r="R61" s="63"/>
      <c r="S61" s="63"/>
      <c r="T61" s="63"/>
    </row>
  </sheetData>
  <mergeCells count="11">
    <mergeCell ref="E8:G8"/>
    <mergeCell ref="Q3:R3"/>
    <mergeCell ref="Q4:R4"/>
    <mergeCell ref="E3:F3"/>
    <mergeCell ref="E4:F5"/>
    <mergeCell ref="H3:I3"/>
    <mergeCell ref="H4:I5"/>
    <mergeCell ref="K3:L3"/>
    <mergeCell ref="K4:L5"/>
    <mergeCell ref="N3:O3"/>
    <mergeCell ref="N4:O5"/>
  </mergeCells>
  <dataValidations count="3">
    <dataValidation type="list" allowBlank="1" showInputMessage="1" showErrorMessage="1" sqref="S4">
      <formula1>$XFC$1:$XFC$21</formula1>
    </dataValidation>
    <dataValidation type="list" allowBlank="1" showInputMessage="1" showErrorMessage="1" sqref="E8:G8">
      <formula1>$XFB$1:$XFB$4</formula1>
    </dataValidation>
    <dataValidation type="list" allowBlank="1" showInputMessage="1" showErrorMessage="1" sqref="S3">
      <formula1>$XFC$1:$XFC$21</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AtualizaData">
                <anchor moveWithCells="1">
                  <from>
                    <xdr:col>16</xdr:col>
                    <xdr:colOff>9525</xdr:colOff>
                    <xdr:row>4</xdr:row>
                    <xdr:rowOff>95250</xdr:rowOff>
                  </from>
                  <to>
                    <xdr:col>19</xdr:col>
                    <xdr:colOff>19050</xdr:colOff>
                    <xdr:row>6</xdr:row>
                    <xdr:rowOff>152400</xdr:rowOff>
                  </to>
                </anchor>
              </controlPr>
            </control>
          </mc:Choice>
        </mc:AlternateContent>
        <mc:AlternateContent xmlns:mc="http://schemas.openxmlformats.org/markup-compatibility/2006">
          <mc:Choice Requires="x14">
            <control shapeId="7170" r:id="rId5" name="Group Box 2">
              <controlPr defaultSize="0" autoFill="0" autoPict="0">
                <anchor moveWithCells="1">
                  <from>
                    <xdr:col>15</xdr:col>
                    <xdr:colOff>171450</xdr:colOff>
                    <xdr:row>1</xdr:row>
                    <xdr:rowOff>38100</xdr:rowOff>
                  </from>
                  <to>
                    <xdr:col>20</xdr:col>
                    <xdr:colOff>9525</xdr:colOff>
                    <xdr:row>7</xdr:row>
                    <xdr:rowOff>47625</xdr:rowOff>
                  </to>
                </anchor>
              </controlPr>
            </control>
          </mc:Choice>
        </mc:AlternateContent>
        <mc:AlternateContent xmlns:mc="http://schemas.openxmlformats.org/markup-compatibility/2006">
          <mc:Choice Requires="x14">
            <control shapeId="7174" r:id="rId6" name="Group Box 6">
              <controlPr defaultSize="0" autoFill="0" autoPict="0">
                <anchor moveWithCells="1">
                  <from>
                    <xdr:col>4</xdr:col>
                    <xdr:colOff>0</xdr:colOff>
                    <xdr:row>7</xdr:row>
                    <xdr:rowOff>161925</xdr:rowOff>
                  </from>
                  <to>
                    <xdr:col>20</xdr:col>
                    <xdr:colOff>0</xdr:colOff>
                    <xdr:row>61</xdr:row>
                    <xdr:rowOff>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tabColor rgb="FFC9DAF8"/>
  </sheetPr>
  <dimension ref="A9:AM36"/>
  <sheetViews>
    <sheetView showGridLines="0" workbookViewId="0"/>
  </sheetViews>
  <sheetFormatPr defaultRowHeight="12.75"/>
  <cols>
    <col min="1" max="1" width="18.7109375" bestFit="1" customWidth="1"/>
    <col min="2" max="2" width="16.7109375" bestFit="1" customWidth="1"/>
    <col min="3" max="3" width="28.5703125" bestFit="1" customWidth="1"/>
    <col min="4" max="4" width="21.140625" bestFit="1" customWidth="1"/>
    <col min="5" max="5" width="18.7109375" bestFit="1" customWidth="1"/>
    <col min="8" max="9" width="18.7109375" customWidth="1"/>
    <col min="10" max="10" width="16.7109375" customWidth="1"/>
    <col min="11" max="11" width="12" customWidth="1"/>
    <col min="12" max="12" width="18.7109375" customWidth="1"/>
    <col min="13" max="13" width="20.140625" customWidth="1"/>
    <col min="14" max="14" width="7" customWidth="1"/>
    <col min="15" max="15" width="8" customWidth="1"/>
    <col min="16" max="16" width="11.140625" customWidth="1"/>
    <col min="17" max="21" width="4" customWidth="1"/>
    <col min="22" max="22" width="18.7109375" customWidth="1"/>
    <col min="23" max="23" width="20.140625" customWidth="1"/>
    <col min="24" max="26" width="11.140625" customWidth="1"/>
    <col min="27" max="29" width="4" customWidth="1"/>
    <col min="30" max="30" width="18.7109375" customWidth="1"/>
    <col min="31" max="31" width="20.140625" customWidth="1"/>
    <col min="32" max="33" width="11.140625" customWidth="1"/>
    <col min="34" max="34" width="11.140625" bestFit="1" customWidth="1"/>
    <col min="35" max="36" width="4" customWidth="1"/>
    <col min="37" max="37" width="18.7109375" customWidth="1"/>
    <col min="38" max="38" width="20.140625" customWidth="1"/>
    <col min="39" max="39" width="11.140625" customWidth="1"/>
    <col min="40" max="40" width="7" customWidth="1"/>
    <col min="41" max="41" width="8.28515625" customWidth="1"/>
    <col min="42" max="42" width="8" customWidth="1"/>
    <col min="43" max="43" width="11.140625" customWidth="1"/>
    <col min="44" max="65" width="4" customWidth="1"/>
    <col min="66" max="259" width="5" customWidth="1"/>
    <col min="260" max="471" width="6" customWidth="1"/>
    <col min="472" max="641" width="7" customWidth="1"/>
    <col min="642" max="971" width="8" customWidth="1"/>
    <col min="972" max="1052" width="9" customWidth="1"/>
    <col min="1053" max="1063" width="10" bestFit="1" customWidth="1"/>
    <col min="1064" max="1064" width="11.140625" bestFit="1" customWidth="1"/>
  </cols>
  <sheetData>
    <row r="9" spans="1:39">
      <c r="H9" s="31" t="s">
        <v>5</v>
      </c>
      <c r="I9" s="31"/>
    </row>
    <row r="11" spans="1:39">
      <c r="A11" s="24" t="s">
        <v>140</v>
      </c>
      <c r="B11" s="32" t="s">
        <v>156</v>
      </c>
      <c r="C11" s="32" t="s">
        <v>159</v>
      </c>
      <c r="D11" s="32" t="s">
        <v>160</v>
      </c>
      <c r="E11" s="32" t="s">
        <v>161</v>
      </c>
      <c r="H11" s="24" t="s">
        <v>140</v>
      </c>
      <c r="I11" t="s">
        <v>161</v>
      </c>
      <c r="L11" s="24" t="s">
        <v>161</v>
      </c>
      <c r="M11" s="24" t="s">
        <v>163</v>
      </c>
      <c r="V11" s="24" t="s">
        <v>161</v>
      </c>
      <c r="W11" s="24" t="s">
        <v>163</v>
      </c>
      <c r="AD11" s="24" t="s">
        <v>161</v>
      </c>
      <c r="AE11" s="24" t="s">
        <v>163</v>
      </c>
      <c r="AK11" s="24" t="s">
        <v>161</v>
      </c>
      <c r="AL11" s="24" t="s">
        <v>163</v>
      </c>
    </row>
    <row r="12" spans="1:39">
      <c r="A12" s="25" t="s">
        <v>142</v>
      </c>
      <c r="B12" s="27"/>
      <c r="C12" s="27"/>
      <c r="D12" s="27"/>
      <c r="E12" s="27"/>
      <c r="H12" s="25" t="s">
        <v>9</v>
      </c>
      <c r="I12" s="27">
        <v>5560305</v>
      </c>
      <c r="L12" s="24" t="s">
        <v>140</v>
      </c>
      <c r="M12" s="32" t="s">
        <v>9</v>
      </c>
      <c r="N12" s="32" t="s">
        <v>20</v>
      </c>
      <c r="O12" s="32" t="s">
        <v>21</v>
      </c>
      <c r="P12" s="32" t="s">
        <v>141</v>
      </c>
      <c r="V12" s="24" t="s">
        <v>140</v>
      </c>
      <c r="W12" s="32" t="s">
        <v>10</v>
      </c>
      <c r="X12" s="32" t="s">
        <v>141</v>
      </c>
      <c r="AD12" s="24" t="s">
        <v>140</v>
      </c>
      <c r="AE12" s="32" t="s">
        <v>13</v>
      </c>
      <c r="AF12" s="32" t="s">
        <v>141</v>
      </c>
      <c r="AK12" s="24" t="s">
        <v>140</v>
      </c>
      <c r="AL12" s="32" t="s">
        <v>16</v>
      </c>
      <c r="AM12" s="32" t="s">
        <v>141</v>
      </c>
    </row>
    <row r="13" spans="1:39">
      <c r="A13" s="26" t="s">
        <v>143</v>
      </c>
      <c r="B13" s="27">
        <v>1491404.9287819057</v>
      </c>
      <c r="C13" s="27">
        <v>107345</v>
      </c>
      <c r="D13" s="27">
        <v>10018</v>
      </c>
      <c r="E13" s="27">
        <v>295934</v>
      </c>
      <c r="H13" s="25" t="s">
        <v>20</v>
      </c>
      <c r="I13" s="27">
        <v>119079</v>
      </c>
      <c r="L13" s="25" t="s">
        <v>142</v>
      </c>
      <c r="M13" s="27"/>
      <c r="N13" s="27"/>
      <c r="O13" s="27"/>
      <c r="P13" s="27"/>
      <c r="V13" s="25" t="s">
        <v>142</v>
      </c>
      <c r="W13" s="27"/>
      <c r="X13" s="27"/>
      <c r="AD13" s="25" t="s">
        <v>142</v>
      </c>
      <c r="AE13" s="27"/>
      <c r="AF13" s="27"/>
      <c r="AK13" s="25" t="s">
        <v>142</v>
      </c>
      <c r="AL13" s="27"/>
      <c r="AM13" s="27"/>
    </row>
    <row r="14" spans="1:39">
      <c r="A14" s="26" t="s">
        <v>144</v>
      </c>
      <c r="B14" s="27">
        <v>1506322.9271506998</v>
      </c>
      <c r="C14" s="27">
        <v>108430</v>
      </c>
      <c r="D14" s="27">
        <v>10119</v>
      </c>
      <c r="E14" s="27">
        <v>298895</v>
      </c>
      <c r="H14" s="25" t="s">
        <v>21</v>
      </c>
      <c r="I14" s="27">
        <v>1928918</v>
      </c>
      <c r="L14" s="26" t="s">
        <v>143</v>
      </c>
      <c r="M14" s="27">
        <v>216280</v>
      </c>
      <c r="N14" s="27">
        <v>4628</v>
      </c>
      <c r="O14" s="27">
        <v>75026</v>
      </c>
      <c r="P14" s="27">
        <v>295934</v>
      </c>
      <c r="V14" s="26" t="s">
        <v>143</v>
      </c>
      <c r="W14" s="27">
        <v>295934</v>
      </c>
      <c r="X14" s="27">
        <v>295934</v>
      </c>
      <c r="AD14" s="26" t="s">
        <v>143</v>
      </c>
      <c r="AE14" s="27">
        <v>295934</v>
      </c>
      <c r="AF14" s="27">
        <v>295934</v>
      </c>
      <c r="AK14" s="26" t="s">
        <v>143</v>
      </c>
      <c r="AL14" s="27">
        <v>295934</v>
      </c>
      <c r="AM14" s="27">
        <v>295934</v>
      </c>
    </row>
    <row r="15" spans="1:39">
      <c r="A15" s="26" t="s">
        <v>145</v>
      </c>
      <c r="B15" s="27">
        <v>1529233.8977277293</v>
      </c>
      <c r="C15" s="27">
        <v>110073</v>
      </c>
      <c r="D15" s="27">
        <v>10272</v>
      </c>
      <c r="E15" s="27">
        <v>306369</v>
      </c>
      <c r="H15" s="25" t="s">
        <v>141</v>
      </c>
      <c r="I15" s="27">
        <v>7608302</v>
      </c>
      <c r="L15" s="26" t="s">
        <v>144</v>
      </c>
      <c r="M15" s="27">
        <v>218443</v>
      </c>
      <c r="N15" s="27">
        <v>4675</v>
      </c>
      <c r="O15" s="27">
        <v>75777</v>
      </c>
      <c r="P15" s="27">
        <v>298895</v>
      </c>
      <c r="V15" s="26" t="s">
        <v>144</v>
      </c>
      <c r="W15" s="27">
        <v>298895</v>
      </c>
      <c r="X15" s="27">
        <v>298895</v>
      </c>
      <c r="AD15" s="26" t="s">
        <v>144</v>
      </c>
      <c r="AE15" s="27">
        <v>298895</v>
      </c>
      <c r="AF15" s="27">
        <v>298895</v>
      </c>
      <c r="AK15" s="26" t="s">
        <v>144</v>
      </c>
      <c r="AL15" s="27">
        <v>298895</v>
      </c>
      <c r="AM15" s="27">
        <v>298895</v>
      </c>
    </row>
    <row r="16" spans="1:39">
      <c r="A16" s="26" t="s">
        <v>146</v>
      </c>
      <c r="B16" s="27">
        <v>1560384.5176648637</v>
      </c>
      <c r="C16" s="27">
        <v>112293</v>
      </c>
      <c r="D16" s="27">
        <v>10480</v>
      </c>
      <c r="E16" s="27">
        <v>310966</v>
      </c>
      <c r="L16" s="26" t="s">
        <v>145</v>
      </c>
      <c r="M16" s="27">
        <v>223905</v>
      </c>
      <c r="N16" s="27">
        <v>4792</v>
      </c>
      <c r="O16" s="27">
        <v>77672</v>
      </c>
      <c r="P16" s="27">
        <v>306369</v>
      </c>
      <c r="V16" s="26" t="s">
        <v>145</v>
      </c>
      <c r="W16" s="27">
        <v>306369</v>
      </c>
      <c r="X16" s="27">
        <v>306369</v>
      </c>
      <c r="AD16" s="26" t="s">
        <v>145</v>
      </c>
      <c r="AE16" s="27">
        <v>306369</v>
      </c>
      <c r="AF16" s="27">
        <v>306369</v>
      </c>
      <c r="AK16" s="26" t="s">
        <v>145</v>
      </c>
      <c r="AL16" s="27">
        <v>306369</v>
      </c>
      <c r="AM16" s="27">
        <v>306369</v>
      </c>
    </row>
    <row r="17" spans="1:39">
      <c r="A17" s="26" t="s">
        <v>147</v>
      </c>
      <c r="B17" s="27">
        <v>1592304.1742111242</v>
      </c>
      <c r="C17" s="27">
        <v>114557</v>
      </c>
      <c r="D17" s="27">
        <v>10692</v>
      </c>
      <c r="E17" s="27">
        <v>317187</v>
      </c>
      <c r="L17" s="26" t="s">
        <v>146</v>
      </c>
      <c r="M17" s="27">
        <v>227264</v>
      </c>
      <c r="N17" s="27">
        <v>4864</v>
      </c>
      <c r="O17" s="27">
        <v>78838</v>
      </c>
      <c r="P17" s="27">
        <v>310966</v>
      </c>
      <c r="V17" s="26" t="s">
        <v>146</v>
      </c>
      <c r="W17" s="27">
        <v>310966</v>
      </c>
      <c r="X17" s="27">
        <v>310966</v>
      </c>
      <c r="AD17" s="26" t="s">
        <v>146</v>
      </c>
      <c r="AE17" s="27">
        <v>310966</v>
      </c>
      <c r="AF17" s="27">
        <v>310966</v>
      </c>
      <c r="AK17" s="26" t="s">
        <v>146</v>
      </c>
      <c r="AL17" s="27">
        <v>310966</v>
      </c>
      <c r="AM17" s="27">
        <v>310966</v>
      </c>
    </row>
    <row r="18" spans="1:39">
      <c r="A18" s="26" t="s">
        <v>148</v>
      </c>
      <c r="B18" s="27">
        <v>1632534.3551084674</v>
      </c>
      <c r="C18" s="27">
        <v>117432</v>
      </c>
      <c r="D18" s="27">
        <v>10961</v>
      </c>
      <c r="E18" s="27">
        <v>323533</v>
      </c>
      <c r="L18" s="26" t="s">
        <v>147</v>
      </c>
      <c r="M18" s="27">
        <v>231810</v>
      </c>
      <c r="N18" s="27">
        <v>4962</v>
      </c>
      <c r="O18" s="27">
        <v>80415</v>
      </c>
      <c r="P18" s="27">
        <v>317187</v>
      </c>
      <c r="V18" s="26" t="s">
        <v>147</v>
      </c>
      <c r="W18" s="27">
        <v>317187</v>
      </c>
      <c r="X18" s="27">
        <v>317187</v>
      </c>
      <c r="AD18" s="26" t="s">
        <v>147</v>
      </c>
      <c r="AE18" s="27">
        <v>317187</v>
      </c>
      <c r="AF18" s="27">
        <v>317187</v>
      </c>
      <c r="AK18" s="26" t="s">
        <v>147</v>
      </c>
      <c r="AL18" s="27">
        <v>317187</v>
      </c>
      <c r="AM18" s="27">
        <v>317187</v>
      </c>
    </row>
    <row r="19" spans="1:39">
      <c r="A19" s="26" t="s">
        <v>149</v>
      </c>
      <c r="B19" s="27">
        <v>1657566.2717549808</v>
      </c>
      <c r="C19" s="27">
        <v>119202</v>
      </c>
      <c r="D19" s="27">
        <v>11127</v>
      </c>
      <c r="E19" s="27">
        <v>331623</v>
      </c>
      <c r="H19" s="24" t="s">
        <v>140</v>
      </c>
      <c r="I19" t="s">
        <v>161</v>
      </c>
      <c r="L19" s="26" t="s">
        <v>148</v>
      </c>
      <c r="M19" s="27">
        <v>236447</v>
      </c>
      <c r="N19" s="27">
        <v>5062</v>
      </c>
      <c r="O19" s="27">
        <v>82024</v>
      </c>
      <c r="P19" s="27">
        <v>323533</v>
      </c>
      <c r="V19" s="26" t="s">
        <v>148</v>
      </c>
      <c r="W19" s="27">
        <v>323533</v>
      </c>
      <c r="X19" s="27">
        <v>323533</v>
      </c>
      <c r="AD19" s="26" t="s">
        <v>148</v>
      </c>
      <c r="AE19" s="27">
        <v>323533</v>
      </c>
      <c r="AF19" s="27">
        <v>323533</v>
      </c>
      <c r="AK19" s="26" t="s">
        <v>148</v>
      </c>
      <c r="AL19" s="27">
        <v>323533</v>
      </c>
      <c r="AM19" s="27">
        <v>323533</v>
      </c>
    </row>
    <row r="20" spans="1:39">
      <c r="A20" s="26" t="s">
        <v>150</v>
      </c>
      <c r="B20" s="27">
        <v>1707418.7878660923</v>
      </c>
      <c r="C20" s="27">
        <v>122787</v>
      </c>
      <c r="D20" s="27">
        <v>11462</v>
      </c>
      <c r="E20" s="27">
        <v>338257</v>
      </c>
      <c r="H20" s="25" t="s">
        <v>10</v>
      </c>
      <c r="I20" s="27">
        <v>7608302</v>
      </c>
      <c r="L20" s="26" t="s">
        <v>149</v>
      </c>
      <c r="M20" s="27">
        <v>242359</v>
      </c>
      <c r="N20" s="27">
        <v>5189</v>
      </c>
      <c r="O20" s="27">
        <v>84075</v>
      </c>
      <c r="P20" s="27">
        <v>331623</v>
      </c>
      <c r="V20" s="26" t="s">
        <v>149</v>
      </c>
      <c r="W20" s="27">
        <v>331623</v>
      </c>
      <c r="X20" s="27">
        <v>331623</v>
      </c>
      <c r="AD20" s="26" t="s">
        <v>149</v>
      </c>
      <c r="AE20" s="27">
        <v>331623</v>
      </c>
      <c r="AF20" s="27">
        <v>331623</v>
      </c>
      <c r="AK20" s="26" t="s">
        <v>149</v>
      </c>
      <c r="AL20" s="27">
        <v>331623</v>
      </c>
      <c r="AM20" s="27">
        <v>331623</v>
      </c>
    </row>
    <row r="21" spans="1:39">
      <c r="A21" s="26" t="s">
        <v>151</v>
      </c>
      <c r="B21" s="27">
        <v>1741894.8886773912</v>
      </c>
      <c r="C21" s="27">
        <v>125247</v>
      </c>
      <c r="D21" s="27">
        <v>11692</v>
      </c>
      <c r="E21" s="27">
        <v>345024</v>
      </c>
      <c r="H21" s="25" t="s">
        <v>141</v>
      </c>
      <c r="I21" s="27">
        <v>7608302</v>
      </c>
      <c r="L21" s="26" t="s">
        <v>150</v>
      </c>
      <c r="M21" s="27">
        <v>247207</v>
      </c>
      <c r="N21" s="27">
        <v>5293</v>
      </c>
      <c r="O21" s="27">
        <v>85757</v>
      </c>
      <c r="P21" s="27">
        <v>338257</v>
      </c>
      <c r="V21" s="26" t="s">
        <v>150</v>
      </c>
      <c r="W21" s="27">
        <v>338257</v>
      </c>
      <c r="X21" s="27">
        <v>338257</v>
      </c>
      <c r="AD21" s="26" t="s">
        <v>150</v>
      </c>
      <c r="AE21" s="27">
        <v>338257</v>
      </c>
      <c r="AF21" s="27">
        <v>338257</v>
      </c>
      <c r="AK21" s="26" t="s">
        <v>150</v>
      </c>
      <c r="AL21" s="27">
        <v>338257</v>
      </c>
      <c r="AM21" s="27">
        <v>338257</v>
      </c>
    </row>
    <row r="22" spans="1:39">
      <c r="A22" s="26" t="s">
        <v>152</v>
      </c>
      <c r="B22" s="27">
        <v>1776919.3875637525</v>
      </c>
      <c r="C22" s="27">
        <v>127763</v>
      </c>
      <c r="D22" s="27">
        <v>11927</v>
      </c>
      <c r="E22" s="27">
        <v>350201</v>
      </c>
      <c r="L22" s="26" t="s">
        <v>151</v>
      </c>
      <c r="M22" s="27">
        <v>252152</v>
      </c>
      <c r="N22" s="27">
        <v>5399</v>
      </c>
      <c r="O22" s="27">
        <v>87473</v>
      </c>
      <c r="P22" s="27">
        <v>345024</v>
      </c>
      <c r="V22" s="26" t="s">
        <v>151</v>
      </c>
      <c r="W22" s="27">
        <v>345024</v>
      </c>
      <c r="X22" s="27">
        <v>345024</v>
      </c>
      <c r="AD22" s="26" t="s">
        <v>151</v>
      </c>
      <c r="AE22" s="27">
        <v>345024</v>
      </c>
      <c r="AF22" s="27">
        <v>345024</v>
      </c>
      <c r="AK22" s="26" t="s">
        <v>151</v>
      </c>
      <c r="AL22" s="27">
        <v>345024</v>
      </c>
      <c r="AM22" s="27">
        <v>345024</v>
      </c>
    </row>
    <row r="23" spans="1:39">
      <c r="A23" s="26" t="s">
        <v>153</v>
      </c>
      <c r="B23" s="27">
        <v>1803874.415429398</v>
      </c>
      <c r="C23" s="27">
        <v>129686</v>
      </c>
      <c r="D23" s="27">
        <v>12107</v>
      </c>
      <c r="E23" s="27">
        <v>357206</v>
      </c>
      <c r="L23" s="26" t="s">
        <v>152</v>
      </c>
      <c r="M23" s="27">
        <v>255935</v>
      </c>
      <c r="N23" s="27">
        <v>5480</v>
      </c>
      <c r="O23" s="27">
        <v>88786</v>
      </c>
      <c r="P23" s="27">
        <v>350201</v>
      </c>
      <c r="V23" s="26" t="s">
        <v>152</v>
      </c>
      <c r="W23" s="27">
        <v>350201</v>
      </c>
      <c r="X23" s="27">
        <v>350201</v>
      </c>
      <c r="AD23" s="26" t="s">
        <v>152</v>
      </c>
      <c r="AE23" s="27">
        <v>350201</v>
      </c>
      <c r="AF23" s="27">
        <v>350201</v>
      </c>
      <c r="AK23" s="26" t="s">
        <v>152</v>
      </c>
      <c r="AL23" s="27">
        <v>350201</v>
      </c>
      <c r="AM23" s="27">
        <v>350201</v>
      </c>
    </row>
    <row r="24" spans="1:39">
      <c r="A24" s="26" t="s">
        <v>154</v>
      </c>
      <c r="B24" s="27">
        <v>1822388.8392022441</v>
      </c>
      <c r="C24" s="27">
        <v>130998</v>
      </c>
      <c r="D24" s="27">
        <v>12230</v>
      </c>
      <c r="E24" s="27">
        <v>371496</v>
      </c>
      <c r="H24" s="25"/>
      <c r="I24" s="27"/>
      <c r="L24" s="26" t="s">
        <v>153</v>
      </c>
      <c r="M24" s="27">
        <v>261054</v>
      </c>
      <c r="N24" s="27">
        <v>5590</v>
      </c>
      <c r="O24" s="27">
        <v>90562</v>
      </c>
      <c r="P24" s="27">
        <v>357206</v>
      </c>
      <c r="V24" s="26" t="s">
        <v>153</v>
      </c>
      <c r="W24" s="27">
        <v>357206</v>
      </c>
      <c r="X24" s="27">
        <v>357206</v>
      </c>
      <c r="AD24" s="26" t="s">
        <v>153</v>
      </c>
      <c r="AE24" s="27">
        <v>357206</v>
      </c>
      <c r="AF24" s="27">
        <v>357206</v>
      </c>
      <c r="AK24" s="26" t="s">
        <v>153</v>
      </c>
      <c r="AL24" s="27">
        <v>357206</v>
      </c>
      <c r="AM24" s="27">
        <v>357206</v>
      </c>
    </row>
    <row r="25" spans="1:39">
      <c r="A25" s="25" t="s">
        <v>155</v>
      </c>
      <c r="B25" s="27"/>
      <c r="C25" s="27"/>
      <c r="D25" s="27"/>
      <c r="E25" s="27"/>
      <c r="H25" s="25"/>
      <c r="I25" s="27"/>
      <c r="L25" s="26" t="s">
        <v>154</v>
      </c>
      <c r="M25" s="27">
        <v>271497</v>
      </c>
      <c r="N25" s="27">
        <v>5814</v>
      </c>
      <c r="O25" s="27">
        <v>94185</v>
      </c>
      <c r="P25" s="27">
        <v>371496</v>
      </c>
      <c r="V25" s="26" t="s">
        <v>154</v>
      </c>
      <c r="W25" s="27">
        <v>371496</v>
      </c>
      <c r="X25" s="27">
        <v>371496</v>
      </c>
      <c r="AD25" s="26" t="s">
        <v>154</v>
      </c>
      <c r="AE25" s="27">
        <v>371496</v>
      </c>
      <c r="AF25" s="27">
        <v>371496</v>
      </c>
      <c r="AK25" s="26" t="s">
        <v>154</v>
      </c>
      <c r="AL25" s="27">
        <v>371496</v>
      </c>
      <c r="AM25" s="27">
        <v>371496</v>
      </c>
    </row>
    <row r="26" spans="1:39">
      <c r="A26" s="26" t="s">
        <v>143</v>
      </c>
      <c r="B26" s="27">
        <v>1840948.407745962</v>
      </c>
      <c r="C26" s="27">
        <v>132323</v>
      </c>
      <c r="D26" s="27">
        <v>12354</v>
      </c>
      <c r="E26" s="27">
        <v>378927</v>
      </c>
      <c r="L26" s="25" t="s">
        <v>155</v>
      </c>
      <c r="M26" s="27"/>
      <c r="N26" s="27"/>
      <c r="O26" s="27"/>
      <c r="P26" s="27"/>
      <c r="V26" s="25" t="s">
        <v>155</v>
      </c>
      <c r="W26" s="27"/>
      <c r="X26" s="27"/>
      <c r="AD26" s="25" t="s">
        <v>155</v>
      </c>
      <c r="AE26" s="27"/>
      <c r="AF26" s="27"/>
      <c r="AK26" s="25" t="s">
        <v>155</v>
      </c>
      <c r="AL26" s="27"/>
      <c r="AM26" s="27"/>
    </row>
    <row r="27" spans="1:39">
      <c r="A27" s="26" t="s">
        <v>144</v>
      </c>
      <c r="B27" s="27">
        <v>1878014.5415524659</v>
      </c>
      <c r="C27" s="27">
        <v>134980</v>
      </c>
      <c r="D27" s="27">
        <v>12602</v>
      </c>
      <c r="E27" s="27">
        <v>386507</v>
      </c>
      <c r="H27" s="24" t="s">
        <v>140</v>
      </c>
      <c r="I27" t="s">
        <v>161</v>
      </c>
      <c r="L27" s="26" t="s">
        <v>143</v>
      </c>
      <c r="M27" s="27">
        <v>276927</v>
      </c>
      <c r="N27" s="27">
        <v>5931</v>
      </c>
      <c r="O27" s="27">
        <v>96069</v>
      </c>
      <c r="P27" s="27">
        <v>378927</v>
      </c>
      <c r="V27" s="26" t="s">
        <v>143</v>
      </c>
      <c r="W27" s="27">
        <v>378927</v>
      </c>
      <c r="X27" s="27">
        <v>378927</v>
      </c>
      <c r="AD27" s="26" t="s">
        <v>143</v>
      </c>
      <c r="AE27" s="27">
        <v>378927</v>
      </c>
      <c r="AF27" s="27">
        <v>378927</v>
      </c>
      <c r="AK27" s="26" t="s">
        <v>143</v>
      </c>
      <c r="AL27" s="27">
        <v>378927</v>
      </c>
      <c r="AM27" s="27">
        <v>378927</v>
      </c>
    </row>
    <row r="28" spans="1:39">
      <c r="A28" s="26" t="s">
        <v>145</v>
      </c>
      <c r="B28" s="27">
        <v>1897207.4431420905</v>
      </c>
      <c r="C28" s="27">
        <v>136348</v>
      </c>
      <c r="D28" s="27">
        <v>12730</v>
      </c>
      <c r="E28" s="27">
        <v>390373</v>
      </c>
      <c r="H28" s="25" t="s">
        <v>13</v>
      </c>
      <c r="I28" s="27">
        <v>7608302</v>
      </c>
      <c r="L28" s="26" t="s">
        <v>144</v>
      </c>
      <c r="M28" s="27">
        <v>282466</v>
      </c>
      <c r="N28" s="27">
        <v>6050</v>
      </c>
      <c r="O28" s="27">
        <v>97991</v>
      </c>
      <c r="P28" s="27">
        <v>386507</v>
      </c>
      <c r="V28" s="26" t="s">
        <v>144</v>
      </c>
      <c r="W28" s="27">
        <v>386507</v>
      </c>
      <c r="X28" s="27">
        <v>386507</v>
      </c>
      <c r="AD28" s="26" t="s">
        <v>144</v>
      </c>
      <c r="AE28" s="27">
        <v>386507</v>
      </c>
      <c r="AF28" s="27">
        <v>386507</v>
      </c>
      <c r="AK28" s="26" t="s">
        <v>144</v>
      </c>
      <c r="AL28" s="27">
        <v>386507</v>
      </c>
      <c r="AM28" s="27">
        <v>386507</v>
      </c>
    </row>
    <row r="29" spans="1:39">
      <c r="A29" s="26" t="s">
        <v>146</v>
      </c>
      <c r="B29" s="27">
        <v>1935559.6575911739</v>
      </c>
      <c r="C29" s="27">
        <v>139083</v>
      </c>
      <c r="D29" s="27">
        <v>12986</v>
      </c>
      <c r="E29" s="27">
        <v>396230</v>
      </c>
      <c r="H29" s="25" t="s">
        <v>141</v>
      </c>
      <c r="I29" s="27">
        <v>7608302</v>
      </c>
      <c r="L29" s="26" t="s">
        <v>145</v>
      </c>
      <c r="M29" s="27">
        <v>285291</v>
      </c>
      <c r="N29" s="27">
        <v>6111</v>
      </c>
      <c r="O29" s="27">
        <v>98971</v>
      </c>
      <c r="P29" s="27">
        <v>390373</v>
      </c>
      <c r="V29" s="26" t="s">
        <v>145</v>
      </c>
      <c r="W29" s="27">
        <v>390373</v>
      </c>
      <c r="X29" s="27">
        <v>390373</v>
      </c>
      <c r="AD29" s="26" t="s">
        <v>145</v>
      </c>
      <c r="AE29" s="27">
        <v>390373</v>
      </c>
      <c r="AF29" s="27">
        <v>390373</v>
      </c>
      <c r="AK29" s="26" t="s">
        <v>145</v>
      </c>
      <c r="AL29" s="27">
        <v>390373</v>
      </c>
      <c r="AM29" s="27">
        <v>390373</v>
      </c>
    </row>
    <row r="30" spans="1:39">
      <c r="A30" s="26" t="s">
        <v>147</v>
      </c>
      <c r="B30" s="27">
        <v>1974825.4709681999</v>
      </c>
      <c r="C30" s="27">
        <v>141881</v>
      </c>
      <c r="D30" s="27">
        <v>13248</v>
      </c>
      <c r="E30" s="27">
        <v>404157</v>
      </c>
      <c r="L30" s="26" t="s">
        <v>146</v>
      </c>
      <c r="M30" s="27">
        <v>289571</v>
      </c>
      <c r="N30" s="27">
        <v>6203</v>
      </c>
      <c r="O30" s="27">
        <v>100456</v>
      </c>
      <c r="P30" s="27">
        <v>396230</v>
      </c>
      <c r="V30" s="26" t="s">
        <v>146</v>
      </c>
      <c r="W30" s="27">
        <v>396230</v>
      </c>
      <c r="X30" s="27">
        <v>396230</v>
      </c>
      <c r="AD30" s="26" t="s">
        <v>146</v>
      </c>
      <c r="AE30" s="27">
        <v>396230</v>
      </c>
      <c r="AF30" s="27">
        <v>396230</v>
      </c>
      <c r="AK30" s="26" t="s">
        <v>146</v>
      </c>
      <c r="AL30" s="27">
        <v>396230</v>
      </c>
      <c r="AM30" s="27">
        <v>396230</v>
      </c>
    </row>
    <row r="31" spans="1:39">
      <c r="A31" s="26" t="s">
        <v>148</v>
      </c>
      <c r="B31" s="27">
        <v>2024533.4247604948</v>
      </c>
      <c r="C31" s="27">
        <v>145447</v>
      </c>
      <c r="D31" s="27">
        <v>13581</v>
      </c>
      <c r="E31" s="27">
        <v>412242</v>
      </c>
      <c r="L31" s="26" t="s">
        <v>147</v>
      </c>
      <c r="M31" s="27">
        <v>295363</v>
      </c>
      <c r="N31" s="27">
        <v>6328</v>
      </c>
      <c r="O31" s="27">
        <v>102466</v>
      </c>
      <c r="P31" s="27">
        <v>404157</v>
      </c>
      <c r="V31" s="26" t="s">
        <v>147</v>
      </c>
      <c r="W31" s="27">
        <v>404157</v>
      </c>
      <c r="X31" s="27">
        <v>404157</v>
      </c>
      <c r="AD31" s="26" t="s">
        <v>147</v>
      </c>
      <c r="AE31" s="27">
        <v>404157</v>
      </c>
      <c r="AF31" s="27">
        <v>404157</v>
      </c>
      <c r="AK31" s="26" t="s">
        <v>147</v>
      </c>
      <c r="AL31" s="27">
        <v>404157</v>
      </c>
      <c r="AM31" s="27">
        <v>404157</v>
      </c>
    </row>
    <row r="32" spans="1:39">
      <c r="A32" s="26" t="s">
        <v>149</v>
      </c>
      <c r="B32" s="27">
        <v>2055533.8585573102</v>
      </c>
      <c r="C32" s="27">
        <v>147647</v>
      </c>
      <c r="D32" s="27">
        <v>13787</v>
      </c>
      <c r="E32" s="27">
        <v>422549</v>
      </c>
      <c r="L32" s="26" t="s">
        <v>148</v>
      </c>
      <c r="M32" s="27">
        <v>301271</v>
      </c>
      <c r="N32" s="27">
        <v>6455</v>
      </c>
      <c r="O32" s="27">
        <v>104516</v>
      </c>
      <c r="P32" s="27">
        <v>412242</v>
      </c>
      <c r="V32" s="26" t="s">
        <v>148</v>
      </c>
      <c r="W32" s="27">
        <v>412242</v>
      </c>
      <c r="X32" s="27">
        <v>412242</v>
      </c>
      <c r="AD32" s="26" t="s">
        <v>148</v>
      </c>
      <c r="AE32" s="27">
        <v>412242</v>
      </c>
      <c r="AF32" s="27">
        <v>412242</v>
      </c>
      <c r="AK32" s="26" t="s">
        <v>148</v>
      </c>
      <c r="AL32" s="27">
        <v>412242</v>
      </c>
      <c r="AM32" s="27">
        <v>412242</v>
      </c>
    </row>
    <row r="33" spans="1:39">
      <c r="A33" s="26" t="s">
        <v>150</v>
      </c>
      <c r="B33" s="27">
        <v>2117546.9740394829</v>
      </c>
      <c r="C33" s="27">
        <v>152087</v>
      </c>
      <c r="D33" s="27">
        <v>14202</v>
      </c>
      <c r="E33" s="27">
        <v>431002</v>
      </c>
      <c r="H33" s="24" t="s">
        <v>140</v>
      </c>
      <c r="I33" t="s">
        <v>161</v>
      </c>
      <c r="L33" s="26" t="s">
        <v>149</v>
      </c>
      <c r="M33" s="27">
        <v>308803</v>
      </c>
      <c r="N33" s="27">
        <v>6617</v>
      </c>
      <c r="O33" s="27">
        <v>107129</v>
      </c>
      <c r="P33" s="27">
        <v>422549</v>
      </c>
      <c r="V33" s="26" t="s">
        <v>149</v>
      </c>
      <c r="W33" s="27">
        <v>422549</v>
      </c>
      <c r="X33" s="27">
        <v>422549</v>
      </c>
      <c r="AD33" s="26" t="s">
        <v>149</v>
      </c>
      <c r="AE33" s="27">
        <v>422549</v>
      </c>
      <c r="AF33" s="27">
        <v>422549</v>
      </c>
      <c r="AK33" s="26" t="s">
        <v>149</v>
      </c>
      <c r="AL33" s="27">
        <v>422549</v>
      </c>
      <c r="AM33" s="27">
        <v>422549</v>
      </c>
    </row>
    <row r="34" spans="1:39">
      <c r="A34" s="26" t="s">
        <v>151</v>
      </c>
      <c r="B34" s="27">
        <v>1045206.8449437044</v>
      </c>
      <c r="C34" s="27">
        <v>70656</v>
      </c>
      <c r="D34" s="27">
        <v>6779</v>
      </c>
      <c r="E34" s="27">
        <v>439624</v>
      </c>
      <c r="H34" s="25" t="s">
        <v>16</v>
      </c>
      <c r="I34" s="27">
        <v>7608302</v>
      </c>
      <c r="L34" s="26" t="s">
        <v>150</v>
      </c>
      <c r="M34" s="27">
        <v>314980</v>
      </c>
      <c r="N34" s="27">
        <v>6750</v>
      </c>
      <c r="O34" s="27">
        <v>109272</v>
      </c>
      <c r="P34" s="27">
        <v>431002</v>
      </c>
      <c r="V34" s="26" t="s">
        <v>150</v>
      </c>
      <c r="W34" s="27">
        <v>431002</v>
      </c>
      <c r="X34" s="27">
        <v>431002</v>
      </c>
      <c r="AD34" s="26" t="s">
        <v>150</v>
      </c>
      <c r="AE34" s="27">
        <v>431002</v>
      </c>
      <c r="AF34" s="27">
        <v>431002</v>
      </c>
      <c r="AK34" s="26" t="s">
        <v>150</v>
      </c>
      <c r="AL34" s="27">
        <v>431002</v>
      </c>
      <c r="AM34" s="27">
        <v>431002</v>
      </c>
    </row>
    <row r="35" spans="1:39">
      <c r="A35" s="25" t="s">
        <v>141</v>
      </c>
      <c r="B35" s="27">
        <v>36591624.014439523</v>
      </c>
      <c r="C35" s="27">
        <v>2626265</v>
      </c>
      <c r="D35" s="27">
        <v>245356</v>
      </c>
      <c r="E35" s="27">
        <v>7608302</v>
      </c>
      <c r="H35" s="25" t="s">
        <v>141</v>
      </c>
      <c r="I35" s="27">
        <v>7608302</v>
      </c>
      <c r="L35" s="26" t="s">
        <v>151</v>
      </c>
      <c r="M35" s="27">
        <v>321280</v>
      </c>
      <c r="N35" s="27">
        <v>6886</v>
      </c>
      <c r="O35" s="27">
        <v>111458</v>
      </c>
      <c r="P35" s="27">
        <v>439624</v>
      </c>
      <c r="V35" s="26" t="s">
        <v>151</v>
      </c>
      <c r="W35" s="27">
        <v>439624</v>
      </c>
      <c r="X35" s="27">
        <v>439624</v>
      </c>
      <c r="AD35" s="26" t="s">
        <v>151</v>
      </c>
      <c r="AE35" s="27">
        <v>439624</v>
      </c>
      <c r="AF35" s="27">
        <v>439624</v>
      </c>
      <c r="AK35" s="26" t="s">
        <v>151</v>
      </c>
      <c r="AL35" s="27">
        <v>439624</v>
      </c>
      <c r="AM35" s="27">
        <v>439624</v>
      </c>
    </row>
    <row r="36" spans="1:39">
      <c r="L36" s="25" t="s">
        <v>141</v>
      </c>
      <c r="M36" s="27">
        <v>5560305</v>
      </c>
      <c r="N36" s="27">
        <v>119079</v>
      </c>
      <c r="O36" s="27">
        <v>1928918</v>
      </c>
      <c r="P36" s="27">
        <v>7608302</v>
      </c>
      <c r="V36" s="25" t="s">
        <v>141</v>
      </c>
      <c r="W36" s="27">
        <v>7608302</v>
      </c>
      <c r="X36" s="27">
        <v>7608302</v>
      </c>
      <c r="AD36" s="25" t="s">
        <v>141</v>
      </c>
      <c r="AE36" s="27">
        <v>7608302</v>
      </c>
      <c r="AF36" s="27">
        <v>7608302</v>
      </c>
      <c r="AK36" s="25" t="s">
        <v>141</v>
      </c>
      <c r="AL36" s="27">
        <v>7608302</v>
      </c>
      <c r="AM36" s="27">
        <v>7608302</v>
      </c>
    </row>
  </sheetData>
  <pageMargins left="0.511811024" right="0.511811024" top="0.78740157499999996" bottom="0.78740157499999996" header="0.31496062000000002" footer="0.31496062000000002"/>
  <drawing r:id="rId10"/>
  <extLst>
    <ext xmlns:x15="http://schemas.microsoft.com/office/spreadsheetml/2010/11/main" uri="{7E03D99C-DC04-49d9-9315-930204A7B6E9}">
      <x15:timelineRefs>
        <x15:timelineRef r:id="rId11"/>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rgb="FFC9DAF8"/>
    <outlinePr summaryBelow="0" summaryRight="0"/>
  </sheetPr>
  <dimension ref="A1:S1002"/>
  <sheetViews>
    <sheetView showGridLines="0" workbookViewId="0"/>
  </sheetViews>
  <sheetFormatPr defaultColWidth="14.42578125" defaultRowHeight="15.75" customHeight="1"/>
  <cols>
    <col min="1" max="1" width="11" customWidth="1"/>
    <col min="2" max="2" width="26.28515625" customWidth="1"/>
    <col min="3" max="3" width="30.140625" customWidth="1"/>
    <col min="4" max="4" width="23.42578125" customWidth="1"/>
    <col min="5" max="5" width="74.42578125" customWidth="1"/>
    <col min="13" max="13" width="3.7109375" customWidth="1"/>
    <col min="14" max="19" width="14.42578125" hidden="1"/>
  </cols>
  <sheetData>
    <row r="1" spans="1:19" ht="15">
      <c r="A1" s="18"/>
      <c r="B1" s="59" t="s">
        <v>35</v>
      </c>
      <c r="C1" s="60"/>
      <c r="D1" s="60"/>
      <c r="E1" s="60"/>
      <c r="F1" s="18"/>
      <c r="G1" s="18"/>
      <c r="H1" s="18"/>
      <c r="I1" s="18"/>
      <c r="J1" s="18"/>
      <c r="K1" s="18"/>
      <c r="L1" s="18"/>
      <c r="M1" s="18"/>
      <c r="N1" s="18"/>
      <c r="O1" s="18"/>
      <c r="P1" s="18"/>
      <c r="Q1" s="18"/>
      <c r="R1" s="18"/>
      <c r="S1" s="18"/>
    </row>
    <row r="2" spans="1:19" ht="15">
      <c r="A2" s="18"/>
      <c r="B2" s="9" t="s">
        <v>36</v>
      </c>
      <c r="C2" s="19" t="s">
        <v>37</v>
      </c>
      <c r="D2" s="9" t="s">
        <v>38</v>
      </c>
      <c r="E2" s="19" t="s">
        <v>39</v>
      </c>
      <c r="F2" s="18"/>
      <c r="G2" s="18"/>
      <c r="H2" s="18"/>
      <c r="I2" s="18"/>
      <c r="J2" s="18"/>
      <c r="K2" s="18"/>
      <c r="L2" s="18"/>
      <c r="M2" s="18"/>
      <c r="N2" s="18"/>
      <c r="O2" s="18"/>
      <c r="P2" s="18"/>
      <c r="Q2" s="18"/>
      <c r="R2" s="18"/>
      <c r="S2" s="18"/>
    </row>
    <row r="3" spans="1:19" ht="14.25">
      <c r="A3" s="18"/>
      <c r="B3" s="57" t="s">
        <v>40</v>
      </c>
      <c r="C3" s="61" t="s">
        <v>41</v>
      </c>
      <c r="D3" s="20" t="s">
        <v>42</v>
      </c>
      <c r="E3" s="21" t="s">
        <v>43</v>
      </c>
      <c r="F3" s="18"/>
      <c r="G3" s="18"/>
      <c r="H3" s="18"/>
      <c r="I3" s="18"/>
      <c r="J3" s="18"/>
      <c r="K3" s="18"/>
      <c r="L3" s="18"/>
      <c r="M3" s="18"/>
      <c r="N3" s="18"/>
      <c r="O3" s="18"/>
      <c r="P3" s="18"/>
      <c r="Q3" s="18"/>
      <c r="R3" s="18"/>
      <c r="S3" s="18"/>
    </row>
    <row r="4" spans="1:19" ht="14.25">
      <c r="A4" s="18"/>
      <c r="B4" s="34"/>
      <c r="C4" s="34"/>
      <c r="D4" s="20" t="s">
        <v>44</v>
      </c>
      <c r="E4" s="21" t="s">
        <v>45</v>
      </c>
      <c r="F4" s="18"/>
      <c r="G4" s="18"/>
      <c r="H4" s="18"/>
      <c r="I4" s="18"/>
      <c r="J4" s="18"/>
      <c r="K4" s="18"/>
      <c r="L4" s="18"/>
      <c r="M4" s="18"/>
      <c r="N4" s="18"/>
      <c r="O4" s="18"/>
      <c r="P4" s="18"/>
      <c r="Q4" s="18"/>
      <c r="R4" s="18"/>
      <c r="S4" s="18"/>
    </row>
    <row r="5" spans="1:19" ht="14.25">
      <c r="A5" s="18"/>
      <c r="B5" s="34"/>
      <c r="C5" s="34"/>
      <c r="D5" s="21" t="s">
        <v>46</v>
      </c>
      <c r="E5" s="21" t="s">
        <v>47</v>
      </c>
      <c r="F5" s="18"/>
      <c r="G5" s="18"/>
      <c r="H5" s="18"/>
      <c r="I5" s="18"/>
      <c r="J5" s="18"/>
      <c r="K5" s="18"/>
      <c r="L5" s="18"/>
      <c r="M5" s="18"/>
      <c r="N5" s="18"/>
      <c r="O5" s="18"/>
      <c r="P5" s="18"/>
      <c r="Q5" s="18"/>
      <c r="R5" s="18"/>
      <c r="S5" s="18"/>
    </row>
    <row r="6" spans="1:19" ht="14.25">
      <c r="A6" s="18"/>
      <c r="B6" s="34"/>
      <c r="C6" s="34"/>
      <c r="D6" s="20" t="s">
        <v>48</v>
      </c>
      <c r="E6" s="21" t="s">
        <v>49</v>
      </c>
      <c r="F6" s="18"/>
      <c r="G6" s="18"/>
      <c r="H6" s="18"/>
      <c r="I6" s="18"/>
      <c r="J6" s="18"/>
      <c r="K6" s="18"/>
      <c r="L6" s="18"/>
      <c r="M6" s="18"/>
      <c r="N6" s="18"/>
      <c r="O6" s="18"/>
      <c r="P6" s="18"/>
      <c r="Q6" s="18"/>
      <c r="R6" s="18"/>
      <c r="S6" s="18"/>
    </row>
    <row r="7" spans="1:19" ht="14.25">
      <c r="A7" s="18"/>
      <c r="B7" s="34"/>
      <c r="C7" s="34"/>
      <c r="D7" s="21" t="s">
        <v>50</v>
      </c>
      <c r="E7" s="21" t="s">
        <v>51</v>
      </c>
      <c r="F7" s="18"/>
      <c r="G7" s="18"/>
      <c r="H7" s="18"/>
      <c r="I7" s="18"/>
      <c r="J7" s="18"/>
      <c r="K7" s="18"/>
      <c r="L7" s="18"/>
      <c r="M7" s="18"/>
      <c r="N7" s="18"/>
      <c r="O7" s="18"/>
      <c r="P7" s="18"/>
      <c r="Q7" s="18"/>
      <c r="R7" s="18"/>
      <c r="S7" s="18"/>
    </row>
    <row r="8" spans="1:19" ht="14.25">
      <c r="A8" s="18"/>
      <c r="B8" s="34"/>
      <c r="C8" s="34"/>
      <c r="D8" s="20" t="s">
        <v>52</v>
      </c>
      <c r="E8" s="21" t="s">
        <v>53</v>
      </c>
      <c r="F8" s="18"/>
      <c r="G8" s="18"/>
      <c r="H8" s="18"/>
      <c r="I8" s="18"/>
      <c r="J8" s="18"/>
      <c r="K8" s="18"/>
      <c r="L8" s="18"/>
      <c r="M8" s="18"/>
      <c r="N8" s="18"/>
      <c r="O8" s="18"/>
      <c r="P8" s="18"/>
      <c r="Q8" s="18"/>
      <c r="R8" s="18"/>
      <c r="S8" s="18"/>
    </row>
    <row r="9" spans="1:19" ht="14.25">
      <c r="A9" s="18"/>
      <c r="B9" s="34"/>
      <c r="C9" s="34"/>
      <c r="D9" s="20" t="s">
        <v>54</v>
      </c>
      <c r="E9" s="21" t="s">
        <v>55</v>
      </c>
      <c r="F9" s="18"/>
      <c r="G9" s="18"/>
      <c r="H9" s="18"/>
      <c r="I9" s="18"/>
      <c r="J9" s="18"/>
      <c r="K9" s="18"/>
      <c r="L9" s="18"/>
      <c r="M9" s="18"/>
      <c r="N9" s="18"/>
      <c r="O9" s="18"/>
      <c r="P9" s="18"/>
      <c r="Q9" s="18"/>
      <c r="R9" s="18"/>
      <c r="S9" s="18"/>
    </row>
    <row r="10" spans="1:19" ht="14.25">
      <c r="A10" s="18"/>
      <c r="B10" s="34"/>
      <c r="C10" s="34"/>
      <c r="D10" s="20" t="s">
        <v>56</v>
      </c>
      <c r="E10" s="21" t="s">
        <v>57</v>
      </c>
      <c r="F10" s="18"/>
      <c r="G10" s="18"/>
      <c r="H10" s="18"/>
      <c r="I10" s="18"/>
      <c r="J10" s="18"/>
      <c r="K10" s="18"/>
      <c r="L10" s="18"/>
      <c r="M10" s="18"/>
      <c r="N10" s="18"/>
      <c r="O10" s="18"/>
      <c r="P10" s="18"/>
      <c r="Q10" s="18"/>
      <c r="R10" s="18"/>
      <c r="S10" s="18"/>
    </row>
    <row r="11" spans="1:19" ht="14.25">
      <c r="A11" s="18"/>
      <c r="B11" s="35"/>
      <c r="C11" s="35"/>
      <c r="D11" s="20" t="s">
        <v>58</v>
      </c>
      <c r="E11" s="21" t="s">
        <v>59</v>
      </c>
      <c r="F11" s="18"/>
      <c r="G11" s="18"/>
      <c r="H11" s="18"/>
      <c r="I11" s="18"/>
      <c r="J11" s="18"/>
      <c r="K11" s="18"/>
      <c r="L11" s="18"/>
      <c r="M11" s="18"/>
      <c r="N11" s="18"/>
      <c r="O11" s="18"/>
      <c r="P11" s="18"/>
      <c r="Q11" s="18"/>
      <c r="R11" s="18"/>
      <c r="S11" s="18"/>
    </row>
    <row r="12" spans="1:19" ht="14.25">
      <c r="A12" s="18"/>
      <c r="B12" s="57" t="s">
        <v>60</v>
      </c>
      <c r="C12" s="58" t="s">
        <v>61</v>
      </c>
      <c r="D12" s="20" t="s">
        <v>62</v>
      </c>
      <c r="E12" s="21" t="s">
        <v>43</v>
      </c>
      <c r="F12" s="18"/>
      <c r="G12" s="18"/>
      <c r="H12" s="18"/>
      <c r="I12" s="18"/>
      <c r="J12" s="18"/>
      <c r="K12" s="18"/>
      <c r="L12" s="18"/>
      <c r="M12" s="18"/>
      <c r="N12" s="18"/>
      <c r="O12" s="18"/>
      <c r="P12" s="18"/>
      <c r="Q12" s="18"/>
      <c r="R12" s="18"/>
      <c r="S12" s="18"/>
    </row>
    <row r="13" spans="1:19" ht="14.25">
      <c r="A13" s="18"/>
      <c r="B13" s="34"/>
      <c r="C13" s="34"/>
      <c r="D13" s="20" t="s">
        <v>63</v>
      </c>
      <c r="E13" s="21" t="s">
        <v>64</v>
      </c>
      <c r="F13" s="18"/>
      <c r="G13" s="18"/>
      <c r="H13" s="18"/>
      <c r="I13" s="18"/>
      <c r="J13" s="18"/>
      <c r="K13" s="18"/>
      <c r="L13" s="18"/>
      <c r="M13" s="18"/>
      <c r="N13" s="18"/>
      <c r="O13" s="18"/>
      <c r="P13" s="18"/>
      <c r="Q13" s="18"/>
      <c r="R13" s="18"/>
      <c r="S13" s="18"/>
    </row>
    <row r="14" spans="1:19" ht="14.25">
      <c r="A14" s="18"/>
      <c r="B14" s="35"/>
      <c r="C14" s="35"/>
      <c r="D14" s="20" t="s">
        <v>65</v>
      </c>
      <c r="E14" s="21" t="s">
        <v>66</v>
      </c>
      <c r="F14" s="18"/>
      <c r="G14" s="18"/>
      <c r="H14" s="18"/>
      <c r="I14" s="18"/>
      <c r="J14" s="18"/>
      <c r="K14" s="18"/>
      <c r="L14" s="18"/>
      <c r="M14" s="18"/>
      <c r="N14" s="18"/>
      <c r="O14" s="18"/>
      <c r="P14" s="18"/>
      <c r="Q14" s="18"/>
      <c r="R14" s="18"/>
      <c r="S14" s="18"/>
    </row>
    <row r="15" spans="1:19" ht="14.25">
      <c r="A15" s="18"/>
      <c r="B15" s="57" t="s">
        <v>67</v>
      </c>
      <c r="C15" s="58" t="s">
        <v>68</v>
      </c>
      <c r="D15" s="20" t="s">
        <v>69</v>
      </c>
      <c r="E15" s="21" t="s">
        <v>43</v>
      </c>
      <c r="F15" s="18"/>
      <c r="G15" s="18"/>
      <c r="H15" s="18"/>
      <c r="I15" s="18"/>
      <c r="J15" s="18"/>
      <c r="K15" s="18"/>
      <c r="L15" s="18"/>
      <c r="M15" s="18"/>
      <c r="N15" s="18"/>
      <c r="O15" s="18"/>
      <c r="P15" s="18"/>
      <c r="Q15" s="18"/>
      <c r="R15" s="18"/>
      <c r="S15" s="18"/>
    </row>
    <row r="16" spans="1:19" ht="14.25">
      <c r="A16" s="18"/>
      <c r="B16" s="35"/>
      <c r="C16" s="35"/>
      <c r="D16" s="20" t="s">
        <v>70</v>
      </c>
      <c r="E16" s="21" t="s">
        <v>71</v>
      </c>
      <c r="F16" s="18"/>
      <c r="G16" s="18"/>
      <c r="H16" s="18"/>
      <c r="I16" s="18"/>
      <c r="J16" s="18"/>
      <c r="K16" s="18"/>
      <c r="L16" s="18"/>
      <c r="M16" s="18"/>
      <c r="N16" s="18"/>
      <c r="O16" s="18"/>
      <c r="P16" s="18"/>
      <c r="Q16" s="18"/>
      <c r="R16" s="18"/>
      <c r="S16" s="18"/>
    </row>
    <row r="17" spans="1:19" ht="14.25">
      <c r="A17" s="18"/>
      <c r="B17" s="57" t="s">
        <v>72</v>
      </c>
      <c r="C17" s="58" t="s">
        <v>73</v>
      </c>
      <c r="D17" s="21" t="s">
        <v>74</v>
      </c>
      <c r="E17" s="21" t="s">
        <v>43</v>
      </c>
      <c r="F17" s="18"/>
      <c r="G17" s="18"/>
      <c r="H17" s="18"/>
      <c r="I17" s="18"/>
      <c r="J17" s="18"/>
      <c r="K17" s="18"/>
      <c r="L17" s="18"/>
      <c r="M17" s="18"/>
      <c r="N17" s="18"/>
      <c r="O17" s="18"/>
      <c r="P17" s="18"/>
      <c r="Q17" s="18"/>
      <c r="R17" s="18"/>
      <c r="S17" s="18"/>
    </row>
    <row r="18" spans="1:19" ht="14.25">
      <c r="A18" s="18"/>
      <c r="B18" s="34"/>
      <c r="C18" s="34"/>
      <c r="D18" s="21" t="s">
        <v>75</v>
      </c>
      <c r="E18" s="21" t="s">
        <v>76</v>
      </c>
      <c r="F18" s="18"/>
      <c r="G18" s="18"/>
      <c r="H18" s="18"/>
      <c r="I18" s="18"/>
      <c r="J18" s="18"/>
      <c r="K18" s="18"/>
      <c r="L18" s="18"/>
      <c r="M18" s="18"/>
      <c r="N18" s="18"/>
      <c r="O18" s="18"/>
      <c r="P18" s="18"/>
      <c r="Q18" s="18"/>
      <c r="R18" s="18"/>
      <c r="S18" s="18"/>
    </row>
    <row r="19" spans="1:19" ht="14.25">
      <c r="A19" s="18"/>
      <c r="B19" s="34"/>
      <c r="C19" s="34"/>
      <c r="D19" s="20" t="s">
        <v>77</v>
      </c>
      <c r="E19" s="21" t="s">
        <v>78</v>
      </c>
      <c r="F19" s="18"/>
      <c r="G19" s="18"/>
      <c r="H19" s="18"/>
      <c r="I19" s="18"/>
      <c r="J19" s="18"/>
      <c r="K19" s="18"/>
      <c r="L19" s="18"/>
      <c r="M19" s="18"/>
      <c r="N19" s="18"/>
      <c r="O19" s="18"/>
      <c r="P19" s="18"/>
      <c r="Q19" s="18"/>
      <c r="R19" s="18"/>
      <c r="S19" s="18"/>
    </row>
    <row r="20" spans="1:19" ht="14.25">
      <c r="A20" s="18"/>
      <c r="B20" s="35"/>
      <c r="C20" s="35"/>
      <c r="D20" s="20" t="s">
        <v>79</v>
      </c>
      <c r="E20" s="21" t="s">
        <v>80</v>
      </c>
      <c r="F20" s="18"/>
      <c r="G20" s="18"/>
      <c r="H20" s="18"/>
      <c r="I20" s="18"/>
      <c r="J20" s="18"/>
      <c r="K20" s="18"/>
      <c r="L20" s="18"/>
      <c r="M20" s="18"/>
      <c r="N20" s="18"/>
      <c r="O20" s="18"/>
      <c r="P20" s="18"/>
      <c r="Q20" s="18"/>
      <c r="R20" s="18"/>
      <c r="S20" s="18"/>
    </row>
    <row r="21" spans="1:19" ht="14.25">
      <c r="A21" s="18"/>
      <c r="B21" s="57" t="s">
        <v>81</v>
      </c>
      <c r="C21" s="58" t="s">
        <v>82</v>
      </c>
      <c r="D21" s="20" t="s">
        <v>83</v>
      </c>
      <c r="E21" s="21" t="s">
        <v>43</v>
      </c>
      <c r="F21" s="18"/>
      <c r="G21" s="18"/>
      <c r="H21" s="18"/>
      <c r="I21" s="18"/>
      <c r="J21" s="18"/>
      <c r="K21" s="18"/>
      <c r="L21" s="18"/>
      <c r="M21" s="18"/>
      <c r="N21" s="18"/>
      <c r="O21" s="18"/>
      <c r="P21" s="18"/>
      <c r="Q21" s="18"/>
      <c r="R21" s="18"/>
      <c r="S21" s="18"/>
    </row>
    <row r="22" spans="1:19" ht="14.25">
      <c r="A22" s="18"/>
      <c r="B22" s="35"/>
      <c r="C22" s="35"/>
      <c r="D22" s="20" t="s">
        <v>84</v>
      </c>
      <c r="E22" s="21" t="s">
        <v>85</v>
      </c>
      <c r="F22" s="18"/>
      <c r="G22" s="18"/>
      <c r="H22" s="18"/>
      <c r="I22" s="18"/>
      <c r="J22" s="18"/>
      <c r="K22" s="18"/>
      <c r="L22" s="18"/>
      <c r="M22" s="18"/>
      <c r="N22" s="18"/>
      <c r="O22" s="18"/>
      <c r="P22" s="18"/>
      <c r="Q22" s="18"/>
      <c r="R22" s="18"/>
      <c r="S22" s="18"/>
    </row>
    <row r="23" spans="1:19" ht="14.25">
      <c r="A23" s="18"/>
      <c r="B23" s="18"/>
      <c r="C23" s="18"/>
      <c r="D23" s="18"/>
      <c r="E23" s="18"/>
      <c r="F23" s="18"/>
      <c r="G23" s="18"/>
      <c r="H23" s="18"/>
      <c r="I23" s="18"/>
      <c r="J23" s="18"/>
      <c r="K23" s="18"/>
      <c r="L23" s="18"/>
      <c r="M23" s="18"/>
      <c r="N23" s="18"/>
      <c r="O23" s="18"/>
      <c r="P23" s="18"/>
      <c r="Q23" s="18"/>
      <c r="R23" s="18"/>
      <c r="S23" s="18"/>
    </row>
    <row r="24" spans="1:19" ht="15">
      <c r="A24" s="18"/>
      <c r="B24" s="59" t="s">
        <v>86</v>
      </c>
      <c r="C24" s="60"/>
      <c r="D24" s="22"/>
      <c r="E24" s="22"/>
      <c r="F24" s="18"/>
      <c r="G24" s="18"/>
      <c r="H24" s="18"/>
      <c r="I24" s="18"/>
      <c r="J24" s="18"/>
      <c r="K24" s="18"/>
      <c r="L24" s="18"/>
      <c r="M24" s="18"/>
      <c r="N24" s="18"/>
      <c r="O24" s="18"/>
      <c r="P24" s="18"/>
      <c r="Q24" s="18"/>
      <c r="R24" s="18"/>
      <c r="S24" s="18"/>
    </row>
    <row r="25" spans="1:19" ht="15">
      <c r="A25" s="18"/>
      <c r="B25" s="9" t="s">
        <v>70</v>
      </c>
      <c r="C25" s="9" t="s">
        <v>63</v>
      </c>
      <c r="D25" s="23"/>
      <c r="E25" s="23"/>
      <c r="F25" s="18"/>
      <c r="G25" s="18"/>
      <c r="H25" s="18"/>
      <c r="I25" s="18"/>
      <c r="J25" s="18"/>
      <c r="K25" s="18"/>
      <c r="L25" s="18"/>
      <c r="M25" s="18"/>
      <c r="N25" s="18"/>
      <c r="O25" s="18"/>
      <c r="P25" s="18"/>
      <c r="Q25" s="18"/>
      <c r="R25" s="18"/>
      <c r="S25" s="18"/>
    </row>
    <row r="26" spans="1:19" ht="14.25">
      <c r="A26" s="18"/>
      <c r="B26" s="20" t="s">
        <v>87</v>
      </c>
      <c r="C26" s="21" t="s">
        <v>87</v>
      </c>
      <c r="D26" s="23"/>
      <c r="E26" s="23"/>
      <c r="F26" s="18"/>
      <c r="G26" s="18"/>
      <c r="H26" s="18"/>
      <c r="I26" s="18"/>
      <c r="J26" s="18"/>
      <c r="K26" s="18"/>
      <c r="L26" s="18"/>
      <c r="M26" s="18"/>
      <c r="N26" s="18"/>
      <c r="O26" s="18"/>
      <c r="P26" s="18"/>
      <c r="Q26" s="18"/>
      <c r="R26" s="18"/>
      <c r="S26" s="18"/>
    </row>
    <row r="27" spans="1:19" ht="14.25">
      <c r="A27" s="18"/>
      <c r="B27" s="20" t="s">
        <v>87</v>
      </c>
      <c r="C27" s="21" t="s">
        <v>88</v>
      </c>
      <c r="D27" s="23"/>
      <c r="E27" s="23"/>
      <c r="F27" s="18"/>
      <c r="G27" s="18"/>
      <c r="H27" s="18"/>
      <c r="I27" s="18"/>
      <c r="J27" s="18"/>
      <c r="K27" s="18"/>
      <c r="L27" s="18"/>
      <c r="M27" s="18"/>
      <c r="N27" s="18"/>
      <c r="O27" s="18"/>
      <c r="P27" s="18"/>
      <c r="Q27" s="18"/>
      <c r="R27" s="18"/>
      <c r="S27" s="18"/>
    </row>
    <row r="28" spans="1:19" ht="14.25">
      <c r="A28" s="18"/>
      <c r="B28" s="20" t="s">
        <v>87</v>
      </c>
      <c r="C28" s="21" t="s">
        <v>89</v>
      </c>
      <c r="D28" s="23"/>
      <c r="E28" s="23"/>
      <c r="F28" s="18"/>
      <c r="G28" s="18"/>
      <c r="H28" s="18"/>
      <c r="I28" s="18"/>
      <c r="J28" s="18"/>
      <c r="K28" s="18"/>
      <c r="L28" s="18"/>
      <c r="M28" s="18"/>
      <c r="N28" s="18"/>
      <c r="O28" s="18"/>
      <c r="P28" s="18"/>
      <c r="Q28" s="18"/>
      <c r="R28" s="18"/>
      <c r="S28" s="18"/>
    </row>
    <row r="29" spans="1:19" ht="14.25">
      <c r="A29" s="18"/>
      <c r="B29" s="20" t="s">
        <v>87</v>
      </c>
      <c r="C29" s="21" t="s">
        <v>90</v>
      </c>
      <c r="D29" s="23"/>
      <c r="E29" s="23"/>
      <c r="F29" s="18"/>
      <c r="G29" s="18"/>
      <c r="H29" s="18"/>
      <c r="I29" s="18"/>
      <c r="J29" s="18"/>
      <c r="K29" s="18"/>
      <c r="L29" s="18"/>
      <c r="M29" s="18"/>
      <c r="N29" s="18"/>
      <c r="O29" s="18"/>
      <c r="P29" s="18"/>
      <c r="Q29" s="18"/>
      <c r="R29" s="18"/>
      <c r="S29" s="18"/>
    </row>
    <row r="30" spans="1:19" ht="14.25">
      <c r="A30" s="18"/>
      <c r="B30" s="20" t="s">
        <v>87</v>
      </c>
      <c r="C30" s="21" t="s">
        <v>91</v>
      </c>
      <c r="D30" s="23"/>
      <c r="E30" s="23"/>
      <c r="F30" s="18"/>
      <c r="G30" s="18"/>
      <c r="H30" s="18"/>
      <c r="I30" s="18"/>
      <c r="J30" s="18"/>
      <c r="K30" s="18"/>
      <c r="L30" s="18"/>
      <c r="M30" s="18"/>
      <c r="N30" s="18"/>
      <c r="O30" s="18"/>
      <c r="P30" s="18"/>
      <c r="Q30" s="18"/>
      <c r="R30" s="18"/>
      <c r="S30" s="18"/>
    </row>
    <row r="31" spans="1:19" ht="14.25">
      <c r="A31" s="18"/>
      <c r="B31" s="20" t="s">
        <v>87</v>
      </c>
      <c r="C31" s="21" t="s">
        <v>92</v>
      </c>
      <c r="D31" s="23"/>
      <c r="E31" s="23"/>
      <c r="F31" s="18"/>
      <c r="G31" s="18"/>
      <c r="H31" s="18"/>
      <c r="I31" s="18"/>
      <c r="J31" s="18"/>
      <c r="K31" s="18"/>
      <c r="L31" s="18"/>
      <c r="M31" s="18"/>
      <c r="N31" s="18"/>
      <c r="O31" s="18"/>
      <c r="P31" s="18"/>
      <c r="Q31" s="18"/>
      <c r="R31" s="18"/>
      <c r="S31" s="18"/>
    </row>
    <row r="32" spans="1:19" ht="14.25">
      <c r="A32" s="18"/>
      <c r="B32" s="20" t="s">
        <v>87</v>
      </c>
      <c r="C32" s="21" t="s">
        <v>93</v>
      </c>
      <c r="D32" s="23"/>
      <c r="E32" s="23"/>
      <c r="F32" s="18"/>
      <c r="G32" s="18"/>
      <c r="H32" s="18"/>
      <c r="I32" s="18"/>
      <c r="J32" s="18"/>
      <c r="K32" s="18"/>
      <c r="L32" s="18"/>
      <c r="M32" s="18"/>
      <c r="N32" s="18"/>
      <c r="O32" s="18"/>
      <c r="P32" s="18"/>
      <c r="Q32" s="18"/>
      <c r="R32" s="18"/>
      <c r="S32" s="18"/>
    </row>
    <row r="33" spans="1:19" ht="14.25">
      <c r="A33" s="18"/>
      <c r="B33" s="20" t="s">
        <v>94</v>
      </c>
      <c r="C33" s="21" t="s">
        <v>94</v>
      </c>
      <c r="D33" s="23"/>
      <c r="E33" s="23"/>
      <c r="F33" s="18"/>
      <c r="G33" s="18"/>
      <c r="H33" s="18"/>
      <c r="I33" s="18"/>
      <c r="J33" s="18"/>
      <c r="K33" s="18"/>
      <c r="L33" s="18"/>
      <c r="M33" s="18"/>
      <c r="N33" s="18"/>
      <c r="O33" s="18"/>
      <c r="P33" s="18"/>
      <c r="Q33" s="18"/>
      <c r="R33" s="18"/>
      <c r="S33" s="18"/>
    </row>
    <row r="34" spans="1:19" ht="14.25">
      <c r="A34" s="18"/>
      <c r="B34" s="20" t="s">
        <v>95</v>
      </c>
      <c r="C34" s="21" t="s">
        <v>96</v>
      </c>
      <c r="D34" s="23"/>
      <c r="E34" s="23"/>
      <c r="F34" s="18"/>
      <c r="G34" s="18"/>
      <c r="H34" s="18"/>
      <c r="I34" s="18"/>
      <c r="J34" s="18"/>
      <c r="K34" s="18"/>
      <c r="L34" s="18"/>
      <c r="M34" s="18"/>
      <c r="N34" s="18"/>
      <c r="O34" s="18"/>
      <c r="P34" s="18"/>
      <c r="Q34" s="18"/>
      <c r="R34" s="18"/>
      <c r="S34" s="18"/>
    </row>
    <row r="35" spans="1:19" ht="14.25">
      <c r="A35" s="18"/>
      <c r="B35" s="20" t="s">
        <v>95</v>
      </c>
      <c r="C35" s="21" t="s">
        <v>97</v>
      </c>
      <c r="D35" s="23"/>
      <c r="E35" s="23"/>
      <c r="F35" s="18"/>
      <c r="G35" s="18"/>
      <c r="H35" s="18"/>
      <c r="I35" s="18"/>
      <c r="J35" s="18"/>
      <c r="K35" s="18"/>
      <c r="L35" s="18"/>
      <c r="M35" s="18"/>
      <c r="N35" s="18"/>
      <c r="O35" s="18"/>
      <c r="P35" s="18"/>
      <c r="Q35" s="18"/>
      <c r="R35" s="18"/>
      <c r="S35" s="18"/>
    </row>
    <row r="36" spans="1:19" ht="14.25">
      <c r="A36" s="18"/>
      <c r="B36" s="20" t="s">
        <v>95</v>
      </c>
      <c r="C36" s="21" t="s">
        <v>98</v>
      </c>
      <c r="D36" s="23"/>
      <c r="E36" s="23"/>
      <c r="F36" s="18"/>
      <c r="G36" s="18"/>
      <c r="H36" s="18"/>
      <c r="I36" s="18"/>
      <c r="J36" s="18"/>
      <c r="K36" s="18"/>
      <c r="L36" s="18"/>
      <c r="M36" s="18"/>
      <c r="N36" s="18"/>
      <c r="O36" s="18"/>
      <c r="P36" s="18"/>
      <c r="Q36" s="18"/>
      <c r="R36" s="18"/>
      <c r="S36" s="18"/>
    </row>
    <row r="37" spans="1:19" ht="14.25">
      <c r="A37" s="18"/>
      <c r="B37" s="20" t="s">
        <v>95</v>
      </c>
      <c r="C37" s="21" t="s">
        <v>99</v>
      </c>
      <c r="D37" s="23"/>
      <c r="E37" s="23"/>
      <c r="F37" s="18"/>
      <c r="G37" s="18"/>
      <c r="H37" s="18"/>
      <c r="I37" s="18"/>
      <c r="J37" s="18"/>
      <c r="K37" s="18"/>
      <c r="L37" s="18"/>
      <c r="M37" s="18"/>
      <c r="N37" s="18"/>
      <c r="O37" s="18"/>
      <c r="P37" s="18"/>
      <c r="Q37" s="18"/>
      <c r="R37" s="18"/>
      <c r="S37" s="18"/>
    </row>
    <row r="38" spans="1:19" ht="14.25">
      <c r="A38" s="18"/>
      <c r="B38" s="20" t="s">
        <v>100</v>
      </c>
      <c r="C38" s="21" t="s">
        <v>101</v>
      </c>
      <c r="D38" s="23"/>
      <c r="E38" s="23"/>
      <c r="F38" s="18"/>
      <c r="G38" s="18"/>
      <c r="H38" s="18"/>
      <c r="I38" s="18"/>
      <c r="J38" s="18"/>
      <c r="K38" s="18"/>
      <c r="L38" s="18"/>
      <c r="M38" s="18"/>
      <c r="N38" s="18"/>
      <c r="O38" s="18"/>
      <c r="P38" s="18"/>
      <c r="Q38" s="18"/>
      <c r="R38" s="18"/>
      <c r="S38" s="18"/>
    </row>
    <row r="39" spans="1:19" ht="14.25">
      <c r="A39" s="18"/>
      <c r="B39" s="20" t="s">
        <v>100</v>
      </c>
      <c r="C39" s="21" t="s">
        <v>102</v>
      </c>
      <c r="D39" s="23"/>
      <c r="E39" s="23"/>
      <c r="F39" s="18"/>
      <c r="G39" s="18"/>
      <c r="H39" s="18"/>
      <c r="I39" s="18"/>
      <c r="J39" s="18"/>
      <c r="K39" s="18"/>
      <c r="L39" s="18"/>
      <c r="M39" s="18"/>
      <c r="N39" s="18"/>
      <c r="O39" s="18"/>
      <c r="P39" s="18"/>
      <c r="Q39" s="18"/>
      <c r="R39" s="18"/>
      <c r="S39" s="18"/>
    </row>
    <row r="40" spans="1:19" ht="14.25">
      <c r="A40" s="18"/>
      <c r="B40" s="20" t="s">
        <v>100</v>
      </c>
      <c r="C40" s="21" t="s">
        <v>103</v>
      </c>
      <c r="D40" s="23"/>
      <c r="E40" s="23"/>
      <c r="F40" s="18"/>
      <c r="G40" s="18"/>
      <c r="H40" s="18"/>
      <c r="I40" s="18"/>
      <c r="J40" s="18"/>
      <c r="K40" s="18"/>
      <c r="L40" s="18"/>
      <c r="M40" s="18"/>
      <c r="N40" s="18"/>
      <c r="O40" s="18"/>
      <c r="P40" s="18"/>
      <c r="Q40" s="18"/>
      <c r="R40" s="18"/>
      <c r="S40" s="18"/>
    </row>
    <row r="41" spans="1:19" ht="14.25">
      <c r="A41" s="18"/>
      <c r="B41" s="20" t="s">
        <v>100</v>
      </c>
      <c r="C41" s="21" t="s">
        <v>104</v>
      </c>
      <c r="D41" s="23"/>
      <c r="E41" s="23"/>
      <c r="F41" s="18"/>
      <c r="G41" s="18"/>
      <c r="H41" s="18"/>
      <c r="I41" s="18"/>
      <c r="J41" s="18"/>
      <c r="K41" s="18"/>
      <c r="L41" s="18"/>
      <c r="M41" s="18"/>
      <c r="N41" s="18"/>
      <c r="O41" s="18"/>
      <c r="P41" s="18"/>
      <c r="Q41" s="18"/>
      <c r="R41" s="18"/>
      <c r="S41" s="18"/>
    </row>
    <row r="42" spans="1:19" ht="14.25">
      <c r="A42" s="18"/>
      <c r="B42" s="20" t="s">
        <v>105</v>
      </c>
      <c r="C42" s="21" t="s">
        <v>106</v>
      </c>
      <c r="D42" s="23"/>
      <c r="E42" s="23"/>
      <c r="F42" s="18"/>
      <c r="G42" s="18"/>
      <c r="H42" s="18"/>
      <c r="I42" s="18"/>
      <c r="J42" s="18"/>
      <c r="K42" s="18"/>
      <c r="L42" s="18"/>
      <c r="M42" s="18"/>
      <c r="N42" s="18"/>
      <c r="O42" s="18"/>
      <c r="P42" s="18"/>
      <c r="Q42" s="18"/>
      <c r="R42" s="18"/>
      <c r="S42" s="18"/>
    </row>
    <row r="43" spans="1:19" ht="14.25">
      <c r="A43" s="18"/>
      <c r="B43" s="20" t="s">
        <v>105</v>
      </c>
      <c r="C43" s="21" t="s">
        <v>107</v>
      </c>
      <c r="D43" s="23"/>
      <c r="E43" s="23"/>
      <c r="F43" s="18"/>
      <c r="G43" s="18"/>
      <c r="H43" s="18"/>
      <c r="I43" s="18"/>
      <c r="J43" s="18"/>
      <c r="K43" s="18"/>
      <c r="L43" s="18"/>
      <c r="M43" s="18"/>
      <c r="N43" s="18"/>
      <c r="O43" s="18"/>
      <c r="P43" s="18"/>
      <c r="Q43" s="18"/>
      <c r="R43" s="18"/>
      <c r="S43" s="18"/>
    </row>
    <row r="44" spans="1:19" ht="14.25">
      <c r="A44" s="18"/>
      <c r="B44" s="20" t="s">
        <v>108</v>
      </c>
      <c r="C44" s="21" t="s">
        <v>109</v>
      </c>
      <c r="D44" s="23"/>
      <c r="E44" s="23"/>
      <c r="F44" s="18"/>
      <c r="G44" s="18"/>
      <c r="H44" s="18"/>
      <c r="I44" s="18"/>
      <c r="J44" s="18"/>
      <c r="K44" s="18"/>
      <c r="L44" s="18"/>
      <c r="M44" s="18"/>
      <c r="N44" s="18"/>
      <c r="O44" s="18"/>
      <c r="P44" s="18"/>
      <c r="Q44" s="18"/>
      <c r="R44" s="18"/>
      <c r="S44" s="18"/>
    </row>
    <row r="45" spans="1:19" ht="14.25">
      <c r="A45" s="18"/>
      <c r="B45" s="20" t="s">
        <v>108</v>
      </c>
      <c r="C45" s="21" t="s">
        <v>110</v>
      </c>
      <c r="D45" s="23"/>
      <c r="E45" s="23"/>
      <c r="F45" s="18"/>
      <c r="G45" s="18"/>
      <c r="H45" s="18"/>
      <c r="I45" s="18"/>
      <c r="J45" s="18"/>
      <c r="K45" s="18"/>
      <c r="L45" s="18"/>
      <c r="M45" s="18"/>
      <c r="N45" s="18"/>
      <c r="O45" s="18"/>
      <c r="P45" s="18"/>
      <c r="Q45" s="18"/>
      <c r="R45" s="18"/>
      <c r="S45" s="18"/>
    </row>
    <row r="46" spans="1:19" ht="14.25">
      <c r="A46" s="18"/>
      <c r="B46" s="20" t="s">
        <v>108</v>
      </c>
      <c r="C46" s="21" t="s">
        <v>111</v>
      </c>
      <c r="D46" s="23"/>
      <c r="E46" s="23"/>
      <c r="F46" s="18"/>
      <c r="G46" s="18"/>
      <c r="H46" s="18"/>
      <c r="I46" s="18"/>
      <c r="J46" s="18"/>
      <c r="K46" s="18"/>
      <c r="L46" s="18"/>
      <c r="M46" s="18"/>
      <c r="N46" s="18"/>
      <c r="O46" s="18"/>
      <c r="P46" s="18"/>
      <c r="Q46" s="18"/>
      <c r="R46" s="18"/>
      <c r="S46" s="18"/>
    </row>
    <row r="47" spans="1:19" ht="14.25">
      <c r="A47" s="18"/>
      <c r="B47" s="20" t="s">
        <v>108</v>
      </c>
      <c r="C47" s="21" t="s">
        <v>112</v>
      </c>
      <c r="D47" s="23"/>
      <c r="E47" s="23"/>
      <c r="F47" s="18"/>
      <c r="G47" s="18"/>
      <c r="H47" s="18"/>
      <c r="I47" s="18"/>
      <c r="J47" s="18"/>
      <c r="K47" s="18"/>
      <c r="L47" s="18"/>
      <c r="M47" s="18"/>
      <c r="N47" s="18"/>
      <c r="O47" s="18"/>
      <c r="P47" s="18"/>
      <c r="Q47" s="18"/>
      <c r="R47" s="18"/>
      <c r="S47" s="18"/>
    </row>
    <row r="48" spans="1:19" ht="14.25">
      <c r="A48" s="18"/>
      <c r="B48" s="20" t="s">
        <v>108</v>
      </c>
      <c r="C48" s="21" t="s">
        <v>113</v>
      </c>
      <c r="D48" s="23"/>
      <c r="E48" s="23"/>
      <c r="F48" s="18"/>
      <c r="G48" s="18"/>
      <c r="H48" s="18"/>
      <c r="I48" s="18"/>
      <c r="J48" s="18"/>
      <c r="K48" s="18"/>
      <c r="L48" s="18"/>
      <c r="M48" s="18"/>
      <c r="N48" s="18"/>
      <c r="O48" s="18"/>
      <c r="P48" s="18"/>
      <c r="Q48" s="18"/>
      <c r="R48" s="18"/>
      <c r="S48" s="18"/>
    </row>
    <row r="49" spans="1:19" ht="14.25">
      <c r="A49" s="18"/>
      <c r="B49" s="20" t="s">
        <v>108</v>
      </c>
      <c r="C49" s="21" t="s">
        <v>114</v>
      </c>
      <c r="D49" s="23"/>
      <c r="E49" s="23"/>
      <c r="F49" s="18"/>
      <c r="G49" s="18"/>
      <c r="H49" s="18"/>
      <c r="I49" s="18"/>
      <c r="J49" s="18"/>
      <c r="K49" s="18"/>
      <c r="L49" s="18"/>
      <c r="M49" s="18"/>
      <c r="N49" s="18"/>
      <c r="O49" s="18"/>
      <c r="P49" s="18"/>
      <c r="Q49" s="18"/>
      <c r="R49" s="18"/>
      <c r="S49" s="18"/>
    </row>
    <row r="50" spans="1:19" ht="14.25">
      <c r="A50" s="18"/>
      <c r="B50" s="20" t="s">
        <v>108</v>
      </c>
      <c r="C50" s="21" t="s">
        <v>115</v>
      </c>
      <c r="D50" s="23"/>
      <c r="E50" s="23"/>
      <c r="F50" s="18"/>
      <c r="G50" s="18"/>
      <c r="H50" s="18"/>
      <c r="I50" s="18"/>
      <c r="J50" s="18"/>
      <c r="K50" s="18"/>
      <c r="L50" s="18"/>
      <c r="M50" s="18"/>
      <c r="N50" s="18"/>
      <c r="O50" s="18"/>
      <c r="P50" s="18"/>
      <c r="Q50" s="18"/>
      <c r="R50" s="18"/>
      <c r="S50" s="18"/>
    </row>
    <row r="51" spans="1:19" ht="14.25">
      <c r="A51" s="18"/>
      <c r="B51" s="20" t="s">
        <v>116</v>
      </c>
      <c r="C51" s="21" t="s">
        <v>117</v>
      </c>
      <c r="D51" s="23"/>
      <c r="E51" s="23"/>
      <c r="F51" s="18"/>
      <c r="G51" s="18"/>
      <c r="H51" s="18"/>
      <c r="I51" s="18"/>
      <c r="J51" s="18"/>
      <c r="K51" s="18"/>
      <c r="L51" s="18"/>
      <c r="M51" s="18"/>
      <c r="N51" s="18"/>
      <c r="O51" s="18"/>
      <c r="P51" s="18"/>
      <c r="Q51" s="18"/>
      <c r="R51" s="18"/>
      <c r="S51" s="18"/>
    </row>
    <row r="52" spans="1:19" ht="14.25">
      <c r="A52" s="18"/>
      <c r="B52" s="20" t="s">
        <v>116</v>
      </c>
      <c r="C52" s="21" t="s">
        <v>118</v>
      </c>
      <c r="D52" s="23"/>
      <c r="E52" s="23"/>
      <c r="F52" s="18"/>
      <c r="G52" s="18"/>
      <c r="H52" s="18"/>
      <c r="I52" s="18"/>
      <c r="J52" s="18"/>
      <c r="K52" s="18"/>
      <c r="L52" s="18"/>
      <c r="M52" s="18"/>
      <c r="N52" s="18"/>
      <c r="O52" s="18"/>
      <c r="P52" s="18"/>
      <c r="Q52" s="18"/>
      <c r="R52" s="18"/>
      <c r="S52" s="18"/>
    </row>
    <row r="53" spans="1:19" ht="14.25">
      <c r="A53" s="18"/>
      <c r="B53" s="20" t="s">
        <v>116</v>
      </c>
      <c r="C53" s="21" t="s">
        <v>119</v>
      </c>
      <c r="D53" s="23"/>
      <c r="E53" s="23"/>
      <c r="F53" s="18"/>
      <c r="G53" s="18"/>
      <c r="H53" s="18"/>
      <c r="I53" s="18"/>
      <c r="J53" s="18"/>
      <c r="K53" s="18"/>
      <c r="L53" s="18"/>
      <c r="M53" s="18"/>
      <c r="N53" s="18"/>
      <c r="O53" s="18"/>
      <c r="P53" s="18"/>
      <c r="Q53" s="18"/>
      <c r="R53" s="18"/>
      <c r="S53" s="18"/>
    </row>
    <row r="54" spans="1:19" ht="14.25">
      <c r="A54" s="18"/>
      <c r="B54" s="20" t="s">
        <v>116</v>
      </c>
      <c r="C54" s="21" t="s">
        <v>120</v>
      </c>
      <c r="D54" s="23"/>
      <c r="E54" s="23"/>
      <c r="F54" s="18"/>
      <c r="G54" s="18"/>
      <c r="H54" s="18"/>
      <c r="I54" s="18"/>
      <c r="J54" s="18"/>
      <c r="K54" s="18"/>
      <c r="L54" s="18"/>
      <c r="M54" s="18"/>
      <c r="N54" s="18"/>
      <c r="O54" s="18"/>
      <c r="P54" s="18"/>
      <c r="Q54" s="18"/>
      <c r="R54" s="18"/>
      <c r="S54" s="18"/>
    </row>
    <row r="55" spans="1:19" ht="14.25">
      <c r="A55" s="18"/>
      <c r="B55" s="20" t="s">
        <v>121</v>
      </c>
      <c r="C55" s="21" t="s">
        <v>122</v>
      </c>
      <c r="D55" s="23"/>
      <c r="E55" s="23"/>
      <c r="F55" s="18"/>
      <c r="G55" s="18"/>
      <c r="H55" s="18"/>
      <c r="I55" s="18"/>
      <c r="J55" s="18"/>
      <c r="K55" s="18"/>
      <c r="L55" s="18"/>
      <c r="M55" s="18"/>
      <c r="N55" s="18"/>
      <c r="O55" s="18"/>
      <c r="P55" s="18"/>
      <c r="Q55" s="18"/>
      <c r="R55" s="18"/>
      <c r="S55" s="18"/>
    </row>
    <row r="56" spans="1:19" ht="14.25">
      <c r="A56" s="18"/>
      <c r="B56" s="20" t="s">
        <v>121</v>
      </c>
      <c r="C56" s="21" t="s">
        <v>123</v>
      </c>
      <c r="D56" s="23"/>
      <c r="E56" s="23"/>
      <c r="F56" s="18"/>
      <c r="G56" s="18"/>
      <c r="H56" s="18"/>
      <c r="I56" s="18"/>
      <c r="J56" s="18"/>
      <c r="K56" s="18"/>
      <c r="L56" s="18"/>
      <c r="M56" s="18"/>
      <c r="N56" s="18"/>
      <c r="O56" s="18"/>
      <c r="P56" s="18"/>
      <c r="Q56" s="18"/>
      <c r="R56" s="18"/>
      <c r="S56" s="18"/>
    </row>
    <row r="57" spans="1:19" ht="14.25">
      <c r="A57" s="18"/>
      <c r="B57" s="20" t="s">
        <v>121</v>
      </c>
      <c r="C57" s="21" t="s">
        <v>124</v>
      </c>
      <c r="D57" s="23"/>
      <c r="E57" s="23"/>
      <c r="F57" s="18"/>
      <c r="G57" s="18"/>
      <c r="H57" s="18"/>
      <c r="I57" s="18"/>
      <c r="J57" s="18"/>
      <c r="K57" s="18"/>
      <c r="L57" s="18"/>
      <c r="M57" s="18"/>
      <c r="N57" s="18"/>
      <c r="O57" s="18"/>
      <c r="P57" s="18"/>
      <c r="Q57" s="18"/>
      <c r="R57" s="18"/>
      <c r="S57" s="18"/>
    </row>
    <row r="58" spans="1:19" ht="14.25">
      <c r="A58" s="18"/>
      <c r="B58" s="20" t="s">
        <v>121</v>
      </c>
      <c r="C58" s="21" t="s">
        <v>125</v>
      </c>
      <c r="D58" s="23"/>
      <c r="E58" s="23"/>
      <c r="F58" s="18"/>
      <c r="G58" s="18"/>
      <c r="H58" s="18"/>
      <c r="I58" s="18"/>
      <c r="J58" s="18"/>
      <c r="K58" s="18"/>
      <c r="L58" s="18"/>
      <c r="M58" s="18"/>
      <c r="N58" s="18"/>
      <c r="O58" s="18"/>
      <c r="P58" s="18"/>
      <c r="Q58" s="18"/>
      <c r="R58" s="18"/>
      <c r="S58" s="18"/>
    </row>
    <row r="59" spans="1:19" ht="14.25">
      <c r="A59" s="18"/>
      <c r="B59" s="20" t="s">
        <v>121</v>
      </c>
      <c r="C59" s="21" t="s">
        <v>126</v>
      </c>
      <c r="D59" s="23"/>
      <c r="E59" s="23"/>
      <c r="F59" s="18"/>
      <c r="G59" s="18"/>
      <c r="H59" s="18"/>
      <c r="I59" s="18"/>
      <c r="J59" s="18"/>
      <c r="K59" s="18"/>
      <c r="L59" s="18"/>
      <c r="M59" s="18"/>
      <c r="N59" s="18"/>
      <c r="O59" s="18"/>
      <c r="P59" s="18"/>
      <c r="Q59" s="18"/>
      <c r="R59" s="18"/>
      <c r="S59" s="18"/>
    </row>
    <row r="60" spans="1:19" ht="14.25">
      <c r="A60" s="18"/>
      <c r="B60" s="20" t="s">
        <v>127</v>
      </c>
      <c r="C60" s="21" t="s">
        <v>128</v>
      </c>
      <c r="D60" s="23"/>
      <c r="E60" s="23"/>
      <c r="F60" s="18"/>
      <c r="G60" s="18"/>
      <c r="H60" s="18"/>
      <c r="I60" s="18"/>
      <c r="J60" s="18"/>
      <c r="K60" s="18"/>
      <c r="L60" s="18"/>
      <c r="M60" s="18"/>
      <c r="N60" s="18"/>
      <c r="O60" s="18"/>
      <c r="P60" s="18"/>
      <c r="Q60" s="18"/>
      <c r="R60" s="18"/>
      <c r="S60" s="18"/>
    </row>
    <row r="61" spans="1:19" ht="14.25">
      <c r="A61" s="18"/>
      <c r="B61" s="20" t="s">
        <v>127</v>
      </c>
      <c r="C61" s="21" t="s">
        <v>129</v>
      </c>
      <c r="D61" s="23"/>
      <c r="E61" s="23"/>
      <c r="F61" s="18"/>
      <c r="G61" s="18"/>
      <c r="H61" s="18"/>
      <c r="I61" s="18"/>
      <c r="J61" s="18"/>
      <c r="K61" s="18"/>
      <c r="L61" s="18"/>
      <c r="M61" s="18"/>
      <c r="N61" s="18"/>
      <c r="O61" s="18"/>
      <c r="P61" s="18"/>
      <c r="Q61" s="18"/>
      <c r="R61" s="18"/>
      <c r="S61" s="18"/>
    </row>
    <row r="62" spans="1:19" ht="14.25">
      <c r="A62" s="18"/>
      <c r="B62" s="20" t="s">
        <v>127</v>
      </c>
      <c r="C62" s="21" t="s">
        <v>130</v>
      </c>
      <c r="D62" s="23"/>
      <c r="E62" s="23"/>
      <c r="F62" s="18"/>
      <c r="G62" s="18"/>
      <c r="H62" s="18"/>
      <c r="I62" s="18"/>
      <c r="J62" s="18"/>
      <c r="K62" s="18"/>
      <c r="L62" s="18"/>
      <c r="M62" s="18"/>
      <c r="N62" s="18"/>
      <c r="O62" s="18"/>
      <c r="P62" s="18"/>
      <c r="Q62" s="18"/>
      <c r="R62" s="18"/>
      <c r="S62" s="18"/>
    </row>
    <row r="63" spans="1:19" ht="14.25">
      <c r="A63" s="18"/>
      <c r="B63" s="20" t="s">
        <v>127</v>
      </c>
      <c r="C63" s="21" t="s">
        <v>131</v>
      </c>
      <c r="D63" s="23"/>
      <c r="E63" s="23"/>
      <c r="F63" s="18"/>
      <c r="G63" s="18"/>
      <c r="H63" s="18"/>
      <c r="I63" s="18"/>
      <c r="J63" s="18"/>
      <c r="K63" s="18"/>
      <c r="L63" s="18"/>
      <c r="M63" s="18"/>
      <c r="N63" s="18"/>
      <c r="O63" s="18"/>
      <c r="P63" s="18"/>
      <c r="Q63" s="18"/>
      <c r="R63" s="18"/>
      <c r="S63" s="18"/>
    </row>
    <row r="64" spans="1:19" ht="14.25">
      <c r="A64" s="18"/>
      <c r="B64" s="20" t="s">
        <v>127</v>
      </c>
      <c r="C64" s="21" t="s">
        <v>132</v>
      </c>
      <c r="D64" s="23"/>
      <c r="E64" s="23"/>
      <c r="F64" s="18"/>
      <c r="G64" s="18"/>
      <c r="H64" s="18"/>
      <c r="I64" s="18"/>
      <c r="J64" s="18"/>
      <c r="K64" s="18"/>
      <c r="L64" s="18"/>
      <c r="M64" s="18"/>
      <c r="N64" s="18"/>
      <c r="O64" s="18"/>
      <c r="P64" s="18"/>
      <c r="Q64" s="18"/>
      <c r="R64" s="18"/>
      <c r="S64" s="18"/>
    </row>
    <row r="65" spans="1:19" ht="14.25">
      <c r="A65" s="18"/>
      <c r="B65" s="20" t="s">
        <v>133</v>
      </c>
      <c r="C65" s="21" t="s">
        <v>134</v>
      </c>
      <c r="D65" s="23"/>
      <c r="E65" s="23"/>
      <c r="F65" s="18"/>
      <c r="G65" s="18"/>
      <c r="H65" s="18"/>
      <c r="I65" s="18"/>
      <c r="J65" s="18"/>
      <c r="K65" s="18"/>
      <c r="L65" s="18"/>
      <c r="M65" s="18"/>
      <c r="N65" s="18"/>
      <c r="O65" s="18"/>
      <c r="P65" s="18"/>
      <c r="Q65" s="18"/>
      <c r="R65" s="18"/>
      <c r="S65" s="18"/>
    </row>
    <row r="66" spans="1:19" ht="14.25">
      <c r="A66" s="18"/>
      <c r="B66" s="20" t="s">
        <v>133</v>
      </c>
      <c r="C66" s="21" t="s">
        <v>135</v>
      </c>
      <c r="D66" s="23"/>
      <c r="E66" s="23"/>
      <c r="F66" s="18"/>
      <c r="G66" s="18"/>
      <c r="H66" s="18"/>
      <c r="I66" s="18"/>
      <c r="J66" s="18"/>
      <c r="K66" s="18"/>
      <c r="L66" s="18"/>
      <c r="M66" s="18"/>
      <c r="N66" s="18"/>
      <c r="O66" s="18"/>
      <c r="P66" s="18"/>
      <c r="Q66" s="18"/>
      <c r="R66" s="18"/>
      <c r="S66" s="18"/>
    </row>
    <row r="67" spans="1:19" ht="14.25">
      <c r="A67" s="18"/>
      <c r="B67" s="20" t="s">
        <v>133</v>
      </c>
      <c r="C67" s="21" t="s">
        <v>136</v>
      </c>
      <c r="D67" s="23"/>
      <c r="E67" s="23"/>
      <c r="F67" s="18"/>
      <c r="G67" s="18"/>
      <c r="H67" s="18"/>
      <c r="I67" s="18"/>
      <c r="J67" s="18"/>
      <c r="K67" s="18"/>
      <c r="L67" s="18"/>
      <c r="M67" s="18"/>
      <c r="N67" s="18"/>
      <c r="O67" s="18"/>
      <c r="P67" s="18"/>
      <c r="Q67" s="18"/>
      <c r="R67" s="18"/>
      <c r="S67" s="18"/>
    </row>
    <row r="68" spans="1:19" ht="14.25">
      <c r="A68" s="18"/>
      <c r="B68" s="20" t="s">
        <v>133</v>
      </c>
      <c r="C68" s="21" t="s">
        <v>137</v>
      </c>
      <c r="D68" s="23"/>
      <c r="E68" s="23"/>
      <c r="F68" s="18"/>
      <c r="G68" s="18"/>
      <c r="H68" s="18"/>
      <c r="I68" s="18"/>
      <c r="J68" s="18"/>
      <c r="K68" s="18"/>
      <c r="L68" s="18"/>
      <c r="M68" s="18"/>
      <c r="N68" s="18"/>
      <c r="O68" s="18"/>
      <c r="P68" s="18"/>
      <c r="Q68" s="18"/>
      <c r="R68" s="18"/>
      <c r="S68" s="18"/>
    </row>
    <row r="69" spans="1:19" ht="14.25">
      <c r="A69" s="18"/>
      <c r="B69" s="20" t="s">
        <v>133</v>
      </c>
      <c r="C69" s="21" t="s">
        <v>138</v>
      </c>
      <c r="D69" s="23"/>
      <c r="E69" s="23"/>
      <c r="F69" s="18"/>
      <c r="G69" s="18"/>
      <c r="H69" s="18"/>
      <c r="I69" s="18"/>
      <c r="J69" s="18"/>
      <c r="K69" s="18"/>
      <c r="L69" s="18"/>
      <c r="M69" s="18"/>
      <c r="N69" s="18"/>
      <c r="O69" s="18"/>
      <c r="P69" s="18"/>
      <c r="Q69" s="18"/>
      <c r="R69" s="18"/>
      <c r="S69" s="18"/>
    </row>
    <row r="70" spans="1:19" ht="14.25">
      <c r="A70" s="18"/>
      <c r="B70" s="18"/>
      <c r="C70" s="18"/>
      <c r="D70" s="18"/>
      <c r="E70" s="18"/>
      <c r="F70" s="18"/>
      <c r="G70" s="18"/>
      <c r="H70" s="18"/>
      <c r="I70" s="18"/>
      <c r="J70" s="18"/>
      <c r="K70" s="18"/>
      <c r="L70" s="18"/>
      <c r="M70" s="18"/>
      <c r="N70" s="18"/>
      <c r="O70" s="18"/>
      <c r="P70" s="18"/>
      <c r="Q70" s="18"/>
      <c r="R70" s="18"/>
      <c r="S70" s="18"/>
    </row>
    <row r="71" spans="1:19" ht="14.25" hidden="1">
      <c r="A71" s="18"/>
      <c r="B71" s="18"/>
      <c r="C71" s="18"/>
      <c r="D71" s="18"/>
      <c r="E71" s="18"/>
      <c r="F71" s="18"/>
      <c r="G71" s="18"/>
      <c r="H71" s="18"/>
      <c r="I71" s="18"/>
      <c r="J71" s="18"/>
      <c r="K71" s="18"/>
      <c r="L71" s="18"/>
      <c r="M71" s="18"/>
      <c r="N71" s="18"/>
      <c r="O71" s="18"/>
      <c r="P71" s="18"/>
      <c r="Q71" s="18"/>
      <c r="R71" s="18"/>
      <c r="S71" s="18"/>
    </row>
    <row r="72" spans="1:19" ht="14.25" hidden="1">
      <c r="A72" s="18"/>
      <c r="B72" s="18"/>
      <c r="C72" s="18"/>
      <c r="D72" s="18"/>
      <c r="E72" s="18"/>
      <c r="F72" s="18"/>
      <c r="G72" s="18"/>
      <c r="H72" s="18"/>
      <c r="I72" s="18"/>
      <c r="J72" s="18"/>
      <c r="K72" s="18"/>
      <c r="L72" s="18"/>
      <c r="M72" s="18"/>
      <c r="N72" s="18"/>
      <c r="O72" s="18"/>
      <c r="P72" s="18"/>
      <c r="Q72" s="18"/>
      <c r="R72" s="18"/>
      <c r="S72" s="18"/>
    </row>
    <row r="73" spans="1:19" ht="14.25" hidden="1">
      <c r="A73" s="18"/>
      <c r="B73" s="18"/>
      <c r="C73" s="18"/>
      <c r="D73" s="18"/>
      <c r="E73" s="18"/>
      <c r="F73" s="18"/>
      <c r="G73" s="18"/>
      <c r="H73" s="18"/>
      <c r="I73" s="18"/>
      <c r="J73" s="18"/>
      <c r="K73" s="18"/>
      <c r="L73" s="18"/>
      <c r="M73" s="18"/>
      <c r="N73" s="18"/>
      <c r="O73" s="18"/>
      <c r="P73" s="18"/>
      <c r="Q73" s="18"/>
      <c r="R73" s="18"/>
      <c r="S73" s="18"/>
    </row>
    <row r="74" spans="1:19" ht="14.25" hidden="1">
      <c r="A74" s="18"/>
      <c r="B74" s="18"/>
      <c r="C74" s="18"/>
      <c r="D74" s="18"/>
      <c r="E74" s="18"/>
      <c r="F74" s="18"/>
      <c r="G74" s="18"/>
      <c r="H74" s="18"/>
      <c r="I74" s="18"/>
      <c r="J74" s="18"/>
      <c r="K74" s="18"/>
      <c r="L74" s="18"/>
      <c r="M74" s="18"/>
      <c r="N74" s="18"/>
      <c r="O74" s="18"/>
      <c r="P74" s="18"/>
      <c r="Q74" s="18"/>
      <c r="R74" s="18"/>
      <c r="S74" s="18"/>
    </row>
    <row r="75" spans="1:19" ht="14.25" hidden="1">
      <c r="A75" s="18"/>
      <c r="B75" s="18"/>
      <c r="C75" s="18"/>
      <c r="D75" s="18"/>
      <c r="E75" s="18"/>
      <c r="F75" s="18"/>
      <c r="G75" s="18"/>
      <c r="H75" s="18"/>
      <c r="I75" s="18"/>
      <c r="J75" s="18"/>
      <c r="K75" s="18"/>
      <c r="L75" s="18"/>
      <c r="M75" s="18"/>
      <c r="N75" s="18"/>
      <c r="O75" s="18"/>
      <c r="P75" s="18"/>
      <c r="Q75" s="18"/>
      <c r="R75" s="18"/>
      <c r="S75" s="18"/>
    </row>
    <row r="76" spans="1:19" ht="14.25" hidden="1">
      <c r="A76" s="18"/>
      <c r="B76" s="18"/>
      <c r="C76" s="18"/>
      <c r="D76" s="18"/>
      <c r="E76" s="18"/>
      <c r="F76" s="18"/>
      <c r="G76" s="18"/>
      <c r="H76" s="18"/>
      <c r="I76" s="18"/>
      <c r="J76" s="18"/>
      <c r="K76" s="18"/>
      <c r="L76" s="18"/>
      <c r="M76" s="18"/>
      <c r="N76" s="18"/>
      <c r="O76" s="18"/>
      <c r="P76" s="18"/>
      <c r="Q76" s="18"/>
      <c r="R76" s="18"/>
      <c r="S76" s="18"/>
    </row>
    <row r="77" spans="1:19" ht="14.25" hidden="1">
      <c r="A77" s="18"/>
      <c r="B77" s="18"/>
      <c r="C77" s="18"/>
      <c r="D77" s="18"/>
      <c r="E77" s="18"/>
      <c r="F77" s="18"/>
      <c r="G77" s="18"/>
      <c r="H77" s="18"/>
      <c r="I77" s="18"/>
      <c r="J77" s="18"/>
      <c r="K77" s="18"/>
      <c r="L77" s="18"/>
      <c r="M77" s="18"/>
      <c r="N77" s="18"/>
      <c r="O77" s="18"/>
      <c r="P77" s="18"/>
      <c r="Q77" s="18"/>
      <c r="R77" s="18"/>
      <c r="S77" s="18"/>
    </row>
    <row r="78" spans="1:19" ht="14.25" hidden="1">
      <c r="A78" s="18"/>
      <c r="B78" s="18"/>
      <c r="C78" s="18"/>
      <c r="D78" s="18"/>
      <c r="E78" s="18"/>
      <c r="F78" s="18"/>
      <c r="G78" s="18"/>
      <c r="H78" s="18"/>
      <c r="I78" s="18"/>
      <c r="J78" s="18"/>
      <c r="K78" s="18"/>
      <c r="L78" s="18"/>
      <c r="M78" s="18"/>
      <c r="N78" s="18"/>
      <c r="O78" s="18"/>
      <c r="P78" s="18"/>
      <c r="Q78" s="18"/>
      <c r="R78" s="18"/>
      <c r="S78" s="18"/>
    </row>
    <row r="79" spans="1:19" ht="14.25" hidden="1">
      <c r="A79" s="18"/>
      <c r="B79" s="18"/>
      <c r="C79" s="18"/>
      <c r="D79" s="18"/>
      <c r="E79" s="18"/>
      <c r="F79" s="18"/>
      <c r="G79" s="18"/>
      <c r="H79" s="18"/>
      <c r="I79" s="18"/>
      <c r="J79" s="18"/>
      <c r="K79" s="18"/>
      <c r="L79" s="18"/>
      <c r="M79" s="18"/>
      <c r="N79" s="18"/>
      <c r="O79" s="18"/>
      <c r="P79" s="18"/>
      <c r="Q79" s="18"/>
      <c r="R79" s="18"/>
      <c r="S79" s="18"/>
    </row>
    <row r="80" spans="1:19" ht="14.25" hidden="1">
      <c r="A80" s="18"/>
      <c r="B80" s="18"/>
      <c r="C80" s="18"/>
      <c r="D80" s="18"/>
      <c r="E80" s="18"/>
      <c r="F80" s="18"/>
      <c r="G80" s="18"/>
      <c r="H80" s="18"/>
      <c r="I80" s="18"/>
      <c r="J80" s="18"/>
      <c r="K80" s="18"/>
      <c r="L80" s="18"/>
      <c r="M80" s="18"/>
      <c r="N80" s="18"/>
      <c r="O80" s="18"/>
      <c r="P80" s="18"/>
      <c r="Q80" s="18"/>
      <c r="R80" s="18"/>
      <c r="S80" s="18"/>
    </row>
    <row r="81" spans="1:19" ht="14.25" hidden="1">
      <c r="A81" s="18"/>
      <c r="B81" s="18"/>
      <c r="C81" s="18"/>
      <c r="D81" s="18"/>
      <c r="E81" s="18"/>
      <c r="F81" s="18"/>
      <c r="G81" s="18"/>
      <c r="H81" s="18"/>
      <c r="I81" s="18"/>
      <c r="J81" s="18"/>
      <c r="K81" s="18"/>
      <c r="L81" s="18"/>
      <c r="M81" s="18"/>
      <c r="N81" s="18"/>
      <c r="O81" s="18"/>
      <c r="P81" s="18"/>
      <c r="Q81" s="18"/>
      <c r="R81" s="18"/>
      <c r="S81" s="18"/>
    </row>
    <row r="82" spans="1:19" ht="14.25" hidden="1">
      <c r="A82" s="18"/>
      <c r="B82" s="18"/>
      <c r="C82" s="18"/>
      <c r="D82" s="18"/>
      <c r="E82" s="18"/>
      <c r="F82" s="18"/>
      <c r="G82" s="18"/>
      <c r="H82" s="18"/>
      <c r="I82" s="18"/>
      <c r="J82" s="18"/>
      <c r="K82" s="18"/>
      <c r="L82" s="18"/>
      <c r="M82" s="18"/>
      <c r="N82" s="18"/>
      <c r="O82" s="18"/>
      <c r="P82" s="18"/>
      <c r="Q82" s="18"/>
      <c r="R82" s="18"/>
      <c r="S82" s="18"/>
    </row>
    <row r="83" spans="1:19" ht="14.25" hidden="1">
      <c r="A83" s="18"/>
      <c r="B83" s="18"/>
      <c r="C83" s="18"/>
      <c r="D83" s="18"/>
      <c r="E83" s="18"/>
      <c r="F83" s="18"/>
      <c r="G83" s="18"/>
      <c r="H83" s="18"/>
      <c r="I83" s="18"/>
      <c r="J83" s="18"/>
      <c r="K83" s="18"/>
      <c r="L83" s="18"/>
      <c r="M83" s="18"/>
      <c r="N83" s="18"/>
      <c r="O83" s="18"/>
      <c r="P83" s="18"/>
      <c r="Q83" s="18"/>
      <c r="R83" s="18"/>
      <c r="S83" s="18"/>
    </row>
    <row r="84" spans="1:19" ht="14.25" hidden="1">
      <c r="A84" s="18"/>
      <c r="B84" s="18"/>
      <c r="C84" s="18"/>
      <c r="D84" s="18"/>
      <c r="E84" s="18"/>
      <c r="F84" s="18"/>
      <c r="G84" s="18"/>
      <c r="H84" s="18"/>
      <c r="I84" s="18"/>
      <c r="J84" s="18"/>
      <c r="K84" s="18"/>
      <c r="L84" s="18"/>
      <c r="M84" s="18"/>
      <c r="N84" s="18"/>
      <c r="O84" s="18"/>
      <c r="P84" s="18"/>
      <c r="Q84" s="18"/>
      <c r="R84" s="18"/>
      <c r="S84" s="18"/>
    </row>
    <row r="85" spans="1:19" ht="14.25" hidden="1">
      <c r="A85" s="18"/>
      <c r="B85" s="18"/>
      <c r="C85" s="18"/>
      <c r="D85" s="18"/>
      <c r="E85" s="18"/>
      <c r="F85" s="18"/>
      <c r="G85" s="18"/>
      <c r="H85" s="18"/>
      <c r="I85" s="18"/>
      <c r="J85" s="18"/>
      <c r="K85" s="18"/>
      <c r="L85" s="18"/>
      <c r="M85" s="18"/>
      <c r="N85" s="18"/>
      <c r="O85" s="18"/>
      <c r="P85" s="18"/>
      <c r="Q85" s="18"/>
      <c r="R85" s="18"/>
      <c r="S85" s="18"/>
    </row>
    <row r="86" spans="1:19" ht="14.25" hidden="1">
      <c r="A86" s="18"/>
      <c r="B86" s="18"/>
      <c r="C86" s="18"/>
      <c r="D86" s="18"/>
      <c r="E86" s="18"/>
      <c r="F86" s="18"/>
      <c r="G86" s="18"/>
      <c r="H86" s="18"/>
      <c r="I86" s="18"/>
      <c r="J86" s="18"/>
      <c r="K86" s="18"/>
      <c r="L86" s="18"/>
      <c r="M86" s="18"/>
      <c r="N86" s="18"/>
      <c r="O86" s="18"/>
      <c r="P86" s="18"/>
      <c r="Q86" s="18"/>
      <c r="R86" s="18"/>
      <c r="S86" s="18"/>
    </row>
    <row r="87" spans="1:19" ht="14.25" hidden="1">
      <c r="A87" s="18"/>
      <c r="B87" s="18"/>
      <c r="C87" s="18"/>
      <c r="D87" s="18"/>
      <c r="E87" s="18"/>
      <c r="F87" s="18"/>
      <c r="G87" s="18"/>
      <c r="H87" s="18"/>
      <c r="I87" s="18"/>
      <c r="J87" s="18"/>
      <c r="K87" s="18"/>
      <c r="L87" s="18"/>
      <c r="M87" s="18"/>
      <c r="N87" s="18"/>
      <c r="O87" s="18"/>
      <c r="P87" s="18"/>
      <c r="Q87" s="18"/>
      <c r="R87" s="18"/>
      <c r="S87" s="18"/>
    </row>
    <row r="88" spans="1:19" ht="14.25" hidden="1">
      <c r="A88" s="18"/>
      <c r="B88" s="18"/>
      <c r="C88" s="18"/>
      <c r="D88" s="18"/>
      <c r="E88" s="18"/>
      <c r="F88" s="18"/>
      <c r="G88" s="18"/>
      <c r="H88" s="18"/>
      <c r="I88" s="18"/>
      <c r="J88" s="18"/>
      <c r="K88" s="18"/>
      <c r="L88" s="18"/>
      <c r="M88" s="18"/>
      <c r="N88" s="18"/>
      <c r="O88" s="18"/>
      <c r="P88" s="18"/>
      <c r="Q88" s="18"/>
      <c r="R88" s="18"/>
      <c r="S88" s="18"/>
    </row>
    <row r="89" spans="1:19" ht="14.25" hidden="1">
      <c r="A89" s="18"/>
      <c r="B89" s="18"/>
      <c r="C89" s="18"/>
      <c r="D89" s="18"/>
      <c r="E89" s="18"/>
      <c r="F89" s="18"/>
      <c r="G89" s="18"/>
      <c r="H89" s="18"/>
      <c r="I89" s="18"/>
      <c r="J89" s="18"/>
      <c r="K89" s="18"/>
      <c r="L89" s="18"/>
      <c r="M89" s="18"/>
      <c r="N89" s="18"/>
      <c r="O89" s="18"/>
      <c r="P89" s="18"/>
      <c r="Q89" s="18"/>
      <c r="R89" s="18"/>
      <c r="S89" s="18"/>
    </row>
    <row r="90" spans="1:19" ht="14.25" hidden="1">
      <c r="A90" s="18"/>
      <c r="B90" s="18"/>
      <c r="C90" s="18"/>
      <c r="D90" s="18"/>
      <c r="E90" s="18"/>
      <c r="F90" s="18"/>
      <c r="G90" s="18"/>
      <c r="H90" s="18"/>
      <c r="I90" s="18"/>
      <c r="J90" s="18"/>
      <c r="K90" s="18"/>
      <c r="L90" s="18"/>
      <c r="M90" s="18"/>
      <c r="N90" s="18"/>
      <c r="O90" s="18"/>
      <c r="P90" s="18"/>
      <c r="Q90" s="18"/>
      <c r="R90" s="18"/>
      <c r="S90" s="18"/>
    </row>
    <row r="91" spans="1:19" ht="14.25" hidden="1">
      <c r="A91" s="18"/>
      <c r="B91" s="18"/>
      <c r="C91" s="18"/>
      <c r="D91" s="18"/>
      <c r="E91" s="18"/>
      <c r="F91" s="18"/>
      <c r="G91" s="18"/>
      <c r="H91" s="18"/>
      <c r="I91" s="18"/>
      <c r="J91" s="18"/>
      <c r="K91" s="18"/>
      <c r="L91" s="18"/>
      <c r="M91" s="18"/>
      <c r="N91" s="18"/>
      <c r="O91" s="18"/>
      <c r="P91" s="18"/>
      <c r="Q91" s="18"/>
      <c r="R91" s="18"/>
      <c r="S91" s="18"/>
    </row>
    <row r="92" spans="1:19" ht="14.25" hidden="1">
      <c r="A92" s="18"/>
      <c r="B92" s="18"/>
      <c r="C92" s="18"/>
      <c r="D92" s="18"/>
      <c r="E92" s="18"/>
      <c r="F92" s="18"/>
      <c r="G92" s="18"/>
      <c r="H92" s="18"/>
      <c r="I92" s="18"/>
      <c r="J92" s="18"/>
      <c r="K92" s="18"/>
      <c r="L92" s="18"/>
      <c r="M92" s="18"/>
      <c r="N92" s="18"/>
      <c r="O92" s="18"/>
      <c r="P92" s="18"/>
      <c r="Q92" s="18"/>
      <c r="R92" s="18"/>
      <c r="S92" s="18"/>
    </row>
    <row r="93" spans="1:19" ht="14.25" hidden="1">
      <c r="A93" s="18"/>
      <c r="B93" s="18"/>
      <c r="C93" s="18"/>
      <c r="D93" s="18"/>
      <c r="E93" s="18"/>
      <c r="F93" s="18"/>
      <c r="G93" s="18"/>
      <c r="H93" s="18"/>
      <c r="I93" s="18"/>
      <c r="J93" s="18"/>
      <c r="K93" s="18"/>
      <c r="L93" s="18"/>
      <c r="M93" s="18"/>
      <c r="N93" s="18"/>
      <c r="O93" s="18"/>
      <c r="P93" s="18"/>
      <c r="Q93" s="18"/>
      <c r="R93" s="18"/>
      <c r="S93" s="18"/>
    </row>
    <row r="94" spans="1:19" ht="14.25" hidden="1">
      <c r="A94" s="18"/>
      <c r="B94" s="18"/>
      <c r="C94" s="18"/>
      <c r="D94" s="18"/>
      <c r="E94" s="18"/>
      <c r="F94" s="18"/>
      <c r="G94" s="18"/>
      <c r="H94" s="18"/>
      <c r="I94" s="18"/>
      <c r="J94" s="18"/>
      <c r="K94" s="18"/>
      <c r="L94" s="18"/>
      <c r="M94" s="18"/>
      <c r="N94" s="18"/>
      <c r="O94" s="18"/>
      <c r="P94" s="18"/>
      <c r="Q94" s="18"/>
      <c r="R94" s="18"/>
      <c r="S94" s="18"/>
    </row>
    <row r="95" spans="1:19" ht="14.25" hidden="1">
      <c r="A95" s="18"/>
      <c r="B95" s="18"/>
      <c r="C95" s="18"/>
      <c r="D95" s="18"/>
      <c r="E95" s="18"/>
      <c r="F95" s="18"/>
      <c r="G95" s="18"/>
      <c r="H95" s="18"/>
      <c r="I95" s="18"/>
      <c r="J95" s="18"/>
      <c r="K95" s="18"/>
      <c r="L95" s="18"/>
      <c r="M95" s="18"/>
      <c r="N95" s="18"/>
      <c r="O95" s="18"/>
      <c r="P95" s="18"/>
      <c r="Q95" s="18"/>
      <c r="R95" s="18"/>
      <c r="S95" s="18"/>
    </row>
    <row r="96" spans="1:19" ht="14.25" hidden="1">
      <c r="A96" s="18"/>
      <c r="B96" s="18"/>
      <c r="C96" s="18"/>
      <c r="D96" s="18"/>
      <c r="E96" s="18"/>
      <c r="F96" s="18"/>
      <c r="G96" s="18"/>
      <c r="H96" s="18"/>
      <c r="I96" s="18"/>
      <c r="J96" s="18"/>
      <c r="K96" s="18"/>
      <c r="L96" s="18"/>
      <c r="M96" s="18"/>
      <c r="N96" s="18"/>
      <c r="O96" s="18"/>
      <c r="P96" s="18"/>
      <c r="Q96" s="18"/>
      <c r="R96" s="18"/>
      <c r="S96" s="18"/>
    </row>
    <row r="97" spans="1:19" ht="14.25" hidden="1">
      <c r="A97" s="18"/>
      <c r="B97" s="18"/>
      <c r="C97" s="18"/>
      <c r="D97" s="18"/>
      <c r="E97" s="18"/>
      <c r="F97" s="18"/>
      <c r="G97" s="18"/>
      <c r="H97" s="18"/>
      <c r="I97" s="18"/>
      <c r="J97" s="18"/>
      <c r="K97" s="18"/>
      <c r="L97" s="18"/>
      <c r="M97" s="18"/>
      <c r="N97" s="18"/>
      <c r="O97" s="18"/>
      <c r="P97" s="18"/>
      <c r="Q97" s="18"/>
      <c r="R97" s="18"/>
      <c r="S97" s="18"/>
    </row>
    <row r="98" spans="1:19" ht="14.25" hidden="1">
      <c r="A98" s="18"/>
      <c r="B98" s="18"/>
      <c r="C98" s="18"/>
      <c r="D98" s="18"/>
      <c r="E98" s="18"/>
      <c r="F98" s="18"/>
      <c r="G98" s="18"/>
      <c r="H98" s="18"/>
      <c r="I98" s="18"/>
      <c r="J98" s="18"/>
      <c r="K98" s="18"/>
      <c r="L98" s="18"/>
      <c r="M98" s="18"/>
      <c r="N98" s="18"/>
      <c r="O98" s="18"/>
      <c r="P98" s="18"/>
      <c r="Q98" s="18"/>
      <c r="R98" s="18"/>
      <c r="S98" s="18"/>
    </row>
    <row r="99" spans="1:19" ht="14.25" hidden="1">
      <c r="A99" s="18"/>
      <c r="B99" s="18"/>
      <c r="C99" s="18"/>
      <c r="D99" s="18"/>
      <c r="E99" s="18"/>
      <c r="F99" s="18"/>
      <c r="G99" s="18"/>
      <c r="H99" s="18"/>
      <c r="I99" s="18"/>
      <c r="J99" s="18"/>
      <c r="K99" s="18"/>
      <c r="L99" s="18"/>
      <c r="M99" s="18"/>
      <c r="N99" s="18"/>
      <c r="O99" s="18"/>
      <c r="P99" s="18"/>
      <c r="Q99" s="18"/>
      <c r="R99" s="18"/>
      <c r="S99" s="18"/>
    </row>
    <row r="100" spans="1:19" ht="14.25" hidden="1">
      <c r="A100" s="18"/>
      <c r="B100" s="18"/>
      <c r="C100" s="18"/>
      <c r="D100" s="18"/>
      <c r="E100" s="18"/>
      <c r="F100" s="18"/>
      <c r="G100" s="18"/>
      <c r="H100" s="18"/>
      <c r="I100" s="18"/>
      <c r="J100" s="18"/>
      <c r="K100" s="18"/>
      <c r="L100" s="18"/>
      <c r="M100" s="18"/>
      <c r="N100" s="18"/>
      <c r="O100" s="18"/>
      <c r="P100" s="18"/>
      <c r="Q100" s="18"/>
      <c r="R100" s="18"/>
      <c r="S100" s="18"/>
    </row>
    <row r="101" spans="1:19" ht="14.25" hidden="1">
      <c r="A101" s="18"/>
      <c r="B101" s="18"/>
      <c r="C101" s="18"/>
      <c r="D101" s="18"/>
      <c r="E101" s="18"/>
      <c r="F101" s="18"/>
      <c r="G101" s="18"/>
      <c r="H101" s="18"/>
      <c r="I101" s="18"/>
      <c r="J101" s="18"/>
      <c r="K101" s="18"/>
      <c r="L101" s="18"/>
      <c r="M101" s="18"/>
      <c r="N101" s="18"/>
      <c r="O101" s="18"/>
      <c r="P101" s="18"/>
      <c r="Q101" s="18"/>
      <c r="R101" s="18"/>
      <c r="S101" s="18"/>
    </row>
    <row r="102" spans="1:19" ht="14.25" hidden="1">
      <c r="A102" s="18"/>
      <c r="B102" s="18"/>
      <c r="C102" s="18"/>
      <c r="D102" s="18"/>
      <c r="E102" s="18"/>
      <c r="F102" s="18"/>
      <c r="G102" s="18"/>
      <c r="H102" s="18"/>
      <c r="I102" s="18"/>
      <c r="J102" s="18"/>
      <c r="K102" s="18"/>
      <c r="L102" s="18"/>
      <c r="M102" s="18"/>
      <c r="N102" s="18"/>
      <c r="O102" s="18"/>
      <c r="P102" s="18"/>
      <c r="Q102" s="18"/>
      <c r="R102" s="18"/>
      <c r="S102" s="18"/>
    </row>
    <row r="103" spans="1:19" ht="14.25" hidden="1">
      <c r="A103" s="18"/>
      <c r="B103" s="18"/>
      <c r="C103" s="18"/>
      <c r="D103" s="18"/>
      <c r="E103" s="18"/>
      <c r="F103" s="18"/>
      <c r="G103" s="18"/>
      <c r="H103" s="18"/>
      <c r="I103" s="18"/>
      <c r="J103" s="18"/>
      <c r="K103" s="18"/>
      <c r="L103" s="18"/>
      <c r="M103" s="18"/>
      <c r="N103" s="18"/>
      <c r="O103" s="18"/>
      <c r="P103" s="18"/>
      <c r="Q103" s="18"/>
      <c r="R103" s="18"/>
      <c r="S103" s="18"/>
    </row>
    <row r="104" spans="1:19" ht="14.25" hidden="1">
      <c r="A104" s="18"/>
      <c r="B104" s="18"/>
      <c r="C104" s="18"/>
      <c r="D104" s="18"/>
      <c r="E104" s="18"/>
      <c r="F104" s="18"/>
      <c r="G104" s="18"/>
      <c r="H104" s="18"/>
      <c r="I104" s="18"/>
      <c r="J104" s="18"/>
      <c r="K104" s="18"/>
      <c r="L104" s="18"/>
      <c r="M104" s="18"/>
      <c r="N104" s="18"/>
      <c r="O104" s="18"/>
      <c r="P104" s="18"/>
      <c r="Q104" s="18"/>
      <c r="R104" s="18"/>
      <c r="S104" s="18"/>
    </row>
    <row r="105" spans="1:19" ht="14.25" hidden="1">
      <c r="A105" s="18"/>
      <c r="B105" s="18"/>
      <c r="C105" s="18"/>
      <c r="D105" s="18"/>
      <c r="E105" s="18"/>
      <c r="F105" s="18"/>
      <c r="G105" s="18"/>
      <c r="H105" s="18"/>
      <c r="I105" s="18"/>
      <c r="J105" s="18"/>
      <c r="K105" s="18"/>
      <c r="L105" s="18"/>
      <c r="M105" s="18"/>
      <c r="N105" s="18"/>
      <c r="O105" s="18"/>
      <c r="P105" s="18"/>
      <c r="Q105" s="18"/>
      <c r="R105" s="18"/>
      <c r="S105" s="18"/>
    </row>
    <row r="106" spans="1:19" ht="14.25" hidden="1">
      <c r="A106" s="18"/>
      <c r="B106" s="18"/>
      <c r="C106" s="18"/>
      <c r="D106" s="18"/>
      <c r="E106" s="18"/>
      <c r="F106" s="18"/>
      <c r="G106" s="18"/>
      <c r="H106" s="18"/>
      <c r="I106" s="18"/>
      <c r="J106" s="18"/>
      <c r="K106" s="18"/>
      <c r="L106" s="18"/>
      <c r="M106" s="18"/>
      <c r="N106" s="18"/>
      <c r="O106" s="18"/>
      <c r="P106" s="18"/>
      <c r="Q106" s="18"/>
      <c r="R106" s="18"/>
      <c r="S106" s="18"/>
    </row>
    <row r="107" spans="1:19" ht="14.25" hidden="1">
      <c r="A107" s="18"/>
      <c r="B107" s="18"/>
      <c r="C107" s="18"/>
      <c r="D107" s="18"/>
      <c r="E107" s="18"/>
      <c r="F107" s="18"/>
      <c r="G107" s="18"/>
      <c r="H107" s="18"/>
      <c r="I107" s="18"/>
      <c r="J107" s="18"/>
      <c r="K107" s="18"/>
      <c r="L107" s="18"/>
      <c r="M107" s="18"/>
      <c r="N107" s="18"/>
      <c r="O107" s="18"/>
      <c r="P107" s="18"/>
      <c r="Q107" s="18"/>
      <c r="R107" s="18"/>
      <c r="S107" s="18"/>
    </row>
    <row r="108" spans="1:19" ht="14.25" hidden="1">
      <c r="A108" s="18"/>
      <c r="B108" s="18"/>
      <c r="C108" s="18"/>
      <c r="D108" s="18"/>
      <c r="E108" s="18"/>
      <c r="F108" s="18"/>
      <c r="G108" s="18"/>
      <c r="H108" s="18"/>
      <c r="I108" s="18"/>
      <c r="J108" s="18"/>
      <c r="K108" s="18"/>
      <c r="L108" s="18"/>
      <c r="M108" s="18"/>
      <c r="N108" s="18"/>
      <c r="O108" s="18"/>
      <c r="P108" s="18"/>
      <c r="Q108" s="18"/>
      <c r="R108" s="18"/>
      <c r="S108" s="18"/>
    </row>
    <row r="109" spans="1:19" ht="14.25" hidden="1">
      <c r="A109" s="18"/>
      <c r="B109" s="18"/>
      <c r="C109" s="18"/>
      <c r="D109" s="18"/>
      <c r="E109" s="18"/>
      <c r="F109" s="18"/>
      <c r="G109" s="18"/>
      <c r="H109" s="18"/>
      <c r="I109" s="18"/>
      <c r="J109" s="18"/>
      <c r="K109" s="18"/>
      <c r="L109" s="18"/>
      <c r="M109" s="18"/>
      <c r="N109" s="18"/>
      <c r="O109" s="18"/>
      <c r="P109" s="18"/>
      <c r="Q109" s="18"/>
      <c r="R109" s="18"/>
      <c r="S109" s="18"/>
    </row>
    <row r="110" spans="1:19" ht="14.25" hidden="1">
      <c r="A110" s="18"/>
      <c r="B110" s="18"/>
      <c r="C110" s="18"/>
      <c r="D110" s="18"/>
      <c r="E110" s="18"/>
      <c r="F110" s="18"/>
      <c r="G110" s="18"/>
      <c r="H110" s="18"/>
      <c r="I110" s="18"/>
      <c r="J110" s="18"/>
      <c r="K110" s="18"/>
      <c r="L110" s="18"/>
      <c r="M110" s="18"/>
      <c r="N110" s="18"/>
      <c r="O110" s="18"/>
      <c r="P110" s="18"/>
      <c r="Q110" s="18"/>
      <c r="R110" s="18"/>
      <c r="S110" s="18"/>
    </row>
    <row r="111" spans="1:19" ht="14.25" hidden="1">
      <c r="A111" s="18"/>
      <c r="B111" s="18"/>
      <c r="C111" s="18"/>
      <c r="D111" s="18"/>
      <c r="E111" s="18"/>
      <c r="F111" s="18"/>
      <c r="G111" s="18"/>
      <c r="H111" s="18"/>
      <c r="I111" s="18"/>
      <c r="J111" s="18"/>
      <c r="K111" s="18"/>
      <c r="L111" s="18"/>
      <c r="M111" s="18"/>
      <c r="N111" s="18"/>
      <c r="O111" s="18"/>
      <c r="P111" s="18"/>
      <c r="Q111" s="18"/>
      <c r="R111" s="18"/>
      <c r="S111" s="18"/>
    </row>
    <row r="112" spans="1:19" ht="14.25" hidden="1">
      <c r="A112" s="18"/>
      <c r="B112" s="18"/>
      <c r="C112" s="18"/>
      <c r="D112" s="18"/>
      <c r="E112" s="18"/>
      <c r="F112" s="18"/>
      <c r="G112" s="18"/>
      <c r="H112" s="18"/>
      <c r="I112" s="18"/>
      <c r="J112" s="18"/>
      <c r="K112" s="18"/>
      <c r="L112" s="18"/>
      <c r="M112" s="18"/>
      <c r="N112" s="18"/>
      <c r="O112" s="18"/>
      <c r="P112" s="18"/>
      <c r="Q112" s="18"/>
      <c r="R112" s="18"/>
      <c r="S112" s="18"/>
    </row>
    <row r="113" spans="1:19" ht="14.25" hidden="1">
      <c r="A113" s="18"/>
      <c r="B113" s="18"/>
      <c r="C113" s="18"/>
      <c r="D113" s="18"/>
      <c r="E113" s="18"/>
      <c r="F113" s="18"/>
      <c r="G113" s="18"/>
      <c r="H113" s="18"/>
      <c r="I113" s="18"/>
      <c r="J113" s="18"/>
      <c r="K113" s="18"/>
      <c r="L113" s="18"/>
      <c r="M113" s="18"/>
      <c r="N113" s="18"/>
      <c r="O113" s="18"/>
      <c r="P113" s="18"/>
      <c r="Q113" s="18"/>
      <c r="R113" s="18"/>
      <c r="S113" s="18"/>
    </row>
    <row r="114" spans="1:19" ht="14.25" hidden="1">
      <c r="A114" s="18"/>
      <c r="B114" s="18"/>
      <c r="C114" s="18"/>
      <c r="D114" s="18"/>
      <c r="E114" s="18"/>
      <c r="F114" s="18"/>
      <c r="G114" s="18"/>
      <c r="H114" s="18"/>
      <c r="I114" s="18"/>
      <c r="J114" s="18"/>
      <c r="K114" s="18"/>
      <c r="L114" s="18"/>
      <c r="M114" s="18"/>
      <c r="N114" s="18"/>
      <c r="O114" s="18"/>
      <c r="P114" s="18"/>
      <c r="Q114" s="18"/>
      <c r="R114" s="18"/>
      <c r="S114" s="18"/>
    </row>
    <row r="115" spans="1:19" ht="14.25" hidden="1">
      <c r="A115" s="18"/>
      <c r="B115" s="18"/>
      <c r="C115" s="18"/>
      <c r="D115" s="18"/>
      <c r="E115" s="18"/>
      <c r="F115" s="18"/>
      <c r="G115" s="18"/>
      <c r="H115" s="18"/>
      <c r="I115" s="18"/>
      <c r="J115" s="18"/>
      <c r="K115" s="18"/>
      <c r="L115" s="18"/>
      <c r="M115" s="18"/>
      <c r="N115" s="18"/>
      <c r="O115" s="18"/>
      <c r="P115" s="18"/>
      <c r="Q115" s="18"/>
      <c r="R115" s="18"/>
      <c r="S115" s="18"/>
    </row>
    <row r="116" spans="1:19" ht="14.25" hidden="1">
      <c r="A116" s="18"/>
      <c r="B116" s="18"/>
      <c r="C116" s="18"/>
      <c r="D116" s="18"/>
      <c r="E116" s="18"/>
      <c r="F116" s="18"/>
      <c r="G116" s="18"/>
      <c r="H116" s="18"/>
      <c r="I116" s="18"/>
      <c r="J116" s="18"/>
      <c r="K116" s="18"/>
      <c r="L116" s="18"/>
      <c r="M116" s="18"/>
      <c r="N116" s="18"/>
      <c r="O116" s="18"/>
      <c r="P116" s="18"/>
      <c r="Q116" s="18"/>
      <c r="R116" s="18"/>
      <c r="S116" s="18"/>
    </row>
    <row r="117" spans="1:19" ht="14.25" hidden="1">
      <c r="A117" s="18"/>
      <c r="B117" s="18"/>
      <c r="C117" s="18"/>
      <c r="D117" s="18"/>
      <c r="E117" s="18"/>
      <c r="F117" s="18"/>
      <c r="G117" s="18"/>
      <c r="H117" s="18"/>
      <c r="I117" s="18"/>
      <c r="J117" s="18"/>
      <c r="K117" s="18"/>
      <c r="L117" s="18"/>
      <c r="M117" s="18"/>
      <c r="N117" s="18"/>
      <c r="O117" s="18"/>
      <c r="P117" s="18"/>
      <c r="Q117" s="18"/>
      <c r="R117" s="18"/>
      <c r="S117" s="18"/>
    </row>
    <row r="118" spans="1:19" ht="14.25" hidden="1">
      <c r="A118" s="18"/>
      <c r="B118" s="18"/>
      <c r="C118" s="18"/>
      <c r="D118" s="18"/>
      <c r="E118" s="18"/>
      <c r="F118" s="18"/>
      <c r="G118" s="18"/>
      <c r="H118" s="18"/>
      <c r="I118" s="18"/>
      <c r="J118" s="18"/>
      <c r="K118" s="18"/>
      <c r="L118" s="18"/>
      <c r="M118" s="18"/>
      <c r="N118" s="18"/>
      <c r="O118" s="18"/>
      <c r="P118" s="18"/>
      <c r="Q118" s="18"/>
      <c r="R118" s="18"/>
      <c r="S118" s="18"/>
    </row>
    <row r="119" spans="1:19" ht="14.25" hidden="1">
      <c r="A119" s="18"/>
      <c r="B119" s="18"/>
      <c r="C119" s="18"/>
      <c r="D119" s="18"/>
      <c r="E119" s="18"/>
      <c r="F119" s="18"/>
      <c r="G119" s="18"/>
      <c r="H119" s="18"/>
      <c r="I119" s="18"/>
      <c r="J119" s="18"/>
      <c r="K119" s="18"/>
      <c r="L119" s="18"/>
      <c r="M119" s="18"/>
      <c r="N119" s="18"/>
      <c r="O119" s="18"/>
      <c r="P119" s="18"/>
      <c r="Q119" s="18"/>
      <c r="R119" s="18"/>
      <c r="S119" s="18"/>
    </row>
    <row r="120" spans="1:19" ht="14.25" hidden="1">
      <c r="A120" s="18"/>
      <c r="B120" s="18"/>
      <c r="C120" s="18"/>
      <c r="D120" s="18"/>
      <c r="E120" s="18"/>
      <c r="F120" s="18"/>
      <c r="G120" s="18"/>
      <c r="H120" s="18"/>
      <c r="I120" s="18"/>
      <c r="J120" s="18"/>
      <c r="K120" s="18"/>
      <c r="L120" s="18"/>
      <c r="M120" s="18"/>
      <c r="N120" s="18"/>
      <c r="O120" s="18"/>
      <c r="P120" s="18"/>
      <c r="Q120" s="18"/>
      <c r="R120" s="18"/>
      <c r="S120" s="18"/>
    </row>
    <row r="121" spans="1:19" ht="14.25" hidden="1">
      <c r="A121" s="18"/>
      <c r="B121" s="18"/>
      <c r="C121" s="18"/>
      <c r="D121" s="18"/>
      <c r="E121" s="18"/>
      <c r="F121" s="18"/>
      <c r="G121" s="18"/>
      <c r="H121" s="18"/>
      <c r="I121" s="18"/>
      <c r="J121" s="18"/>
      <c r="K121" s="18"/>
      <c r="L121" s="18"/>
      <c r="M121" s="18"/>
      <c r="N121" s="18"/>
      <c r="O121" s="18"/>
      <c r="P121" s="18"/>
      <c r="Q121" s="18"/>
      <c r="R121" s="18"/>
      <c r="S121" s="18"/>
    </row>
    <row r="122" spans="1:19" ht="14.25" hidden="1">
      <c r="A122" s="18"/>
      <c r="B122" s="18"/>
      <c r="C122" s="18"/>
      <c r="D122" s="18"/>
      <c r="E122" s="18"/>
      <c r="F122" s="18"/>
      <c r="G122" s="18"/>
      <c r="H122" s="18"/>
      <c r="I122" s="18"/>
      <c r="J122" s="18"/>
      <c r="K122" s="18"/>
      <c r="L122" s="18"/>
      <c r="M122" s="18"/>
      <c r="N122" s="18"/>
      <c r="O122" s="18"/>
      <c r="P122" s="18"/>
      <c r="Q122" s="18"/>
      <c r="R122" s="18"/>
      <c r="S122" s="18"/>
    </row>
    <row r="123" spans="1:19" ht="14.25" hidden="1">
      <c r="A123" s="18"/>
      <c r="B123" s="18"/>
      <c r="C123" s="18"/>
      <c r="D123" s="18"/>
      <c r="E123" s="18"/>
      <c r="F123" s="18"/>
      <c r="G123" s="18"/>
      <c r="H123" s="18"/>
      <c r="I123" s="18"/>
      <c r="J123" s="18"/>
      <c r="K123" s="18"/>
      <c r="L123" s="18"/>
      <c r="M123" s="18"/>
      <c r="N123" s="18"/>
      <c r="O123" s="18"/>
      <c r="P123" s="18"/>
      <c r="Q123" s="18"/>
      <c r="R123" s="18"/>
      <c r="S123" s="18"/>
    </row>
    <row r="124" spans="1:19" ht="14.25" hidden="1">
      <c r="A124" s="18"/>
      <c r="B124" s="18"/>
      <c r="C124" s="18"/>
      <c r="D124" s="18"/>
      <c r="E124" s="18"/>
      <c r="F124" s="18"/>
      <c r="G124" s="18"/>
      <c r="H124" s="18"/>
      <c r="I124" s="18"/>
      <c r="J124" s="18"/>
      <c r="K124" s="18"/>
      <c r="L124" s="18"/>
      <c r="M124" s="18"/>
      <c r="N124" s="18"/>
      <c r="O124" s="18"/>
      <c r="P124" s="18"/>
      <c r="Q124" s="18"/>
      <c r="R124" s="18"/>
      <c r="S124" s="18"/>
    </row>
    <row r="125" spans="1:19" ht="14.25" hidden="1">
      <c r="A125" s="18"/>
      <c r="B125" s="18"/>
      <c r="C125" s="18"/>
      <c r="D125" s="18"/>
      <c r="E125" s="18"/>
      <c r="F125" s="18"/>
      <c r="G125" s="18"/>
      <c r="H125" s="18"/>
      <c r="I125" s="18"/>
      <c r="J125" s="18"/>
      <c r="K125" s="18"/>
      <c r="L125" s="18"/>
      <c r="M125" s="18"/>
      <c r="N125" s="18"/>
      <c r="O125" s="18"/>
      <c r="P125" s="18"/>
      <c r="Q125" s="18"/>
      <c r="R125" s="18"/>
      <c r="S125" s="18"/>
    </row>
    <row r="126" spans="1:19" ht="14.25" hidden="1">
      <c r="A126" s="18"/>
      <c r="B126" s="18"/>
      <c r="C126" s="18"/>
      <c r="D126" s="18"/>
      <c r="E126" s="18"/>
      <c r="F126" s="18"/>
      <c r="G126" s="18"/>
      <c r="H126" s="18"/>
      <c r="I126" s="18"/>
      <c r="J126" s="18"/>
      <c r="K126" s="18"/>
      <c r="L126" s="18"/>
      <c r="M126" s="18"/>
      <c r="N126" s="18"/>
      <c r="O126" s="18"/>
      <c r="P126" s="18"/>
      <c r="Q126" s="18"/>
      <c r="R126" s="18"/>
      <c r="S126" s="18"/>
    </row>
    <row r="127" spans="1:19" ht="14.25" hidden="1">
      <c r="A127" s="18"/>
      <c r="B127" s="18"/>
      <c r="C127" s="18"/>
      <c r="D127" s="18"/>
      <c r="E127" s="18"/>
      <c r="F127" s="18"/>
      <c r="G127" s="18"/>
      <c r="H127" s="18"/>
      <c r="I127" s="18"/>
      <c r="J127" s="18"/>
      <c r="K127" s="18"/>
      <c r="L127" s="18"/>
      <c r="M127" s="18"/>
      <c r="N127" s="18"/>
      <c r="O127" s="18"/>
      <c r="P127" s="18"/>
      <c r="Q127" s="18"/>
      <c r="R127" s="18"/>
      <c r="S127" s="18"/>
    </row>
    <row r="128" spans="1:19" ht="14.25" hidden="1">
      <c r="A128" s="18"/>
      <c r="B128" s="18"/>
      <c r="C128" s="18"/>
      <c r="D128" s="18"/>
      <c r="E128" s="18"/>
      <c r="F128" s="18"/>
      <c r="G128" s="18"/>
      <c r="H128" s="18"/>
      <c r="I128" s="18"/>
      <c r="J128" s="18"/>
      <c r="K128" s="18"/>
      <c r="L128" s="18"/>
      <c r="M128" s="18"/>
      <c r="N128" s="18"/>
      <c r="O128" s="18"/>
      <c r="P128" s="18"/>
      <c r="Q128" s="18"/>
      <c r="R128" s="18"/>
      <c r="S128" s="18"/>
    </row>
    <row r="129" spans="1:19" ht="14.25" hidden="1">
      <c r="A129" s="18"/>
      <c r="B129" s="18"/>
      <c r="C129" s="18"/>
      <c r="D129" s="18"/>
      <c r="E129" s="18"/>
      <c r="F129" s="18"/>
      <c r="G129" s="18"/>
      <c r="H129" s="18"/>
      <c r="I129" s="18"/>
      <c r="J129" s="18"/>
      <c r="K129" s="18"/>
      <c r="L129" s="18"/>
      <c r="M129" s="18"/>
      <c r="N129" s="18"/>
      <c r="O129" s="18"/>
      <c r="P129" s="18"/>
      <c r="Q129" s="18"/>
      <c r="R129" s="18"/>
      <c r="S129" s="18"/>
    </row>
    <row r="130" spans="1:19" ht="14.25" hidden="1">
      <c r="A130" s="18"/>
      <c r="B130" s="18"/>
      <c r="C130" s="18"/>
      <c r="D130" s="18"/>
      <c r="E130" s="18"/>
      <c r="F130" s="18"/>
      <c r="G130" s="18"/>
      <c r="H130" s="18"/>
      <c r="I130" s="18"/>
      <c r="J130" s="18"/>
      <c r="K130" s="18"/>
      <c r="L130" s="18"/>
      <c r="M130" s="18"/>
      <c r="N130" s="18"/>
      <c r="O130" s="18"/>
      <c r="P130" s="18"/>
      <c r="Q130" s="18"/>
      <c r="R130" s="18"/>
      <c r="S130" s="18"/>
    </row>
    <row r="131" spans="1:19" ht="14.25" hidden="1">
      <c r="A131" s="18"/>
      <c r="B131" s="18"/>
      <c r="C131" s="18"/>
      <c r="D131" s="18"/>
      <c r="E131" s="18"/>
      <c r="F131" s="18"/>
      <c r="G131" s="18"/>
      <c r="H131" s="18"/>
      <c r="I131" s="18"/>
      <c r="J131" s="18"/>
      <c r="K131" s="18"/>
      <c r="L131" s="18"/>
      <c r="M131" s="18"/>
      <c r="N131" s="18"/>
      <c r="O131" s="18"/>
      <c r="P131" s="18"/>
      <c r="Q131" s="18"/>
      <c r="R131" s="18"/>
      <c r="S131" s="18"/>
    </row>
    <row r="132" spans="1:19" ht="14.25" hidden="1">
      <c r="A132" s="18"/>
      <c r="B132" s="18"/>
      <c r="C132" s="18"/>
      <c r="D132" s="18"/>
      <c r="E132" s="18"/>
      <c r="F132" s="18"/>
      <c r="G132" s="18"/>
      <c r="H132" s="18"/>
      <c r="I132" s="18"/>
      <c r="J132" s="18"/>
      <c r="K132" s="18"/>
      <c r="L132" s="18"/>
      <c r="M132" s="18"/>
      <c r="N132" s="18"/>
      <c r="O132" s="18"/>
      <c r="P132" s="18"/>
      <c r="Q132" s="18"/>
      <c r="R132" s="18"/>
      <c r="S132" s="18"/>
    </row>
    <row r="133" spans="1:19" ht="14.25" hidden="1">
      <c r="A133" s="18"/>
      <c r="B133" s="18"/>
      <c r="C133" s="18"/>
      <c r="D133" s="18"/>
      <c r="E133" s="18"/>
      <c r="F133" s="18"/>
      <c r="G133" s="18"/>
      <c r="H133" s="18"/>
      <c r="I133" s="18"/>
      <c r="J133" s="18"/>
      <c r="K133" s="18"/>
      <c r="L133" s="18"/>
      <c r="M133" s="18"/>
      <c r="N133" s="18"/>
      <c r="O133" s="18"/>
      <c r="P133" s="18"/>
      <c r="Q133" s="18"/>
      <c r="R133" s="18"/>
      <c r="S133" s="18"/>
    </row>
    <row r="134" spans="1:19" ht="14.25" hidden="1">
      <c r="A134" s="18"/>
      <c r="B134" s="18"/>
      <c r="C134" s="18"/>
      <c r="D134" s="18"/>
      <c r="E134" s="18"/>
      <c r="F134" s="18"/>
      <c r="G134" s="18"/>
      <c r="H134" s="18"/>
      <c r="I134" s="18"/>
      <c r="J134" s="18"/>
      <c r="K134" s="18"/>
      <c r="L134" s="18"/>
      <c r="M134" s="18"/>
      <c r="N134" s="18"/>
      <c r="O134" s="18"/>
      <c r="P134" s="18"/>
      <c r="Q134" s="18"/>
      <c r="R134" s="18"/>
      <c r="S134" s="18"/>
    </row>
    <row r="135" spans="1:19" ht="14.25" hidden="1">
      <c r="A135" s="18"/>
      <c r="B135" s="18"/>
      <c r="C135" s="18"/>
      <c r="D135" s="18"/>
      <c r="E135" s="18"/>
      <c r="F135" s="18"/>
      <c r="G135" s="18"/>
      <c r="H135" s="18"/>
      <c r="I135" s="18"/>
      <c r="J135" s="18"/>
      <c r="K135" s="18"/>
      <c r="L135" s="18"/>
      <c r="M135" s="18"/>
      <c r="N135" s="18"/>
      <c r="O135" s="18"/>
      <c r="P135" s="18"/>
      <c r="Q135" s="18"/>
      <c r="R135" s="18"/>
      <c r="S135" s="18"/>
    </row>
    <row r="136" spans="1:19" ht="14.25" hidden="1">
      <c r="A136" s="18"/>
      <c r="B136" s="18"/>
      <c r="C136" s="18"/>
      <c r="D136" s="18"/>
      <c r="E136" s="18"/>
      <c r="F136" s="18"/>
      <c r="G136" s="18"/>
      <c r="H136" s="18"/>
      <c r="I136" s="18"/>
      <c r="J136" s="18"/>
      <c r="K136" s="18"/>
      <c r="L136" s="18"/>
      <c r="M136" s="18"/>
      <c r="N136" s="18"/>
      <c r="O136" s="18"/>
      <c r="P136" s="18"/>
      <c r="Q136" s="18"/>
      <c r="R136" s="18"/>
      <c r="S136" s="18"/>
    </row>
    <row r="137" spans="1:19" ht="14.25" hidden="1">
      <c r="A137" s="18"/>
      <c r="B137" s="18"/>
      <c r="C137" s="18"/>
      <c r="D137" s="18"/>
      <c r="E137" s="18"/>
      <c r="F137" s="18"/>
      <c r="G137" s="18"/>
      <c r="H137" s="18"/>
      <c r="I137" s="18"/>
      <c r="J137" s="18"/>
      <c r="K137" s="18"/>
      <c r="L137" s="18"/>
      <c r="M137" s="18"/>
      <c r="N137" s="18"/>
      <c r="O137" s="18"/>
      <c r="P137" s="18"/>
      <c r="Q137" s="18"/>
      <c r="R137" s="18"/>
      <c r="S137" s="18"/>
    </row>
    <row r="138" spans="1:19" ht="14.25" hidden="1">
      <c r="A138" s="18"/>
      <c r="B138" s="18"/>
      <c r="C138" s="18"/>
      <c r="D138" s="18"/>
      <c r="E138" s="18"/>
      <c r="F138" s="18"/>
      <c r="G138" s="18"/>
      <c r="H138" s="18"/>
      <c r="I138" s="18"/>
      <c r="J138" s="18"/>
      <c r="K138" s="18"/>
      <c r="L138" s="18"/>
      <c r="M138" s="18"/>
      <c r="N138" s="18"/>
      <c r="O138" s="18"/>
      <c r="P138" s="18"/>
      <c r="Q138" s="18"/>
      <c r="R138" s="18"/>
      <c r="S138" s="18"/>
    </row>
    <row r="139" spans="1:19" ht="14.25" hidden="1">
      <c r="A139" s="18"/>
      <c r="B139" s="18"/>
      <c r="C139" s="18"/>
      <c r="D139" s="18"/>
      <c r="E139" s="18"/>
      <c r="F139" s="18"/>
      <c r="G139" s="18"/>
      <c r="H139" s="18"/>
      <c r="I139" s="18"/>
      <c r="J139" s="18"/>
      <c r="K139" s="18"/>
      <c r="L139" s="18"/>
      <c r="M139" s="18"/>
      <c r="N139" s="18"/>
      <c r="O139" s="18"/>
      <c r="P139" s="18"/>
      <c r="Q139" s="18"/>
      <c r="R139" s="18"/>
      <c r="S139" s="18"/>
    </row>
    <row r="140" spans="1:19" ht="14.25" hidden="1">
      <c r="A140" s="18"/>
      <c r="B140" s="18"/>
      <c r="C140" s="18"/>
      <c r="D140" s="18"/>
      <c r="E140" s="18"/>
      <c r="F140" s="18"/>
      <c r="G140" s="18"/>
      <c r="H140" s="18"/>
      <c r="I140" s="18"/>
      <c r="J140" s="18"/>
      <c r="K140" s="18"/>
      <c r="L140" s="18"/>
      <c r="M140" s="18"/>
      <c r="N140" s="18"/>
      <c r="O140" s="18"/>
      <c r="P140" s="18"/>
      <c r="Q140" s="18"/>
      <c r="R140" s="18"/>
      <c r="S140" s="18"/>
    </row>
    <row r="141" spans="1:19" ht="14.25" hidden="1">
      <c r="A141" s="18"/>
      <c r="B141" s="18"/>
      <c r="C141" s="18"/>
      <c r="D141" s="18"/>
      <c r="E141" s="18"/>
      <c r="F141" s="18"/>
      <c r="G141" s="18"/>
      <c r="H141" s="18"/>
      <c r="I141" s="18"/>
      <c r="J141" s="18"/>
      <c r="K141" s="18"/>
      <c r="L141" s="18"/>
      <c r="M141" s="18"/>
      <c r="N141" s="18"/>
      <c r="O141" s="18"/>
      <c r="P141" s="18"/>
      <c r="Q141" s="18"/>
      <c r="R141" s="18"/>
      <c r="S141" s="18"/>
    </row>
    <row r="142" spans="1:19" ht="14.25" hidden="1">
      <c r="A142" s="18"/>
      <c r="B142" s="18"/>
      <c r="C142" s="18"/>
      <c r="D142" s="18"/>
      <c r="E142" s="18"/>
      <c r="F142" s="18"/>
      <c r="G142" s="18"/>
      <c r="H142" s="18"/>
      <c r="I142" s="18"/>
      <c r="J142" s="18"/>
      <c r="K142" s="18"/>
      <c r="L142" s="18"/>
      <c r="M142" s="18"/>
      <c r="N142" s="18"/>
      <c r="O142" s="18"/>
      <c r="P142" s="18"/>
      <c r="Q142" s="18"/>
      <c r="R142" s="18"/>
      <c r="S142" s="18"/>
    </row>
    <row r="143" spans="1:19" ht="14.25" hidden="1">
      <c r="A143" s="18"/>
      <c r="B143" s="18"/>
      <c r="C143" s="18"/>
      <c r="D143" s="18"/>
      <c r="E143" s="18"/>
      <c r="F143" s="18"/>
      <c r="G143" s="18"/>
      <c r="H143" s="18"/>
      <c r="I143" s="18"/>
      <c r="J143" s="18"/>
      <c r="K143" s="18"/>
      <c r="L143" s="18"/>
      <c r="M143" s="18"/>
      <c r="N143" s="18"/>
      <c r="O143" s="18"/>
      <c r="P143" s="18"/>
      <c r="Q143" s="18"/>
      <c r="R143" s="18"/>
      <c r="S143" s="18"/>
    </row>
    <row r="144" spans="1:19" ht="14.25" hidden="1">
      <c r="A144" s="18"/>
      <c r="B144" s="18"/>
      <c r="C144" s="18"/>
      <c r="D144" s="18"/>
      <c r="E144" s="18"/>
      <c r="F144" s="18"/>
      <c r="G144" s="18"/>
      <c r="H144" s="18"/>
      <c r="I144" s="18"/>
      <c r="J144" s="18"/>
      <c r="K144" s="18"/>
      <c r="L144" s="18"/>
      <c r="M144" s="18"/>
      <c r="N144" s="18"/>
      <c r="O144" s="18"/>
      <c r="P144" s="18"/>
      <c r="Q144" s="18"/>
      <c r="R144" s="18"/>
      <c r="S144" s="18"/>
    </row>
    <row r="145" spans="1:19" ht="14.25" hidden="1">
      <c r="A145" s="18"/>
      <c r="B145" s="18"/>
      <c r="C145" s="18"/>
      <c r="D145" s="18"/>
      <c r="E145" s="18"/>
      <c r="F145" s="18"/>
      <c r="G145" s="18"/>
      <c r="H145" s="18"/>
      <c r="I145" s="18"/>
      <c r="J145" s="18"/>
      <c r="K145" s="18"/>
      <c r="L145" s="18"/>
      <c r="M145" s="18"/>
      <c r="N145" s="18"/>
      <c r="O145" s="18"/>
      <c r="P145" s="18"/>
      <c r="Q145" s="18"/>
      <c r="R145" s="18"/>
      <c r="S145" s="18"/>
    </row>
    <row r="146" spans="1:19" ht="14.25" hidden="1">
      <c r="A146" s="18"/>
      <c r="B146" s="18"/>
      <c r="C146" s="18"/>
      <c r="D146" s="18"/>
      <c r="E146" s="18"/>
      <c r="F146" s="18"/>
      <c r="G146" s="18"/>
      <c r="H146" s="18"/>
      <c r="I146" s="18"/>
      <c r="J146" s="18"/>
      <c r="K146" s="18"/>
      <c r="L146" s="18"/>
      <c r="M146" s="18"/>
      <c r="N146" s="18"/>
      <c r="O146" s="18"/>
      <c r="P146" s="18"/>
      <c r="Q146" s="18"/>
      <c r="R146" s="18"/>
      <c r="S146" s="18"/>
    </row>
    <row r="147" spans="1:19" ht="14.25" hidden="1">
      <c r="A147" s="18"/>
      <c r="B147" s="18"/>
      <c r="C147" s="18"/>
      <c r="D147" s="18"/>
      <c r="E147" s="18"/>
      <c r="F147" s="18"/>
      <c r="G147" s="18"/>
      <c r="H147" s="18"/>
      <c r="I147" s="18"/>
      <c r="J147" s="18"/>
      <c r="K147" s="18"/>
      <c r="L147" s="18"/>
      <c r="M147" s="18"/>
      <c r="N147" s="18"/>
      <c r="O147" s="18"/>
      <c r="P147" s="18"/>
      <c r="Q147" s="18"/>
      <c r="R147" s="18"/>
      <c r="S147" s="18"/>
    </row>
    <row r="148" spans="1:19" ht="14.25" hidden="1">
      <c r="A148" s="18"/>
      <c r="B148" s="18"/>
      <c r="C148" s="18"/>
      <c r="D148" s="18"/>
      <c r="E148" s="18"/>
      <c r="F148" s="18"/>
      <c r="G148" s="18"/>
      <c r="H148" s="18"/>
      <c r="I148" s="18"/>
      <c r="J148" s="18"/>
      <c r="K148" s="18"/>
      <c r="L148" s="18"/>
      <c r="M148" s="18"/>
      <c r="N148" s="18"/>
      <c r="O148" s="18"/>
      <c r="P148" s="18"/>
      <c r="Q148" s="18"/>
      <c r="R148" s="18"/>
      <c r="S148" s="18"/>
    </row>
    <row r="149" spans="1:19" ht="14.25" hidden="1">
      <c r="A149" s="18"/>
      <c r="B149" s="18"/>
      <c r="C149" s="18"/>
      <c r="D149" s="18"/>
      <c r="E149" s="18"/>
      <c r="F149" s="18"/>
      <c r="G149" s="18"/>
      <c r="H149" s="18"/>
      <c r="I149" s="18"/>
      <c r="J149" s="18"/>
      <c r="K149" s="18"/>
      <c r="L149" s="18"/>
      <c r="M149" s="18"/>
      <c r="N149" s="18"/>
      <c r="O149" s="18"/>
      <c r="P149" s="18"/>
      <c r="Q149" s="18"/>
      <c r="R149" s="18"/>
      <c r="S149" s="18"/>
    </row>
    <row r="150" spans="1:19" ht="14.25" hidden="1">
      <c r="A150" s="18"/>
      <c r="B150" s="18"/>
      <c r="C150" s="18"/>
      <c r="D150" s="18"/>
      <c r="E150" s="18"/>
      <c r="F150" s="18"/>
      <c r="G150" s="18"/>
      <c r="H150" s="18"/>
      <c r="I150" s="18"/>
      <c r="J150" s="18"/>
      <c r="K150" s="18"/>
      <c r="L150" s="18"/>
      <c r="M150" s="18"/>
      <c r="N150" s="18"/>
      <c r="O150" s="18"/>
      <c r="P150" s="18"/>
      <c r="Q150" s="18"/>
      <c r="R150" s="18"/>
      <c r="S150" s="18"/>
    </row>
    <row r="151" spans="1:19" ht="14.25" hidden="1">
      <c r="A151" s="18"/>
      <c r="B151" s="18"/>
      <c r="C151" s="18"/>
      <c r="D151" s="18"/>
      <c r="E151" s="18"/>
      <c r="F151" s="18"/>
      <c r="G151" s="18"/>
      <c r="H151" s="18"/>
      <c r="I151" s="18"/>
      <c r="J151" s="18"/>
      <c r="K151" s="18"/>
      <c r="L151" s="18"/>
      <c r="M151" s="18"/>
      <c r="N151" s="18"/>
      <c r="O151" s="18"/>
      <c r="P151" s="18"/>
      <c r="Q151" s="18"/>
      <c r="R151" s="18"/>
      <c r="S151" s="18"/>
    </row>
    <row r="152" spans="1:19" ht="14.25" hidden="1">
      <c r="A152" s="18"/>
      <c r="B152" s="18"/>
      <c r="C152" s="18"/>
      <c r="D152" s="18"/>
      <c r="E152" s="18"/>
      <c r="F152" s="18"/>
      <c r="G152" s="18"/>
      <c r="H152" s="18"/>
      <c r="I152" s="18"/>
      <c r="J152" s="18"/>
      <c r="K152" s="18"/>
      <c r="L152" s="18"/>
      <c r="M152" s="18"/>
      <c r="N152" s="18"/>
      <c r="O152" s="18"/>
      <c r="P152" s="18"/>
      <c r="Q152" s="18"/>
      <c r="R152" s="18"/>
      <c r="S152" s="18"/>
    </row>
    <row r="153" spans="1:19" ht="14.25" hidden="1">
      <c r="A153" s="18"/>
      <c r="B153" s="18"/>
      <c r="C153" s="18"/>
      <c r="D153" s="18"/>
      <c r="E153" s="18"/>
      <c r="F153" s="18"/>
      <c r="G153" s="18"/>
      <c r="H153" s="18"/>
      <c r="I153" s="18"/>
      <c r="J153" s="18"/>
      <c r="K153" s="18"/>
      <c r="L153" s="18"/>
      <c r="M153" s="18"/>
      <c r="N153" s="18"/>
      <c r="O153" s="18"/>
      <c r="P153" s="18"/>
      <c r="Q153" s="18"/>
      <c r="R153" s="18"/>
      <c r="S153" s="18"/>
    </row>
    <row r="154" spans="1:19" ht="14.25" hidden="1">
      <c r="A154" s="18"/>
      <c r="B154" s="18"/>
      <c r="C154" s="18"/>
      <c r="D154" s="18"/>
      <c r="E154" s="18"/>
      <c r="F154" s="18"/>
      <c r="G154" s="18"/>
      <c r="H154" s="18"/>
      <c r="I154" s="18"/>
      <c r="J154" s="18"/>
      <c r="K154" s="18"/>
      <c r="L154" s="18"/>
      <c r="M154" s="18"/>
      <c r="N154" s="18"/>
      <c r="O154" s="18"/>
      <c r="P154" s="18"/>
      <c r="Q154" s="18"/>
      <c r="R154" s="18"/>
      <c r="S154" s="18"/>
    </row>
    <row r="155" spans="1:19" ht="14.25" hidden="1">
      <c r="A155" s="18"/>
      <c r="B155" s="18"/>
      <c r="C155" s="18"/>
      <c r="D155" s="18"/>
      <c r="E155" s="18"/>
      <c r="F155" s="18"/>
      <c r="G155" s="18"/>
      <c r="H155" s="18"/>
      <c r="I155" s="18"/>
      <c r="J155" s="18"/>
      <c r="K155" s="18"/>
      <c r="L155" s="18"/>
      <c r="M155" s="18"/>
      <c r="N155" s="18"/>
      <c r="O155" s="18"/>
      <c r="P155" s="18"/>
      <c r="Q155" s="18"/>
      <c r="R155" s="18"/>
      <c r="S155" s="18"/>
    </row>
    <row r="156" spans="1:19" ht="14.25" hidden="1">
      <c r="A156" s="18"/>
      <c r="B156" s="18"/>
      <c r="C156" s="18"/>
      <c r="D156" s="18"/>
      <c r="E156" s="18"/>
      <c r="F156" s="18"/>
      <c r="G156" s="18"/>
      <c r="H156" s="18"/>
      <c r="I156" s="18"/>
      <c r="J156" s="18"/>
      <c r="K156" s="18"/>
      <c r="L156" s="18"/>
      <c r="M156" s="18"/>
      <c r="N156" s="18"/>
      <c r="O156" s="18"/>
      <c r="P156" s="18"/>
      <c r="Q156" s="18"/>
      <c r="R156" s="18"/>
      <c r="S156" s="18"/>
    </row>
    <row r="157" spans="1:19" ht="14.25" hidden="1">
      <c r="A157" s="18"/>
      <c r="B157" s="18"/>
      <c r="C157" s="18"/>
      <c r="D157" s="18"/>
      <c r="E157" s="18"/>
      <c r="F157" s="18"/>
      <c r="G157" s="18"/>
      <c r="H157" s="18"/>
      <c r="I157" s="18"/>
      <c r="J157" s="18"/>
      <c r="K157" s="18"/>
      <c r="L157" s="18"/>
      <c r="M157" s="18"/>
      <c r="N157" s="18"/>
      <c r="O157" s="18"/>
      <c r="P157" s="18"/>
      <c r="Q157" s="18"/>
      <c r="R157" s="18"/>
      <c r="S157" s="18"/>
    </row>
    <row r="158" spans="1:19" ht="14.25" hidden="1">
      <c r="A158" s="18"/>
      <c r="B158" s="18"/>
      <c r="C158" s="18"/>
      <c r="D158" s="18"/>
      <c r="E158" s="18"/>
      <c r="F158" s="18"/>
      <c r="G158" s="18"/>
      <c r="H158" s="18"/>
      <c r="I158" s="18"/>
      <c r="J158" s="18"/>
      <c r="K158" s="18"/>
      <c r="L158" s="18"/>
      <c r="M158" s="18"/>
      <c r="N158" s="18"/>
      <c r="O158" s="18"/>
      <c r="P158" s="18"/>
      <c r="Q158" s="18"/>
      <c r="R158" s="18"/>
      <c r="S158" s="18"/>
    </row>
    <row r="159" spans="1:19" ht="14.25" hidden="1">
      <c r="A159" s="18"/>
      <c r="B159" s="18"/>
      <c r="C159" s="18"/>
      <c r="D159" s="18"/>
      <c r="E159" s="18"/>
      <c r="F159" s="18"/>
      <c r="G159" s="18"/>
      <c r="H159" s="18"/>
      <c r="I159" s="18"/>
      <c r="J159" s="18"/>
      <c r="K159" s="18"/>
      <c r="L159" s="18"/>
      <c r="M159" s="18"/>
      <c r="N159" s="18"/>
      <c r="O159" s="18"/>
      <c r="P159" s="18"/>
      <c r="Q159" s="18"/>
      <c r="R159" s="18"/>
      <c r="S159" s="18"/>
    </row>
    <row r="160" spans="1:19" ht="14.25" hidden="1">
      <c r="A160" s="18"/>
      <c r="B160" s="18"/>
      <c r="C160" s="18"/>
      <c r="D160" s="18"/>
      <c r="E160" s="18"/>
      <c r="F160" s="18"/>
      <c r="G160" s="18"/>
      <c r="H160" s="18"/>
      <c r="I160" s="18"/>
      <c r="J160" s="18"/>
      <c r="K160" s="18"/>
      <c r="L160" s="18"/>
      <c r="M160" s="18"/>
      <c r="N160" s="18"/>
      <c r="O160" s="18"/>
      <c r="P160" s="18"/>
      <c r="Q160" s="18"/>
      <c r="R160" s="18"/>
      <c r="S160" s="18"/>
    </row>
    <row r="161" spans="1:19" ht="14.25" hidden="1">
      <c r="A161" s="18"/>
      <c r="B161" s="18"/>
      <c r="C161" s="18"/>
      <c r="D161" s="18"/>
      <c r="E161" s="18"/>
      <c r="F161" s="18"/>
      <c r="G161" s="18"/>
      <c r="H161" s="18"/>
      <c r="I161" s="18"/>
      <c r="J161" s="18"/>
      <c r="K161" s="18"/>
      <c r="L161" s="18"/>
      <c r="M161" s="18"/>
      <c r="N161" s="18"/>
      <c r="O161" s="18"/>
      <c r="P161" s="18"/>
      <c r="Q161" s="18"/>
      <c r="R161" s="18"/>
      <c r="S161" s="18"/>
    </row>
    <row r="162" spans="1:19" ht="14.25" hidden="1">
      <c r="A162" s="18"/>
      <c r="B162" s="18"/>
      <c r="C162" s="18"/>
      <c r="D162" s="18"/>
      <c r="E162" s="18"/>
      <c r="F162" s="18"/>
      <c r="G162" s="18"/>
      <c r="H162" s="18"/>
      <c r="I162" s="18"/>
      <c r="J162" s="18"/>
      <c r="K162" s="18"/>
      <c r="L162" s="18"/>
      <c r="M162" s="18"/>
      <c r="N162" s="18"/>
      <c r="O162" s="18"/>
      <c r="P162" s="18"/>
      <c r="Q162" s="18"/>
      <c r="R162" s="18"/>
      <c r="S162" s="18"/>
    </row>
    <row r="163" spans="1:19" ht="14.25" hidden="1">
      <c r="A163" s="18"/>
      <c r="B163" s="18"/>
      <c r="C163" s="18"/>
      <c r="D163" s="18"/>
      <c r="E163" s="18"/>
      <c r="F163" s="18"/>
      <c r="G163" s="18"/>
      <c r="H163" s="18"/>
      <c r="I163" s="18"/>
      <c r="J163" s="18"/>
      <c r="K163" s="18"/>
      <c r="L163" s="18"/>
      <c r="M163" s="18"/>
      <c r="N163" s="18"/>
      <c r="O163" s="18"/>
      <c r="P163" s="18"/>
      <c r="Q163" s="18"/>
      <c r="R163" s="18"/>
      <c r="S163" s="18"/>
    </row>
    <row r="164" spans="1:19" ht="14.25" hidden="1">
      <c r="A164" s="18"/>
      <c r="B164" s="18"/>
      <c r="C164" s="18"/>
      <c r="D164" s="18"/>
      <c r="E164" s="18"/>
      <c r="F164" s="18"/>
      <c r="G164" s="18"/>
      <c r="H164" s="18"/>
      <c r="I164" s="18"/>
      <c r="J164" s="18"/>
      <c r="K164" s="18"/>
      <c r="L164" s="18"/>
      <c r="M164" s="18"/>
      <c r="N164" s="18"/>
      <c r="O164" s="18"/>
      <c r="P164" s="18"/>
      <c r="Q164" s="18"/>
      <c r="R164" s="18"/>
      <c r="S164" s="18"/>
    </row>
    <row r="165" spans="1:19" ht="14.25" hidden="1">
      <c r="A165" s="18"/>
      <c r="B165" s="18"/>
      <c r="C165" s="18"/>
      <c r="D165" s="18"/>
      <c r="E165" s="18"/>
      <c r="F165" s="18"/>
      <c r="G165" s="18"/>
      <c r="H165" s="18"/>
      <c r="I165" s="18"/>
      <c r="J165" s="18"/>
      <c r="K165" s="18"/>
      <c r="L165" s="18"/>
      <c r="M165" s="18"/>
      <c r="N165" s="18"/>
      <c r="O165" s="18"/>
      <c r="P165" s="18"/>
      <c r="Q165" s="18"/>
      <c r="R165" s="18"/>
      <c r="S165" s="18"/>
    </row>
    <row r="166" spans="1:19" ht="14.25" hidden="1">
      <c r="A166" s="18"/>
      <c r="B166" s="18"/>
      <c r="C166" s="18"/>
      <c r="D166" s="18"/>
      <c r="E166" s="18"/>
      <c r="F166" s="18"/>
      <c r="G166" s="18"/>
      <c r="H166" s="18"/>
      <c r="I166" s="18"/>
      <c r="J166" s="18"/>
      <c r="K166" s="18"/>
      <c r="L166" s="18"/>
      <c r="M166" s="18"/>
      <c r="N166" s="18"/>
      <c r="O166" s="18"/>
      <c r="P166" s="18"/>
      <c r="Q166" s="18"/>
      <c r="R166" s="18"/>
      <c r="S166" s="18"/>
    </row>
    <row r="167" spans="1:19" ht="14.25" hidden="1">
      <c r="A167" s="18"/>
      <c r="B167" s="18"/>
      <c r="C167" s="18"/>
      <c r="D167" s="18"/>
      <c r="E167" s="18"/>
      <c r="F167" s="18"/>
      <c r="G167" s="18"/>
      <c r="H167" s="18"/>
      <c r="I167" s="18"/>
      <c r="J167" s="18"/>
      <c r="K167" s="18"/>
      <c r="L167" s="18"/>
      <c r="M167" s="18"/>
      <c r="N167" s="18"/>
      <c r="O167" s="18"/>
      <c r="P167" s="18"/>
      <c r="Q167" s="18"/>
      <c r="R167" s="18"/>
      <c r="S167" s="18"/>
    </row>
    <row r="168" spans="1:19" ht="14.25" hidden="1">
      <c r="A168" s="18"/>
      <c r="B168" s="18"/>
      <c r="C168" s="18"/>
      <c r="D168" s="18"/>
      <c r="E168" s="18"/>
      <c r="F168" s="18"/>
      <c r="G168" s="18"/>
      <c r="H168" s="18"/>
      <c r="I168" s="18"/>
      <c r="J168" s="18"/>
      <c r="K168" s="18"/>
      <c r="L168" s="18"/>
      <c r="M168" s="18"/>
      <c r="N168" s="18"/>
      <c r="O168" s="18"/>
      <c r="P168" s="18"/>
      <c r="Q168" s="18"/>
      <c r="R168" s="18"/>
      <c r="S168" s="18"/>
    </row>
    <row r="169" spans="1:19" ht="14.25" hidden="1">
      <c r="A169" s="18"/>
      <c r="B169" s="18"/>
      <c r="C169" s="18"/>
      <c r="D169" s="18"/>
      <c r="E169" s="18"/>
      <c r="F169" s="18"/>
      <c r="G169" s="18"/>
      <c r="H169" s="18"/>
      <c r="I169" s="18"/>
      <c r="J169" s="18"/>
      <c r="K169" s="18"/>
      <c r="L169" s="18"/>
      <c r="M169" s="18"/>
      <c r="N169" s="18"/>
      <c r="O169" s="18"/>
      <c r="P169" s="18"/>
      <c r="Q169" s="18"/>
      <c r="R169" s="18"/>
      <c r="S169" s="18"/>
    </row>
    <row r="170" spans="1:19" ht="14.25" hidden="1">
      <c r="A170" s="18"/>
      <c r="B170" s="18"/>
      <c r="C170" s="18"/>
      <c r="D170" s="18"/>
      <c r="E170" s="18"/>
      <c r="F170" s="18"/>
      <c r="G170" s="18"/>
      <c r="H170" s="18"/>
      <c r="I170" s="18"/>
      <c r="J170" s="18"/>
      <c r="K170" s="18"/>
      <c r="L170" s="18"/>
      <c r="M170" s="18"/>
      <c r="N170" s="18"/>
      <c r="O170" s="18"/>
      <c r="P170" s="18"/>
      <c r="Q170" s="18"/>
      <c r="R170" s="18"/>
      <c r="S170" s="18"/>
    </row>
    <row r="171" spans="1:19" ht="14.25" hidden="1">
      <c r="A171" s="18"/>
      <c r="B171" s="18"/>
      <c r="C171" s="18"/>
      <c r="D171" s="18"/>
      <c r="E171" s="18"/>
      <c r="F171" s="18"/>
      <c r="G171" s="18"/>
      <c r="H171" s="18"/>
      <c r="I171" s="18"/>
      <c r="J171" s="18"/>
      <c r="K171" s="18"/>
      <c r="L171" s="18"/>
      <c r="M171" s="18"/>
      <c r="N171" s="18"/>
      <c r="O171" s="18"/>
      <c r="P171" s="18"/>
      <c r="Q171" s="18"/>
      <c r="R171" s="18"/>
      <c r="S171" s="18"/>
    </row>
    <row r="172" spans="1:19" ht="14.25" hidden="1">
      <c r="A172" s="18"/>
      <c r="B172" s="18"/>
      <c r="C172" s="18"/>
      <c r="D172" s="18"/>
      <c r="E172" s="18"/>
      <c r="F172" s="18"/>
      <c r="G172" s="18"/>
      <c r="H172" s="18"/>
      <c r="I172" s="18"/>
      <c r="J172" s="18"/>
      <c r="K172" s="18"/>
      <c r="L172" s="18"/>
      <c r="M172" s="18"/>
      <c r="N172" s="18"/>
      <c r="O172" s="18"/>
      <c r="P172" s="18"/>
      <c r="Q172" s="18"/>
      <c r="R172" s="18"/>
      <c r="S172" s="18"/>
    </row>
    <row r="173" spans="1:19" ht="14.25" hidden="1">
      <c r="A173" s="18"/>
      <c r="B173" s="18"/>
      <c r="C173" s="18"/>
      <c r="D173" s="18"/>
      <c r="E173" s="18"/>
      <c r="F173" s="18"/>
      <c r="G173" s="18"/>
      <c r="H173" s="18"/>
      <c r="I173" s="18"/>
      <c r="J173" s="18"/>
      <c r="K173" s="18"/>
      <c r="L173" s="18"/>
      <c r="M173" s="18"/>
      <c r="N173" s="18"/>
      <c r="O173" s="18"/>
      <c r="P173" s="18"/>
      <c r="Q173" s="18"/>
      <c r="R173" s="18"/>
      <c r="S173" s="18"/>
    </row>
    <row r="174" spans="1:19" ht="14.25" hidden="1">
      <c r="A174" s="18"/>
      <c r="B174" s="18"/>
      <c r="C174" s="18"/>
      <c r="D174" s="18"/>
      <c r="E174" s="18"/>
      <c r="F174" s="18"/>
      <c r="G174" s="18"/>
      <c r="H174" s="18"/>
      <c r="I174" s="18"/>
      <c r="J174" s="18"/>
      <c r="K174" s="18"/>
      <c r="L174" s="18"/>
      <c r="M174" s="18"/>
      <c r="N174" s="18"/>
      <c r="O174" s="18"/>
      <c r="P174" s="18"/>
      <c r="Q174" s="18"/>
      <c r="R174" s="18"/>
      <c r="S174" s="18"/>
    </row>
    <row r="175" spans="1:19" ht="14.25" hidden="1">
      <c r="A175" s="18"/>
      <c r="B175" s="18"/>
      <c r="C175" s="18"/>
      <c r="D175" s="18"/>
      <c r="E175" s="18"/>
      <c r="F175" s="18"/>
      <c r="G175" s="18"/>
      <c r="H175" s="18"/>
      <c r="I175" s="18"/>
      <c r="J175" s="18"/>
      <c r="K175" s="18"/>
      <c r="L175" s="18"/>
      <c r="M175" s="18"/>
      <c r="N175" s="18"/>
      <c r="O175" s="18"/>
      <c r="P175" s="18"/>
      <c r="Q175" s="18"/>
      <c r="R175" s="18"/>
      <c r="S175" s="18"/>
    </row>
    <row r="176" spans="1:19" ht="14.25" hidden="1">
      <c r="A176" s="18"/>
      <c r="B176" s="18"/>
      <c r="C176" s="18"/>
      <c r="D176" s="18"/>
      <c r="E176" s="18"/>
      <c r="F176" s="18"/>
      <c r="G176" s="18"/>
      <c r="H176" s="18"/>
      <c r="I176" s="18"/>
      <c r="J176" s="18"/>
      <c r="K176" s="18"/>
      <c r="L176" s="18"/>
      <c r="M176" s="18"/>
      <c r="N176" s="18"/>
      <c r="O176" s="18"/>
      <c r="P176" s="18"/>
      <c r="Q176" s="18"/>
      <c r="R176" s="18"/>
      <c r="S176" s="18"/>
    </row>
    <row r="177" spans="1:19" ht="14.25" hidden="1">
      <c r="A177" s="18"/>
      <c r="B177" s="18"/>
      <c r="C177" s="18"/>
      <c r="D177" s="18"/>
      <c r="E177" s="18"/>
      <c r="F177" s="18"/>
      <c r="G177" s="18"/>
      <c r="H177" s="18"/>
      <c r="I177" s="18"/>
      <c r="J177" s="18"/>
      <c r="K177" s="18"/>
      <c r="L177" s="18"/>
      <c r="M177" s="18"/>
      <c r="N177" s="18"/>
      <c r="O177" s="18"/>
      <c r="P177" s="18"/>
      <c r="Q177" s="18"/>
      <c r="R177" s="18"/>
      <c r="S177" s="18"/>
    </row>
    <row r="178" spans="1:19" ht="14.25" hidden="1">
      <c r="A178" s="18"/>
      <c r="B178" s="18"/>
      <c r="C178" s="18"/>
      <c r="D178" s="18"/>
      <c r="E178" s="18"/>
      <c r="F178" s="18"/>
      <c r="G178" s="18"/>
      <c r="H178" s="18"/>
      <c r="I178" s="18"/>
      <c r="J178" s="18"/>
      <c r="K178" s="18"/>
      <c r="L178" s="18"/>
      <c r="M178" s="18"/>
      <c r="N178" s="18"/>
      <c r="O178" s="18"/>
      <c r="P178" s="18"/>
      <c r="Q178" s="18"/>
      <c r="R178" s="18"/>
      <c r="S178" s="18"/>
    </row>
    <row r="179" spans="1:19" ht="14.25" hidden="1">
      <c r="A179" s="18"/>
      <c r="B179" s="18"/>
      <c r="C179" s="18"/>
      <c r="D179" s="18"/>
      <c r="E179" s="18"/>
      <c r="F179" s="18"/>
      <c r="G179" s="18"/>
      <c r="H179" s="18"/>
      <c r="I179" s="18"/>
      <c r="J179" s="18"/>
      <c r="K179" s="18"/>
      <c r="L179" s="18"/>
      <c r="M179" s="18"/>
      <c r="N179" s="18"/>
      <c r="O179" s="18"/>
      <c r="P179" s="18"/>
      <c r="Q179" s="18"/>
      <c r="R179" s="18"/>
      <c r="S179" s="18"/>
    </row>
    <row r="180" spans="1:19" ht="14.25" hidden="1">
      <c r="A180" s="18"/>
      <c r="B180" s="18"/>
      <c r="C180" s="18"/>
      <c r="D180" s="18"/>
      <c r="E180" s="18"/>
      <c r="F180" s="18"/>
      <c r="G180" s="18"/>
      <c r="H180" s="18"/>
      <c r="I180" s="18"/>
      <c r="J180" s="18"/>
      <c r="K180" s="18"/>
      <c r="L180" s="18"/>
      <c r="M180" s="18"/>
      <c r="N180" s="18"/>
      <c r="O180" s="18"/>
      <c r="P180" s="18"/>
      <c r="Q180" s="18"/>
      <c r="R180" s="18"/>
      <c r="S180" s="18"/>
    </row>
    <row r="181" spans="1:19" ht="14.25" hidden="1">
      <c r="A181" s="18"/>
      <c r="B181" s="18"/>
      <c r="C181" s="18"/>
      <c r="D181" s="18"/>
      <c r="E181" s="18"/>
      <c r="F181" s="18"/>
      <c r="G181" s="18"/>
      <c r="H181" s="18"/>
      <c r="I181" s="18"/>
      <c r="J181" s="18"/>
      <c r="K181" s="18"/>
      <c r="L181" s="18"/>
      <c r="M181" s="18"/>
      <c r="N181" s="18"/>
      <c r="O181" s="18"/>
      <c r="P181" s="18"/>
      <c r="Q181" s="18"/>
      <c r="R181" s="18"/>
      <c r="S181" s="18"/>
    </row>
    <row r="182" spans="1:19" ht="14.25" hidden="1">
      <c r="A182" s="18"/>
      <c r="B182" s="18"/>
      <c r="C182" s="18"/>
      <c r="D182" s="18"/>
      <c r="E182" s="18"/>
      <c r="F182" s="18"/>
      <c r="G182" s="18"/>
      <c r="H182" s="18"/>
      <c r="I182" s="18"/>
      <c r="J182" s="18"/>
      <c r="K182" s="18"/>
      <c r="L182" s="18"/>
      <c r="M182" s="18"/>
      <c r="N182" s="18"/>
      <c r="O182" s="18"/>
      <c r="P182" s="18"/>
      <c r="Q182" s="18"/>
      <c r="R182" s="18"/>
      <c r="S182" s="18"/>
    </row>
    <row r="183" spans="1:19" ht="14.25" hidden="1">
      <c r="A183" s="18"/>
      <c r="B183" s="18"/>
      <c r="C183" s="18"/>
      <c r="D183" s="18"/>
      <c r="E183" s="18"/>
      <c r="F183" s="18"/>
      <c r="G183" s="18"/>
      <c r="H183" s="18"/>
      <c r="I183" s="18"/>
      <c r="J183" s="18"/>
      <c r="K183" s="18"/>
      <c r="L183" s="18"/>
      <c r="M183" s="18"/>
      <c r="N183" s="18"/>
      <c r="O183" s="18"/>
      <c r="P183" s="18"/>
      <c r="Q183" s="18"/>
      <c r="R183" s="18"/>
      <c r="S183" s="18"/>
    </row>
    <row r="184" spans="1:19" ht="14.25" hidden="1">
      <c r="A184" s="18"/>
      <c r="B184" s="18"/>
      <c r="C184" s="18"/>
      <c r="D184" s="18"/>
      <c r="E184" s="18"/>
      <c r="F184" s="18"/>
      <c r="G184" s="18"/>
      <c r="H184" s="18"/>
      <c r="I184" s="18"/>
      <c r="J184" s="18"/>
      <c r="K184" s="18"/>
      <c r="L184" s="18"/>
      <c r="M184" s="18"/>
      <c r="N184" s="18"/>
      <c r="O184" s="18"/>
      <c r="P184" s="18"/>
      <c r="Q184" s="18"/>
      <c r="R184" s="18"/>
      <c r="S184" s="18"/>
    </row>
    <row r="185" spans="1:19" ht="14.25" hidden="1">
      <c r="A185" s="18"/>
      <c r="B185" s="18"/>
      <c r="C185" s="18"/>
      <c r="D185" s="18"/>
      <c r="E185" s="18"/>
      <c r="F185" s="18"/>
      <c r="G185" s="18"/>
      <c r="H185" s="18"/>
      <c r="I185" s="18"/>
      <c r="J185" s="18"/>
      <c r="K185" s="18"/>
      <c r="L185" s="18"/>
      <c r="M185" s="18"/>
      <c r="N185" s="18"/>
      <c r="O185" s="18"/>
      <c r="P185" s="18"/>
      <c r="Q185" s="18"/>
      <c r="R185" s="18"/>
      <c r="S185" s="18"/>
    </row>
    <row r="186" spans="1:19" ht="14.25" hidden="1">
      <c r="A186" s="18"/>
      <c r="B186" s="18"/>
      <c r="C186" s="18"/>
      <c r="D186" s="18"/>
      <c r="E186" s="18"/>
      <c r="F186" s="18"/>
      <c r="G186" s="18"/>
      <c r="H186" s="18"/>
      <c r="I186" s="18"/>
      <c r="J186" s="18"/>
      <c r="K186" s="18"/>
      <c r="L186" s="18"/>
      <c r="M186" s="18"/>
      <c r="N186" s="18"/>
      <c r="O186" s="18"/>
      <c r="P186" s="18"/>
      <c r="Q186" s="18"/>
      <c r="R186" s="18"/>
      <c r="S186" s="18"/>
    </row>
    <row r="187" spans="1:19" ht="14.25" hidden="1">
      <c r="A187" s="18"/>
      <c r="B187" s="18"/>
      <c r="C187" s="18"/>
      <c r="D187" s="18"/>
      <c r="E187" s="18"/>
      <c r="F187" s="18"/>
      <c r="G187" s="18"/>
      <c r="H187" s="18"/>
      <c r="I187" s="18"/>
      <c r="J187" s="18"/>
      <c r="K187" s="18"/>
      <c r="L187" s="18"/>
      <c r="M187" s="18"/>
      <c r="N187" s="18"/>
      <c r="O187" s="18"/>
      <c r="P187" s="18"/>
      <c r="Q187" s="18"/>
      <c r="R187" s="18"/>
      <c r="S187" s="18"/>
    </row>
    <row r="188" spans="1:19" ht="14.25" hidden="1">
      <c r="A188" s="18"/>
      <c r="B188" s="18"/>
      <c r="C188" s="18"/>
      <c r="D188" s="18"/>
      <c r="E188" s="18"/>
      <c r="F188" s="18"/>
      <c r="G188" s="18"/>
      <c r="H188" s="18"/>
      <c r="I188" s="18"/>
      <c r="J188" s="18"/>
      <c r="K188" s="18"/>
      <c r="L188" s="18"/>
      <c r="M188" s="18"/>
      <c r="N188" s="18"/>
      <c r="O188" s="18"/>
      <c r="P188" s="18"/>
      <c r="Q188" s="18"/>
      <c r="R188" s="18"/>
      <c r="S188" s="18"/>
    </row>
    <row r="189" spans="1:19" ht="14.25" hidden="1">
      <c r="A189" s="18"/>
      <c r="B189" s="18"/>
      <c r="C189" s="18"/>
      <c r="D189" s="18"/>
      <c r="E189" s="18"/>
      <c r="F189" s="18"/>
      <c r="G189" s="18"/>
      <c r="H189" s="18"/>
      <c r="I189" s="18"/>
      <c r="J189" s="18"/>
      <c r="K189" s="18"/>
      <c r="L189" s="18"/>
      <c r="M189" s="18"/>
      <c r="N189" s="18"/>
      <c r="O189" s="18"/>
      <c r="P189" s="18"/>
      <c r="Q189" s="18"/>
      <c r="R189" s="18"/>
      <c r="S189" s="18"/>
    </row>
    <row r="190" spans="1:19" ht="14.25" hidden="1">
      <c r="A190" s="18"/>
      <c r="B190" s="18"/>
      <c r="C190" s="18"/>
      <c r="D190" s="18"/>
      <c r="E190" s="18"/>
      <c r="F190" s="18"/>
      <c r="G190" s="18"/>
      <c r="H190" s="18"/>
      <c r="I190" s="18"/>
      <c r="J190" s="18"/>
      <c r="K190" s="18"/>
      <c r="L190" s="18"/>
      <c r="M190" s="18"/>
      <c r="N190" s="18"/>
      <c r="O190" s="18"/>
      <c r="P190" s="18"/>
      <c r="Q190" s="18"/>
      <c r="R190" s="18"/>
      <c r="S190" s="18"/>
    </row>
    <row r="191" spans="1:19" ht="14.25" hidden="1">
      <c r="A191" s="18"/>
      <c r="B191" s="18"/>
      <c r="C191" s="18"/>
      <c r="D191" s="18"/>
      <c r="E191" s="18"/>
      <c r="F191" s="18"/>
      <c r="G191" s="18"/>
      <c r="H191" s="18"/>
      <c r="I191" s="18"/>
      <c r="J191" s="18"/>
      <c r="K191" s="18"/>
      <c r="L191" s="18"/>
      <c r="M191" s="18"/>
      <c r="N191" s="18"/>
      <c r="O191" s="18"/>
      <c r="P191" s="18"/>
      <c r="Q191" s="18"/>
      <c r="R191" s="18"/>
      <c r="S191" s="18"/>
    </row>
    <row r="192" spans="1:19" ht="14.25" hidden="1">
      <c r="A192" s="18"/>
      <c r="B192" s="18"/>
      <c r="C192" s="18"/>
      <c r="D192" s="18"/>
      <c r="E192" s="18"/>
      <c r="F192" s="18"/>
      <c r="G192" s="18"/>
      <c r="H192" s="18"/>
      <c r="I192" s="18"/>
      <c r="J192" s="18"/>
      <c r="K192" s="18"/>
      <c r="L192" s="18"/>
      <c r="M192" s="18"/>
      <c r="N192" s="18"/>
      <c r="O192" s="18"/>
      <c r="P192" s="18"/>
      <c r="Q192" s="18"/>
      <c r="R192" s="18"/>
      <c r="S192" s="18"/>
    </row>
    <row r="193" spans="1:19" ht="14.25" hidden="1">
      <c r="A193" s="18"/>
      <c r="B193" s="18"/>
      <c r="C193" s="18"/>
      <c r="D193" s="18"/>
      <c r="E193" s="18"/>
      <c r="F193" s="18"/>
      <c r="G193" s="18"/>
      <c r="H193" s="18"/>
      <c r="I193" s="18"/>
      <c r="J193" s="18"/>
      <c r="K193" s="18"/>
      <c r="L193" s="18"/>
      <c r="M193" s="18"/>
      <c r="N193" s="18"/>
      <c r="O193" s="18"/>
      <c r="P193" s="18"/>
      <c r="Q193" s="18"/>
      <c r="R193" s="18"/>
      <c r="S193" s="18"/>
    </row>
    <row r="194" spans="1:19" ht="14.25" hidden="1">
      <c r="A194" s="18"/>
      <c r="B194" s="18"/>
      <c r="C194" s="18"/>
      <c r="D194" s="18"/>
      <c r="E194" s="18"/>
      <c r="F194" s="18"/>
      <c r="G194" s="18"/>
      <c r="H194" s="18"/>
      <c r="I194" s="18"/>
      <c r="J194" s="18"/>
      <c r="K194" s="18"/>
      <c r="L194" s="18"/>
      <c r="M194" s="18"/>
      <c r="N194" s="18"/>
      <c r="O194" s="18"/>
      <c r="P194" s="18"/>
      <c r="Q194" s="18"/>
      <c r="R194" s="18"/>
      <c r="S194" s="18"/>
    </row>
    <row r="195" spans="1:19" ht="14.25" hidden="1">
      <c r="A195" s="18"/>
      <c r="B195" s="18"/>
      <c r="C195" s="18"/>
      <c r="D195" s="18"/>
      <c r="E195" s="18"/>
      <c r="F195" s="18"/>
      <c r="G195" s="18"/>
      <c r="H195" s="18"/>
      <c r="I195" s="18"/>
      <c r="J195" s="18"/>
      <c r="K195" s="18"/>
      <c r="L195" s="18"/>
      <c r="M195" s="18"/>
      <c r="N195" s="18"/>
      <c r="O195" s="18"/>
      <c r="P195" s="18"/>
      <c r="Q195" s="18"/>
      <c r="R195" s="18"/>
      <c r="S195" s="18"/>
    </row>
    <row r="196" spans="1:19" ht="14.25" hidden="1">
      <c r="A196" s="18"/>
      <c r="B196" s="18"/>
      <c r="C196" s="18"/>
      <c r="D196" s="18"/>
      <c r="E196" s="18"/>
      <c r="F196" s="18"/>
      <c r="G196" s="18"/>
      <c r="H196" s="18"/>
      <c r="I196" s="18"/>
      <c r="J196" s="18"/>
      <c r="K196" s="18"/>
      <c r="L196" s="18"/>
      <c r="M196" s="18"/>
      <c r="N196" s="18"/>
      <c r="O196" s="18"/>
      <c r="P196" s="18"/>
      <c r="Q196" s="18"/>
      <c r="R196" s="18"/>
      <c r="S196" s="18"/>
    </row>
    <row r="197" spans="1:19" ht="14.25" hidden="1">
      <c r="A197" s="18"/>
      <c r="B197" s="18"/>
      <c r="C197" s="18"/>
      <c r="D197" s="18"/>
      <c r="E197" s="18"/>
      <c r="F197" s="18"/>
      <c r="G197" s="18"/>
      <c r="H197" s="18"/>
      <c r="I197" s="18"/>
      <c r="J197" s="18"/>
      <c r="K197" s="18"/>
      <c r="L197" s="18"/>
      <c r="M197" s="18"/>
      <c r="N197" s="18"/>
      <c r="O197" s="18"/>
      <c r="P197" s="18"/>
      <c r="Q197" s="18"/>
      <c r="R197" s="18"/>
      <c r="S197" s="18"/>
    </row>
    <row r="198" spans="1:19" ht="14.25" hidden="1">
      <c r="A198" s="18"/>
      <c r="B198" s="18"/>
      <c r="C198" s="18"/>
      <c r="D198" s="18"/>
      <c r="E198" s="18"/>
      <c r="F198" s="18"/>
      <c r="G198" s="18"/>
      <c r="H198" s="18"/>
      <c r="I198" s="18"/>
      <c r="J198" s="18"/>
      <c r="K198" s="18"/>
      <c r="L198" s="18"/>
      <c r="M198" s="18"/>
      <c r="N198" s="18"/>
      <c r="O198" s="18"/>
      <c r="P198" s="18"/>
      <c r="Q198" s="18"/>
      <c r="R198" s="18"/>
      <c r="S198" s="18"/>
    </row>
    <row r="199" spans="1:19" ht="14.25" hidden="1">
      <c r="A199" s="18"/>
      <c r="B199" s="18"/>
      <c r="C199" s="18"/>
      <c r="D199" s="18"/>
      <c r="E199" s="18"/>
      <c r="F199" s="18"/>
      <c r="G199" s="18"/>
      <c r="H199" s="18"/>
      <c r="I199" s="18"/>
      <c r="J199" s="18"/>
      <c r="K199" s="18"/>
      <c r="L199" s="18"/>
      <c r="M199" s="18"/>
      <c r="N199" s="18"/>
      <c r="O199" s="18"/>
      <c r="P199" s="18"/>
      <c r="Q199" s="18"/>
      <c r="R199" s="18"/>
      <c r="S199" s="18"/>
    </row>
    <row r="200" spans="1:19" ht="14.25" hidden="1">
      <c r="A200" s="18"/>
      <c r="B200" s="18"/>
      <c r="C200" s="18"/>
      <c r="D200" s="18"/>
      <c r="E200" s="18"/>
      <c r="F200" s="18"/>
      <c r="G200" s="18"/>
      <c r="H200" s="18"/>
      <c r="I200" s="18"/>
      <c r="J200" s="18"/>
      <c r="K200" s="18"/>
      <c r="L200" s="18"/>
      <c r="M200" s="18"/>
      <c r="N200" s="18"/>
      <c r="O200" s="18"/>
      <c r="P200" s="18"/>
      <c r="Q200" s="18"/>
      <c r="R200" s="18"/>
      <c r="S200" s="18"/>
    </row>
    <row r="201" spans="1:19" ht="14.25" hidden="1">
      <c r="A201" s="18"/>
      <c r="B201" s="18"/>
      <c r="C201" s="18"/>
      <c r="D201" s="18"/>
      <c r="E201" s="18"/>
      <c r="F201" s="18"/>
      <c r="G201" s="18"/>
      <c r="H201" s="18"/>
      <c r="I201" s="18"/>
      <c r="J201" s="18"/>
      <c r="K201" s="18"/>
      <c r="L201" s="18"/>
      <c r="M201" s="18"/>
      <c r="N201" s="18"/>
      <c r="O201" s="18"/>
      <c r="P201" s="18"/>
      <c r="Q201" s="18"/>
      <c r="R201" s="18"/>
      <c r="S201" s="18"/>
    </row>
    <row r="202" spans="1:19" ht="14.25" hidden="1">
      <c r="A202" s="18"/>
      <c r="B202" s="18"/>
      <c r="C202" s="18"/>
      <c r="D202" s="18"/>
      <c r="E202" s="18"/>
      <c r="F202" s="18"/>
      <c r="G202" s="18"/>
      <c r="H202" s="18"/>
      <c r="I202" s="18"/>
      <c r="J202" s="18"/>
      <c r="K202" s="18"/>
      <c r="L202" s="18"/>
      <c r="M202" s="18"/>
      <c r="N202" s="18"/>
      <c r="O202" s="18"/>
      <c r="P202" s="18"/>
      <c r="Q202" s="18"/>
      <c r="R202" s="18"/>
      <c r="S202" s="18"/>
    </row>
    <row r="203" spans="1:19" ht="14.25" hidden="1">
      <c r="A203" s="18"/>
      <c r="B203" s="18"/>
      <c r="C203" s="18"/>
      <c r="D203" s="18"/>
      <c r="E203" s="18"/>
      <c r="F203" s="18"/>
      <c r="G203" s="18"/>
      <c r="H203" s="18"/>
      <c r="I203" s="18"/>
      <c r="J203" s="18"/>
      <c r="K203" s="18"/>
      <c r="L203" s="18"/>
      <c r="M203" s="18"/>
      <c r="N203" s="18"/>
      <c r="O203" s="18"/>
      <c r="P203" s="18"/>
      <c r="Q203" s="18"/>
      <c r="R203" s="18"/>
      <c r="S203" s="18"/>
    </row>
    <row r="204" spans="1:19" ht="14.25" hidden="1">
      <c r="A204" s="18"/>
      <c r="B204" s="18"/>
      <c r="C204" s="18"/>
      <c r="D204" s="18"/>
      <c r="E204" s="18"/>
      <c r="F204" s="18"/>
      <c r="G204" s="18"/>
      <c r="H204" s="18"/>
      <c r="I204" s="18"/>
      <c r="J204" s="18"/>
      <c r="K204" s="18"/>
      <c r="L204" s="18"/>
      <c r="M204" s="18"/>
      <c r="N204" s="18"/>
      <c r="O204" s="18"/>
      <c r="P204" s="18"/>
      <c r="Q204" s="18"/>
      <c r="R204" s="18"/>
      <c r="S204" s="18"/>
    </row>
    <row r="205" spans="1:19" ht="14.25" hidden="1">
      <c r="A205" s="18"/>
      <c r="B205" s="18"/>
      <c r="C205" s="18"/>
      <c r="D205" s="18"/>
      <c r="E205" s="18"/>
      <c r="F205" s="18"/>
      <c r="G205" s="18"/>
      <c r="H205" s="18"/>
      <c r="I205" s="18"/>
      <c r="J205" s="18"/>
      <c r="K205" s="18"/>
      <c r="L205" s="18"/>
      <c r="M205" s="18"/>
      <c r="N205" s="18"/>
      <c r="O205" s="18"/>
      <c r="P205" s="18"/>
      <c r="Q205" s="18"/>
      <c r="R205" s="18"/>
      <c r="S205" s="18"/>
    </row>
    <row r="206" spans="1:19" ht="14.25" hidden="1">
      <c r="A206" s="18"/>
      <c r="B206" s="18"/>
      <c r="C206" s="18"/>
      <c r="D206" s="18"/>
      <c r="E206" s="18"/>
      <c r="F206" s="18"/>
      <c r="G206" s="18"/>
      <c r="H206" s="18"/>
      <c r="I206" s="18"/>
      <c r="J206" s="18"/>
      <c r="K206" s="18"/>
      <c r="L206" s="18"/>
      <c r="M206" s="18"/>
      <c r="N206" s="18"/>
      <c r="O206" s="18"/>
      <c r="P206" s="18"/>
      <c r="Q206" s="18"/>
      <c r="R206" s="18"/>
      <c r="S206" s="18"/>
    </row>
    <row r="207" spans="1:19" ht="14.25" hidden="1">
      <c r="A207" s="18"/>
      <c r="B207" s="18"/>
      <c r="C207" s="18"/>
      <c r="D207" s="18"/>
      <c r="E207" s="18"/>
      <c r="F207" s="18"/>
      <c r="G207" s="18"/>
      <c r="H207" s="18"/>
      <c r="I207" s="18"/>
      <c r="J207" s="18"/>
      <c r="K207" s="18"/>
      <c r="L207" s="18"/>
      <c r="M207" s="18"/>
      <c r="N207" s="18"/>
      <c r="O207" s="18"/>
      <c r="P207" s="18"/>
      <c r="Q207" s="18"/>
      <c r="R207" s="18"/>
      <c r="S207" s="18"/>
    </row>
    <row r="208" spans="1:19" ht="14.25" hidden="1">
      <c r="A208" s="18"/>
      <c r="B208" s="18"/>
      <c r="C208" s="18"/>
      <c r="D208" s="18"/>
      <c r="E208" s="18"/>
      <c r="F208" s="18"/>
      <c r="G208" s="18"/>
      <c r="H208" s="18"/>
      <c r="I208" s="18"/>
      <c r="J208" s="18"/>
      <c r="K208" s="18"/>
      <c r="L208" s="18"/>
      <c r="M208" s="18"/>
      <c r="N208" s="18"/>
      <c r="O208" s="18"/>
      <c r="P208" s="18"/>
      <c r="Q208" s="18"/>
      <c r="R208" s="18"/>
      <c r="S208" s="18"/>
    </row>
    <row r="209" spans="1:19" ht="14.25" hidden="1">
      <c r="A209" s="18"/>
      <c r="B209" s="18"/>
      <c r="C209" s="18"/>
      <c r="D209" s="18"/>
      <c r="E209" s="18"/>
      <c r="F209" s="18"/>
      <c r="G209" s="18"/>
      <c r="H209" s="18"/>
      <c r="I209" s="18"/>
      <c r="J209" s="18"/>
      <c r="K209" s="18"/>
      <c r="L209" s="18"/>
      <c r="M209" s="18"/>
      <c r="N209" s="18"/>
      <c r="O209" s="18"/>
      <c r="P209" s="18"/>
      <c r="Q209" s="18"/>
      <c r="R209" s="18"/>
      <c r="S209" s="18"/>
    </row>
    <row r="210" spans="1:19" ht="14.25" hidden="1">
      <c r="A210" s="18"/>
      <c r="B210" s="18"/>
      <c r="C210" s="18"/>
      <c r="D210" s="18"/>
      <c r="E210" s="18"/>
      <c r="F210" s="18"/>
      <c r="G210" s="18"/>
      <c r="H210" s="18"/>
      <c r="I210" s="18"/>
      <c r="J210" s="18"/>
      <c r="K210" s="18"/>
      <c r="L210" s="18"/>
      <c r="M210" s="18"/>
      <c r="N210" s="18"/>
      <c r="O210" s="18"/>
      <c r="P210" s="18"/>
      <c r="Q210" s="18"/>
      <c r="R210" s="18"/>
      <c r="S210" s="18"/>
    </row>
    <row r="211" spans="1:19" ht="14.25" hidden="1">
      <c r="A211" s="18"/>
      <c r="B211" s="18"/>
      <c r="C211" s="18"/>
      <c r="D211" s="18"/>
      <c r="E211" s="18"/>
      <c r="F211" s="18"/>
      <c r="G211" s="18"/>
      <c r="H211" s="18"/>
      <c r="I211" s="18"/>
      <c r="J211" s="18"/>
      <c r="K211" s="18"/>
      <c r="L211" s="18"/>
      <c r="M211" s="18"/>
      <c r="N211" s="18"/>
      <c r="O211" s="18"/>
      <c r="P211" s="18"/>
      <c r="Q211" s="18"/>
      <c r="R211" s="18"/>
      <c r="S211" s="18"/>
    </row>
    <row r="212" spans="1:19" ht="14.25" hidden="1">
      <c r="A212" s="18"/>
      <c r="B212" s="18"/>
      <c r="C212" s="18"/>
      <c r="D212" s="18"/>
      <c r="E212" s="18"/>
      <c r="F212" s="18"/>
      <c r="G212" s="18"/>
      <c r="H212" s="18"/>
      <c r="I212" s="18"/>
      <c r="J212" s="18"/>
      <c r="K212" s="18"/>
      <c r="L212" s="18"/>
      <c r="M212" s="18"/>
      <c r="N212" s="18"/>
      <c r="O212" s="18"/>
      <c r="P212" s="18"/>
      <c r="Q212" s="18"/>
      <c r="R212" s="18"/>
      <c r="S212" s="18"/>
    </row>
    <row r="213" spans="1:19" ht="14.25" hidden="1">
      <c r="A213" s="18"/>
      <c r="B213" s="18"/>
      <c r="C213" s="18"/>
      <c r="D213" s="18"/>
      <c r="E213" s="18"/>
      <c r="F213" s="18"/>
      <c r="G213" s="18"/>
      <c r="H213" s="18"/>
      <c r="I213" s="18"/>
      <c r="J213" s="18"/>
      <c r="K213" s="18"/>
      <c r="L213" s="18"/>
      <c r="M213" s="18"/>
      <c r="N213" s="18"/>
      <c r="O213" s="18"/>
      <c r="P213" s="18"/>
      <c r="Q213" s="18"/>
      <c r="R213" s="18"/>
      <c r="S213" s="18"/>
    </row>
    <row r="214" spans="1:19" ht="14.25" hidden="1">
      <c r="A214" s="18"/>
      <c r="B214" s="18"/>
      <c r="C214" s="18"/>
      <c r="D214" s="18"/>
      <c r="E214" s="18"/>
      <c r="F214" s="18"/>
      <c r="G214" s="18"/>
      <c r="H214" s="18"/>
      <c r="I214" s="18"/>
      <c r="J214" s="18"/>
      <c r="K214" s="18"/>
      <c r="L214" s="18"/>
      <c r="M214" s="18"/>
      <c r="N214" s="18"/>
      <c r="O214" s="18"/>
      <c r="P214" s="18"/>
      <c r="Q214" s="18"/>
      <c r="R214" s="18"/>
      <c r="S214" s="18"/>
    </row>
    <row r="215" spans="1:19" ht="14.25" hidden="1">
      <c r="A215" s="18"/>
      <c r="B215" s="18"/>
      <c r="C215" s="18"/>
      <c r="D215" s="18"/>
      <c r="E215" s="18"/>
      <c r="F215" s="18"/>
      <c r="G215" s="18"/>
      <c r="H215" s="18"/>
      <c r="I215" s="18"/>
      <c r="J215" s="18"/>
      <c r="K215" s="18"/>
      <c r="L215" s="18"/>
      <c r="M215" s="18"/>
      <c r="N215" s="18"/>
      <c r="O215" s="18"/>
      <c r="P215" s="18"/>
      <c r="Q215" s="18"/>
      <c r="R215" s="18"/>
      <c r="S215" s="18"/>
    </row>
    <row r="216" spans="1:19" ht="14.25" hidden="1">
      <c r="A216" s="18"/>
      <c r="B216" s="18"/>
      <c r="C216" s="18"/>
      <c r="D216" s="18"/>
      <c r="E216" s="18"/>
      <c r="F216" s="18"/>
      <c r="G216" s="18"/>
      <c r="H216" s="18"/>
      <c r="I216" s="18"/>
      <c r="J216" s="18"/>
      <c r="K216" s="18"/>
      <c r="L216" s="18"/>
      <c r="M216" s="18"/>
      <c r="N216" s="18"/>
      <c r="O216" s="18"/>
      <c r="P216" s="18"/>
      <c r="Q216" s="18"/>
      <c r="R216" s="18"/>
      <c r="S216" s="18"/>
    </row>
    <row r="217" spans="1:19" ht="14.25" hidden="1">
      <c r="A217" s="18"/>
      <c r="B217" s="18"/>
      <c r="C217" s="18"/>
      <c r="D217" s="18"/>
      <c r="E217" s="18"/>
      <c r="F217" s="18"/>
      <c r="G217" s="18"/>
      <c r="H217" s="18"/>
      <c r="I217" s="18"/>
      <c r="J217" s="18"/>
      <c r="K217" s="18"/>
      <c r="L217" s="18"/>
      <c r="M217" s="18"/>
      <c r="N217" s="18"/>
      <c r="O217" s="18"/>
      <c r="P217" s="18"/>
      <c r="Q217" s="18"/>
      <c r="R217" s="18"/>
      <c r="S217" s="18"/>
    </row>
    <row r="218" spans="1:19" ht="14.25" hidden="1">
      <c r="A218" s="18"/>
      <c r="B218" s="18"/>
      <c r="C218" s="18"/>
      <c r="D218" s="18"/>
      <c r="E218" s="18"/>
      <c r="F218" s="18"/>
      <c r="G218" s="18"/>
      <c r="H218" s="18"/>
      <c r="I218" s="18"/>
      <c r="J218" s="18"/>
      <c r="K218" s="18"/>
      <c r="L218" s="18"/>
      <c r="M218" s="18"/>
      <c r="N218" s="18"/>
      <c r="O218" s="18"/>
      <c r="P218" s="18"/>
      <c r="Q218" s="18"/>
      <c r="R218" s="18"/>
      <c r="S218" s="18"/>
    </row>
    <row r="219" spans="1:19" ht="14.25" hidden="1">
      <c r="A219" s="18"/>
      <c r="B219" s="18"/>
      <c r="C219" s="18"/>
      <c r="D219" s="18"/>
      <c r="E219" s="18"/>
      <c r="F219" s="18"/>
      <c r="G219" s="18"/>
      <c r="H219" s="18"/>
      <c r="I219" s="18"/>
      <c r="J219" s="18"/>
      <c r="K219" s="18"/>
      <c r="L219" s="18"/>
      <c r="M219" s="18"/>
      <c r="N219" s="18"/>
      <c r="O219" s="18"/>
      <c r="P219" s="18"/>
      <c r="Q219" s="18"/>
      <c r="R219" s="18"/>
      <c r="S219" s="18"/>
    </row>
    <row r="220" spans="1:19" ht="14.25" hidden="1">
      <c r="A220" s="18"/>
      <c r="B220" s="18"/>
      <c r="C220" s="18"/>
      <c r="D220" s="18"/>
      <c r="E220" s="18"/>
      <c r="F220" s="18"/>
      <c r="G220" s="18"/>
      <c r="H220" s="18"/>
      <c r="I220" s="18"/>
      <c r="J220" s="18"/>
      <c r="K220" s="18"/>
      <c r="L220" s="18"/>
      <c r="M220" s="18"/>
      <c r="N220" s="18"/>
      <c r="O220" s="18"/>
      <c r="P220" s="18"/>
      <c r="Q220" s="18"/>
      <c r="R220" s="18"/>
      <c r="S220" s="18"/>
    </row>
    <row r="221" spans="1:19" ht="14.25" hidden="1">
      <c r="A221" s="18"/>
      <c r="B221" s="18"/>
      <c r="C221" s="18"/>
      <c r="D221" s="18"/>
      <c r="E221" s="18"/>
      <c r="F221" s="18"/>
      <c r="G221" s="18"/>
      <c r="H221" s="18"/>
      <c r="I221" s="18"/>
      <c r="J221" s="18"/>
      <c r="K221" s="18"/>
      <c r="L221" s="18"/>
      <c r="M221" s="18"/>
      <c r="N221" s="18"/>
      <c r="O221" s="18"/>
      <c r="P221" s="18"/>
      <c r="Q221" s="18"/>
      <c r="R221" s="18"/>
      <c r="S221" s="18"/>
    </row>
    <row r="222" spans="1:19" ht="14.25" hidden="1">
      <c r="A222" s="18"/>
      <c r="B222" s="18"/>
      <c r="C222" s="18"/>
      <c r="D222" s="18"/>
      <c r="E222" s="18"/>
      <c r="F222" s="18"/>
      <c r="G222" s="18"/>
      <c r="H222" s="18"/>
      <c r="I222" s="18"/>
      <c r="J222" s="18"/>
      <c r="K222" s="18"/>
      <c r="L222" s="18"/>
      <c r="M222" s="18"/>
      <c r="N222" s="18"/>
      <c r="O222" s="18"/>
      <c r="P222" s="18"/>
      <c r="Q222" s="18"/>
      <c r="R222" s="18"/>
      <c r="S222" s="18"/>
    </row>
    <row r="223" spans="1:19" ht="14.25" hidden="1">
      <c r="A223" s="18"/>
      <c r="B223" s="18"/>
      <c r="C223" s="18"/>
      <c r="D223" s="18"/>
      <c r="E223" s="18"/>
      <c r="F223" s="18"/>
      <c r="G223" s="18"/>
      <c r="H223" s="18"/>
      <c r="I223" s="18"/>
      <c r="J223" s="18"/>
      <c r="K223" s="18"/>
      <c r="L223" s="18"/>
      <c r="M223" s="18"/>
      <c r="N223" s="18"/>
      <c r="O223" s="18"/>
      <c r="P223" s="18"/>
      <c r="Q223" s="18"/>
      <c r="R223" s="18"/>
      <c r="S223" s="18"/>
    </row>
    <row r="224" spans="1:19" ht="14.25" hidden="1">
      <c r="A224" s="18"/>
      <c r="B224" s="18"/>
      <c r="C224" s="18"/>
      <c r="D224" s="18"/>
      <c r="E224" s="18"/>
      <c r="F224" s="18"/>
      <c r="G224" s="18"/>
      <c r="H224" s="18"/>
      <c r="I224" s="18"/>
      <c r="J224" s="18"/>
      <c r="K224" s="18"/>
      <c r="L224" s="18"/>
      <c r="M224" s="18"/>
      <c r="N224" s="18"/>
      <c r="O224" s="18"/>
      <c r="P224" s="18"/>
      <c r="Q224" s="18"/>
      <c r="R224" s="18"/>
      <c r="S224" s="18"/>
    </row>
    <row r="225" spans="1:19" ht="14.25" hidden="1">
      <c r="A225" s="18"/>
      <c r="B225" s="18"/>
      <c r="C225" s="18"/>
      <c r="D225" s="18"/>
      <c r="E225" s="18"/>
      <c r="F225" s="18"/>
      <c r="G225" s="18"/>
      <c r="H225" s="18"/>
      <c r="I225" s="18"/>
      <c r="J225" s="18"/>
      <c r="K225" s="18"/>
      <c r="L225" s="18"/>
      <c r="M225" s="18"/>
      <c r="N225" s="18"/>
      <c r="O225" s="18"/>
      <c r="P225" s="18"/>
      <c r="Q225" s="18"/>
      <c r="R225" s="18"/>
      <c r="S225" s="18"/>
    </row>
    <row r="226" spans="1:19" ht="14.25" hidden="1">
      <c r="A226" s="18"/>
      <c r="B226" s="18"/>
      <c r="C226" s="18"/>
      <c r="D226" s="18"/>
      <c r="E226" s="18"/>
      <c r="F226" s="18"/>
      <c r="G226" s="18"/>
      <c r="H226" s="18"/>
      <c r="I226" s="18"/>
      <c r="J226" s="18"/>
      <c r="K226" s="18"/>
      <c r="L226" s="18"/>
      <c r="M226" s="18"/>
      <c r="N226" s="18"/>
      <c r="O226" s="18"/>
      <c r="P226" s="18"/>
      <c r="Q226" s="18"/>
      <c r="R226" s="18"/>
      <c r="S226" s="18"/>
    </row>
    <row r="227" spans="1:19" ht="14.25" hidden="1">
      <c r="A227" s="18"/>
      <c r="B227" s="18"/>
      <c r="C227" s="18"/>
      <c r="D227" s="18"/>
      <c r="E227" s="18"/>
      <c r="F227" s="18"/>
      <c r="G227" s="18"/>
      <c r="H227" s="18"/>
      <c r="I227" s="18"/>
      <c r="J227" s="18"/>
      <c r="K227" s="18"/>
      <c r="L227" s="18"/>
      <c r="M227" s="18"/>
      <c r="N227" s="18"/>
      <c r="O227" s="18"/>
      <c r="P227" s="18"/>
      <c r="Q227" s="18"/>
      <c r="R227" s="18"/>
      <c r="S227" s="18"/>
    </row>
    <row r="228" spans="1:19" ht="14.25" hidden="1">
      <c r="A228" s="18"/>
      <c r="B228" s="18"/>
      <c r="C228" s="18"/>
      <c r="D228" s="18"/>
      <c r="E228" s="18"/>
      <c r="F228" s="18"/>
      <c r="G228" s="18"/>
      <c r="H228" s="18"/>
      <c r="I228" s="18"/>
      <c r="J228" s="18"/>
      <c r="K228" s="18"/>
      <c r="L228" s="18"/>
      <c r="M228" s="18"/>
      <c r="N228" s="18"/>
      <c r="O228" s="18"/>
      <c r="P228" s="18"/>
      <c r="Q228" s="18"/>
      <c r="R228" s="18"/>
      <c r="S228" s="18"/>
    </row>
    <row r="229" spans="1:19" ht="14.25" hidden="1">
      <c r="A229" s="18"/>
      <c r="B229" s="18"/>
      <c r="C229" s="18"/>
      <c r="D229" s="18"/>
      <c r="E229" s="18"/>
      <c r="F229" s="18"/>
      <c r="G229" s="18"/>
      <c r="H229" s="18"/>
      <c r="I229" s="18"/>
      <c r="J229" s="18"/>
      <c r="K229" s="18"/>
      <c r="L229" s="18"/>
      <c r="M229" s="18"/>
      <c r="N229" s="18"/>
      <c r="O229" s="18"/>
      <c r="P229" s="18"/>
      <c r="Q229" s="18"/>
      <c r="R229" s="18"/>
      <c r="S229" s="18"/>
    </row>
    <row r="230" spans="1:19" ht="14.25" hidden="1">
      <c r="A230" s="18"/>
      <c r="B230" s="18"/>
      <c r="C230" s="18"/>
      <c r="D230" s="18"/>
      <c r="E230" s="18"/>
      <c r="F230" s="18"/>
      <c r="G230" s="18"/>
      <c r="H230" s="18"/>
      <c r="I230" s="18"/>
      <c r="J230" s="18"/>
      <c r="K230" s="18"/>
      <c r="L230" s="18"/>
      <c r="M230" s="18"/>
      <c r="N230" s="18"/>
      <c r="O230" s="18"/>
      <c r="P230" s="18"/>
      <c r="Q230" s="18"/>
      <c r="R230" s="18"/>
      <c r="S230" s="18"/>
    </row>
    <row r="231" spans="1:19" ht="14.25" hidden="1">
      <c r="A231" s="18"/>
      <c r="B231" s="18"/>
      <c r="C231" s="18"/>
      <c r="D231" s="18"/>
      <c r="E231" s="18"/>
      <c r="F231" s="18"/>
      <c r="G231" s="18"/>
      <c r="H231" s="18"/>
      <c r="I231" s="18"/>
      <c r="J231" s="18"/>
      <c r="K231" s="18"/>
      <c r="L231" s="18"/>
      <c r="M231" s="18"/>
      <c r="N231" s="18"/>
      <c r="O231" s="18"/>
      <c r="P231" s="18"/>
      <c r="Q231" s="18"/>
      <c r="R231" s="18"/>
      <c r="S231" s="18"/>
    </row>
    <row r="232" spans="1:19" ht="14.25" hidden="1">
      <c r="A232" s="18"/>
      <c r="B232" s="18"/>
      <c r="C232" s="18"/>
      <c r="D232" s="18"/>
      <c r="E232" s="18"/>
      <c r="F232" s="18"/>
      <c r="G232" s="18"/>
      <c r="H232" s="18"/>
      <c r="I232" s="18"/>
      <c r="J232" s="18"/>
      <c r="K232" s="18"/>
      <c r="L232" s="18"/>
      <c r="M232" s="18"/>
      <c r="N232" s="18"/>
      <c r="O232" s="18"/>
      <c r="P232" s="18"/>
      <c r="Q232" s="18"/>
      <c r="R232" s="18"/>
      <c r="S232" s="18"/>
    </row>
    <row r="233" spans="1:19" ht="14.25" hidden="1">
      <c r="A233" s="18"/>
      <c r="B233" s="18"/>
      <c r="C233" s="18"/>
      <c r="D233" s="18"/>
      <c r="E233" s="18"/>
      <c r="F233" s="18"/>
      <c r="G233" s="18"/>
      <c r="H233" s="18"/>
      <c r="I233" s="18"/>
      <c r="J233" s="18"/>
      <c r="K233" s="18"/>
      <c r="L233" s="18"/>
      <c r="M233" s="18"/>
      <c r="N233" s="18"/>
      <c r="O233" s="18"/>
      <c r="P233" s="18"/>
      <c r="Q233" s="18"/>
      <c r="R233" s="18"/>
      <c r="S233" s="18"/>
    </row>
    <row r="234" spans="1:19" ht="14.25" hidden="1">
      <c r="A234" s="18"/>
      <c r="B234" s="18"/>
      <c r="C234" s="18"/>
      <c r="D234" s="18"/>
      <c r="E234" s="18"/>
      <c r="F234" s="18"/>
      <c r="G234" s="18"/>
      <c r="H234" s="18"/>
      <c r="I234" s="18"/>
      <c r="J234" s="18"/>
      <c r="K234" s="18"/>
      <c r="L234" s="18"/>
      <c r="M234" s="18"/>
      <c r="N234" s="18"/>
      <c r="O234" s="18"/>
      <c r="P234" s="18"/>
      <c r="Q234" s="18"/>
      <c r="R234" s="18"/>
      <c r="S234" s="18"/>
    </row>
    <row r="235" spans="1:19" ht="14.25" hidden="1">
      <c r="A235" s="18"/>
      <c r="B235" s="18"/>
      <c r="C235" s="18"/>
      <c r="D235" s="18"/>
      <c r="E235" s="18"/>
      <c r="F235" s="18"/>
      <c r="G235" s="18"/>
      <c r="H235" s="18"/>
      <c r="I235" s="18"/>
      <c r="J235" s="18"/>
      <c r="K235" s="18"/>
      <c r="L235" s="18"/>
      <c r="M235" s="18"/>
      <c r="N235" s="18"/>
      <c r="O235" s="18"/>
      <c r="P235" s="18"/>
      <c r="Q235" s="18"/>
      <c r="R235" s="18"/>
      <c r="S235" s="18"/>
    </row>
    <row r="236" spans="1:19" ht="14.25" hidden="1">
      <c r="A236" s="18"/>
      <c r="B236" s="18"/>
      <c r="C236" s="18"/>
      <c r="D236" s="18"/>
      <c r="E236" s="18"/>
      <c r="F236" s="18"/>
      <c r="G236" s="18"/>
      <c r="H236" s="18"/>
      <c r="I236" s="18"/>
      <c r="J236" s="18"/>
      <c r="K236" s="18"/>
      <c r="L236" s="18"/>
      <c r="M236" s="18"/>
      <c r="N236" s="18"/>
      <c r="O236" s="18"/>
      <c r="P236" s="18"/>
      <c r="Q236" s="18"/>
      <c r="R236" s="18"/>
      <c r="S236" s="18"/>
    </row>
    <row r="237" spans="1:19" ht="14.25" hidden="1">
      <c r="A237" s="18"/>
      <c r="B237" s="18"/>
      <c r="C237" s="18"/>
      <c r="D237" s="18"/>
      <c r="E237" s="18"/>
      <c r="F237" s="18"/>
      <c r="G237" s="18"/>
      <c r="H237" s="18"/>
      <c r="I237" s="18"/>
      <c r="J237" s="18"/>
      <c r="K237" s="18"/>
      <c r="L237" s="18"/>
      <c r="M237" s="18"/>
      <c r="N237" s="18"/>
      <c r="O237" s="18"/>
      <c r="P237" s="18"/>
      <c r="Q237" s="18"/>
      <c r="R237" s="18"/>
      <c r="S237" s="18"/>
    </row>
    <row r="238" spans="1:19" ht="14.25" hidden="1">
      <c r="A238" s="18"/>
      <c r="B238" s="18"/>
      <c r="C238" s="18"/>
      <c r="D238" s="18"/>
      <c r="E238" s="18"/>
      <c r="F238" s="18"/>
      <c r="G238" s="18"/>
      <c r="H238" s="18"/>
      <c r="I238" s="18"/>
      <c r="J238" s="18"/>
      <c r="K238" s="18"/>
      <c r="L238" s="18"/>
      <c r="M238" s="18"/>
      <c r="N238" s="18"/>
      <c r="O238" s="18"/>
      <c r="P238" s="18"/>
      <c r="Q238" s="18"/>
      <c r="R238" s="18"/>
      <c r="S238" s="18"/>
    </row>
    <row r="239" spans="1:19" ht="14.25" hidden="1">
      <c r="A239" s="18"/>
      <c r="B239" s="18"/>
      <c r="C239" s="18"/>
      <c r="D239" s="18"/>
      <c r="E239" s="18"/>
      <c r="F239" s="18"/>
      <c r="G239" s="18"/>
      <c r="H239" s="18"/>
      <c r="I239" s="18"/>
      <c r="J239" s="18"/>
      <c r="K239" s="18"/>
      <c r="L239" s="18"/>
      <c r="M239" s="18"/>
      <c r="N239" s="18"/>
      <c r="O239" s="18"/>
      <c r="P239" s="18"/>
      <c r="Q239" s="18"/>
      <c r="R239" s="18"/>
      <c r="S239" s="18"/>
    </row>
    <row r="240" spans="1:19" ht="14.25" hidden="1">
      <c r="A240" s="18"/>
      <c r="B240" s="18"/>
      <c r="C240" s="18"/>
      <c r="D240" s="18"/>
      <c r="E240" s="18"/>
      <c r="F240" s="18"/>
      <c r="G240" s="18"/>
      <c r="H240" s="18"/>
      <c r="I240" s="18"/>
      <c r="J240" s="18"/>
      <c r="K240" s="18"/>
      <c r="L240" s="18"/>
      <c r="M240" s="18"/>
      <c r="N240" s="18"/>
      <c r="O240" s="18"/>
      <c r="P240" s="18"/>
      <c r="Q240" s="18"/>
      <c r="R240" s="18"/>
      <c r="S240" s="18"/>
    </row>
    <row r="241" spans="1:19" ht="14.25" hidden="1">
      <c r="A241" s="18"/>
      <c r="B241" s="18"/>
      <c r="C241" s="18"/>
      <c r="D241" s="18"/>
      <c r="E241" s="18"/>
      <c r="F241" s="18"/>
      <c r="G241" s="18"/>
      <c r="H241" s="18"/>
      <c r="I241" s="18"/>
      <c r="J241" s="18"/>
      <c r="K241" s="18"/>
      <c r="L241" s="18"/>
      <c r="M241" s="18"/>
      <c r="N241" s="18"/>
      <c r="O241" s="18"/>
      <c r="P241" s="18"/>
      <c r="Q241" s="18"/>
      <c r="R241" s="18"/>
      <c r="S241" s="18"/>
    </row>
    <row r="242" spans="1:19" ht="14.25" hidden="1">
      <c r="A242" s="18"/>
      <c r="B242" s="18"/>
      <c r="C242" s="18"/>
      <c r="D242" s="18"/>
      <c r="E242" s="18"/>
      <c r="F242" s="18"/>
      <c r="G242" s="18"/>
      <c r="H242" s="18"/>
      <c r="I242" s="18"/>
      <c r="J242" s="18"/>
      <c r="K242" s="18"/>
      <c r="L242" s="18"/>
      <c r="M242" s="18"/>
      <c r="N242" s="18"/>
      <c r="O242" s="18"/>
      <c r="P242" s="18"/>
      <c r="Q242" s="18"/>
      <c r="R242" s="18"/>
      <c r="S242" s="18"/>
    </row>
    <row r="243" spans="1:19" ht="14.25" hidden="1">
      <c r="A243" s="18"/>
      <c r="B243" s="18"/>
      <c r="C243" s="18"/>
      <c r="D243" s="18"/>
      <c r="E243" s="18"/>
      <c r="F243" s="18"/>
      <c r="G243" s="18"/>
      <c r="H243" s="18"/>
      <c r="I243" s="18"/>
      <c r="J243" s="18"/>
      <c r="K243" s="18"/>
      <c r="L243" s="18"/>
      <c r="M243" s="18"/>
      <c r="N243" s="18"/>
      <c r="O243" s="18"/>
      <c r="P243" s="18"/>
      <c r="Q243" s="18"/>
      <c r="R243" s="18"/>
      <c r="S243" s="18"/>
    </row>
    <row r="244" spans="1:19" ht="14.25" hidden="1">
      <c r="A244" s="18"/>
      <c r="B244" s="18"/>
      <c r="C244" s="18"/>
      <c r="D244" s="18"/>
      <c r="E244" s="18"/>
      <c r="F244" s="18"/>
      <c r="G244" s="18"/>
      <c r="H244" s="18"/>
      <c r="I244" s="18"/>
      <c r="J244" s="18"/>
      <c r="K244" s="18"/>
      <c r="L244" s="18"/>
      <c r="M244" s="18"/>
      <c r="N244" s="18"/>
      <c r="O244" s="18"/>
      <c r="P244" s="18"/>
      <c r="Q244" s="18"/>
      <c r="R244" s="18"/>
      <c r="S244" s="18"/>
    </row>
    <row r="245" spans="1:19" ht="14.25" hidden="1">
      <c r="A245" s="18"/>
      <c r="B245" s="18"/>
      <c r="C245" s="18"/>
      <c r="D245" s="18"/>
      <c r="E245" s="18"/>
      <c r="F245" s="18"/>
      <c r="G245" s="18"/>
      <c r="H245" s="18"/>
      <c r="I245" s="18"/>
      <c r="J245" s="18"/>
      <c r="K245" s="18"/>
      <c r="L245" s="18"/>
      <c r="M245" s="18"/>
      <c r="N245" s="18"/>
      <c r="O245" s="18"/>
      <c r="P245" s="18"/>
      <c r="Q245" s="18"/>
      <c r="R245" s="18"/>
      <c r="S245" s="18"/>
    </row>
    <row r="246" spans="1:19" ht="14.25" hidden="1">
      <c r="A246" s="18"/>
      <c r="B246" s="18"/>
      <c r="C246" s="18"/>
      <c r="D246" s="18"/>
      <c r="E246" s="18"/>
      <c r="F246" s="18"/>
      <c r="G246" s="18"/>
      <c r="H246" s="18"/>
      <c r="I246" s="18"/>
      <c r="J246" s="18"/>
      <c r="K246" s="18"/>
      <c r="L246" s="18"/>
      <c r="M246" s="18"/>
      <c r="N246" s="18"/>
      <c r="O246" s="18"/>
      <c r="P246" s="18"/>
      <c r="Q246" s="18"/>
      <c r="R246" s="18"/>
      <c r="S246" s="18"/>
    </row>
    <row r="247" spans="1:19" ht="14.25" hidden="1">
      <c r="A247" s="18"/>
      <c r="B247" s="18"/>
      <c r="C247" s="18"/>
      <c r="D247" s="18"/>
      <c r="E247" s="18"/>
      <c r="F247" s="18"/>
      <c r="G247" s="18"/>
      <c r="H247" s="18"/>
      <c r="I247" s="18"/>
      <c r="J247" s="18"/>
      <c r="K247" s="18"/>
      <c r="L247" s="18"/>
      <c r="M247" s="18"/>
      <c r="N247" s="18"/>
      <c r="O247" s="18"/>
      <c r="P247" s="18"/>
      <c r="Q247" s="18"/>
      <c r="R247" s="18"/>
      <c r="S247" s="18"/>
    </row>
    <row r="248" spans="1:19" ht="14.25" hidden="1">
      <c r="A248" s="18"/>
      <c r="B248" s="18"/>
      <c r="C248" s="18"/>
      <c r="D248" s="18"/>
      <c r="E248" s="18"/>
      <c r="F248" s="18"/>
      <c r="G248" s="18"/>
      <c r="H248" s="18"/>
      <c r="I248" s="18"/>
      <c r="J248" s="18"/>
      <c r="K248" s="18"/>
      <c r="L248" s="18"/>
      <c r="M248" s="18"/>
      <c r="N248" s="18"/>
      <c r="O248" s="18"/>
      <c r="P248" s="18"/>
      <c r="Q248" s="18"/>
      <c r="R248" s="18"/>
      <c r="S248" s="18"/>
    </row>
    <row r="249" spans="1:19" ht="14.25" hidden="1">
      <c r="A249" s="18"/>
      <c r="B249" s="18"/>
      <c r="C249" s="18"/>
      <c r="D249" s="18"/>
      <c r="E249" s="18"/>
      <c r="F249" s="18"/>
      <c r="G249" s="18"/>
      <c r="H249" s="18"/>
      <c r="I249" s="18"/>
      <c r="J249" s="18"/>
      <c r="K249" s="18"/>
      <c r="L249" s="18"/>
      <c r="M249" s="18"/>
      <c r="N249" s="18"/>
      <c r="O249" s="18"/>
      <c r="P249" s="18"/>
      <c r="Q249" s="18"/>
      <c r="R249" s="18"/>
      <c r="S249" s="18"/>
    </row>
    <row r="250" spans="1:19" ht="14.25" hidden="1">
      <c r="A250" s="18"/>
      <c r="B250" s="18"/>
      <c r="C250" s="18"/>
      <c r="D250" s="18"/>
      <c r="E250" s="18"/>
      <c r="F250" s="18"/>
      <c r="G250" s="18"/>
      <c r="H250" s="18"/>
      <c r="I250" s="18"/>
      <c r="J250" s="18"/>
      <c r="K250" s="18"/>
      <c r="L250" s="18"/>
      <c r="M250" s="18"/>
      <c r="N250" s="18"/>
      <c r="O250" s="18"/>
      <c r="P250" s="18"/>
      <c r="Q250" s="18"/>
      <c r="R250" s="18"/>
      <c r="S250" s="18"/>
    </row>
    <row r="251" spans="1:19" ht="14.25" hidden="1">
      <c r="A251" s="18"/>
      <c r="B251" s="18"/>
      <c r="C251" s="18"/>
      <c r="D251" s="18"/>
      <c r="E251" s="18"/>
      <c r="F251" s="18"/>
      <c r="G251" s="18"/>
      <c r="H251" s="18"/>
      <c r="I251" s="18"/>
      <c r="J251" s="18"/>
      <c r="K251" s="18"/>
      <c r="L251" s="18"/>
      <c r="M251" s="18"/>
      <c r="N251" s="18"/>
      <c r="O251" s="18"/>
      <c r="P251" s="18"/>
      <c r="Q251" s="18"/>
      <c r="R251" s="18"/>
      <c r="S251" s="18"/>
    </row>
    <row r="252" spans="1:19" ht="14.25" hidden="1">
      <c r="A252" s="18"/>
      <c r="B252" s="18"/>
      <c r="C252" s="18"/>
      <c r="D252" s="18"/>
      <c r="E252" s="18"/>
      <c r="F252" s="18"/>
      <c r="G252" s="18"/>
      <c r="H252" s="18"/>
      <c r="I252" s="18"/>
      <c r="J252" s="18"/>
      <c r="K252" s="18"/>
      <c r="L252" s="18"/>
      <c r="M252" s="18"/>
      <c r="N252" s="18"/>
      <c r="O252" s="18"/>
      <c r="P252" s="18"/>
      <c r="Q252" s="18"/>
      <c r="R252" s="18"/>
      <c r="S252" s="18"/>
    </row>
    <row r="253" spans="1:19" ht="14.25" hidden="1">
      <c r="A253" s="18"/>
      <c r="B253" s="18"/>
      <c r="C253" s="18"/>
      <c r="D253" s="18"/>
      <c r="E253" s="18"/>
      <c r="F253" s="18"/>
      <c r="G253" s="18"/>
      <c r="H253" s="18"/>
      <c r="I253" s="18"/>
      <c r="J253" s="18"/>
      <c r="K253" s="18"/>
      <c r="L253" s="18"/>
      <c r="M253" s="18"/>
      <c r="N253" s="18"/>
      <c r="O253" s="18"/>
      <c r="P253" s="18"/>
      <c r="Q253" s="18"/>
      <c r="R253" s="18"/>
      <c r="S253" s="18"/>
    </row>
    <row r="254" spans="1:19" ht="14.25" hidden="1">
      <c r="A254" s="18"/>
      <c r="B254" s="18"/>
      <c r="C254" s="18"/>
      <c r="D254" s="18"/>
      <c r="E254" s="18"/>
      <c r="F254" s="18"/>
      <c r="G254" s="18"/>
      <c r="H254" s="18"/>
      <c r="I254" s="18"/>
      <c r="J254" s="18"/>
      <c r="K254" s="18"/>
      <c r="L254" s="18"/>
      <c r="M254" s="18"/>
      <c r="N254" s="18"/>
      <c r="O254" s="18"/>
      <c r="P254" s="18"/>
      <c r="Q254" s="18"/>
      <c r="R254" s="18"/>
      <c r="S254" s="18"/>
    </row>
    <row r="255" spans="1:19" ht="14.25" hidden="1">
      <c r="A255" s="18"/>
      <c r="B255" s="18"/>
      <c r="C255" s="18"/>
      <c r="D255" s="18"/>
      <c r="E255" s="18"/>
      <c r="F255" s="18"/>
      <c r="G255" s="18"/>
      <c r="H255" s="18"/>
      <c r="I255" s="18"/>
      <c r="J255" s="18"/>
      <c r="K255" s="18"/>
      <c r="L255" s="18"/>
      <c r="M255" s="18"/>
      <c r="N255" s="18"/>
      <c r="O255" s="18"/>
      <c r="P255" s="18"/>
      <c r="Q255" s="18"/>
      <c r="R255" s="18"/>
      <c r="S255" s="18"/>
    </row>
    <row r="256" spans="1:19" ht="14.25" hidden="1">
      <c r="A256" s="18"/>
      <c r="B256" s="18"/>
      <c r="C256" s="18"/>
      <c r="D256" s="18"/>
      <c r="E256" s="18"/>
      <c r="F256" s="18"/>
      <c r="G256" s="18"/>
      <c r="H256" s="18"/>
      <c r="I256" s="18"/>
      <c r="J256" s="18"/>
      <c r="K256" s="18"/>
      <c r="L256" s="18"/>
      <c r="M256" s="18"/>
      <c r="N256" s="18"/>
      <c r="O256" s="18"/>
      <c r="P256" s="18"/>
      <c r="Q256" s="18"/>
      <c r="R256" s="18"/>
      <c r="S256" s="18"/>
    </row>
    <row r="257" spans="1:19" ht="14.25" hidden="1">
      <c r="A257" s="18"/>
      <c r="B257" s="18"/>
      <c r="C257" s="18"/>
      <c r="D257" s="18"/>
      <c r="E257" s="18"/>
      <c r="F257" s="18"/>
      <c r="G257" s="18"/>
      <c r="H257" s="18"/>
      <c r="I257" s="18"/>
      <c r="J257" s="18"/>
      <c r="K257" s="18"/>
      <c r="L257" s="18"/>
      <c r="M257" s="18"/>
      <c r="N257" s="18"/>
      <c r="O257" s="18"/>
      <c r="P257" s="18"/>
      <c r="Q257" s="18"/>
      <c r="R257" s="18"/>
      <c r="S257" s="18"/>
    </row>
    <row r="258" spans="1:19" ht="14.25" hidden="1">
      <c r="A258" s="18"/>
      <c r="B258" s="18"/>
      <c r="C258" s="18"/>
      <c r="D258" s="18"/>
      <c r="E258" s="18"/>
      <c r="F258" s="18"/>
      <c r="G258" s="18"/>
      <c r="H258" s="18"/>
      <c r="I258" s="18"/>
      <c r="J258" s="18"/>
      <c r="K258" s="18"/>
      <c r="L258" s="18"/>
      <c r="M258" s="18"/>
      <c r="N258" s="18"/>
      <c r="O258" s="18"/>
      <c r="P258" s="18"/>
      <c r="Q258" s="18"/>
      <c r="R258" s="18"/>
      <c r="S258" s="18"/>
    </row>
    <row r="259" spans="1:19" ht="14.25" hidden="1">
      <c r="A259" s="18"/>
      <c r="B259" s="18"/>
      <c r="C259" s="18"/>
      <c r="D259" s="18"/>
      <c r="E259" s="18"/>
      <c r="F259" s="18"/>
      <c r="G259" s="18"/>
      <c r="H259" s="18"/>
      <c r="I259" s="18"/>
      <c r="J259" s="18"/>
      <c r="K259" s="18"/>
      <c r="L259" s="18"/>
      <c r="M259" s="18"/>
      <c r="N259" s="18"/>
      <c r="O259" s="18"/>
      <c r="P259" s="18"/>
      <c r="Q259" s="18"/>
      <c r="R259" s="18"/>
      <c r="S259" s="18"/>
    </row>
    <row r="260" spans="1:19" ht="14.25" hidden="1">
      <c r="A260" s="18"/>
      <c r="B260" s="18"/>
      <c r="C260" s="18"/>
      <c r="D260" s="18"/>
      <c r="E260" s="18"/>
      <c r="F260" s="18"/>
      <c r="G260" s="18"/>
      <c r="H260" s="18"/>
      <c r="I260" s="18"/>
      <c r="J260" s="18"/>
      <c r="K260" s="18"/>
      <c r="L260" s="18"/>
      <c r="M260" s="18"/>
      <c r="N260" s="18"/>
      <c r="O260" s="18"/>
      <c r="P260" s="18"/>
      <c r="Q260" s="18"/>
      <c r="R260" s="18"/>
      <c r="S260" s="18"/>
    </row>
    <row r="261" spans="1:19" ht="14.25" hidden="1">
      <c r="A261" s="18"/>
      <c r="B261" s="18"/>
      <c r="C261" s="18"/>
      <c r="D261" s="18"/>
      <c r="E261" s="18"/>
      <c r="F261" s="18"/>
      <c r="G261" s="18"/>
      <c r="H261" s="18"/>
      <c r="I261" s="18"/>
      <c r="J261" s="18"/>
      <c r="K261" s="18"/>
      <c r="L261" s="18"/>
      <c r="M261" s="18"/>
      <c r="N261" s="18"/>
      <c r="O261" s="18"/>
      <c r="P261" s="18"/>
      <c r="Q261" s="18"/>
      <c r="R261" s="18"/>
      <c r="S261" s="18"/>
    </row>
    <row r="262" spans="1:19" ht="14.25" hidden="1">
      <c r="A262" s="18"/>
      <c r="B262" s="18"/>
      <c r="C262" s="18"/>
      <c r="D262" s="18"/>
      <c r="E262" s="18"/>
      <c r="F262" s="18"/>
      <c r="G262" s="18"/>
      <c r="H262" s="18"/>
      <c r="I262" s="18"/>
      <c r="J262" s="18"/>
      <c r="K262" s="18"/>
      <c r="L262" s="18"/>
      <c r="M262" s="18"/>
      <c r="N262" s="18"/>
      <c r="O262" s="18"/>
      <c r="P262" s="18"/>
      <c r="Q262" s="18"/>
      <c r="R262" s="18"/>
      <c r="S262" s="18"/>
    </row>
    <row r="263" spans="1:19" ht="14.25" hidden="1">
      <c r="A263" s="18"/>
      <c r="B263" s="18"/>
      <c r="C263" s="18"/>
      <c r="D263" s="18"/>
      <c r="E263" s="18"/>
      <c r="F263" s="18"/>
      <c r="G263" s="18"/>
      <c r="H263" s="18"/>
      <c r="I263" s="18"/>
      <c r="J263" s="18"/>
      <c r="K263" s="18"/>
      <c r="L263" s="18"/>
      <c r="M263" s="18"/>
      <c r="N263" s="18"/>
      <c r="O263" s="18"/>
      <c r="P263" s="18"/>
      <c r="Q263" s="18"/>
      <c r="R263" s="18"/>
      <c r="S263" s="18"/>
    </row>
    <row r="264" spans="1:19" ht="14.25" hidden="1">
      <c r="A264" s="18"/>
      <c r="B264" s="18"/>
      <c r="C264" s="18"/>
      <c r="D264" s="18"/>
      <c r="E264" s="18"/>
      <c r="F264" s="18"/>
      <c r="G264" s="18"/>
      <c r="H264" s="18"/>
      <c r="I264" s="18"/>
      <c r="J264" s="18"/>
      <c r="K264" s="18"/>
      <c r="L264" s="18"/>
      <c r="M264" s="18"/>
      <c r="N264" s="18"/>
      <c r="O264" s="18"/>
      <c r="P264" s="18"/>
      <c r="Q264" s="18"/>
      <c r="R264" s="18"/>
      <c r="S264" s="18"/>
    </row>
    <row r="265" spans="1:19" ht="14.25" hidden="1">
      <c r="A265" s="18"/>
      <c r="B265" s="18"/>
      <c r="C265" s="18"/>
      <c r="D265" s="18"/>
      <c r="E265" s="18"/>
      <c r="F265" s="18"/>
      <c r="G265" s="18"/>
      <c r="H265" s="18"/>
      <c r="I265" s="18"/>
      <c r="J265" s="18"/>
      <c r="K265" s="18"/>
      <c r="L265" s="18"/>
      <c r="M265" s="18"/>
      <c r="N265" s="18"/>
      <c r="O265" s="18"/>
      <c r="P265" s="18"/>
      <c r="Q265" s="18"/>
      <c r="R265" s="18"/>
      <c r="S265" s="18"/>
    </row>
    <row r="266" spans="1:19" ht="14.25" hidden="1">
      <c r="A266" s="18"/>
      <c r="B266" s="18"/>
      <c r="C266" s="18"/>
      <c r="D266" s="18"/>
      <c r="E266" s="18"/>
      <c r="F266" s="18"/>
      <c r="G266" s="18"/>
      <c r="H266" s="18"/>
      <c r="I266" s="18"/>
      <c r="J266" s="18"/>
      <c r="K266" s="18"/>
      <c r="L266" s="18"/>
      <c r="M266" s="18"/>
      <c r="N266" s="18"/>
      <c r="O266" s="18"/>
      <c r="P266" s="18"/>
      <c r="Q266" s="18"/>
      <c r="R266" s="18"/>
      <c r="S266" s="18"/>
    </row>
    <row r="267" spans="1:19" ht="14.25" hidden="1">
      <c r="A267" s="18"/>
      <c r="B267" s="18"/>
      <c r="C267" s="18"/>
      <c r="D267" s="18"/>
      <c r="E267" s="18"/>
      <c r="F267" s="18"/>
      <c r="G267" s="18"/>
      <c r="H267" s="18"/>
      <c r="I267" s="18"/>
      <c r="J267" s="18"/>
      <c r="K267" s="18"/>
      <c r="L267" s="18"/>
      <c r="M267" s="18"/>
      <c r="N267" s="18"/>
      <c r="O267" s="18"/>
      <c r="P267" s="18"/>
      <c r="Q267" s="18"/>
      <c r="R267" s="18"/>
      <c r="S267" s="18"/>
    </row>
    <row r="268" spans="1:19" ht="14.25" hidden="1">
      <c r="A268" s="18"/>
      <c r="B268" s="18"/>
      <c r="C268" s="18"/>
      <c r="D268" s="18"/>
      <c r="E268" s="18"/>
      <c r="F268" s="18"/>
      <c r="G268" s="18"/>
      <c r="H268" s="18"/>
      <c r="I268" s="18"/>
      <c r="J268" s="18"/>
      <c r="K268" s="18"/>
      <c r="L268" s="18"/>
      <c r="M268" s="18"/>
      <c r="N268" s="18"/>
      <c r="O268" s="18"/>
      <c r="P268" s="18"/>
      <c r="Q268" s="18"/>
      <c r="R268" s="18"/>
      <c r="S268" s="18"/>
    </row>
    <row r="269" spans="1:19" ht="14.25" hidden="1">
      <c r="A269" s="18"/>
      <c r="B269" s="18"/>
      <c r="C269" s="18"/>
      <c r="D269" s="18"/>
      <c r="E269" s="18"/>
      <c r="F269" s="18"/>
      <c r="G269" s="18"/>
      <c r="H269" s="18"/>
      <c r="I269" s="18"/>
      <c r="J269" s="18"/>
      <c r="K269" s="18"/>
      <c r="L269" s="18"/>
      <c r="M269" s="18"/>
      <c r="N269" s="18"/>
      <c r="O269" s="18"/>
      <c r="P269" s="18"/>
      <c r="Q269" s="18"/>
      <c r="R269" s="18"/>
      <c r="S269" s="18"/>
    </row>
    <row r="270" spans="1:19" ht="14.25" hidden="1">
      <c r="A270" s="18"/>
      <c r="B270" s="18"/>
      <c r="C270" s="18"/>
      <c r="D270" s="18"/>
      <c r="E270" s="18"/>
      <c r="F270" s="18"/>
      <c r="G270" s="18"/>
      <c r="H270" s="18"/>
      <c r="I270" s="18"/>
      <c r="J270" s="18"/>
      <c r="K270" s="18"/>
      <c r="L270" s="18"/>
      <c r="M270" s="18"/>
      <c r="N270" s="18"/>
      <c r="O270" s="18"/>
      <c r="P270" s="18"/>
      <c r="Q270" s="18"/>
      <c r="R270" s="18"/>
      <c r="S270" s="18"/>
    </row>
    <row r="271" spans="1:19" ht="14.25" hidden="1">
      <c r="A271" s="18"/>
      <c r="B271" s="18"/>
      <c r="C271" s="18"/>
      <c r="D271" s="18"/>
      <c r="E271" s="18"/>
      <c r="F271" s="18"/>
      <c r="G271" s="18"/>
      <c r="H271" s="18"/>
      <c r="I271" s="18"/>
      <c r="J271" s="18"/>
      <c r="K271" s="18"/>
      <c r="L271" s="18"/>
      <c r="M271" s="18"/>
      <c r="N271" s="18"/>
      <c r="O271" s="18"/>
      <c r="P271" s="18"/>
      <c r="Q271" s="18"/>
      <c r="R271" s="18"/>
      <c r="S271" s="18"/>
    </row>
    <row r="272" spans="1:19" ht="14.25" hidden="1">
      <c r="A272" s="18"/>
      <c r="B272" s="18"/>
      <c r="C272" s="18"/>
      <c r="D272" s="18"/>
      <c r="E272" s="18"/>
      <c r="F272" s="18"/>
      <c r="G272" s="18"/>
      <c r="H272" s="18"/>
      <c r="I272" s="18"/>
      <c r="J272" s="18"/>
      <c r="K272" s="18"/>
      <c r="L272" s="18"/>
      <c r="M272" s="18"/>
      <c r="N272" s="18"/>
      <c r="O272" s="18"/>
      <c r="P272" s="18"/>
      <c r="Q272" s="18"/>
      <c r="R272" s="18"/>
      <c r="S272" s="18"/>
    </row>
    <row r="273" spans="1:19" ht="14.25" hidden="1">
      <c r="A273" s="18"/>
      <c r="B273" s="18"/>
      <c r="C273" s="18"/>
      <c r="D273" s="18"/>
      <c r="E273" s="18"/>
      <c r="F273" s="18"/>
      <c r="G273" s="18"/>
      <c r="H273" s="18"/>
      <c r="I273" s="18"/>
      <c r="J273" s="18"/>
      <c r="K273" s="18"/>
      <c r="L273" s="18"/>
      <c r="M273" s="18"/>
      <c r="N273" s="18"/>
      <c r="O273" s="18"/>
      <c r="P273" s="18"/>
      <c r="Q273" s="18"/>
      <c r="R273" s="18"/>
      <c r="S273" s="18"/>
    </row>
    <row r="274" spans="1:19" ht="14.25" hidden="1">
      <c r="A274" s="18"/>
      <c r="B274" s="18"/>
      <c r="C274" s="18"/>
      <c r="D274" s="18"/>
      <c r="E274" s="18"/>
      <c r="F274" s="18"/>
      <c r="G274" s="18"/>
      <c r="H274" s="18"/>
      <c r="I274" s="18"/>
      <c r="J274" s="18"/>
      <c r="K274" s="18"/>
      <c r="L274" s="18"/>
      <c r="M274" s="18"/>
      <c r="N274" s="18"/>
      <c r="O274" s="18"/>
      <c r="P274" s="18"/>
      <c r="Q274" s="18"/>
      <c r="R274" s="18"/>
      <c r="S274" s="18"/>
    </row>
    <row r="275" spans="1:19" ht="14.25" hidden="1">
      <c r="A275" s="18"/>
      <c r="B275" s="18"/>
      <c r="C275" s="18"/>
      <c r="D275" s="18"/>
      <c r="E275" s="18"/>
      <c r="F275" s="18"/>
      <c r="G275" s="18"/>
      <c r="H275" s="18"/>
      <c r="I275" s="18"/>
      <c r="J275" s="18"/>
      <c r="K275" s="18"/>
      <c r="L275" s="18"/>
      <c r="M275" s="18"/>
      <c r="N275" s="18"/>
      <c r="O275" s="18"/>
      <c r="P275" s="18"/>
      <c r="Q275" s="18"/>
      <c r="R275" s="18"/>
      <c r="S275" s="18"/>
    </row>
    <row r="276" spans="1:19" ht="14.25" hidden="1">
      <c r="A276" s="18"/>
      <c r="B276" s="18"/>
      <c r="C276" s="18"/>
      <c r="D276" s="18"/>
      <c r="E276" s="18"/>
      <c r="F276" s="18"/>
      <c r="G276" s="18"/>
      <c r="H276" s="18"/>
      <c r="I276" s="18"/>
      <c r="J276" s="18"/>
      <c r="K276" s="18"/>
      <c r="L276" s="18"/>
      <c r="M276" s="18"/>
      <c r="N276" s="18"/>
      <c r="O276" s="18"/>
      <c r="P276" s="18"/>
      <c r="Q276" s="18"/>
      <c r="R276" s="18"/>
      <c r="S276" s="18"/>
    </row>
    <row r="277" spans="1:19" ht="14.25" hidden="1">
      <c r="A277" s="18"/>
      <c r="B277" s="18"/>
      <c r="C277" s="18"/>
      <c r="D277" s="18"/>
      <c r="E277" s="18"/>
      <c r="F277" s="18"/>
      <c r="G277" s="18"/>
      <c r="H277" s="18"/>
      <c r="I277" s="18"/>
      <c r="J277" s="18"/>
      <c r="K277" s="18"/>
      <c r="L277" s="18"/>
      <c r="M277" s="18"/>
      <c r="N277" s="18"/>
      <c r="O277" s="18"/>
      <c r="P277" s="18"/>
      <c r="Q277" s="18"/>
      <c r="R277" s="18"/>
      <c r="S277" s="18"/>
    </row>
    <row r="278" spans="1:19" ht="14.25" hidden="1">
      <c r="A278" s="18"/>
      <c r="B278" s="18"/>
      <c r="C278" s="18"/>
      <c r="D278" s="18"/>
      <c r="E278" s="18"/>
      <c r="F278" s="18"/>
      <c r="G278" s="18"/>
      <c r="H278" s="18"/>
      <c r="I278" s="18"/>
      <c r="J278" s="18"/>
      <c r="K278" s="18"/>
      <c r="L278" s="18"/>
      <c r="M278" s="18"/>
      <c r="N278" s="18"/>
      <c r="O278" s="18"/>
      <c r="P278" s="18"/>
      <c r="Q278" s="18"/>
      <c r="R278" s="18"/>
      <c r="S278" s="18"/>
    </row>
    <row r="279" spans="1:19" ht="14.25" hidden="1">
      <c r="A279" s="18"/>
      <c r="B279" s="18"/>
      <c r="C279" s="18"/>
      <c r="D279" s="18"/>
      <c r="E279" s="18"/>
      <c r="F279" s="18"/>
      <c r="G279" s="18"/>
      <c r="H279" s="18"/>
      <c r="I279" s="18"/>
      <c r="J279" s="18"/>
      <c r="K279" s="18"/>
      <c r="L279" s="18"/>
      <c r="M279" s="18"/>
      <c r="N279" s="18"/>
      <c r="O279" s="18"/>
      <c r="P279" s="18"/>
      <c r="Q279" s="18"/>
      <c r="R279" s="18"/>
      <c r="S279" s="18"/>
    </row>
    <row r="280" spans="1:19" ht="14.25" hidden="1">
      <c r="A280" s="18"/>
      <c r="B280" s="18"/>
      <c r="C280" s="18"/>
      <c r="D280" s="18"/>
      <c r="E280" s="18"/>
      <c r="F280" s="18"/>
      <c r="G280" s="18"/>
      <c r="H280" s="18"/>
      <c r="I280" s="18"/>
      <c r="J280" s="18"/>
      <c r="K280" s="18"/>
      <c r="L280" s="18"/>
      <c r="M280" s="18"/>
      <c r="N280" s="18"/>
      <c r="O280" s="18"/>
      <c r="P280" s="18"/>
      <c r="Q280" s="18"/>
      <c r="R280" s="18"/>
      <c r="S280" s="18"/>
    </row>
    <row r="281" spans="1:19" ht="14.25" hidden="1">
      <c r="A281" s="18"/>
      <c r="B281" s="18"/>
      <c r="C281" s="18"/>
      <c r="D281" s="18"/>
      <c r="E281" s="18"/>
      <c r="F281" s="18"/>
      <c r="G281" s="18"/>
      <c r="H281" s="18"/>
      <c r="I281" s="18"/>
      <c r="J281" s="18"/>
      <c r="K281" s="18"/>
      <c r="L281" s="18"/>
      <c r="M281" s="18"/>
      <c r="N281" s="18"/>
      <c r="O281" s="18"/>
      <c r="P281" s="18"/>
      <c r="Q281" s="18"/>
      <c r="R281" s="18"/>
      <c r="S281" s="18"/>
    </row>
    <row r="282" spans="1:19" ht="14.25" hidden="1">
      <c r="A282" s="18"/>
      <c r="B282" s="18"/>
      <c r="C282" s="18"/>
      <c r="D282" s="18"/>
      <c r="E282" s="18"/>
      <c r="F282" s="18"/>
      <c r="G282" s="18"/>
      <c r="H282" s="18"/>
      <c r="I282" s="18"/>
      <c r="J282" s="18"/>
      <c r="K282" s="18"/>
      <c r="L282" s="18"/>
      <c r="M282" s="18"/>
      <c r="N282" s="18"/>
      <c r="O282" s="18"/>
      <c r="P282" s="18"/>
      <c r="Q282" s="18"/>
      <c r="R282" s="18"/>
      <c r="S282" s="18"/>
    </row>
    <row r="283" spans="1:19" ht="14.25" hidden="1">
      <c r="A283" s="18"/>
      <c r="B283" s="18"/>
      <c r="C283" s="18"/>
      <c r="D283" s="18"/>
      <c r="E283" s="18"/>
      <c r="F283" s="18"/>
      <c r="G283" s="18"/>
      <c r="H283" s="18"/>
      <c r="I283" s="18"/>
      <c r="J283" s="18"/>
      <c r="K283" s="18"/>
      <c r="L283" s="18"/>
      <c r="M283" s="18"/>
      <c r="N283" s="18"/>
      <c r="O283" s="18"/>
      <c r="P283" s="18"/>
      <c r="Q283" s="18"/>
      <c r="R283" s="18"/>
      <c r="S283" s="18"/>
    </row>
    <row r="284" spans="1:19" ht="14.25" hidden="1">
      <c r="A284" s="18"/>
      <c r="B284" s="18"/>
      <c r="C284" s="18"/>
      <c r="D284" s="18"/>
      <c r="E284" s="18"/>
      <c r="F284" s="18"/>
      <c r="G284" s="18"/>
      <c r="H284" s="18"/>
      <c r="I284" s="18"/>
      <c r="J284" s="18"/>
      <c r="K284" s="18"/>
      <c r="L284" s="18"/>
      <c r="M284" s="18"/>
      <c r="N284" s="18"/>
      <c r="O284" s="18"/>
      <c r="P284" s="18"/>
      <c r="Q284" s="18"/>
      <c r="R284" s="18"/>
      <c r="S284" s="18"/>
    </row>
    <row r="285" spans="1:19" ht="14.25" hidden="1">
      <c r="A285" s="18"/>
      <c r="B285" s="18"/>
      <c r="C285" s="18"/>
      <c r="D285" s="18"/>
      <c r="E285" s="18"/>
      <c r="F285" s="18"/>
      <c r="G285" s="18"/>
      <c r="H285" s="18"/>
      <c r="I285" s="18"/>
      <c r="J285" s="18"/>
      <c r="K285" s="18"/>
      <c r="L285" s="18"/>
      <c r="M285" s="18"/>
      <c r="N285" s="18"/>
      <c r="O285" s="18"/>
      <c r="P285" s="18"/>
      <c r="Q285" s="18"/>
      <c r="R285" s="18"/>
      <c r="S285" s="18"/>
    </row>
    <row r="286" spans="1:19" ht="14.25" hidden="1">
      <c r="A286" s="18"/>
      <c r="B286" s="18"/>
      <c r="C286" s="18"/>
      <c r="D286" s="18"/>
      <c r="E286" s="18"/>
      <c r="F286" s="18"/>
      <c r="G286" s="18"/>
      <c r="H286" s="18"/>
      <c r="I286" s="18"/>
      <c r="J286" s="18"/>
      <c r="K286" s="18"/>
      <c r="L286" s="18"/>
      <c r="M286" s="18"/>
      <c r="N286" s="18"/>
      <c r="O286" s="18"/>
      <c r="P286" s="18"/>
      <c r="Q286" s="18"/>
      <c r="R286" s="18"/>
      <c r="S286" s="18"/>
    </row>
    <row r="287" spans="1:19" ht="14.25" hidden="1">
      <c r="A287" s="18"/>
      <c r="B287" s="18"/>
      <c r="C287" s="18"/>
      <c r="D287" s="18"/>
      <c r="E287" s="18"/>
      <c r="F287" s="18"/>
      <c r="G287" s="18"/>
      <c r="H287" s="18"/>
      <c r="I287" s="18"/>
      <c r="J287" s="18"/>
      <c r="K287" s="18"/>
      <c r="L287" s="18"/>
      <c r="M287" s="18"/>
      <c r="N287" s="18"/>
      <c r="O287" s="18"/>
      <c r="P287" s="18"/>
      <c r="Q287" s="18"/>
      <c r="R287" s="18"/>
      <c r="S287" s="18"/>
    </row>
    <row r="288" spans="1:19" ht="14.25" hidden="1">
      <c r="A288" s="18"/>
      <c r="B288" s="18"/>
      <c r="C288" s="18"/>
      <c r="D288" s="18"/>
      <c r="E288" s="18"/>
      <c r="F288" s="18"/>
      <c r="G288" s="18"/>
      <c r="H288" s="18"/>
      <c r="I288" s="18"/>
      <c r="J288" s="18"/>
      <c r="K288" s="18"/>
      <c r="L288" s="18"/>
      <c r="M288" s="18"/>
      <c r="N288" s="18"/>
      <c r="O288" s="18"/>
      <c r="P288" s="18"/>
      <c r="Q288" s="18"/>
      <c r="R288" s="18"/>
      <c r="S288" s="18"/>
    </row>
    <row r="289" spans="1:19" ht="14.25" hidden="1">
      <c r="A289" s="18"/>
      <c r="B289" s="18"/>
      <c r="C289" s="18"/>
      <c r="D289" s="18"/>
      <c r="E289" s="18"/>
      <c r="F289" s="18"/>
      <c r="G289" s="18"/>
      <c r="H289" s="18"/>
      <c r="I289" s="18"/>
      <c r="J289" s="18"/>
      <c r="K289" s="18"/>
      <c r="L289" s="18"/>
      <c r="M289" s="18"/>
      <c r="N289" s="18"/>
      <c r="O289" s="18"/>
      <c r="P289" s="18"/>
      <c r="Q289" s="18"/>
      <c r="R289" s="18"/>
      <c r="S289" s="18"/>
    </row>
    <row r="290" spans="1:19" ht="14.25" hidden="1">
      <c r="A290" s="18"/>
      <c r="B290" s="18"/>
      <c r="C290" s="18"/>
      <c r="D290" s="18"/>
      <c r="E290" s="18"/>
      <c r="F290" s="18"/>
      <c r="G290" s="18"/>
      <c r="H290" s="18"/>
      <c r="I290" s="18"/>
      <c r="J290" s="18"/>
      <c r="K290" s="18"/>
      <c r="L290" s="18"/>
      <c r="M290" s="18"/>
      <c r="N290" s="18"/>
      <c r="O290" s="18"/>
      <c r="P290" s="18"/>
      <c r="Q290" s="18"/>
      <c r="R290" s="18"/>
      <c r="S290" s="18"/>
    </row>
    <row r="291" spans="1:19" ht="14.25" hidden="1">
      <c r="A291" s="18"/>
      <c r="B291" s="18"/>
      <c r="C291" s="18"/>
      <c r="D291" s="18"/>
      <c r="E291" s="18"/>
      <c r="F291" s="18"/>
      <c r="G291" s="18"/>
      <c r="H291" s="18"/>
      <c r="I291" s="18"/>
      <c r="J291" s="18"/>
      <c r="K291" s="18"/>
      <c r="L291" s="18"/>
      <c r="M291" s="18"/>
      <c r="N291" s="18"/>
      <c r="O291" s="18"/>
      <c r="P291" s="18"/>
      <c r="Q291" s="18"/>
      <c r="R291" s="18"/>
      <c r="S291" s="18"/>
    </row>
    <row r="292" spans="1:19" ht="14.25" hidden="1">
      <c r="A292" s="18"/>
      <c r="B292" s="18"/>
      <c r="C292" s="18"/>
      <c r="D292" s="18"/>
      <c r="E292" s="18"/>
      <c r="F292" s="18"/>
      <c r="G292" s="18"/>
      <c r="H292" s="18"/>
      <c r="I292" s="18"/>
      <c r="J292" s="18"/>
      <c r="K292" s="18"/>
      <c r="L292" s="18"/>
      <c r="M292" s="18"/>
      <c r="N292" s="18"/>
      <c r="O292" s="18"/>
      <c r="P292" s="18"/>
      <c r="Q292" s="18"/>
      <c r="R292" s="18"/>
      <c r="S292" s="18"/>
    </row>
    <row r="293" spans="1:19" ht="14.25" hidden="1">
      <c r="A293" s="18"/>
      <c r="B293" s="18"/>
      <c r="C293" s="18"/>
      <c r="D293" s="18"/>
      <c r="E293" s="18"/>
      <c r="F293" s="18"/>
      <c r="G293" s="18"/>
      <c r="H293" s="18"/>
      <c r="I293" s="18"/>
      <c r="J293" s="18"/>
      <c r="K293" s="18"/>
      <c r="L293" s="18"/>
      <c r="M293" s="18"/>
      <c r="N293" s="18"/>
      <c r="O293" s="18"/>
      <c r="P293" s="18"/>
      <c r="Q293" s="18"/>
      <c r="R293" s="18"/>
      <c r="S293" s="18"/>
    </row>
    <row r="294" spans="1:19" ht="14.25" hidden="1">
      <c r="A294" s="18"/>
      <c r="B294" s="18"/>
      <c r="C294" s="18"/>
      <c r="D294" s="18"/>
      <c r="E294" s="18"/>
      <c r="F294" s="18"/>
      <c r="G294" s="18"/>
      <c r="H294" s="18"/>
      <c r="I294" s="18"/>
      <c r="J294" s="18"/>
      <c r="K294" s="18"/>
      <c r="L294" s="18"/>
      <c r="M294" s="18"/>
      <c r="N294" s="18"/>
      <c r="O294" s="18"/>
      <c r="P294" s="18"/>
      <c r="Q294" s="18"/>
      <c r="R294" s="18"/>
      <c r="S294" s="18"/>
    </row>
    <row r="295" spans="1:19" ht="14.25" hidden="1">
      <c r="A295" s="18"/>
      <c r="B295" s="18"/>
      <c r="C295" s="18"/>
      <c r="D295" s="18"/>
      <c r="E295" s="18"/>
      <c r="F295" s="18"/>
      <c r="G295" s="18"/>
      <c r="H295" s="18"/>
      <c r="I295" s="18"/>
      <c r="J295" s="18"/>
      <c r="K295" s="18"/>
      <c r="L295" s="18"/>
      <c r="M295" s="18"/>
      <c r="N295" s="18"/>
      <c r="O295" s="18"/>
      <c r="P295" s="18"/>
      <c r="Q295" s="18"/>
      <c r="R295" s="18"/>
      <c r="S295" s="18"/>
    </row>
    <row r="296" spans="1:19" ht="14.25" hidden="1">
      <c r="A296" s="18"/>
      <c r="B296" s="18"/>
      <c r="C296" s="18"/>
      <c r="D296" s="18"/>
      <c r="E296" s="18"/>
      <c r="F296" s="18"/>
      <c r="G296" s="18"/>
      <c r="H296" s="18"/>
      <c r="I296" s="18"/>
      <c r="J296" s="18"/>
      <c r="K296" s="18"/>
      <c r="L296" s="18"/>
      <c r="M296" s="18"/>
      <c r="N296" s="18"/>
      <c r="O296" s="18"/>
      <c r="P296" s="18"/>
      <c r="Q296" s="18"/>
      <c r="R296" s="18"/>
      <c r="S296" s="18"/>
    </row>
    <row r="297" spans="1:19" ht="14.25" hidden="1">
      <c r="A297" s="18"/>
      <c r="B297" s="18"/>
      <c r="C297" s="18"/>
      <c r="D297" s="18"/>
      <c r="E297" s="18"/>
      <c r="F297" s="18"/>
      <c r="G297" s="18"/>
      <c r="H297" s="18"/>
      <c r="I297" s="18"/>
      <c r="J297" s="18"/>
      <c r="K297" s="18"/>
      <c r="L297" s="18"/>
      <c r="M297" s="18"/>
      <c r="N297" s="18"/>
      <c r="O297" s="18"/>
      <c r="P297" s="18"/>
      <c r="Q297" s="18"/>
      <c r="R297" s="18"/>
      <c r="S297" s="18"/>
    </row>
    <row r="298" spans="1:19" ht="14.25" hidden="1">
      <c r="A298" s="18"/>
      <c r="B298" s="18"/>
      <c r="C298" s="18"/>
      <c r="D298" s="18"/>
      <c r="E298" s="18"/>
      <c r="F298" s="18"/>
      <c r="G298" s="18"/>
      <c r="H298" s="18"/>
      <c r="I298" s="18"/>
      <c r="J298" s="18"/>
      <c r="K298" s="18"/>
      <c r="L298" s="18"/>
      <c r="M298" s="18"/>
      <c r="N298" s="18"/>
      <c r="O298" s="18"/>
      <c r="P298" s="18"/>
      <c r="Q298" s="18"/>
      <c r="R298" s="18"/>
      <c r="S298" s="18"/>
    </row>
    <row r="299" spans="1:19" ht="14.25" hidden="1">
      <c r="A299" s="18"/>
      <c r="B299" s="18"/>
      <c r="C299" s="18"/>
      <c r="D299" s="18"/>
      <c r="E299" s="18"/>
      <c r="F299" s="18"/>
      <c r="G299" s="18"/>
      <c r="H299" s="18"/>
      <c r="I299" s="18"/>
      <c r="J299" s="18"/>
      <c r="K299" s="18"/>
      <c r="L299" s="18"/>
      <c r="M299" s="18"/>
      <c r="N299" s="18"/>
      <c r="O299" s="18"/>
      <c r="P299" s="18"/>
      <c r="Q299" s="18"/>
      <c r="R299" s="18"/>
      <c r="S299" s="18"/>
    </row>
    <row r="300" spans="1:19" ht="14.25" hidden="1">
      <c r="A300" s="18"/>
      <c r="B300" s="18"/>
      <c r="C300" s="18"/>
      <c r="D300" s="18"/>
      <c r="E300" s="18"/>
      <c r="F300" s="18"/>
      <c r="G300" s="18"/>
      <c r="H300" s="18"/>
      <c r="I300" s="18"/>
      <c r="J300" s="18"/>
      <c r="K300" s="18"/>
      <c r="L300" s="18"/>
      <c r="M300" s="18"/>
      <c r="N300" s="18"/>
      <c r="O300" s="18"/>
      <c r="P300" s="18"/>
      <c r="Q300" s="18"/>
      <c r="R300" s="18"/>
      <c r="S300" s="18"/>
    </row>
    <row r="301" spans="1:19" ht="14.25" hidden="1">
      <c r="A301" s="18"/>
      <c r="B301" s="18"/>
      <c r="C301" s="18"/>
      <c r="D301" s="18"/>
      <c r="E301" s="18"/>
      <c r="F301" s="18"/>
      <c r="G301" s="18"/>
      <c r="H301" s="18"/>
      <c r="I301" s="18"/>
      <c r="J301" s="18"/>
      <c r="K301" s="18"/>
      <c r="L301" s="18"/>
      <c r="M301" s="18"/>
      <c r="N301" s="18"/>
      <c r="O301" s="18"/>
      <c r="P301" s="18"/>
      <c r="Q301" s="18"/>
      <c r="R301" s="18"/>
      <c r="S301" s="18"/>
    </row>
    <row r="302" spans="1:19" ht="14.25" hidden="1">
      <c r="A302" s="18"/>
      <c r="B302" s="18"/>
      <c r="C302" s="18"/>
      <c r="D302" s="18"/>
      <c r="E302" s="18"/>
      <c r="F302" s="18"/>
      <c r="G302" s="18"/>
      <c r="H302" s="18"/>
      <c r="I302" s="18"/>
      <c r="J302" s="18"/>
      <c r="K302" s="18"/>
      <c r="L302" s="18"/>
      <c r="M302" s="18"/>
      <c r="N302" s="18"/>
      <c r="O302" s="18"/>
      <c r="P302" s="18"/>
      <c r="Q302" s="18"/>
      <c r="R302" s="18"/>
      <c r="S302" s="18"/>
    </row>
    <row r="303" spans="1:19" ht="14.25" hidden="1">
      <c r="A303" s="18"/>
      <c r="B303" s="18"/>
      <c r="C303" s="18"/>
      <c r="D303" s="18"/>
      <c r="E303" s="18"/>
      <c r="F303" s="18"/>
      <c r="G303" s="18"/>
      <c r="H303" s="18"/>
      <c r="I303" s="18"/>
      <c r="J303" s="18"/>
      <c r="K303" s="18"/>
      <c r="L303" s="18"/>
      <c r="M303" s="18"/>
      <c r="N303" s="18"/>
      <c r="O303" s="18"/>
      <c r="P303" s="18"/>
      <c r="Q303" s="18"/>
      <c r="R303" s="18"/>
      <c r="S303" s="18"/>
    </row>
    <row r="304" spans="1:19" ht="14.25" hidden="1">
      <c r="A304" s="18"/>
      <c r="B304" s="18"/>
      <c r="C304" s="18"/>
      <c r="D304" s="18"/>
      <c r="E304" s="18"/>
      <c r="F304" s="18"/>
      <c r="G304" s="18"/>
      <c r="H304" s="18"/>
      <c r="I304" s="18"/>
      <c r="J304" s="18"/>
      <c r="K304" s="18"/>
      <c r="L304" s="18"/>
      <c r="M304" s="18"/>
      <c r="N304" s="18"/>
      <c r="O304" s="18"/>
      <c r="P304" s="18"/>
      <c r="Q304" s="18"/>
      <c r="R304" s="18"/>
      <c r="S304" s="18"/>
    </row>
    <row r="305" spans="1:19" ht="14.25" hidden="1">
      <c r="A305" s="18"/>
      <c r="B305" s="18"/>
      <c r="C305" s="18"/>
      <c r="D305" s="18"/>
      <c r="E305" s="18"/>
      <c r="F305" s="18"/>
      <c r="G305" s="18"/>
      <c r="H305" s="18"/>
      <c r="I305" s="18"/>
      <c r="J305" s="18"/>
      <c r="K305" s="18"/>
      <c r="L305" s="18"/>
      <c r="M305" s="18"/>
      <c r="N305" s="18"/>
      <c r="O305" s="18"/>
      <c r="P305" s="18"/>
      <c r="Q305" s="18"/>
      <c r="R305" s="18"/>
      <c r="S305" s="18"/>
    </row>
    <row r="306" spans="1:19" ht="14.25" hidden="1">
      <c r="A306" s="18"/>
      <c r="B306" s="18"/>
      <c r="C306" s="18"/>
      <c r="D306" s="18"/>
      <c r="E306" s="18"/>
      <c r="F306" s="18"/>
      <c r="G306" s="18"/>
      <c r="H306" s="18"/>
      <c r="I306" s="18"/>
      <c r="J306" s="18"/>
      <c r="K306" s="18"/>
      <c r="L306" s="18"/>
      <c r="M306" s="18"/>
      <c r="N306" s="18"/>
      <c r="O306" s="18"/>
      <c r="P306" s="18"/>
      <c r="Q306" s="18"/>
      <c r="R306" s="18"/>
      <c r="S306" s="18"/>
    </row>
    <row r="307" spans="1:19" ht="14.25" hidden="1">
      <c r="A307" s="18"/>
      <c r="B307" s="18"/>
      <c r="C307" s="18"/>
      <c r="D307" s="18"/>
      <c r="E307" s="18"/>
      <c r="F307" s="18"/>
      <c r="G307" s="18"/>
      <c r="H307" s="18"/>
      <c r="I307" s="18"/>
      <c r="J307" s="18"/>
      <c r="K307" s="18"/>
      <c r="L307" s="18"/>
      <c r="M307" s="18"/>
      <c r="N307" s="18"/>
      <c r="O307" s="18"/>
      <c r="P307" s="18"/>
      <c r="Q307" s="18"/>
      <c r="R307" s="18"/>
      <c r="S307" s="18"/>
    </row>
    <row r="308" spans="1:19" ht="14.25" hidden="1">
      <c r="A308" s="18"/>
      <c r="B308" s="18"/>
      <c r="C308" s="18"/>
      <c r="D308" s="18"/>
      <c r="E308" s="18"/>
      <c r="F308" s="18"/>
      <c r="G308" s="18"/>
      <c r="H308" s="18"/>
      <c r="I308" s="18"/>
      <c r="J308" s="18"/>
      <c r="K308" s="18"/>
      <c r="L308" s="18"/>
      <c r="M308" s="18"/>
      <c r="N308" s="18"/>
      <c r="O308" s="18"/>
      <c r="P308" s="18"/>
      <c r="Q308" s="18"/>
      <c r="R308" s="18"/>
      <c r="S308" s="18"/>
    </row>
    <row r="309" spans="1:19" ht="14.25" hidden="1">
      <c r="A309" s="18"/>
      <c r="B309" s="18"/>
      <c r="C309" s="18"/>
      <c r="D309" s="18"/>
      <c r="E309" s="18"/>
      <c r="F309" s="18"/>
      <c r="G309" s="18"/>
      <c r="H309" s="18"/>
      <c r="I309" s="18"/>
      <c r="J309" s="18"/>
      <c r="K309" s="18"/>
      <c r="L309" s="18"/>
      <c r="M309" s="18"/>
      <c r="N309" s="18"/>
      <c r="O309" s="18"/>
      <c r="P309" s="18"/>
      <c r="Q309" s="18"/>
      <c r="R309" s="18"/>
      <c r="S309" s="18"/>
    </row>
    <row r="310" spans="1:19" ht="14.25" hidden="1">
      <c r="A310" s="18"/>
      <c r="B310" s="18"/>
      <c r="C310" s="18"/>
      <c r="D310" s="18"/>
      <c r="E310" s="18"/>
      <c r="F310" s="18"/>
      <c r="G310" s="18"/>
      <c r="H310" s="18"/>
      <c r="I310" s="18"/>
      <c r="J310" s="18"/>
      <c r="K310" s="18"/>
      <c r="L310" s="18"/>
      <c r="M310" s="18"/>
      <c r="N310" s="18"/>
      <c r="O310" s="18"/>
      <c r="P310" s="18"/>
      <c r="Q310" s="18"/>
      <c r="R310" s="18"/>
      <c r="S310" s="18"/>
    </row>
    <row r="311" spans="1:19" ht="14.25" hidden="1">
      <c r="A311" s="18"/>
      <c r="B311" s="18"/>
      <c r="C311" s="18"/>
      <c r="D311" s="18"/>
      <c r="E311" s="18"/>
      <c r="F311" s="18"/>
      <c r="G311" s="18"/>
      <c r="H311" s="18"/>
      <c r="I311" s="18"/>
      <c r="J311" s="18"/>
      <c r="K311" s="18"/>
      <c r="L311" s="18"/>
      <c r="M311" s="18"/>
      <c r="N311" s="18"/>
      <c r="O311" s="18"/>
      <c r="P311" s="18"/>
      <c r="Q311" s="18"/>
      <c r="R311" s="18"/>
      <c r="S311" s="18"/>
    </row>
    <row r="312" spans="1:19" ht="14.25" hidden="1">
      <c r="A312" s="18"/>
      <c r="B312" s="18"/>
      <c r="C312" s="18"/>
      <c r="D312" s="18"/>
      <c r="E312" s="18"/>
      <c r="F312" s="18"/>
      <c r="G312" s="18"/>
      <c r="H312" s="18"/>
      <c r="I312" s="18"/>
      <c r="J312" s="18"/>
      <c r="K312" s="18"/>
      <c r="L312" s="18"/>
      <c r="M312" s="18"/>
      <c r="N312" s="18"/>
      <c r="O312" s="18"/>
      <c r="P312" s="18"/>
      <c r="Q312" s="18"/>
      <c r="R312" s="18"/>
      <c r="S312" s="18"/>
    </row>
    <row r="313" spans="1:19" ht="14.25" hidden="1">
      <c r="A313" s="18"/>
      <c r="B313" s="18"/>
      <c r="C313" s="18"/>
      <c r="D313" s="18"/>
      <c r="E313" s="18"/>
      <c r="F313" s="18"/>
      <c r="G313" s="18"/>
      <c r="H313" s="18"/>
      <c r="I313" s="18"/>
      <c r="J313" s="18"/>
      <c r="K313" s="18"/>
      <c r="L313" s="18"/>
      <c r="M313" s="18"/>
      <c r="N313" s="18"/>
      <c r="O313" s="18"/>
      <c r="P313" s="18"/>
      <c r="Q313" s="18"/>
      <c r="R313" s="18"/>
      <c r="S313" s="18"/>
    </row>
    <row r="314" spans="1:19" ht="14.25" hidden="1">
      <c r="A314" s="18"/>
      <c r="B314" s="18"/>
      <c r="C314" s="18"/>
      <c r="D314" s="18"/>
      <c r="E314" s="18"/>
      <c r="F314" s="18"/>
      <c r="G314" s="18"/>
      <c r="H314" s="18"/>
      <c r="I314" s="18"/>
      <c r="J314" s="18"/>
      <c r="K314" s="18"/>
      <c r="L314" s="18"/>
      <c r="M314" s="18"/>
      <c r="N314" s="18"/>
      <c r="O314" s="18"/>
      <c r="P314" s="18"/>
      <c r="Q314" s="18"/>
      <c r="R314" s="18"/>
      <c r="S314" s="18"/>
    </row>
    <row r="315" spans="1:19" ht="14.25" hidden="1">
      <c r="A315" s="18"/>
      <c r="B315" s="18"/>
      <c r="C315" s="18"/>
      <c r="D315" s="18"/>
      <c r="E315" s="18"/>
      <c r="F315" s="18"/>
      <c r="G315" s="18"/>
      <c r="H315" s="18"/>
      <c r="I315" s="18"/>
      <c r="J315" s="18"/>
      <c r="K315" s="18"/>
      <c r="L315" s="18"/>
      <c r="M315" s="18"/>
      <c r="N315" s="18"/>
      <c r="O315" s="18"/>
      <c r="P315" s="18"/>
      <c r="Q315" s="18"/>
      <c r="R315" s="18"/>
      <c r="S315" s="18"/>
    </row>
    <row r="316" spans="1:19" ht="14.25" hidden="1">
      <c r="A316" s="18"/>
      <c r="B316" s="18"/>
      <c r="C316" s="18"/>
      <c r="D316" s="18"/>
      <c r="E316" s="18"/>
      <c r="F316" s="18"/>
      <c r="G316" s="18"/>
      <c r="H316" s="18"/>
      <c r="I316" s="18"/>
      <c r="J316" s="18"/>
      <c r="K316" s="18"/>
      <c r="L316" s="18"/>
      <c r="M316" s="18"/>
      <c r="N316" s="18"/>
      <c r="O316" s="18"/>
      <c r="P316" s="18"/>
      <c r="Q316" s="18"/>
      <c r="R316" s="18"/>
      <c r="S316" s="18"/>
    </row>
    <row r="317" spans="1:19" ht="14.25" hidden="1">
      <c r="A317" s="18"/>
      <c r="B317" s="18"/>
      <c r="C317" s="18"/>
      <c r="D317" s="18"/>
      <c r="E317" s="18"/>
      <c r="F317" s="18"/>
      <c r="G317" s="18"/>
      <c r="H317" s="18"/>
      <c r="I317" s="18"/>
      <c r="J317" s="18"/>
      <c r="K317" s="18"/>
      <c r="L317" s="18"/>
      <c r="M317" s="18"/>
      <c r="N317" s="18"/>
      <c r="O317" s="18"/>
      <c r="P317" s="18"/>
      <c r="Q317" s="18"/>
      <c r="R317" s="18"/>
      <c r="S317" s="18"/>
    </row>
    <row r="318" spans="1:19" ht="14.25" hidden="1">
      <c r="A318" s="18"/>
      <c r="B318" s="18"/>
      <c r="C318" s="18"/>
      <c r="D318" s="18"/>
      <c r="E318" s="18"/>
      <c r="F318" s="18"/>
      <c r="G318" s="18"/>
      <c r="H318" s="18"/>
      <c r="I318" s="18"/>
      <c r="J318" s="18"/>
      <c r="K318" s="18"/>
      <c r="L318" s="18"/>
      <c r="M318" s="18"/>
      <c r="N318" s="18"/>
      <c r="O318" s="18"/>
      <c r="P318" s="18"/>
      <c r="Q318" s="18"/>
      <c r="R318" s="18"/>
      <c r="S318" s="18"/>
    </row>
    <row r="319" spans="1:19" ht="14.25" hidden="1">
      <c r="A319" s="18"/>
      <c r="B319" s="18"/>
      <c r="C319" s="18"/>
      <c r="D319" s="18"/>
      <c r="E319" s="18"/>
      <c r="F319" s="18"/>
      <c r="G319" s="18"/>
      <c r="H319" s="18"/>
      <c r="I319" s="18"/>
      <c r="J319" s="18"/>
      <c r="K319" s="18"/>
      <c r="L319" s="18"/>
      <c r="M319" s="18"/>
      <c r="N319" s="18"/>
      <c r="O319" s="18"/>
      <c r="P319" s="18"/>
      <c r="Q319" s="18"/>
      <c r="R319" s="18"/>
      <c r="S319" s="18"/>
    </row>
    <row r="320" spans="1:19" ht="14.25" hidden="1">
      <c r="A320" s="18"/>
      <c r="B320" s="18"/>
      <c r="C320" s="18"/>
      <c r="D320" s="18"/>
      <c r="E320" s="18"/>
      <c r="F320" s="18"/>
      <c r="G320" s="18"/>
      <c r="H320" s="18"/>
      <c r="I320" s="18"/>
      <c r="J320" s="18"/>
      <c r="K320" s="18"/>
      <c r="L320" s="18"/>
      <c r="M320" s="18"/>
      <c r="N320" s="18"/>
      <c r="O320" s="18"/>
      <c r="P320" s="18"/>
      <c r="Q320" s="18"/>
      <c r="R320" s="18"/>
      <c r="S320" s="18"/>
    </row>
    <row r="321" spans="1:19" ht="14.25" hidden="1">
      <c r="A321" s="18"/>
      <c r="B321" s="18"/>
      <c r="C321" s="18"/>
      <c r="D321" s="18"/>
      <c r="E321" s="18"/>
      <c r="F321" s="18"/>
      <c r="G321" s="18"/>
      <c r="H321" s="18"/>
      <c r="I321" s="18"/>
      <c r="J321" s="18"/>
      <c r="K321" s="18"/>
      <c r="L321" s="18"/>
      <c r="M321" s="18"/>
      <c r="N321" s="18"/>
      <c r="O321" s="18"/>
      <c r="P321" s="18"/>
      <c r="Q321" s="18"/>
      <c r="R321" s="18"/>
      <c r="S321" s="18"/>
    </row>
    <row r="322" spans="1:19" ht="14.25" hidden="1">
      <c r="A322" s="18"/>
      <c r="B322" s="18"/>
      <c r="C322" s="18"/>
      <c r="D322" s="18"/>
      <c r="E322" s="18"/>
      <c r="F322" s="18"/>
      <c r="G322" s="18"/>
      <c r="H322" s="18"/>
      <c r="I322" s="18"/>
      <c r="J322" s="18"/>
      <c r="K322" s="18"/>
      <c r="L322" s="18"/>
      <c r="M322" s="18"/>
      <c r="N322" s="18"/>
      <c r="O322" s="18"/>
      <c r="P322" s="18"/>
      <c r="Q322" s="18"/>
      <c r="R322" s="18"/>
      <c r="S322" s="18"/>
    </row>
    <row r="323" spans="1:19" ht="14.25" hidden="1">
      <c r="A323" s="18"/>
      <c r="B323" s="18"/>
      <c r="C323" s="18"/>
      <c r="D323" s="18"/>
      <c r="E323" s="18"/>
      <c r="F323" s="18"/>
      <c r="G323" s="18"/>
      <c r="H323" s="18"/>
      <c r="I323" s="18"/>
      <c r="J323" s="18"/>
      <c r="K323" s="18"/>
      <c r="L323" s="18"/>
      <c r="M323" s="18"/>
      <c r="N323" s="18"/>
      <c r="O323" s="18"/>
      <c r="P323" s="18"/>
      <c r="Q323" s="18"/>
      <c r="R323" s="18"/>
      <c r="S323" s="18"/>
    </row>
    <row r="324" spans="1:19" ht="14.25" hidden="1">
      <c r="A324" s="18"/>
      <c r="B324" s="18"/>
      <c r="C324" s="18"/>
      <c r="D324" s="18"/>
      <c r="E324" s="18"/>
      <c r="F324" s="18"/>
      <c r="G324" s="18"/>
      <c r="H324" s="18"/>
      <c r="I324" s="18"/>
      <c r="J324" s="18"/>
      <c r="K324" s="18"/>
      <c r="L324" s="18"/>
      <c r="M324" s="18"/>
      <c r="N324" s="18"/>
      <c r="O324" s="18"/>
      <c r="P324" s="18"/>
      <c r="Q324" s="18"/>
      <c r="R324" s="18"/>
      <c r="S324" s="18"/>
    </row>
    <row r="325" spans="1:19" ht="14.25" hidden="1">
      <c r="A325" s="18"/>
      <c r="B325" s="18"/>
      <c r="C325" s="18"/>
      <c r="D325" s="18"/>
      <c r="E325" s="18"/>
      <c r="F325" s="18"/>
      <c r="G325" s="18"/>
      <c r="H325" s="18"/>
      <c r="I325" s="18"/>
      <c r="J325" s="18"/>
      <c r="K325" s="18"/>
      <c r="L325" s="18"/>
      <c r="M325" s="18"/>
      <c r="N325" s="18"/>
      <c r="O325" s="18"/>
      <c r="P325" s="18"/>
      <c r="Q325" s="18"/>
      <c r="R325" s="18"/>
      <c r="S325" s="18"/>
    </row>
    <row r="326" spans="1:19" ht="14.25" hidden="1">
      <c r="A326" s="18"/>
      <c r="B326" s="18"/>
      <c r="C326" s="18"/>
      <c r="D326" s="18"/>
      <c r="E326" s="18"/>
      <c r="F326" s="18"/>
      <c r="G326" s="18"/>
      <c r="H326" s="18"/>
      <c r="I326" s="18"/>
      <c r="J326" s="18"/>
      <c r="K326" s="18"/>
      <c r="L326" s="18"/>
      <c r="M326" s="18"/>
      <c r="N326" s="18"/>
      <c r="O326" s="18"/>
      <c r="P326" s="18"/>
      <c r="Q326" s="18"/>
      <c r="R326" s="18"/>
      <c r="S326" s="18"/>
    </row>
    <row r="327" spans="1:19" ht="14.25" hidden="1">
      <c r="A327" s="18"/>
      <c r="B327" s="18"/>
      <c r="C327" s="18"/>
      <c r="D327" s="18"/>
      <c r="E327" s="18"/>
      <c r="F327" s="18"/>
      <c r="G327" s="18"/>
      <c r="H327" s="18"/>
      <c r="I327" s="18"/>
      <c r="J327" s="18"/>
      <c r="K327" s="18"/>
      <c r="L327" s="18"/>
      <c r="M327" s="18"/>
      <c r="N327" s="18"/>
      <c r="O327" s="18"/>
      <c r="P327" s="18"/>
      <c r="Q327" s="18"/>
      <c r="R327" s="18"/>
      <c r="S327" s="18"/>
    </row>
    <row r="328" spans="1:19" ht="14.25" hidden="1">
      <c r="A328" s="18"/>
      <c r="B328" s="18"/>
      <c r="C328" s="18"/>
      <c r="D328" s="18"/>
      <c r="E328" s="18"/>
      <c r="F328" s="18"/>
      <c r="G328" s="18"/>
      <c r="H328" s="18"/>
      <c r="I328" s="18"/>
      <c r="J328" s="18"/>
      <c r="K328" s="18"/>
      <c r="L328" s="18"/>
      <c r="M328" s="18"/>
      <c r="N328" s="18"/>
      <c r="O328" s="18"/>
      <c r="P328" s="18"/>
      <c r="Q328" s="18"/>
      <c r="R328" s="18"/>
      <c r="S328" s="18"/>
    </row>
    <row r="329" spans="1:19" ht="14.25" hidden="1">
      <c r="A329" s="18"/>
      <c r="B329" s="18"/>
      <c r="C329" s="18"/>
      <c r="D329" s="18"/>
      <c r="E329" s="18"/>
      <c r="F329" s="18"/>
      <c r="G329" s="18"/>
      <c r="H329" s="18"/>
      <c r="I329" s="18"/>
      <c r="J329" s="18"/>
      <c r="K329" s="18"/>
      <c r="L329" s="18"/>
      <c r="M329" s="18"/>
      <c r="N329" s="18"/>
      <c r="O329" s="18"/>
      <c r="P329" s="18"/>
      <c r="Q329" s="18"/>
      <c r="R329" s="18"/>
      <c r="S329" s="18"/>
    </row>
    <row r="330" spans="1:19" ht="14.25" hidden="1">
      <c r="A330" s="18"/>
      <c r="B330" s="18"/>
      <c r="C330" s="18"/>
      <c r="D330" s="18"/>
      <c r="E330" s="18"/>
      <c r="F330" s="18"/>
      <c r="G330" s="18"/>
      <c r="H330" s="18"/>
      <c r="I330" s="18"/>
      <c r="J330" s="18"/>
      <c r="K330" s="18"/>
      <c r="L330" s="18"/>
      <c r="M330" s="18"/>
      <c r="N330" s="18"/>
      <c r="O330" s="18"/>
      <c r="P330" s="18"/>
      <c r="Q330" s="18"/>
      <c r="R330" s="18"/>
      <c r="S330" s="18"/>
    </row>
    <row r="331" spans="1:19" ht="14.25" hidden="1">
      <c r="A331" s="18"/>
      <c r="B331" s="18"/>
      <c r="C331" s="18"/>
      <c r="D331" s="18"/>
      <c r="E331" s="18"/>
      <c r="F331" s="18"/>
      <c r="G331" s="18"/>
      <c r="H331" s="18"/>
      <c r="I331" s="18"/>
      <c r="J331" s="18"/>
      <c r="K331" s="18"/>
      <c r="L331" s="18"/>
      <c r="M331" s="18"/>
      <c r="N331" s="18"/>
      <c r="O331" s="18"/>
      <c r="P331" s="18"/>
      <c r="Q331" s="18"/>
      <c r="R331" s="18"/>
      <c r="S331" s="18"/>
    </row>
    <row r="332" spans="1:19" ht="14.25" hidden="1">
      <c r="A332" s="18"/>
      <c r="B332" s="18"/>
      <c r="C332" s="18"/>
      <c r="D332" s="18"/>
      <c r="E332" s="18"/>
      <c r="F332" s="18"/>
      <c r="G332" s="18"/>
      <c r="H332" s="18"/>
      <c r="I332" s="18"/>
      <c r="J332" s="18"/>
      <c r="K332" s="18"/>
      <c r="L332" s="18"/>
      <c r="M332" s="18"/>
      <c r="N332" s="18"/>
      <c r="O332" s="18"/>
      <c r="P332" s="18"/>
      <c r="Q332" s="18"/>
      <c r="R332" s="18"/>
      <c r="S332" s="18"/>
    </row>
    <row r="333" spans="1:19" ht="14.25" hidden="1">
      <c r="A333" s="18"/>
      <c r="B333" s="18"/>
      <c r="C333" s="18"/>
      <c r="D333" s="18"/>
      <c r="E333" s="18"/>
      <c r="F333" s="18"/>
      <c r="G333" s="18"/>
      <c r="H333" s="18"/>
      <c r="I333" s="18"/>
      <c r="J333" s="18"/>
      <c r="K333" s="18"/>
      <c r="L333" s="18"/>
      <c r="M333" s="18"/>
      <c r="N333" s="18"/>
      <c r="O333" s="18"/>
      <c r="P333" s="18"/>
      <c r="Q333" s="18"/>
      <c r="R333" s="18"/>
      <c r="S333" s="18"/>
    </row>
    <row r="334" spans="1:19" ht="14.25" hidden="1">
      <c r="A334" s="18"/>
      <c r="B334" s="18"/>
      <c r="C334" s="18"/>
      <c r="D334" s="18"/>
      <c r="E334" s="18"/>
      <c r="F334" s="18"/>
      <c r="G334" s="18"/>
      <c r="H334" s="18"/>
      <c r="I334" s="18"/>
      <c r="J334" s="18"/>
      <c r="K334" s="18"/>
      <c r="L334" s="18"/>
      <c r="M334" s="18"/>
      <c r="N334" s="18"/>
      <c r="O334" s="18"/>
      <c r="P334" s="18"/>
      <c r="Q334" s="18"/>
      <c r="R334" s="18"/>
      <c r="S334" s="18"/>
    </row>
    <row r="335" spans="1:19" ht="14.25" hidden="1">
      <c r="A335" s="18"/>
      <c r="B335" s="18"/>
      <c r="C335" s="18"/>
      <c r="D335" s="18"/>
      <c r="E335" s="18"/>
      <c r="F335" s="18"/>
      <c r="G335" s="18"/>
      <c r="H335" s="18"/>
      <c r="I335" s="18"/>
      <c r="J335" s="18"/>
      <c r="K335" s="18"/>
      <c r="L335" s="18"/>
      <c r="M335" s="18"/>
      <c r="N335" s="18"/>
      <c r="O335" s="18"/>
      <c r="P335" s="18"/>
      <c r="Q335" s="18"/>
      <c r="R335" s="18"/>
      <c r="S335" s="18"/>
    </row>
    <row r="336" spans="1:19" ht="14.25" hidden="1">
      <c r="A336" s="18"/>
      <c r="B336" s="18"/>
      <c r="C336" s="18"/>
      <c r="D336" s="18"/>
      <c r="E336" s="18"/>
      <c r="F336" s="18"/>
      <c r="G336" s="18"/>
      <c r="H336" s="18"/>
      <c r="I336" s="18"/>
      <c r="J336" s="18"/>
      <c r="K336" s="18"/>
      <c r="L336" s="18"/>
      <c r="M336" s="18"/>
      <c r="N336" s="18"/>
      <c r="O336" s="18"/>
      <c r="P336" s="18"/>
      <c r="Q336" s="18"/>
      <c r="R336" s="18"/>
      <c r="S336" s="18"/>
    </row>
    <row r="337" spans="1:19" ht="14.25" hidden="1">
      <c r="A337" s="18"/>
      <c r="B337" s="18"/>
      <c r="C337" s="18"/>
      <c r="D337" s="18"/>
      <c r="E337" s="18"/>
      <c r="F337" s="18"/>
      <c r="G337" s="18"/>
      <c r="H337" s="18"/>
      <c r="I337" s="18"/>
      <c r="J337" s="18"/>
      <c r="K337" s="18"/>
      <c r="L337" s="18"/>
      <c r="M337" s="18"/>
      <c r="N337" s="18"/>
      <c r="O337" s="18"/>
      <c r="P337" s="18"/>
      <c r="Q337" s="18"/>
      <c r="R337" s="18"/>
      <c r="S337" s="18"/>
    </row>
    <row r="338" spans="1:19" ht="14.25" hidden="1">
      <c r="A338" s="18"/>
      <c r="B338" s="18"/>
      <c r="C338" s="18"/>
      <c r="D338" s="18"/>
      <c r="E338" s="18"/>
      <c r="F338" s="18"/>
      <c r="G338" s="18"/>
      <c r="H338" s="18"/>
      <c r="I338" s="18"/>
      <c r="J338" s="18"/>
      <c r="K338" s="18"/>
      <c r="L338" s="18"/>
      <c r="M338" s="18"/>
      <c r="N338" s="18"/>
      <c r="O338" s="18"/>
      <c r="P338" s="18"/>
      <c r="Q338" s="18"/>
      <c r="R338" s="18"/>
      <c r="S338" s="18"/>
    </row>
    <row r="339" spans="1:19" ht="14.25" hidden="1">
      <c r="A339" s="18"/>
      <c r="B339" s="18"/>
      <c r="C339" s="18"/>
      <c r="D339" s="18"/>
      <c r="E339" s="18"/>
      <c r="F339" s="18"/>
      <c r="G339" s="18"/>
      <c r="H339" s="18"/>
      <c r="I339" s="18"/>
      <c r="J339" s="18"/>
      <c r="K339" s="18"/>
      <c r="L339" s="18"/>
      <c r="M339" s="18"/>
      <c r="N339" s="18"/>
      <c r="O339" s="18"/>
      <c r="P339" s="18"/>
      <c r="Q339" s="18"/>
      <c r="R339" s="18"/>
      <c r="S339" s="18"/>
    </row>
    <row r="340" spans="1:19" ht="14.25" hidden="1">
      <c r="A340" s="18"/>
      <c r="B340" s="18"/>
      <c r="C340" s="18"/>
      <c r="D340" s="18"/>
      <c r="E340" s="18"/>
      <c r="F340" s="18"/>
      <c r="G340" s="18"/>
      <c r="H340" s="18"/>
      <c r="I340" s="18"/>
      <c r="J340" s="18"/>
      <c r="K340" s="18"/>
      <c r="L340" s="18"/>
      <c r="M340" s="18"/>
      <c r="N340" s="18"/>
      <c r="O340" s="18"/>
      <c r="P340" s="18"/>
      <c r="Q340" s="18"/>
      <c r="R340" s="18"/>
      <c r="S340" s="18"/>
    </row>
    <row r="341" spans="1:19" ht="14.25" hidden="1">
      <c r="A341" s="18"/>
      <c r="B341" s="18"/>
      <c r="C341" s="18"/>
      <c r="D341" s="18"/>
      <c r="E341" s="18"/>
      <c r="F341" s="18"/>
      <c r="G341" s="18"/>
      <c r="H341" s="18"/>
      <c r="I341" s="18"/>
      <c r="J341" s="18"/>
      <c r="K341" s="18"/>
      <c r="L341" s="18"/>
      <c r="M341" s="18"/>
      <c r="N341" s="18"/>
      <c r="O341" s="18"/>
      <c r="P341" s="18"/>
      <c r="Q341" s="18"/>
      <c r="R341" s="18"/>
      <c r="S341" s="18"/>
    </row>
    <row r="342" spans="1:19" ht="14.25" hidden="1">
      <c r="A342" s="18"/>
      <c r="B342" s="18"/>
      <c r="C342" s="18"/>
      <c r="D342" s="18"/>
      <c r="E342" s="18"/>
      <c r="F342" s="18"/>
      <c r="G342" s="18"/>
      <c r="H342" s="18"/>
      <c r="I342" s="18"/>
      <c r="J342" s="18"/>
      <c r="K342" s="18"/>
      <c r="L342" s="18"/>
      <c r="M342" s="18"/>
      <c r="N342" s="18"/>
      <c r="O342" s="18"/>
      <c r="P342" s="18"/>
      <c r="Q342" s="18"/>
      <c r="R342" s="18"/>
      <c r="S342" s="18"/>
    </row>
    <row r="343" spans="1:19" ht="14.25" hidden="1">
      <c r="A343" s="18"/>
      <c r="B343" s="18"/>
      <c r="C343" s="18"/>
      <c r="D343" s="18"/>
      <c r="E343" s="18"/>
      <c r="F343" s="18"/>
      <c r="G343" s="18"/>
      <c r="H343" s="18"/>
      <c r="I343" s="18"/>
      <c r="J343" s="18"/>
      <c r="K343" s="18"/>
      <c r="L343" s="18"/>
      <c r="M343" s="18"/>
      <c r="N343" s="18"/>
      <c r="O343" s="18"/>
      <c r="P343" s="18"/>
      <c r="Q343" s="18"/>
      <c r="R343" s="18"/>
      <c r="S343" s="18"/>
    </row>
    <row r="344" spans="1:19" ht="14.25" hidden="1">
      <c r="A344" s="18"/>
      <c r="B344" s="18"/>
      <c r="C344" s="18"/>
      <c r="D344" s="18"/>
      <c r="E344" s="18"/>
      <c r="F344" s="18"/>
      <c r="G344" s="18"/>
      <c r="H344" s="18"/>
      <c r="I344" s="18"/>
      <c r="J344" s="18"/>
      <c r="K344" s="18"/>
      <c r="L344" s="18"/>
      <c r="M344" s="18"/>
      <c r="N344" s="18"/>
      <c r="O344" s="18"/>
      <c r="P344" s="18"/>
      <c r="Q344" s="18"/>
      <c r="R344" s="18"/>
      <c r="S344" s="18"/>
    </row>
    <row r="345" spans="1:19" ht="14.25" hidden="1">
      <c r="A345" s="18"/>
      <c r="B345" s="18"/>
      <c r="C345" s="18"/>
      <c r="D345" s="18"/>
      <c r="E345" s="18"/>
      <c r="F345" s="18"/>
      <c r="G345" s="18"/>
      <c r="H345" s="18"/>
      <c r="I345" s="18"/>
      <c r="J345" s="18"/>
      <c r="K345" s="18"/>
      <c r="L345" s="18"/>
      <c r="M345" s="18"/>
      <c r="N345" s="18"/>
      <c r="O345" s="18"/>
      <c r="P345" s="18"/>
      <c r="Q345" s="18"/>
      <c r="R345" s="18"/>
      <c r="S345" s="18"/>
    </row>
    <row r="346" spans="1:19" ht="14.25" hidden="1">
      <c r="A346" s="18"/>
      <c r="B346" s="18"/>
      <c r="C346" s="18"/>
      <c r="D346" s="18"/>
      <c r="E346" s="18"/>
      <c r="F346" s="18"/>
      <c r="G346" s="18"/>
      <c r="H346" s="18"/>
      <c r="I346" s="18"/>
      <c r="J346" s="18"/>
      <c r="K346" s="18"/>
      <c r="L346" s="18"/>
      <c r="M346" s="18"/>
      <c r="N346" s="18"/>
      <c r="O346" s="18"/>
      <c r="P346" s="18"/>
      <c r="Q346" s="18"/>
      <c r="R346" s="18"/>
      <c r="S346" s="18"/>
    </row>
    <row r="347" spans="1:19" ht="14.25" hidden="1">
      <c r="A347" s="18"/>
      <c r="B347" s="18"/>
      <c r="C347" s="18"/>
      <c r="D347" s="18"/>
      <c r="E347" s="18"/>
      <c r="F347" s="18"/>
      <c r="G347" s="18"/>
      <c r="H347" s="18"/>
      <c r="I347" s="18"/>
      <c r="J347" s="18"/>
      <c r="K347" s="18"/>
      <c r="L347" s="18"/>
      <c r="M347" s="18"/>
      <c r="N347" s="18"/>
      <c r="O347" s="18"/>
      <c r="P347" s="18"/>
      <c r="Q347" s="18"/>
      <c r="R347" s="18"/>
      <c r="S347" s="18"/>
    </row>
    <row r="348" spans="1:19" ht="14.25" hidden="1">
      <c r="A348" s="18"/>
      <c r="B348" s="18"/>
      <c r="C348" s="18"/>
      <c r="D348" s="18"/>
      <c r="E348" s="18"/>
      <c r="F348" s="18"/>
      <c r="G348" s="18"/>
      <c r="H348" s="18"/>
      <c r="I348" s="18"/>
      <c r="J348" s="18"/>
      <c r="K348" s="18"/>
      <c r="L348" s="18"/>
      <c r="M348" s="18"/>
      <c r="N348" s="18"/>
      <c r="O348" s="18"/>
      <c r="P348" s="18"/>
      <c r="Q348" s="18"/>
      <c r="R348" s="18"/>
      <c r="S348" s="18"/>
    </row>
    <row r="349" spans="1:19" ht="14.25" hidden="1">
      <c r="A349" s="18"/>
      <c r="B349" s="18"/>
      <c r="C349" s="18"/>
      <c r="D349" s="18"/>
      <c r="E349" s="18"/>
      <c r="F349" s="18"/>
      <c r="G349" s="18"/>
      <c r="H349" s="18"/>
      <c r="I349" s="18"/>
      <c r="J349" s="18"/>
      <c r="K349" s="18"/>
      <c r="L349" s="18"/>
      <c r="M349" s="18"/>
      <c r="N349" s="18"/>
      <c r="O349" s="18"/>
      <c r="P349" s="18"/>
      <c r="Q349" s="18"/>
      <c r="R349" s="18"/>
      <c r="S349" s="18"/>
    </row>
    <row r="350" spans="1:19" ht="14.25" hidden="1">
      <c r="A350" s="18"/>
      <c r="B350" s="18"/>
      <c r="C350" s="18"/>
      <c r="D350" s="18"/>
      <c r="E350" s="18"/>
      <c r="F350" s="18"/>
      <c r="G350" s="18"/>
      <c r="H350" s="18"/>
      <c r="I350" s="18"/>
      <c r="J350" s="18"/>
      <c r="K350" s="18"/>
      <c r="L350" s="18"/>
      <c r="M350" s="18"/>
      <c r="N350" s="18"/>
      <c r="O350" s="18"/>
      <c r="P350" s="18"/>
      <c r="Q350" s="18"/>
      <c r="R350" s="18"/>
      <c r="S350" s="18"/>
    </row>
    <row r="351" spans="1:19" ht="14.25" hidden="1">
      <c r="A351" s="18"/>
      <c r="B351" s="18"/>
      <c r="C351" s="18"/>
      <c r="D351" s="18"/>
      <c r="E351" s="18"/>
      <c r="F351" s="18"/>
      <c r="G351" s="18"/>
      <c r="H351" s="18"/>
      <c r="I351" s="18"/>
      <c r="J351" s="18"/>
      <c r="K351" s="18"/>
      <c r="L351" s="18"/>
      <c r="M351" s="18"/>
      <c r="N351" s="18"/>
      <c r="O351" s="18"/>
      <c r="P351" s="18"/>
      <c r="Q351" s="18"/>
      <c r="R351" s="18"/>
      <c r="S351" s="18"/>
    </row>
    <row r="352" spans="1:19" ht="14.25" hidden="1">
      <c r="A352" s="18"/>
      <c r="B352" s="18"/>
      <c r="C352" s="18"/>
      <c r="D352" s="18"/>
      <c r="E352" s="18"/>
      <c r="F352" s="18"/>
      <c r="G352" s="18"/>
      <c r="H352" s="18"/>
      <c r="I352" s="18"/>
      <c r="J352" s="18"/>
      <c r="K352" s="18"/>
      <c r="L352" s="18"/>
      <c r="M352" s="18"/>
      <c r="N352" s="18"/>
      <c r="O352" s="18"/>
      <c r="P352" s="18"/>
      <c r="Q352" s="18"/>
      <c r="R352" s="18"/>
      <c r="S352" s="18"/>
    </row>
    <row r="353" spans="1:19" ht="14.25" hidden="1">
      <c r="A353" s="18"/>
      <c r="B353" s="18"/>
      <c r="C353" s="18"/>
      <c r="D353" s="18"/>
      <c r="E353" s="18"/>
      <c r="F353" s="18"/>
      <c r="G353" s="18"/>
      <c r="H353" s="18"/>
      <c r="I353" s="18"/>
      <c r="J353" s="18"/>
      <c r="K353" s="18"/>
      <c r="L353" s="18"/>
      <c r="M353" s="18"/>
      <c r="N353" s="18"/>
      <c r="O353" s="18"/>
      <c r="P353" s="18"/>
      <c r="Q353" s="18"/>
      <c r="R353" s="18"/>
      <c r="S353" s="18"/>
    </row>
    <row r="354" spans="1:19" ht="14.25" hidden="1">
      <c r="A354" s="18"/>
      <c r="B354" s="18"/>
      <c r="C354" s="18"/>
      <c r="D354" s="18"/>
      <c r="E354" s="18"/>
      <c r="F354" s="18"/>
      <c r="G354" s="18"/>
      <c r="H354" s="18"/>
      <c r="I354" s="18"/>
      <c r="J354" s="18"/>
      <c r="K354" s="18"/>
      <c r="L354" s="18"/>
      <c r="M354" s="18"/>
      <c r="N354" s="18"/>
      <c r="O354" s="18"/>
      <c r="P354" s="18"/>
      <c r="Q354" s="18"/>
      <c r="R354" s="18"/>
      <c r="S354" s="18"/>
    </row>
    <row r="355" spans="1:19" ht="14.25" hidden="1">
      <c r="A355" s="18"/>
      <c r="B355" s="18"/>
      <c r="C355" s="18"/>
      <c r="D355" s="18"/>
      <c r="E355" s="18"/>
      <c r="F355" s="18"/>
      <c r="G355" s="18"/>
      <c r="H355" s="18"/>
      <c r="I355" s="18"/>
      <c r="J355" s="18"/>
      <c r="K355" s="18"/>
      <c r="L355" s="18"/>
      <c r="M355" s="18"/>
      <c r="N355" s="18"/>
      <c r="O355" s="18"/>
      <c r="P355" s="18"/>
      <c r="Q355" s="18"/>
      <c r="R355" s="18"/>
      <c r="S355" s="18"/>
    </row>
    <row r="356" spans="1:19" ht="14.25" hidden="1">
      <c r="A356" s="18"/>
      <c r="B356" s="18"/>
      <c r="C356" s="18"/>
      <c r="D356" s="18"/>
      <c r="E356" s="18"/>
      <c r="F356" s="18"/>
      <c r="G356" s="18"/>
      <c r="H356" s="18"/>
      <c r="I356" s="18"/>
      <c r="J356" s="18"/>
      <c r="K356" s="18"/>
      <c r="L356" s="18"/>
      <c r="M356" s="18"/>
      <c r="N356" s="18"/>
      <c r="O356" s="18"/>
      <c r="P356" s="18"/>
      <c r="Q356" s="18"/>
      <c r="R356" s="18"/>
      <c r="S356" s="18"/>
    </row>
    <row r="357" spans="1:19" ht="14.25" hidden="1">
      <c r="A357" s="18"/>
      <c r="B357" s="18"/>
      <c r="C357" s="18"/>
      <c r="D357" s="18"/>
      <c r="E357" s="18"/>
      <c r="F357" s="18"/>
      <c r="G357" s="18"/>
      <c r="H357" s="18"/>
      <c r="I357" s="18"/>
      <c r="J357" s="18"/>
      <c r="K357" s="18"/>
      <c r="L357" s="18"/>
      <c r="M357" s="18"/>
      <c r="N357" s="18"/>
      <c r="O357" s="18"/>
      <c r="P357" s="18"/>
      <c r="Q357" s="18"/>
      <c r="R357" s="18"/>
      <c r="S357" s="18"/>
    </row>
    <row r="358" spans="1:19" ht="14.25" hidden="1">
      <c r="A358" s="18"/>
      <c r="B358" s="18"/>
      <c r="C358" s="18"/>
      <c r="D358" s="18"/>
      <c r="E358" s="18"/>
      <c r="F358" s="18"/>
      <c r="G358" s="18"/>
      <c r="H358" s="18"/>
      <c r="I358" s="18"/>
      <c r="J358" s="18"/>
      <c r="K358" s="18"/>
      <c r="L358" s="18"/>
      <c r="M358" s="18"/>
      <c r="N358" s="18"/>
      <c r="O358" s="18"/>
      <c r="P358" s="18"/>
      <c r="Q358" s="18"/>
      <c r="R358" s="18"/>
      <c r="S358" s="18"/>
    </row>
    <row r="359" spans="1:19" ht="14.25" hidden="1">
      <c r="A359" s="18"/>
      <c r="B359" s="18"/>
      <c r="C359" s="18"/>
      <c r="D359" s="18"/>
      <c r="E359" s="18"/>
      <c r="F359" s="18"/>
      <c r="G359" s="18"/>
      <c r="H359" s="18"/>
      <c r="I359" s="18"/>
      <c r="J359" s="18"/>
      <c r="K359" s="18"/>
      <c r="L359" s="18"/>
      <c r="M359" s="18"/>
      <c r="N359" s="18"/>
      <c r="O359" s="18"/>
      <c r="P359" s="18"/>
      <c r="Q359" s="18"/>
      <c r="R359" s="18"/>
      <c r="S359" s="18"/>
    </row>
    <row r="360" spans="1:19" ht="14.25" hidden="1">
      <c r="A360" s="18"/>
      <c r="B360" s="18"/>
      <c r="C360" s="18"/>
      <c r="D360" s="18"/>
      <c r="E360" s="18"/>
      <c r="F360" s="18"/>
      <c r="G360" s="18"/>
      <c r="H360" s="18"/>
      <c r="I360" s="18"/>
      <c r="J360" s="18"/>
      <c r="K360" s="18"/>
      <c r="L360" s="18"/>
      <c r="M360" s="18"/>
      <c r="N360" s="18"/>
      <c r="O360" s="18"/>
      <c r="P360" s="18"/>
      <c r="Q360" s="18"/>
      <c r="R360" s="18"/>
      <c r="S360" s="18"/>
    </row>
    <row r="361" spans="1:19" ht="14.25" hidden="1">
      <c r="A361" s="18"/>
      <c r="B361" s="18"/>
      <c r="C361" s="18"/>
      <c r="D361" s="18"/>
      <c r="E361" s="18"/>
      <c r="F361" s="18"/>
      <c r="G361" s="18"/>
      <c r="H361" s="18"/>
      <c r="I361" s="18"/>
      <c r="J361" s="18"/>
      <c r="K361" s="18"/>
      <c r="L361" s="18"/>
      <c r="M361" s="18"/>
      <c r="N361" s="18"/>
      <c r="O361" s="18"/>
      <c r="P361" s="18"/>
      <c r="Q361" s="18"/>
      <c r="R361" s="18"/>
      <c r="S361" s="18"/>
    </row>
    <row r="362" spans="1:19" ht="14.25" hidden="1">
      <c r="A362" s="18"/>
      <c r="B362" s="18"/>
      <c r="C362" s="18"/>
      <c r="D362" s="18"/>
      <c r="E362" s="18"/>
      <c r="F362" s="18"/>
      <c r="G362" s="18"/>
      <c r="H362" s="18"/>
      <c r="I362" s="18"/>
      <c r="J362" s="18"/>
      <c r="K362" s="18"/>
      <c r="L362" s="18"/>
      <c r="M362" s="18"/>
      <c r="N362" s="18"/>
      <c r="O362" s="18"/>
      <c r="P362" s="18"/>
      <c r="Q362" s="18"/>
      <c r="R362" s="18"/>
      <c r="S362" s="18"/>
    </row>
    <row r="363" spans="1:19" ht="14.25" hidden="1">
      <c r="A363" s="18"/>
      <c r="B363" s="18"/>
      <c r="C363" s="18"/>
      <c r="D363" s="18"/>
      <c r="E363" s="18"/>
      <c r="F363" s="18"/>
      <c r="G363" s="18"/>
      <c r="H363" s="18"/>
      <c r="I363" s="18"/>
      <c r="J363" s="18"/>
      <c r="K363" s="18"/>
      <c r="L363" s="18"/>
      <c r="M363" s="18"/>
      <c r="N363" s="18"/>
      <c r="O363" s="18"/>
      <c r="P363" s="18"/>
      <c r="Q363" s="18"/>
      <c r="R363" s="18"/>
      <c r="S363" s="18"/>
    </row>
    <row r="364" spans="1:19" ht="14.25" hidden="1">
      <c r="A364" s="18"/>
      <c r="B364" s="18"/>
      <c r="C364" s="18"/>
      <c r="D364" s="18"/>
      <c r="E364" s="18"/>
      <c r="F364" s="18"/>
      <c r="G364" s="18"/>
      <c r="H364" s="18"/>
      <c r="I364" s="18"/>
      <c r="J364" s="18"/>
      <c r="K364" s="18"/>
      <c r="L364" s="18"/>
      <c r="M364" s="18"/>
      <c r="N364" s="18"/>
      <c r="O364" s="18"/>
      <c r="P364" s="18"/>
      <c r="Q364" s="18"/>
      <c r="R364" s="18"/>
      <c r="S364" s="18"/>
    </row>
    <row r="365" spans="1:19" ht="14.25" hidden="1">
      <c r="A365" s="18"/>
      <c r="B365" s="18"/>
      <c r="C365" s="18"/>
      <c r="D365" s="18"/>
      <c r="E365" s="18"/>
      <c r="F365" s="18"/>
      <c r="G365" s="18"/>
      <c r="H365" s="18"/>
      <c r="I365" s="18"/>
      <c r="J365" s="18"/>
      <c r="K365" s="18"/>
      <c r="L365" s="18"/>
      <c r="M365" s="18"/>
      <c r="N365" s="18"/>
      <c r="O365" s="18"/>
      <c r="P365" s="18"/>
      <c r="Q365" s="18"/>
      <c r="R365" s="18"/>
      <c r="S365" s="18"/>
    </row>
    <row r="366" spans="1:19" ht="14.25" hidden="1">
      <c r="A366" s="18"/>
      <c r="B366" s="18"/>
      <c r="C366" s="18"/>
      <c r="D366" s="18"/>
      <c r="E366" s="18"/>
      <c r="F366" s="18"/>
      <c r="G366" s="18"/>
      <c r="H366" s="18"/>
      <c r="I366" s="18"/>
      <c r="J366" s="18"/>
      <c r="K366" s="18"/>
      <c r="L366" s="18"/>
      <c r="M366" s="18"/>
      <c r="N366" s="18"/>
      <c r="O366" s="18"/>
      <c r="P366" s="18"/>
      <c r="Q366" s="18"/>
      <c r="R366" s="18"/>
      <c r="S366" s="18"/>
    </row>
    <row r="367" spans="1:19" ht="14.25" hidden="1">
      <c r="A367" s="18"/>
      <c r="B367" s="18"/>
      <c r="C367" s="18"/>
      <c r="D367" s="18"/>
      <c r="E367" s="18"/>
      <c r="F367" s="18"/>
      <c r="G367" s="18"/>
      <c r="H367" s="18"/>
      <c r="I367" s="18"/>
      <c r="J367" s="18"/>
      <c r="K367" s="18"/>
      <c r="L367" s="18"/>
      <c r="M367" s="18"/>
      <c r="N367" s="18"/>
      <c r="O367" s="18"/>
      <c r="P367" s="18"/>
      <c r="Q367" s="18"/>
      <c r="R367" s="18"/>
      <c r="S367" s="18"/>
    </row>
    <row r="368" spans="1:19" ht="14.25" hidden="1">
      <c r="A368" s="18"/>
      <c r="B368" s="18"/>
      <c r="C368" s="18"/>
      <c r="D368" s="18"/>
      <c r="E368" s="18"/>
      <c r="F368" s="18"/>
      <c r="G368" s="18"/>
      <c r="H368" s="18"/>
      <c r="I368" s="18"/>
      <c r="J368" s="18"/>
      <c r="K368" s="18"/>
      <c r="L368" s="18"/>
      <c r="M368" s="18"/>
      <c r="N368" s="18"/>
      <c r="O368" s="18"/>
      <c r="P368" s="18"/>
      <c r="Q368" s="18"/>
      <c r="R368" s="18"/>
      <c r="S368" s="18"/>
    </row>
    <row r="369" spans="1:19" ht="14.25" hidden="1">
      <c r="A369" s="18"/>
      <c r="B369" s="18"/>
      <c r="C369" s="18"/>
      <c r="D369" s="18"/>
      <c r="E369" s="18"/>
      <c r="F369" s="18"/>
      <c r="G369" s="18"/>
      <c r="H369" s="18"/>
      <c r="I369" s="18"/>
      <c r="J369" s="18"/>
      <c r="K369" s="18"/>
      <c r="L369" s="18"/>
      <c r="M369" s="18"/>
      <c r="N369" s="18"/>
      <c r="O369" s="18"/>
      <c r="P369" s="18"/>
      <c r="Q369" s="18"/>
      <c r="R369" s="18"/>
      <c r="S369" s="18"/>
    </row>
    <row r="370" spans="1:19" ht="14.25" hidden="1">
      <c r="A370" s="18"/>
      <c r="B370" s="18"/>
      <c r="C370" s="18"/>
      <c r="D370" s="18"/>
      <c r="E370" s="18"/>
      <c r="F370" s="18"/>
      <c r="G370" s="18"/>
      <c r="H370" s="18"/>
      <c r="I370" s="18"/>
      <c r="J370" s="18"/>
      <c r="K370" s="18"/>
      <c r="L370" s="18"/>
      <c r="M370" s="18"/>
      <c r="N370" s="18"/>
      <c r="O370" s="18"/>
      <c r="P370" s="18"/>
      <c r="Q370" s="18"/>
      <c r="R370" s="18"/>
      <c r="S370" s="18"/>
    </row>
    <row r="371" spans="1:19" ht="14.25" hidden="1">
      <c r="A371" s="18"/>
      <c r="B371" s="18"/>
      <c r="C371" s="18"/>
      <c r="D371" s="18"/>
      <c r="E371" s="18"/>
      <c r="F371" s="18"/>
      <c r="G371" s="18"/>
      <c r="H371" s="18"/>
      <c r="I371" s="18"/>
      <c r="J371" s="18"/>
      <c r="K371" s="18"/>
      <c r="L371" s="18"/>
      <c r="M371" s="18"/>
      <c r="N371" s="18"/>
      <c r="O371" s="18"/>
      <c r="P371" s="18"/>
      <c r="Q371" s="18"/>
      <c r="R371" s="18"/>
      <c r="S371" s="18"/>
    </row>
    <row r="372" spans="1:19" ht="14.25" hidden="1">
      <c r="A372" s="18"/>
      <c r="B372" s="18"/>
      <c r="C372" s="18"/>
      <c r="D372" s="18"/>
      <c r="E372" s="18"/>
      <c r="F372" s="18"/>
      <c r="G372" s="18"/>
      <c r="H372" s="18"/>
      <c r="I372" s="18"/>
      <c r="J372" s="18"/>
      <c r="K372" s="18"/>
      <c r="L372" s="18"/>
      <c r="M372" s="18"/>
      <c r="N372" s="18"/>
      <c r="O372" s="18"/>
      <c r="P372" s="18"/>
      <c r="Q372" s="18"/>
      <c r="R372" s="18"/>
      <c r="S372" s="18"/>
    </row>
    <row r="373" spans="1:19" ht="14.25" hidden="1">
      <c r="A373" s="18"/>
      <c r="B373" s="18"/>
      <c r="C373" s="18"/>
      <c r="D373" s="18"/>
      <c r="E373" s="18"/>
      <c r="F373" s="18"/>
      <c r="G373" s="18"/>
      <c r="H373" s="18"/>
      <c r="I373" s="18"/>
      <c r="J373" s="18"/>
      <c r="K373" s="18"/>
      <c r="L373" s="18"/>
      <c r="M373" s="18"/>
      <c r="N373" s="18"/>
      <c r="O373" s="18"/>
      <c r="P373" s="18"/>
      <c r="Q373" s="18"/>
      <c r="R373" s="18"/>
      <c r="S373" s="18"/>
    </row>
    <row r="374" spans="1:19" ht="14.25" hidden="1">
      <c r="A374" s="18"/>
      <c r="B374" s="18"/>
      <c r="C374" s="18"/>
      <c r="D374" s="18"/>
      <c r="E374" s="18"/>
      <c r="F374" s="18"/>
      <c r="G374" s="18"/>
      <c r="H374" s="18"/>
      <c r="I374" s="18"/>
      <c r="J374" s="18"/>
      <c r="K374" s="18"/>
      <c r="L374" s="18"/>
      <c r="M374" s="18"/>
      <c r="N374" s="18"/>
      <c r="O374" s="18"/>
      <c r="P374" s="18"/>
      <c r="Q374" s="18"/>
      <c r="R374" s="18"/>
      <c r="S374" s="18"/>
    </row>
    <row r="375" spans="1:19" ht="14.25" hidden="1">
      <c r="A375" s="18"/>
      <c r="B375" s="18"/>
      <c r="C375" s="18"/>
      <c r="D375" s="18"/>
      <c r="E375" s="18"/>
      <c r="F375" s="18"/>
      <c r="G375" s="18"/>
      <c r="H375" s="18"/>
      <c r="I375" s="18"/>
      <c r="J375" s="18"/>
      <c r="K375" s="18"/>
      <c r="L375" s="18"/>
      <c r="M375" s="18"/>
      <c r="N375" s="18"/>
      <c r="O375" s="18"/>
      <c r="P375" s="18"/>
      <c r="Q375" s="18"/>
      <c r="R375" s="18"/>
      <c r="S375" s="18"/>
    </row>
    <row r="376" spans="1:19" ht="14.25" hidden="1">
      <c r="A376" s="18"/>
      <c r="B376" s="18"/>
      <c r="C376" s="18"/>
      <c r="D376" s="18"/>
      <c r="E376" s="18"/>
      <c r="F376" s="18"/>
      <c r="G376" s="18"/>
      <c r="H376" s="18"/>
      <c r="I376" s="18"/>
      <c r="J376" s="18"/>
      <c r="K376" s="18"/>
      <c r="L376" s="18"/>
      <c r="M376" s="18"/>
      <c r="N376" s="18"/>
      <c r="O376" s="18"/>
      <c r="P376" s="18"/>
      <c r="Q376" s="18"/>
      <c r="R376" s="18"/>
      <c r="S376" s="18"/>
    </row>
    <row r="377" spans="1:19" ht="14.25" hidden="1">
      <c r="A377" s="18"/>
      <c r="B377" s="18"/>
      <c r="C377" s="18"/>
      <c r="D377" s="18"/>
      <c r="E377" s="18"/>
      <c r="F377" s="18"/>
      <c r="G377" s="18"/>
      <c r="H377" s="18"/>
      <c r="I377" s="18"/>
      <c r="J377" s="18"/>
      <c r="K377" s="18"/>
      <c r="L377" s="18"/>
      <c r="M377" s="18"/>
      <c r="N377" s="18"/>
      <c r="O377" s="18"/>
      <c r="P377" s="18"/>
      <c r="Q377" s="18"/>
      <c r="R377" s="18"/>
      <c r="S377" s="18"/>
    </row>
    <row r="378" spans="1:19" ht="14.25" hidden="1">
      <c r="A378" s="18"/>
      <c r="B378" s="18"/>
      <c r="C378" s="18"/>
      <c r="D378" s="18"/>
      <c r="E378" s="18"/>
      <c r="F378" s="18"/>
      <c r="G378" s="18"/>
      <c r="H378" s="18"/>
      <c r="I378" s="18"/>
      <c r="J378" s="18"/>
      <c r="K378" s="18"/>
      <c r="L378" s="18"/>
      <c r="M378" s="18"/>
      <c r="N378" s="18"/>
      <c r="O378" s="18"/>
      <c r="P378" s="18"/>
      <c r="Q378" s="18"/>
      <c r="R378" s="18"/>
      <c r="S378" s="18"/>
    </row>
    <row r="379" spans="1:19" ht="14.25" hidden="1">
      <c r="A379" s="18"/>
      <c r="B379" s="18"/>
      <c r="C379" s="18"/>
      <c r="D379" s="18"/>
      <c r="E379" s="18"/>
      <c r="F379" s="18"/>
      <c r="G379" s="18"/>
      <c r="H379" s="18"/>
      <c r="I379" s="18"/>
      <c r="J379" s="18"/>
      <c r="K379" s="18"/>
      <c r="L379" s="18"/>
      <c r="M379" s="18"/>
      <c r="N379" s="18"/>
      <c r="O379" s="18"/>
      <c r="P379" s="18"/>
      <c r="Q379" s="18"/>
      <c r="R379" s="18"/>
      <c r="S379" s="18"/>
    </row>
    <row r="380" spans="1:19" ht="14.25" hidden="1">
      <c r="A380" s="18"/>
      <c r="B380" s="18"/>
      <c r="C380" s="18"/>
      <c r="D380" s="18"/>
      <c r="E380" s="18"/>
      <c r="F380" s="18"/>
      <c r="G380" s="18"/>
      <c r="H380" s="18"/>
      <c r="I380" s="18"/>
      <c r="J380" s="18"/>
      <c r="K380" s="18"/>
      <c r="L380" s="18"/>
      <c r="M380" s="18"/>
      <c r="N380" s="18"/>
      <c r="O380" s="18"/>
      <c r="P380" s="18"/>
      <c r="Q380" s="18"/>
      <c r="R380" s="18"/>
      <c r="S380" s="18"/>
    </row>
    <row r="381" spans="1:19" ht="14.25" hidden="1">
      <c r="A381" s="18"/>
      <c r="B381" s="18"/>
      <c r="C381" s="18"/>
      <c r="D381" s="18"/>
      <c r="E381" s="18"/>
      <c r="F381" s="18"/>
      <c r="G381" s="18"/>
      <c r="H381" s="18"/>
      <c r="I381" s="18"/>
      <c r="J381" s="18"/>
      <c r="K381" s="18"/>
      <c r="L381" s="18"/>
      <c r="M381" s="18"/>
      <c r="N381" s="18"/>
      <c r="O381" s="18"/>
      <c r="P381" s="18"/>
      <c r="Q381" s="18"/>
      <c r="R381" s="18"/>
      <c r="S381" s="18"/>
    </row>
    <row r="382" spans="1:19" ht="14.25" hidden="1">
      <c r="A382" s="18"/>
      <c r="B382" s="18"/>
      <c r="C382" s="18"/>
      <c r="D382" s="18"/>
      <c r="E382" s="18"/>
      <c r="F382" s="18"/>
      <c r="G382" s="18"/>
      <c r="H382" s="18"/>
      <c r="I382" s="18"/>
      <c r="J382" s="18"/>
      <c r="K382" s="18"/>
      <c r="L382" s="18"/>
      <c r="M382" s="18"/>
      <c r="N382" s="18"/>
      <c r="O382" s="18"/>
      <c r="P382" s="18"/>
      <c r="Q382" s="18"/>
      <c r="R382" s="18"/>
      <c r="S382" s="18"/>
    </row>
    <row r="383" spans="1:19" ht="14.25" hidden="1">
      <c r="A383" s="18"/>
      <c r="B383" s="18"/>
      <c r="C383" s="18"/>
      <c r="D383" s="18"/>
      <c r="E383" s="18"/>
      <c r="F383" s="18"/>
      <c r="G383" s="18"/>
      <c r="H383" s="18"/>
      <c r="I383" s="18"/>
      <c r="J383" s="18"/>
      <c r="K383" s="18"/>
      <c r="L383" s="18"/>
      <c r="M383" s="18"/>
      <c r="N383" s="18"/>
      <c r="O383" s="18"/>
      <c r="P383" s="18"/>
      <c r="Q383" s="18"/>
      <c r="R383" s="18"/>
      <c r="S383" s="18"/>
    </row>
    <row r="384" spans="1:19" ht="14.25" hidden="1">
      <c r="A384" s="18"/>
      <c r="B384" s="18"/>
      <c r="C384" s="18"/>
      <c r="D384" s="18"/>
      <c r="E384" s="18"/>
      <c r="F384" s="18"/>
      <c r="G384" s="18"/>
      <c r="H384" s="18"/>
      <c r="I384" s="18"/>
      <c r="J384" s="18"/>
      <c r="K384" s="18"/>
      <c r="L384" s="18"/>
      <c r="M384" s="18"/>
      <c r="N384" s="18"/>
      <c r="O384" s="18"/>
      <c r="P384" s="18"/>
      <c r="Q384" s="18"/>
      <c r="R384" s="18"/>
      <c r="S384" s="18"/>
    </row>
    <row r="385" spans="1:19" ht="14.25" hidden="1">
      <c r="A385" s="18"/>
      <c r="B385" s="18"/>
      <c r="C385" s="18"/>
      <c r="D385" s="18"/>
      <c r="E385" s="18"/>
      <c r="F385" s="18"/>
      <c r="G385" s="18"/>
      <c r="H385" s="18"/>
      <c r="I385" s="18"/>
      <c r="J385" s="18"/>
      <c r="K385" s="18"/>
      <c r="L385" s="18"/>
      <c r="M385" s="18"/>
      <c r="N385" s="18"/>
      <c r="O385" s="18"/>
      <c r="P385" s="18"/>
      <c r="Q385" s="18"/>
      <c r="R385" s="18"/>
      <c r="S385" s="18"/>
    </row>
    <row r="386" spans="1:19" ht="14.25" hidden="1">
      <c r="A386" s="18"/>
      <c r="B386" s="18"/>
      <c r="C386" s="18"/>
      <c r="D386" s="18"/>
      <c r="E386" s="18"/>
      <c r="F386" s="18"/>
      <c r="G386" s="18"/>
      <c r="H386" s="18"/>
      <c r="I386" s="18"/>
      <c r="J386" s="18"/>
      <c r="K386" s="18"/>
      <c r="L386" s="18"/>
      <c r="M386" s="18"/>
      <c r="N386" s="18"/>
      <c r="O386" s="18"/>
      <c r="P386" s="18"/>
      <c r="Q386" s="18"/>
      <c r="R386" s="18"/>
      <c r="S386" s="18"/>
    </row>
    <row r="387" spans="1:19" ht="14.25" hidden="1">
      <c r="A387" s="18"/>
      <c r="B387" s="18"/>
      <c r="C387" s="18"/>
      <c r="D387" s="18"/>
      <c r="E387" s="18"/>
      <c r="F387" s="18"/>
      <c r="G387" s="18"/>
      <c r="H387" s="18"/>
      <c r="I387" s="18"/>
      <c r="J387" s="18"/>
      <c r="K387" s="18"/>
      <c r="L387" s="18"/>
      <c r="M387" s="18"/>
      <c r="N387" s="18"/>
      <c r="O387" s="18"/>
      <c r="P387" s="18"/>
      <c r="Q387" s="18"/>
      <c r="R387" s="18"/>
      <c r="S387" s="18"/>
    </row>
    <row r="388" spans="1:19" ht="14.25" hidden="1">
      <c r="A388" s="18"/>
      <c r="B388" s="18"/>
      <c r="C388" s="18"/>
      <c r="D388" s="18"/>
      <c r="E388" s="18"/>
      <c r="F388" s="18"/>
      <c r="G388" s="18"/>
      <c r="H388" s="18"/>
      <c r="I388" s="18"/>
      <c r="J388" s="18"/>
      <c r="K388" s="18"/>
      <c r="L388" s="18"/>
      <c r="M388" s="18"/>
      <c r="N388" s="18"/>
      <c r="O388" s="18"/>
      <c r="P388" s="18"/>
      <c r="Q388" s="18"/>
      <c r="R388" s="18"/>
      <c r="S388" s="18"/>
    </row>
    <row r="389" spans="1:19" ht="14.25" hidden="1">
      <c r="A389" s="18"/>
      <c r="B389" s="18"/>
      <c r="C389" s="18"/>
      <c r="D389" s="18"/>
      <c r="E389" s="18"/>
      <c r="F389" s="18"/>
      <c r="G389" s="18"/>
      <c r="H389" s="18"/>
      <c r="I389" s="18"/>
      <c r="J389" s="18"/>
      <c r="K389" s="18"/>
      <c r="L389" s="18"/>
      <c r="M389" s="18"/>
      <c r="N389" s="18"/>
      <c r="O389" s="18"/>
      <c r="P389" s="18"/>
      <c r="Q389" s="18"/>
      <c r="R389" s="18"/>
      <c r="S389" s="18"/>
    </row>
    <row r="390" spans="1:19" ht="14.25" hidden="1">
      <c r="A390" s="18"/>
      <c r="B390" s="18"/>
      <c r="C390" s="18"/>
      <c r="D390" s="18"/>
      <c r="E390" s="18"/>
      <c r="F390" s="18"/>
      <c r="G390" s="18"/>
      <c r="H390" s="18"/>
      <c r="I390" s="18"/>
      <c r="J390" s="18"/>
      <c r="K390" s="18"/>
      <c r="L390" s="18"/>
      <c r="M390" s="18"/>
      <c r="N390" s="18"/>
      <c r="O390" s="18"/>
      <c r="P390" s="18"/>
      <c r="Q390" s="18"/>
      <c r="R390" s="18"/>
      <c r="S390" s="18"/>
    </row>
    <row r="391" spans="1:19" ht="14.25" hidden="1">
      <c r="A391" s="18"/>
      <c r="B391" s="18"/>
      <c r="C391" s="18"/>
      <c r="D391" s="18"/>
      <c r="E391" s="18"/>
      <c r="F391" s="18"/>
      <c r="G391" s="18"/>
      <c r="H391" s="18"/>
      <c r="I391" s="18"/>
      <c r="J391" s="18"/>
      <c r="K391" s="18"/>
      <c r="L391" s="18"/>
      <c r="M391" s="18"/>
      <c r="N391" s="18"/>
      <c r="O391" s="18"/>
      <c r="P391" s="18"/>
      <c r="Q391" s="18"/>
      <c r="R391" s="18"/>
      <c r="S391" s="18"/>
    </row>
    <row r="392" spans="1:19" ht="14.25" hidden="1">
      <c r="A392" s="18"/>
      <c r="B392" s="18"/>
      <c r="C392" s="18"/>
      <c r="D392" s="18"/>
      <c r="E392" s="18"/>
      <c r="F392" s="18"/>
      <c r="G392" s="18"/>
      <c r="H392" s="18"/>
      <c r="I392" s="18"/>
      <c r="J392" s="18"/>
      <c r="K392" s="18"/>
      <c r="L392" s="18"/>
      <c r="M392" s="18"/>
      <c r="N392" s="18"/>
      <c r="O392" s="18"/>
      <c r="P392" s="18"/>
      <c r="Q392" s="18"/>
      <c r="R392" s="18"/>
      <c r="S392" s="18"/>
    </row>
    <row r="393" spans="1:19" ht="14.25" hidden="1">
      <c r="A393" s="18"/>
      <c r="B393" s="18"/>
      <c r="C393" s="18"/>
      <c r="D393" s="18"/>
      <c r="E393" s="18"/>
      <c r="F393" s="18"/>
      <c r="G393" s="18"/>
      <c r="H393" s="18"/>
      <c r="I393" s="18"/>
      <c r="J393" s="18"/>
      <c r="K393" s="18"/>
      <c r="L393" s="18"/>
      <c r="M393" s="18"/>
      <c r="N393" s="18"/>
      <c r="O393" s="18"/>
      <c r="P393" s="18"/>
      <c r="Q393" s="18"/>
      <c r="R393" s="18"/>
      <c r="S393" s="18"/>
    </row>
    <row r="394" spans="1:19" ht="14.25" hidden="1">
      <c r="A394" s="18"/>
      <c r="B394" s="18"/>
      <c r="C394" s="18"/>
      <c r="D394" s="18"/>
      <c r="E394" s="18"/>
      <c r="F394" s="18"/>
      <c r="G394" s="18"/>
      <c r="H394" s="18"/>
      <c r="I394" s="18"/>
      <c r="J394" s="18"/>
      <c r="K394" s="18"/>
      <c r="L394" s="18"/>
      <c r="M394" s="18"/>
      <c r="N394" s="18"/>
      <c r="O394" s="18"/>
      <c r="P394" s="18"/>
      <c r="Q394" s="18"/>
      <c r="R394" s="18"/>
      <c r="S394" s="18"/>
    </row>
    <row r="395" spans="1:19" ht="14.25" hidden="1">
      <c r="A395" s="18"/>
      <c r="B395" s="18"/>
      <c r="C395" s="18"/>
      <c r="D395" s="18"/>
      <c r="E395" s="18"/>
      <c r="F395" s="18"/>
      <c r="G395" s="18"/>
      <c r="H395" s="18"/>
      <c r="I395" s="18"/>
      <c r="J395" s="18"/>
      <c r="K395" s="18"/>
      <c r="L395" s="18"/>
      <c r="M395" s="18"/>
      <c r="N395" s="18"/>
      <c r="O395" s="18"/>
      <c r="P395" s="18"/>
      <c r="Q395" s="18"/>
      <c r="R395" s="18"/>
      <c r="S395" s="18"/>
    </row>
    <row r="396" spans="1:19" ht="14.25" hidden="1">
      <c r="A396" s="18"/>
      <c r="B396" s="18"/>
      <c r="C396" s="18"/>
      <c r="D396" s="18"/>
      <c r="E396" s="18"/>
      <c r="F396" s="18"/>
      <c r="G396" s="18"/>
      <c r="H396" s="18"/>
      <c r="I396" s="18"/>
      <c r="J396" s="18"/>
      <c r="K396" s="18"/>
      <c r="L396" s="18"/>
      <c r="M396" s="18"/>
      <c r="N396" s="18"/>
      <c r="O396" s="18"/>
      <c r="P396" s="18"/>
      <c r="Q396" s="18"/>
      <c r="R396" s="18"/>
      <c r="S396" s="18"/>
    </row>
    <row r="397" spans="1:19" ht="14.25" hidden="1">
      <c r="A397" s="18"/>
      <c r="B397" s="18"/>
      <c r="C397" s="18"/>
      <c r="D397" s="18"/>
      <c r="E397" s="18"/>
      <c r="F397" s="18"/>
      <c r="G397" s="18"/>
      <c r="H397" s="18"/>
      <c r="I397" s="18"/>
      <c r="J397" s="18"/>
      <c r="K397" s="18"/>
      <c r="L397" s="18"/>
      <c r="M397" s="18"/>
      <c r="N397" s="18"/>
      <c r="O397" s="18"/>
      <c r="P397" s="18"/>
      <c r="Q397" s="18"/>
      <c r="R397" s="18"/>
      <c r="S397" s="18"/>
    </row>
    <row r="398" spans="1:19" ht="14.25" hidden="1">
      <c r="A398" s="18"/>
      <c r="B398" s="18"/>
      <c r="C398" s="18"/>
      <c r="D398" s="18"/>
      <c r="E398" s="18"/>
      <c r="F398" s="18"/>
      <c r="G398" s="18"/>
      <c r="H398" s="18"/>
      <c r="I398" s="18"/>
      <c r="J398" s="18"/>
      <c r="K398" s="18"/>
      <c r="L398" s="18"/>
      <c r="M398" s="18"/>
      <c r="N398" s="18"/>
      <c r="O398" s="18"/>
      <c r="P398" s="18"/>
      <c r="Q398" s="18"/>
      <c r="R398" s="18"/>
      <c r="S398" s="18"/>
    </row>
    <row r="399" spans="1:19" ht="14.25" hidden="1">
      <c r="A399" s="18"/>
      <c r="B399" s="18"/>
      <c r="C399" s="18"/>
      <c r="D399" s="18"/>
      <c r="E399" s="18"/>
      <c r="F399" s="18"/>
      <c r="G399" s="18"/>
      <c r="H399" s="18"/>
      <c r="I399" s="18"/>
      <c r="J399" s="18"/>
      <c r="K399" s="18"/>
      <c r="L399" s="18"/>
      <c r="M399" s="18"/>
      <c r="N399" s="18"/>
      <c r="O399" s="18"/>
      <c r="P399" s="18"/>
      <c r="Q399" s="18"/>
      <c r="R399" s="18"/>
      <c r="S399" s="18"/>
    </row>
    <row r="400" spans="1:19" ht="14.25" hidden="1">
      <c r="A400" s="18"/>
      <c r="B400" s="18"/>
      <c r="C400" s="18"/>
      <c r="D400" s="18"/>
      <c r="E400" s="18"/>
      <c r="F400" s="18"/>
      <c r="G400" s="18"/>
      <c r="H400" s="18"/>
      <c r="I400" s="18"/>
      <c r="J400" s="18"/>
      <c r="K400" s="18"/>
      <c r="L400" s="18"/>
      <c r="M400" s="18"/>
      <c r="N400" s="18"/>
      <c r="O400" s="18"/>
      <c r="P400" s="18"/>
      <c r="Q400" s="18"/>
      <c r="R400" s="18"/>
      <c r="S400" s="18"/>
    </row>
    <row r="401" spans="1:19" ht="14.25" hidden="1">
      <c r="A401" s="18"/>
      <c r="B401" s="18"/>
      <c r="C401" s="18"/>
      <c r="D401" s="18"/>
      <c r="E401" s="18"/>
      <c r="F401" s="18"/>
      <c r="G401" s="18"/>
      <c r="H401" s="18"/>
      <c r="I401" s="18"/>
      <c r="J401" s="18"/>
      <c r="K401" s="18"/>
      <c r="L401" s="18"/>
      <c r="M401" s="18"/>
      <c r="N401" s="18"/>
      <c r="O401" s="18"/>
      <c r="P401" s="18"/>
      <c r="Q401" s="18"/>
      <c r="R401" s="18"/>
      <c r="S401" s="18"/>
    </row>
    <row r="402" spans="1:19" ht="14.25" hidden="1">
      <c r="A402" s="18"/>
      <c r="B402" s="18"/>
      <c r="C402" s="18"/>
      <c r="D402" s="18"/>
      <c r="E402" s="18"/>
      <c r="F402" s="18"/>
      <c r="G402" s="18"/>
      <c r="H402" s="18"/>
      <c r="I402" s="18"/>
      <c r="J402" s="18"/>
      <c r="K402" s="18"/>
      <c r="L402" s="18"/>
      <c r="M402" s="18"/>
      <c r="N402" s="18"/>
      <c r="O402" s="18"/>
      <c r="P402" s="18"/>
      <c r="Q402" s="18"/>
      <c r="R402" s="18"/>
      <c r="S402" s="18"/>
    </row>
    <row r="403" spans="1:19" ht="14.25" hidden="1">
      <c r="A403" s="18"/>
      <c r="B403" s="18"/>
      <c r="C403" s="18"/>
      <c r="D403" s="18"/>
      <c r="E403" s="18"/>
      <c r="F403" s="18"/>
      <c r="G403" s="18"/>
      <c r="H403" s="18"/>
      <c r="I403" s="18"/>
      <c r="J403" s="18"/>
      <c r="K403" s="18"/>
      <c r="L403" s="18"/>
      <c r="M403" s="18"/>
      <c r="N403" s="18"/>
      <c r="O403" s="18"/>
      <c r="P403" s="18"/>
      <c r="Q403" s="18"/>
      <c r="R403" s="18"/>
      <c r="S403" s="18"/>
    </row>
    <row r="404" spans="1:19" ht="14.25" hidden="1">
      <c r="A404" s="18"/>
      <c r="B404" s="18"/>
      <c r="C404" s="18"/>
      <c r="D404" s="18"/>
      <c r="E404" s="18"/>
      <c r="F404" s="18"/>
      <c r="G404" s="18"/>
      <c r="H404" s="18"/>
      <c r="I404" s="18"/>
      <c r="J404" s="18"/>
      <c r="K404" s="18"/>
      <c r="L404" s="18"/>
      <c r="M404" s="18"/>
      <c r="N404" s="18"/>
      <c r="O404" s="18"/>
      <c r="P404" s="18"/>
      <c r="Q404" s="18"/>
      <c r="R404" s="18"/>
      <c r="S404" s="18"/>
    </row>
    <row r="405" spans="1:19" ht="14.25" hidden="1">
      <c r="A405" s="18"/>
      <c r="B405" s="18"/>
      <c r="C405" s="18"/>
      <c r="D405" s="18"/>
      <c r="E405" s="18"/>
      <c r="F405" s="18"/>
      <c r="G405" s="18"/>
      <c r="H405" s="18"/>
      <c r="I405" s="18"/>
      <c r="J405" s="18"/>
      <c r="K405" s="18"/>
      <c r="L405" s="18"/>
      <c r="M405" s="18"/>
      <c r="N405" s="18"/>
      <c r="O405" s="18"/>
      <c r="P405" s="18"/>
      <c r="Q405" s="18"/>
      <c r="R405" s="18"/>
      <c r="S405" s="18"/>
    </row>
    <row r="406" spans="1:19" ht="14.25" hidden="1">
      <c r="A406" s="18"/>
      <c r="B406" s="18"/>
      <c r="C406" s="18"/>
      <c r="D406" s="18"/>
      <c r="E406" s="18"/>
      <c r="F406" s="18"/>
      <c r="G406" s="18"/>
      <c r="H406" s="18"/>
      <c r="I406" s="18"/>
      <c r="J406" s="18"/>
      <c r="K406" s="18"/>
      <c r="L406" s="18"/>
      <c r="M406" s="18"/>
      <c r="N406" s="18"/>
      <c r="O406" s="18"/>
      <c r="P406" s="18"/>
      <c r="Q406" s="18"/>
      <c r="R406" s="18"/>
      <c r="S406" s="18"/>
    </row>
    <row r="407" spans="1:19" ht="14.25" hidden="1">
      <c r="A407" s="18"/>
      <c r="B407" s="18"/>
      <c r="C407" s="18"/>
      <c r="D407" s="18"/>
      <c r="E407" s="18"/>
      <c r="F407" s="18"/>
      <c r="G407" s="18"/>
      <c r="H407" s="18"/>
      <c r="I407" s="18"/>
      <c r="J407" s="18"/>
      <c r="K407" s="18"/>
      <c r="L407" s="18"/>
      <c r="M407" s="18"/>
      <c r="N407" s="18"/>
      <c r="O407" s="18"/>
      <c r="P407" s="18"/>
      <c r="Q407" s="18"/>
      <c r="R407" s="18"/>
      <c r="S407" s="18"/>
    </row>
    <row r="408" spans="1:19" ht="14.25" hidden="1">
      <c r="A408" s="18"/>
      <c r="B408" s="18"/>
      <c r="C408" s="18"/>
      <c r="D408" s="18"/>
      <c r="E408" s="18"/>
      <c r="F408" s="18"/>
      <c r="G408" s="18"/>
      <c r="H408" s="18"/>
      <c r="I408" s="18"/>
      <c r="J408" s="18"/>
      <c r="K408" s="18"/>
      <c r="L408" s="18"/>
      <c r="M408" s="18"/>
      <c r="N408" s="18"/>
      <c r="O408" s="18"/>
      <c r="P408" s="18"/>
      <c r="Q408" s="18"/>
      <c r="R408" s="18"/>
      <c r="S408" s="18"/>
    </row>
    <row r="409" spans="1:19" ht="14.25" hidden="1">
      <c r="A409" s="18"/>
      <c r="B409" s="18"/>
      <c r="C409" s="18"/>
      <c r="D409" s="18"/>
      <c r="E409" s="18"/>
      <c r="F409" s="18"/>
      <c r="G409" s="18"/>
      <c r="H409" s="18"/>
      <c r="I409" s="18"/>
      <c r="J409" s="18"/>
      <c r="K409" s="18"/>
      <c r="L409" s="18"/>
      <c r="M409" s="18"/>
      <c r="N409" s="18"/>
      <c r="O409" s="18"/>
      <c r="P409" s="18"/>
      <c r="Q409" s="18"/>
      <c r="R409" s="18"/>
      <c r="S409" s="18"/>
    </row>
    <row r="410" spans="1:19" ht="14.25" hidden="1">
      <c r="A410" s="18"/>
      <c r="B410" s="18"/>
      <c r="C410" s="18"/>
      <c r="D410" s="18"/>
      <c r="E410" s="18"/>
      <c r="F410" s="18"/>
      <c r="G410" s="18"/>
      <c r="H410" s="18"/>
      <c r="I410" s="18"/>
      <c r="J410" s="18"/>
      <c r="K410" s="18"/>
      <c r="L410" s="18"/>
      <c r="M410" s="18"/>
      <c r="N410" s="18"/>
      <c r="O410" s="18"/>
      <c r="P410" s="18"/>
      <c r="Q410" s="18"/>
      <c r="R410" s="18"/>
      <c r="S410" s="18"/>
    </row>
    <row r="411" spans="1:19" ht="14.25" hidden="1">
      <c r="A411" s="18"/>
      <c r="B411" s="18"/>
      <c r="C411" s="18"/>
      <c r="D411" s="18"/>
      <c r="E411" s="18"/>
      <c r="F411" s="18"/>
      <c r="G411" s="18"/>
      <c r="H411" s="18"/>
      <c r="I411" s="18"/>
      <c r="J411" s="18"/>
      <c r="K411" s="18"/>
      <c r="L411" s="18"/>
      <c r="M411" s="18"/>
      <c r="N411" s="18"/>
      <c r="O411" s="18"/>
      <c r="P411" s="18"/>
      <c r="Q411" s="18"/>
      <c r="R411" s="18"/>
      <c r="S411" s="18"/>
    </row>
    <row r="412" spans="1:19" ht="14.25" hidden="1">
      <c r="A412" s="18"/>
      <c r="B412" s="18"/>
      <c r="C412" s="18"/>
      <c r="D412" s="18"/>
      <c r="E412" s="18"/>
      <c r="F412" s="18"/>
      <c r="G412" s="18"/>
      <c r="H412" s="18"/>
      <c r="I412" s="18"/>
      <c r="J412" s="18"/>
      <c r="K412" s="18"/>
      <c r="L412" s="18"/>
      <c r="M412" s="18"/>
      <c r="N412" s="18"/>
      <c r="O412" s="18"/>
      <c r="P412" s="18"/>
      <c r="Q412" s="18"/>
      <c r="R412" s="18"/>
      <c r="S412" s="18"/>
    </row>
    <row r="413" spans="1:19" ht="14.25" hidden="1">
      <c r="A413" s="18"/>
      <c r="B413" s="18"/>
      <c r="C413" s="18"/>
      <c r="D413" s="18"/>
      <c r="E413" s="18"/>
      <c r="F413" s="18"/>
      <c r="G413" s="18"/>
      <c r="H413" s="18"/>
      <c r="I413" s="18"/>
      <c r="J413" s="18"/>
      <c r="K413" s="18"/>
      <c r="L413" s="18"/>
      <c r="M413" s="18"/>
      <c r="N413" s="18"/>
      <c r="O413" s="18"/>
      <c r="P413" s="18"/>
      <c r="Q413" s="18"/>
      <c r="R413" s="18"/>
      <c r="S413" s="18"/>
    </row>
    <row r="414" spans="1:19" ht="14.25" hidden="1">
      <c r="A414" s="18"/>
      <c r="B414" s="18"/>
      <c r="C414" s="18"/>
      <c r="D414" s="18"/>
      <c r="E414" s="18"/>
      <c r="F414" s="18"/>
      <c r="G414" s="18"/>
      <c r="H414" s="18"/>
      <c r="I414" s="18"/>
      <c r="J414" s="18"/>
      <c r="K414" s="18"/>
      <c r="L414" s="18"/>
      <c r="M414" s="18"/>
      <c r="N414" s="18"/>
      <c r="O414" s="18"/>
      <c r="P414" s="18"/>
      <c r="Q414" s="18"/>
      <c r="R414" s="18"/>
      <c r="S414" s="18"/>
    </row>
    <row r="415" spans="1:19" ht="14.25" hidden="1">
      <c r="A415" s="18"/>
      <c r="B415" s="18"/>
      <c r="C415" s="18"/>
      <c r="D415" s="18"/>
      <c r="E415" s="18"/>
      <c r="F415" s="18"/>
      <c r="G415" s="18"/>
      <c r="H415" s="18"/>
      <c r="I415" s="18"/>
      <c r="J415" s="18"/>
      <c r="K415" s="18"/>
      <c r="L415" s="18"/>
      <c r="M415" s="18"/>
      <c r="N415" s="18"/>
      <c r="O415" s="18"/>
      <c r="P415" s="18"/>
      <c r="Q415" s="18"/>
      <c r="R415" s="18"/>
      <c r="S415" s="18"/>
    </row>
    <row r="416" spans="1:19" ht="14.25" hidden="1">
      <c r="A416" s="18"/>
      <c r="B416" s="18"/>
      <c r="C416" s="18"/>
      <c r="D416" s="18"/>
      <c r="E416" s="18"/>
      <c r="F416" s="18"/>
      <c r="G416" s="18"/>
      <c r="H416" s="18"/>
      <c r="I416" s="18"/>
      <c r="J416" s="18"/>
      <c r="K416" s="18"/>
      <c r="L416" s="18"/>
      <c r="M416" s="18"/>
      <c r="N416" s="18"/>
      <c r="O416" s="18"/>
      <c r="P416" s="18"/>
      <c r="Q416" s="18"/>
      <c r="R416" s="18"/>
      <c r="S416" s="18"/>
    </row>
    <row r="417" spans="1:19" ht="14.25" hidden="1">
      <c r="A417" s="18"/>
      <c r="B417" s="18"/>
      <c r="C417" s="18"/>
      <c r="D417" s="18"/>
      <c r="E417" s="18"/>
      <c r="F417" s="18"/>
      <c r="G417" s="18"/>
      <c r="H417" s="18"/>
      <c r="I417" s="18"/>
      <c r="J417" s="18"/>
      <c r="K417" s="18"/>
      <c r="L417" s="18"/>
      <c r="M417" s="18"/>
      <c r="N417" s="18"/>
      <c r="O417" s="18"/>
      <c r="P417" s="18"/>
      <c r="Q417" s="18"/>
      <c r="R417" s="18"/>
      <c r="S417" s="18"/>
    </row>
    <row r="418" spans="1:19" ht="14.25" hidden="1">
      <c r="A418" s="18"/>
      <c r="B418" s="18"/>
      <c r="C418" s="18"/>
      <c r="D418" s="18"/>
      <c r="E418" s="18"/>
      <c r="F418" s="18"/>
      <c r="G418" s="18"/>
      <c r="H418" s="18"/>
      <c r="I418" s="18"/>
      <c r="J418" s="18"/>
      <c r="K418" s="18"/>
      <c r="L418" s="18"/>
      <c r="M418" s="18"/>
      <c r="N418" s="18"/>
      <c r="O418" s="18"/>
      <c r="P418" s="18"/>
      <c r="Q418" s="18"/>
      <c r="R418" s="18"/>
      <c r="S418" s="18"/>
    </row>
    <row r="419" spans="1:19" ht="14.25" hidden="1">
      <c r="A419" s="18"/>
      <c r="B419" s="18"/>
      <c r="C419" s="18"/>
      <c r="D419" s="18"/>
      <c r="E419" s="18"/>
      <c r="F419" s="18"/>
      <c r="G419" s="18"/>
      <c r="H419" s="18"/>
      <c r="I419" s="18"/>
      <c r="J419" s="18"/>
      <c r="K419" s="18"/>
      <c r="L419" s="18"/>
      <c r="M419" s="18"/>
      <c r="N419" s="18"/>
      <c r="O419" s="18"/>
      <c r="P419" s="18"/>
      <c r="Q419" s="18"/>
      <c r="R419" s="18"/>
      <c r="S419" s="18"/>
    </row>
    <row r="420" spans="1:19" ht="14.25" hidden="1">
      <c r="A420" s="18"/>
      <c r="B420" s="18"/>
      <c r="C420" s="18"/>
      <c r="D420" s="18"/>
      <c r="E420" s="18"/>
      <c r="F420" s="18"/>
      <c r="G420" s="18"/>
      <c r="H420" s="18"/>
      <c r="I420" s="18"/>
      <c r="J420" s="18"/>
      <c r="K420" s="18"/>
      <c r="L420" s="18"/>
      <c r="M420" s="18"/>
      <c r="N420" s="18"/>
      <c r="O420" s="18"/>
      <c r="P420" s="18"/>
      <c r="Q420" s="18"/>
      <c r="R420" s="18"/>
      <c r="S420" s="18"/>
    </row>
    <row r="421" spans="1:19" ht="14.25" hidden="1">
      <c r="A421" s="18"/>
      <c r="B421" s="18"/>
      <c r="C421" s="18"/>
      <c r="D421" s="18"/>
      <c r="E421" s="18"/>
      <c r="F421" s="18"/>
      <c r="G421" s="18"/>
      <c r="H421" s="18"/>
      <c r="I421" s="18"/>
      <c r="J421" s="18"/>
      <c r="K421" s="18"/>
      <c r="L421" s="18"/>
      <c r="M421" s="18"/>
      <c r="N421" s="18"/>
      <c r="O421" s="18"/>
      <c r="P421" s="18"/>
      <c r="Q421" s="18"/>
      <c r="R421" s="18"/>
      <c r="S421" s="18"/>
    </row>
    <row r="422" spans="1:19" ht="14.25" hidden="1">
      <c r="A422" s="18"/>
      <c r="B422" s="18"/>
      <c r="C422" s="18"/>
      <c r="D422" s="18"/>
      <c r="E422" s="18"/>
      <c r="F422" s="18"/>
      <c r="G422" s="18"/>
      <c r="H422" s="18"/>
      <c r="I422" s="18"/>
      <c r="J422" s="18"/>
      <c r="K422" s="18"/>
      <c r="L422" s="18"/>
      <c r="M422" s="18"/>
      <c r="N422" s="18"/>
      <c r="O422" s="18"/>
      <c r="P422" s="18"/>
      <c r="Q422" s="18"/>
      <c r="R422" s="18"/>
      <c r="S422" s="18"/>
    </row>
    <row r="423" spans="1:19" ht="14.25" hidden="1">
      <c r="A423" s="18"/>
      <c r="B423" s="18"/>
      <c r="C423" s="18"/>
      <c r="D423" s="18"/>
      <c r="E423" s="18"/>
      <c r="F423" s="18"/>
      <c r="G423" s="18"/>
      <c r="H423" s="18"/>
      <c r="I423" s="18"/>
      <c r="J423" s="18"/>
      <c r="K423" s="18"/>
      <c r="L423" s="18"/>
      <c r="M423" s="18"/>
      <c r="N423" s="18"/>
      <c r="O423" s="18"/>
      <c r="P423" s="18"/>
      <c r="Q423" s="18"/>
      <c r="R423" s="18"/>
      <c r="S423" s="18"/>
    </row>
    <row r="424" spans="1:19" ht="14.25" hidden="1">
      <c r="A424" s="18"/>
      <c r="B424" s="18"/>
      <c r="C424" s="18"/>
      <c r="D424" s="18"/>
      <c r="E424" s="18"/>
      <c r="F424" s="18"/>
      <c r="G424" s="18"/>
      <c r="H424" s="18"/>
      <c r="I424" s="18"/>
      <c r="J424" s="18"/>
      <c r="K424" s="18"/>
      <c r="L424" s="18"/>
      <c r="M424" s="18"/>
      <c r="N424" s="18"/>
      <c r="O424" s="18"/>
      <c r="P424" s="18"/>
      <c r="Q424" s="18"/>
      <c r="R424" s="18"/>
      <c r="S424" s="18"/>
    </row>
    <row r="425" spans="1:19" ht="14.25" hidden="1">
      <c r="A425" s="18"/>
      <c r="B425" s="18"/>
      <c r="C425" s="18"/>
      <c r="D425" s="18"/>
      <c r="E425" s="18"/>
      <c r="F425" s="18"/>
      <c r="G425" s="18"/>
      <c r="H425" s="18"/>
      <c r="I425" s="18"/>
      <c r="J425" s="18"/>
      <c r="K425" s="18"/>
      <c r="L425" s="18"/>
      <c r="M425" s="18"/>
      <c r="N425" s="18"/>
      <c r="O425" s="18"/>
      <c r="P425" s="18"/>
      <c r="Q425" s="18"/>
      <c r="R425" s="18"/>
      <c r="S425" s="18"/>
    </row>
    <row r="426" spans="1:19" ht="14.25" hidden="1">
      <c r="A426" s="18"/>
      <c r="B426" s="18"/>
      <c r="C426" s="18"/>
      <c r="D426" s="18"/>
      <c r="E426" s="18"/>
      <c r="F426" s="18"/>
      <c r="G426" s="18"/>
      <c r="H426" s="18"/>
      <c r="I426" s="18"/>
      <c r="J426" s="18"/>
      <c r="K426" s="18"/>
      <c r="L426" s="18"/>
      <c r="M426" s="18"/>
      <c r="N426" s="18"/>
      <c r="O426" s="18"/>
      <c r="P426" s="18"/>
      <c r="Q426" s="18"/>
      <c r="R426" s="18"/>
      <c r="S426" s="18"/>
    </row>
    <row r="427" spans="1:19" ht="14.25" hidden="1">
      <c r="A427" s="18"/>
      <c r="B427" s="18"/>
      <c r="C427" s="18"/>
      <c r="D427" s="18"/>
      <c r="E427" s="18"/>
      <c r="F427" s="18"/>
      <c r="G427" s="18"/>
      <c r="H427" s="18"/>
      <c r="I427" s="18"/>
      <c r="J427" s="18"/>
      <c r="K427" s="18"/>
      <c r="L427" s="18"/>
      <c r="M427" s="18"/>
      <c r="N427" s="18"/>
      <c r="O427" s="18"/>
      <c r="P427" s="18"/>
      <c r="Q427" s="18"/>
      <c r="R427" s="18"/>
      <c r="S427" s="18"/>
    </row>
    <row r="428" spans="1:19" ht="14.25" hidden="1">
      <c r="A428" s="18"/>
      <c r="B428" s="18"/>
      <c r="C428" s="18"/>
      <c r="D428" s="18"/>
      <c r="E428" s="18"/>
      <c r="F428" s="18"/>
      <c r="G428" s="18"/>
      <c r="H428" s="18"/>
      <c r="I428" s="18"/>
      <c r="J428" s="18"/>
      <c r="K428" s="18"/>
      <c r="L428" s="18"/>
      <c r="M428" s="18"/>
      <c r="N428" s="18"/>
      <c r="O428" s="18"/>
      <c r="P428" s="18"/>
      <c r="Q428" s="18"/>
      <c r="R428" s="18"/>
      <c r="S428" s="18"/>
    </row>
    <row r="429" spans="1:19" ht="14.25" hidden="1">
      <c r="A429" s="18"/>
      <c r="B429" s="18"/>
      <c r="C429" s="18"/>
      <c r="D429" s="18"/>
      <c r="E429" s="18"/>
      <c r="F429" s="18"/>
      <c r="G429" s="18"/>
      <c r="H429" s="18"/>
      <c r="I429" s="18"/>
      <c r="J429" s="18"/>
      <c r="K429" s="18"/>
      <c r="L429" s="18"/>
      <c r="M429" s="18"/>
      <c r="N429" s="18"/>
      <c r="O429" s="18"/>
      <c r="P429" s="18"/>
      <c r="Q429" s="18"/>
      <c r="R429" s="18"/>
      <c r="S429" s="18"/>
    </row>
    <row r="430" spans="1:19" ht="14.25" hidden="1">
      <c r="A430" s="18"/>
      <c r="B430" s="18"/>
      <c r="C430" s="18"/>
      <c r="D430" s="18"/>
      <c r="E430" s="18"/>
      <c r="F430" s="18"/>
      <c r="G430" s="18"/>
      <c r="H430" s="18"/>
      <c r="I430" s="18"/>
      <c r="J430" s="18"/>
      <c r="K430" s="18"/>
      <c r="L430" s="18"/>
      <c r="M430" s="18"/>
      <c r="N430" s="18"/>
      <c r="O430" s="18"/>
      <c r="P430" s="18"/>
      <c r="Q430" s="18"/>
      <c r="R430" s="18"/>
      <c r="S430" s="18"/>
    </row>
    <row r="431" spans="1:19" ht="14.25" hidden="1">
      <c r="A431" s="18"/>
      <c r="B431" s="18"/>
      <c r="C431" s="18"/>
      <c r="D431" s="18"/>
      <c r="E431" s="18"/>
      <c r="F431" s="18"/>
      <c r="G431" s="18"/>
      <c r="H431" s="18"/>
      <c r="I431" s="18"/>
      <c r="J431" s="18"/>
      <c r="K431" s="18"/>
      <c r="L431" s="18"/>
      <c r="M431" s="18"/>
      <c r="N431" s="18"/>
      <c r="O431" s="18"/>
      <c r="P431" s="18"/>
      <c r="Q431" s="18"/>
      <c r="R431" s="18"/>
      <c r="S431" s="18"/>
    </row>
    <row r="432" spans="1:19" ht="14.25" hidden="1">
      <c r="A432" s="18"/>
      <c r="B432" s="18"/>
      <c r="C432" s="18"/>
      <c r="D432" s="18"/>
      <c r="E432" s="18"/>
      <c r="F432" s="18"/>
      <c r="G432" s="18"/>
      <c r="H432" s="18"/>
      <c r="I432" s="18"/>
      <c r="J432" s="18"/>
      <c r="K432" s="18"/>
      <c r="L432" s="18"/>
      <c r="M432" s="18"/>
      <c r="N432" s="18"/>
      <c r="O432" s="18"/>
      <c r="P432" s="18"/>
      <c r="Q432" s="18"/>
      <c r="R432" s="18"/>
      <c r="S432" s="18"/>
    </row>
    <row r="433" spans="1:19" ht="14.25" hidden="1">
      <c r="A433" s="18"/>
      <c r="B433" s="18"/>
      <c r="C433" s="18"/>
      <c r="D433" s="18"/>
      <c r="E433" s="18"/>
      <c r="F433" s="18"/>
      <c r="G433" s="18"/>
      <c r="H433" s="18"/>
      <c r="I433" s="18"/>
      <c r="J433" s="18"/>
      <c r="K433" s="18"/>
      <c r="L433" s="18"/>
      <c r="M433" s="18"/>
      <c r="N433" s="18"/>
      <c r="O433" s="18"/>
      <c r="P433" s="18"/>
      <c r="Q433" s="18"/>
      <c r="R433" s="18"/>
      <c r="S433" s="18"/>
    </row>
    <row r="434" spans="1:19" ht="14.25" hidden="1">
      <c r="A434" s="18"/>
      <c r="B434" s="18"/>
      <c r="C434" s="18"/>
      <c r="D434" s="18"/>
      <c r="E434" s="18"/>
      <c r="F434" s="18"/>
      <c r="G434" s="18"/>
      <c r="H434" s="18"/>
      <c r="I434" s="18"/>
      <c r="J434" s="18"/>
      <c r="K434" s="18"/>
      <c r="L434" s="18"/>
      <c r="M434" s="18"/>
      <c r="N434" s="18"/>
      <c r="O434" s="18"/>
      <c r="P434" s="18"/>
      <c r="Q434" s="18"/>
      <c r="R434" s="18"/>
      <c r="S434" s="18"/>
    </row>
    <row r="435" spans="1:19" ht="14.25" hidden="1">
      <c r="A435" s="18"/>
      <c r="B435" s="18"/>
      <c r="C435" s="18"/>
      <c r="D435" s="18"/>
      <c r="E435" s="18"/>
      <c r="F435" s="18"/>
      <c r="G435" s="18"/>
      <c r="H435" s="18"/>
      <c r="I435" s="18"/>
      <c r="J435" s="18"/>
      <c r="K435" s="18"/>
      <c r="L435" s="18"/>
      <c r="M435" s="18"/>
      <c r="N435" s="18"/>
      <c r="O435" s="18"/>
      <c r="P435" s="18"/>
      <c r="Q435" s="18"/>
      <c r="R435" s="18"/>
      <c r="S435" s="18"/>
    </row>
    <row r="436" spans="1:19" ht="14.25" hidden="1">
      <c r="A436" s="18"/>
      <c r="B436" s="18"/>
      <c r="C436" s="18"/>
      <c r="D436" s="18"/>
      <c r="E436" s="18"/>
      <c r="F436" s="18"/>
      <c r="G436" s="18"/>
      <c r="H436" s="18"/>
      <c r="I436" s="18"/>
      <c r="J436" s="18"/>
      <c r="K436" s="18"/>
      <c r="L436" s="18"/>
      <c r="M436" s="18"/>
      <c r="N436" s="18"/>
      <c r="O436" s="18"/>
      <c r="P436" s="18"/>
      <c r="Q436" s="18"/>
      <c r="R436" s="18"/>
      <c r="S436" s="18"/>
    </row>
    <row r="437" spans="1:19" ht="14.25" hidden="1">
      <c r="A437" s="18"/>
      <c r="B437" s="18"/>
      <c r="C437" s="18"/>
      <c r="D437" s="18"/>
      <c r="E437" s="18"/>
      <c r="F437" s="18"/>
      <c r="G437" s="18"/>
      <c r="H437" s="18"/>
      <c r="I437" s="18"/>
      <c r="J437" s="18"/>
      <c r="K437" s="18"/>
      <c r="L437" s="18"/>
      <c r="M437" s="18"/>
      <c r="N437" s="18"/>
      <c r="O437" s="18"/>
      <c r="P437" s="18"/>
      <c r="Q437" s="18"/>
      <c r="R437" s="18"/>
      <c r="S437" s="18"/>
    </row>
    <row r="438" spans="1:19" ht="14.25" hidden="1">
      <c r="A438" s="18"/>
      <c r="B438" s="18"/>
      <c r="C438" s="18"/>
      <c r="D438" s="18"/>
      <c r="E438" s="18"/>
      <c r="F438" s="18"/>
      <c r="G438" s="18"/>
      <c r="H438" s="18"/>
      <c r="I438" s="18"/>
      <c r="J438" s="18"/>
      <c r="K438" s="18"/>
      <c r="L438" s="18"/>
      <c r="M438" s="18"/>
      <c r="N438" s="18"/>
      <c r="O438" s="18"/>
      <c r="P438" s="18"/>
      <c r="Q438" s="18"/>
      <c r="R438" s="18"/>
      <c r="S438" s="18"/>
    </row>
    <row r="439" spans="1:19" ht="14.25" hidden="1">
      <c r="A439" s="18"/>
      <c r="B439" s="18"/>
      <c r="C439" s="18"/>
      <c r="D439" s="18"/>
      <c r="E439" s="18"/>
      <c r="F439" s="18"/>
      <c r="G439" s="18"/>
      <c r="H439" s="18"/>
      <c r="I439" s="18"/>
      <c r="J439" s="18"/>
      <c r="K439" s="18"/>
      <c r="L439" s="18"/>
      <c r="M439" s="18"/>
      <c r="N439" s="18"/>
      <c r="O439" s="18"/>
      <c r="P439" s="18"/>
      <c r="Q439" s="18"/>
      <c r="R439" s="18"/>
      <c r="S439" s="18"/>
    </row>
    <row r="440" spans="1:19" ht="14.25" hidden="1">
      <c r="A440" s="18"/>
      <c r="B440" s="18"/>
      <c r="C440" s="18"/>
      <c r="D440" s="18"/>
      <c r="E440" s="18"/>
      <c r="F440" s="18"/>
      <c r="G440" s="18"/>
      <c r="H440" s="18"/>
      <c r="I440" s="18"/>
      <c r="J440" s="18"/>
      <c r="K440" s="18"/>
      <c r="L440" s="18"/>
      <c r="M440" s="18"/>
      <c r="N440" s="18"/>
      <c r="O440" s="18"/>
      <c r="P440" s="18"/>
      <c r="Q440" s="18"/>
      <c r="R440" s="18"/>
      <c r="S440" s="18"/>
    </row>
    <row r="441" spans="1:19" ht="14.25" hidden="1">
      <c r="A441" s="18"/>
      <c r="B441" s="18"/>
      <c r="C441" s="18"/>
      <c r="D441" s="18"/>
      <c r="E441" s="18"/>
      <c r="F441" s="18"/>
      <c r="G441" s="18"/>
      <c r="H441" s="18"/>
      <c r="I441" s="18"/>
      <c r="J441" s="18"/>
      <c r="K441" s="18"/>
      <c r="L441" s="18"/>
      <c r="M441" s="18"/>
      <c r="N441" s="18"/>
      <c r="O441" s="18"/>
      <c r="P441" s="18"/>
      <c r="Q441" s="18"/>
      <c r="R441" s="18"/>
      <c r="S441" s="18"/>
    </row>
    <row r="442" spans="1:19" ht="14.25" hidden="1">
      <c r="A442" s="18"/>
      <c r="B442" s="18"/>
      <c r="C442" s="18"/>
      <c r="D442" s="18"/>
      <c r="E442" s="18"/>
      <c r="F442" s="18"/>
      <c r="G442" s="18"/>
      <c r="H442" s="18"/>
      <c r="I442" s="18"/>
      <c r="J442" s="18"/>
      <c r="K442" s="18"/>
      <c r="L442" s="18"/>
      <c r="M442" s="18"/>
      <c r="N442" s="18"/>
      <c r="O442" s="18"/>
      <c r="P442" s="18"/>
      <c r="Q442" s="18"/>
      <c r="R442" s="18"/>
      <c r="S442" s="18"/>
    </row>
    <row r="443" spans="1:19" ht="14.25" hidden="1">
      <c r="A443" s="18"/>
      <c r="B443" s="18"/>
      <c r="C443" s="18"/>
      <c r="D443" s="18"/>
      <c r="E443" s="18"/>
      <c r="F443" s="18"/>
      <c r="G443" s="18"/>
      <c r="H443" s="18"/>
      <c r="I443" s="18"/>
      <c r="J443" s="18"/>
      <c r="K443" s="18"/>
      <c r="L443" s="18"/>
      <c r="M443" s="18"/>
      <c r="N443" s="18"/>
      <c r="O443" s="18"/>
      <c r="P443" s="18"/>
      <c r="Q443" s="18"/>
      <c r="R443" s="18"/>
      <c r="S443" s="18"/>
    </row>
    <row r="444" spans="1:19" ht="14.25" hidden="1">
      <c r="A444" s="18"/>
      <c r="B444" s="18"/>
      <c r="C444" s="18"/>
      <c r="D444" s="18"/>
      <c r="E444" s="18"/>
      <c r="F444" s="18"/>
      <c r="G444" s="18"/>
      <c r="H444" s="18"/>
      <c r="I444" s="18"/>
      <c r="J444" s="18"/>
      <c r="K444" s="18"/>
      <c r="L444" s="18"/>
      <c r="M444" s="18"/>
      <c r="N444" s="18"/>
      <c r="O444" s="18"/>
      <c r="P444" s="18"/>
      <c r="Q444" s="18"/>
      <c r="R444" s="18"/>
      <c r="S444" s="18"/>
    </row>
    <row r="445" spans="1:19" ht="14.25" hidden="1">
      <c r="A445" s="18"/>
      <c r="B445" s="18"/>
      <c r="C445" s="18"/>
      <c r="D445" s="18"/>
      <c r="E445" s="18"/>
      <c r="F445" s="18"/>
      <c r="G445" s="18"/>
      <c r="H445" s="18"/>
      <c r="I445" s="18"/>
      <c r="J445" s="18"/>
      <c r="K445" s="18"/>
      <c r="L445" s="18"/>
      <c r="M445" s="18"/>
      <c r="N445" s="18"/>
      <c r="O445" s="18"/>
      <c r="P445" s="18"/>
      <c r="Q445" s="18"/>
      <c r="R445" s="18"/>
      <c r="S445" s="18"/>
    </row>
    <row r="446" spans="1:19" ht="14.25" hidden="1">
      <c r="A446" s="18"/>
      <c r="B446" s="18"/>
      <c r="C446" s="18"/>
      <c r="D446" s="18"/>
      <c r="E446" s="18"/>
      <c r="F446" s="18"/>
      <c r="G446" s="18"/>
      <c r="H446" s="18"/>
      <c r="I446" s="18"/>
      <c r="J446" s="18"/>
      <c r="K446" s="18"/>
      <c r="L446" s="18"/>
      <c r="M446" s="18"/>
      <c r="N446" s="18"/>
      <c r="O446" s="18"/>
      <c r="P446" s="18"/>
      <c r="Q446" s="18"/>
      <c r="R446" s="18"/>
      <c r="S446" s="18"/>
    </row>
    <row r="447" spans="1:19" ht="14.25" hidden="1">
      <c r="A447" s="18"/>
      <c r="B447" s="18"/>
      <c r="C447" s="18"/>
      <c r="D447" s="18"/>
      <c r="E447" s="18"/>
      <c r="F447" s="18"/>
      <c r="G447" s="18"/>
      <c r="H447" s="18"/>
      <c r="I447" s="18"/>
      <c r="J447" s="18"/>
      <c r="K447" s="18"/>
      <c r="L447" s="18"/>
      <c r="M447" s="18"/>
      <c r="N447" s="18"/>
      <c r="O447" s="18"/>
      <c r="P447" s="18"/>
      <c r="Q447" s="18"/>
      <c r="R447" s="18"/>
      <c r="S447" s="18"/>
    </row>
    <row r="448" spans="1:19" ht="14.25" hidden="1">
      <c r="A448" s="18"/>
      <c r="B448" s="18"/>
      <c r="C448" s="18"/>
      <c r="D448" s="18"/>
      <c r="E448" s="18"/>
      <c r="F448" s="18"/>
      <c r="G448" s="18"/>
      <c r="H448" s="18"/>
      <c r="I448" s="18"/>
      <c r="J448" s="18"/>
      <c r="K448" s="18"/>
      <c r="L448" s="18"/>
      <c r="M448" s="18"/>
      <c r="N448" s="18"/>
      <c r="O448" s="18"/>
      <c r="P448" s="18"/>
      <c r="Q448" s="18"/>
      <c r="R448" s="18"/>
      <c r="S448" s="18"/>
    </row>
    <row r="449" spans="1:19" ht="14.25" hidden="1">
      <c r="A449" s="18"/>
      <c r="B449" s="18"/>
      <c r="C449" s="18"/>
      <c r="D449" s="18"/>
      <c r="E449" s="18"/>
      <c r="F449" s="18"/>
      <c r="G449" s="18"/>
      <c r="H449" s="18"/>
      <c r="I449" s="18"/>
      <c r="J449" s="18"/>
      <c r="K449" s="18"/>
      <c r="L449" s="18"/>
      <c r="M449" s="18"/>
      <c r="N449" s="18"/>
      <c r="O449" s="18"/>
      <c r="P449" s="18"/>
      <c r="Q449" s="18"/>
      <c r="R449" s="18"/>
      <c r="S449" s="18"/>
    </row>
    <row r="450" spans="1:19" ht="14.25" hidden="1">
      <c r="A450" s="18"/>
      <c r="B450" s="18"/>
      <c r="C450" s="18"/>
      <c r="D450" s="18"/>
      <c r="E450" s="18"/>
      <c r="F450" s="18"/>
      <c r="G450" s="18"/>
      <c r="H450" s="18"/>
      <c r="I450" s="18"/>
      <c r="J450" s="18"/>
      <c r="K450" s="18"/>
      <c r="L450" s="18"/>
      <c r="M450" s="18"/>
      <c r="N450" s="18"/>
      <c r="O450" s="18"/>
      <c r="P450" s="18"/>
      <c r="Q450" s="18"/>
      <c r="R450" s="18"/>
      <c r="S450" s="18"/>
    </row>
    <row r="451" spans="1:19" ht="14.25" hidden="1">
      <c r="A451" s="18"/>
      <c r="B451" s="18"/>
      <c r="C451" s="18"/>
      <c r="D451" s="18"/>
      <c r="E451" s="18"/>
      <c r="F451" s="18"/>
      <c r="G451" s="18"/>
      <c r="H451" s="18"/>
      <c r="I451" s="18"/>
      <c r="J451" s="18"/>
      <c r="K451" s="18"/>
      <c r="L451" s="18"/>
      <c r="M451" s="18"/>
      <c r="N451" s="18"/>
      <c r="O451" s="18"/>
      <c r="P451" s="18"/>
      <c r="Q451" s="18"/>
      <c r="R451" s="18"/>
      <c r="S451" s="18"/>
    </row>
    <row r="452" spans="1:19" ht="14.25" hidden="1">
      <c r="A452" s="18"/>
      <c r="B452" s="18"/>
      <c r="C452" s="18"/>
      <c r="D452" s="18"/>
      <c r="E452" s="18"/>
      <c r="F452" s="18"/>
      <c r="G452" s="18"/>
      <c r="H452" s="18"/>
      <c r="I452" s="18"/>
      <c r="J452" s="18"/>
      <c r="K452" s="18"/>
      <c r="L452" s="18"/>
      <c r="M452" s="18"/>
      <c r="N452" s="18"/>
      <c r="O452" s="18"/>
      <c r="P452" s="18"/>
      <c r="Q452" s="18"/>
      <c r="R452" s="18"/>
      <c r="S452" s="18"/>
    </row>
    <row r="453" spans="1:19" ht="14.25" hidden="1">
      <c r="A453" s="18"/>
      <c r="B453" s="18"/>
      <c r="C453" s="18"/>
      <c r="D453" s="18"/>
      <c r="E453" s="18"/>
      <c r="F453" s="18"/>
      <c r="G453" s="18"/>
      <c r="H453" s="18"/>
      <c r="I453" s="18"/>
      <c r="J453" s="18"/>
      <c r="K453" s="18"/>
      <c r="L453" s="18"/>
      <c r="M453" s="18"/>
      <c r="N453" s="18"/>
      <c r="O453" s="18"/>
      <c r="P453" s="18"/>
      <c r="Q453" s="18"/>
      <c r="R453" s="18"/>
      <c r="S453" s="18"/>
    </row>
    <row r="454" spans="1:19" ht="14.25" hidden="1">
      <c r="A454" s="18"/>
      <c r="B454" s="18"/>
      <c r="C454" s="18"/>
      <c r="D454" s="18"/>
      <c r="E454" s="18"/>
      <c r="F454" s="18"/>
      <c r="G454" s="18"/>
      <c r="H454" s="18"/>
      <c r="I454" s="18"/>
      <c r="J454" s="18"/>
      <c r="K454" s="18"/>
      <c r="L454" s="18"/>
      <c r="M454" s="18"/>
      <c r="N454" s="18"/>
      <c r="O454" s="18"/>
      <c r="P454" s="18"/>
      <c r="Q454" s="18"/>
      <c r="R454" s="18"/>
      <c r="S454" s="18"/>
    </row>
    <row r="455" spans="1:19" ht="14.25" hidden="1">
      <c r="A455" s="18"/>
      <c r="B455" s="18"/>
      <c r="C455" s="18"/>
      <c r="D455" s="18"/>
      <c r="E455" s="18"/>
      <c r="F455" s="18"/>
      <c r="G455" s="18"/>
      <c r="H455" s="18"/>
      <c r="I455" s="18"/>
      <c r="J455" s="18"/>
      <c r="K455" s="18"/>
      <c r="L455" s="18"/>
      <c r="M455" s="18"/>
      <c r="N455" s="18"/>
      <c r="O455" s="18"/>
      <c r="P455" s="18"/>
      <c r="Q455" s="18"/>
      <c r="R455" s="18"/>
      <c r="S455" s="18"/>
    </row>
    <row r="456" spans="1:19" ht="14.25" hidden="1">
      <c r="A456" s="18"/>
      <c r="B456" s="18"/>
      <c r="C456" s="18"/>
      <c r="D456" s="18"/>
      <c r="E456" s="18"/>
      <c r="F456" s="18"/>
      <c r="G456" s="18"/>
      <c r="H456" s="18"/>
      <c r="I456" s="18"/>
      <c r="J456" s="18"/>
      <c r="K456" s="18"/>
      <c r="L456" s="18"/>
      <c r="M456" s="18"/>
      <c r="N456" s="18"/>
      <c r="O456" s="18"/>
      <c r="P456" s="18"/>
      <c r="Q456" s="18"/>
      <c r="R456" s="18"/>
      <c r="S456" s="18"/>
    </row>
    <row r="457" spans="1:19" ht="14.25" hidden="1">
      <c r="A457" s="18"/>
      <c r="B457" s="18"/>
      <c r="C457" s="18"/>
      <c r="D457" s="18"/>
      <c r="E457" s="18"/>
      <c r="F457" s="18"/>
      <c r="G457" s="18"/>
      <c r="H457" s="18"/>
      <c r="I457" s="18"/>
      <c r="J457" s="18"/>
      <c r="K457" s="18"/>
      <c r="L457" s="18"/>
      <c r="M457" s="18"/>
      <c r="N457" s="18"/>
      <c r="O457" s="18"/>
      <c r="P457" s="18"/>
      <c r="Q457" s="18"/>
      <c r="R457" s="18"/>
      <c r="S457" s="18"/>
    </row>
    <row r="458" spans="1:19" ht="14.25" hidden="1">
      <c r="A458" s="18"/>
      <c r="B458" s="18"/>
      <c r="C458" s="18"/>
      <c r="D458" s="18"/>
      <c r="E458" s="18"/>
      <c r="F458" s="18"/>
      <c r="G458" s="18"/>
      <c r="H458" s="18"/>
      <c r="I458" s="18"/>
      <c r="J458" s="18"/>
      <c r="K458" s="18"/>
      <c r="L458" s="18"/>
      <c r="M458" s="18"/>
      <c r="N458" s="18"/>
      <c r="O458" s="18"/>
      <c r="P458" s="18"/>
      <c r="Q458" s="18"/>
      <c r="R458" s="18"/>
      <c r="S458" s="18"/>
    </row>
    <row r="459" spans="1:19" ht="14.25" hidden="1">
      <c r="A459" s="18"/>
      <c r="B459" s="18"/>
      <c r="C459" s="18"/>
      <c r="D459" s="18"/>
      <c r="E459" s="18"/>
      <c r="F459" s="18"/>
      <c r="G459" s="18"/>
      <c r="H459" s="18"/>
      <c r="I459" s="18"/>
      <c r="J459" s="18"/>
      <c r="K459" s="18"/>
      <c r="L459" s="18"/>
      <c r="M459" s="18"/>
      <c r="N459" s="18"/>
      <c r="O459" s="18"/>
      <c r="P459" s="18"/>
      <c r="Q459" s="18"/>
      <c r="R459" s="18"/>
      <c r="S459" s="18"/>
    </row>
    <row r="460" spans="1:19" ht="14.25" hidden="1">
      <c r="A460" s="18"/>
      <c r="B460" s="18"/>
      <c r="C460" s="18"/>
      <c r="D460" s="18"/>
      <c r="E460" s="18"/>
      <c r="F460" s="18"/>
      <c r="G460" s="18"/>
      <c r="H460" s="18"/>
      <c r="I460" s="18"/>
      <c r="J460" s="18"/>
      <c r="K460" s="18"/>
      <c r="L460" s="18"/>
      <c r="M460" s="18"/>
      <c r="N460" s="18"/>
      <c r="O460" s="18"/>
      <c r="P460" s="18"/>
      <c r="Q460" s="18"/>
      <c r="R460" s="18"/>
      <c r="S460" s="18"/>
    </row>
    <row r="461" spans="1:19" ht="14.25" hidden="1">
      <c r="A461" s="18"/>
      <c r="B461" s="18"/>
      <c r="C461" s="18"/>
      <c r="D461" s="18"/>
      <c r="E461" s="18"/>
      <c r="F461" s="18"/>
      <c r="G461" s="18"/>
      <c r="H461" s="18"/>
      <c r="I461" s="18"/>
      <c r="J461" s="18"/>
      <c r="K461" s="18"/>
      <c r="L461" s="18"/>
      <c r="M461" s="18"/>
      <c r="N461" s="18"/>
      <c r="O461" s="18"/>
      <c r="P461" s="18"/>
      <c r="Q461" s="18"/>
      <c r="R461" s="18"/>
      <c r="S461" s="18"/>
    </row>
    <row r="462" spans="1:19" ht="14.25" hidden="1">
      <c r="A462" s="18"/>
      <c r="B462" s="18"/>
      <c r="C462" s="18"/>
      <c r="D462" s="18"/>
      <c r="E462" s="18"/>
      <c r="F462" s="18"/>
      <c r="G462" s="18"/>
      <c r="H462" s="18"/>
      <c r="I462" s="18"/>
      <c r="J462" s="18"/>
      <c r="K462" s="18"/>
      <c r="L462" s="18"/>
      <c r="M462" s="18"/>
      <c r="N462" s="18"/>
      <c r="O462" s="18"/>
      <c r="P462" s="18"/>
      <c r="Q462" s="18"/>
      <c r="R462" s="18"/>
      <c r="S462" s="18"/>
    </row>
    <row r="463" spans="1:19" ht="14.25" hidden="1">
      <c r="A463" s="18"/>
      <c r="B463" s="18"/>
      <c r="C463" s="18"/>
      <c r="D463" s="18"/>
      <c r="E463" s="18"/>
      <c r="F463" s="18"/>
      <c r="G463" s="18"/>
      <c r="H463" s="18"/>
      <c r="I463" s="18"/>
      <c r="J463" s="18"/>
      <c r="K463" s="18"/>
      <c r="L463" s="18"/>
      <c r="M463" s="18"/>
      <c r="N463" s="18"/>
      <c r="O463" s="18"/>
      <c r="P463" s="18"/>
      <c r="Q463" s="18"/>
      <c r="R463" s="18"/>
      <c r="S463" s="18"/>
    </row>
    <row r="464" spans="1:19" ht="14.25" hidden="1">
      <c r="A464" s="18"/>
      <c r="B464" s="18"/>
      <c r="C464" s="18"/>
      <c r="D464" s="18"/>
      <c r="E464" s="18"/>
      <c r="F464" s="18"/>
      <c r="G464" s="18"/>
      <c r="H464" s="18"/>
      <c r="I464" s="18"/>
      <c r="J464" s="18"/>
      <c r="K464" s="18"/>
      <c r="L464" s="18"/>
      <c r="M464" s="18"/>
      <c r="N464" s="18"/>
      <c r="O464" s="18"/>
      <c r="P464" s="18"/>
      <c r="Q464" s="18"/>
      <c r="R464" s="18"/>
      <c r="S464" s="18"/>
    </row>
    <row r="465" spans="1:19" ht="14.25" hidden="1">
      <c r="A465" s="18"/>
      <c r="B465" s="18"/>
      <c r="C465" s="18"/>
      <c r="D465" s="18"/>
      <c r="E465" s="18"/>
      <c r="F465" s="18"/>
      <c r="G465" s="18"/>
      <c r="H465" s="18"/>
      <c r="I465" s="18"/>
      <c r="J465" s="18"/>
      <c r="K465" s="18"/>
      <c r="L465" s="18"/>
      <c r="M465" s="18"/>
      <c r="N465" s="18"/>
      <c r="O465" s="18"/>
      <c r="P465" s="18"/>
      <c r="Q465" s="18"/>
      <c r="R465" s="18"/>
      <c r="S465" s="18"/>
    </row>
    <row r="466" spans="1:19" ht="14.25" hidden="1">
      <c r="A466" s="18"/>
      <c r="B466" s="18"/>
      <c r="C466" s="18"/>
      <c r="D466" s="18"/>
      <c r="E466" s="18"/>
      <c r="F466" s="18"/>
      <c r="G466" s="18"/>
      <c r="H466" s="18"/>
      <c r="I466" s="18"/>
      <c r="J466" s="18"/>
      <c r="K466" s="18"/>
      <c r="L466" s="18"/>
      <c r="M466" s="18"/>
      <c r="N466" s="18"/>
      <c r="O466" s="18"/>
      <c r="P466" s="18"/>
      <c r="Q466" s="18"/>
      <c r="R466" s="18"/>
      <c r="S466" s="18"/>
    </row>
    <row r="467" spans="1:19" ht="14.25" hidden="1">
      <c r="A467" s="18"/>
      <c r="B467" s="18"/>
      <c r="C467" s="18"/>
      <c r="D467" s="18"/>
      <c r="E467" s="18"/>
      <c r="F467" s="18"/>
      <c r="G467" s="18"/>
      <c r="H467" s="18"/>
      <c r="I467" s="18"/>
      <c r="J467" s="18"/>
      <c r="K467" s="18"/>
      <c r="L467" s="18"/>
      <c r="M467" s="18"/>
      <c r="N467" s="18"/>
      <c r="O467" s="18"/>
      <c r="P467" s="18"/>
      <c r="Q467" s="18"/>
      <c r="R467" s="18"/>
      <c r="S467" s="18"/>
    </row>
    <row r="468" spans="1:19" ht="14.25" hidden="1">
      <c r="A468" s="18"/>
      <c r="B468" s="18"/>
      <c r="C468" s="18"/>
      <c r="D468" s="18"/>
      <c r="E468" s="18"/>
      <c r="F468" s="18"/>
      <c r="G468" s="18"/>
      <c r="H468" s="18"/>
      <c r="I468" s="18"/>
      <c r="J468" s="18"/>
      <c r="K468" s="18"/>
      <c r="L468" s="18"/>
      <c r="M468" s="18"/>
      <c r="N468" s="18"/>
      <c r="O468" s="18"/>
      <c r="P468" s="18"/>
      <c r="Q468" s="18"/>
      <c r="R468" s="18"/>
      <c r="S468" s="18"/>
    </row>
    <row r="469" spans="1:19" ht="14.25" hidden="1">
      <c r="A469" s="18"/>
      <c r="B469" s="18"/>
      <c r="C469" s="18"/>
      <c r="D469" s="18"/>
      <c r="E469" s="18"/>
      <c r="F469" s="18"/>
      <c r="G469" s="18"/>
      <c r="H469" s="18"/>
      <c r="I469" s="18"/>
      <c r="J469" s="18"/>
      <c r="K469" s="18"/>
      <c r="L469" s="18"/>
      <c r="M469" s="18"/>
      <c r="N469" s="18"/>
      <c r="O469" s="18"/>
      <c r="P469" s="18"/>
      <c r="Q469" s="18"/>
      <c r="R469" s="18"/>
      <c r="S469" s="18"/>
    </row>
    <row r="470" spans="1:19" ht="14.25" hidden="1">
      <c r="A470" s="18"/>
      <c r="B470" s="18"/>
      <c r="C470" s="18"/>
      <c r="D470" s="18"/>
      <c r="E470" s="18"/>
      <c r="F470" s="18"/>
      <c r="G470" s="18"/>
      <c r="H470" s="18"/>
      <c r="I470" s="18"/>
      <c r="J470" s="18"/>
      <c r="K470" s="18"/>
      <c r="L470" s="18"/>
      <c r="M470" s="18"/>
      <c r="N470" s="18"/>
      <c r="O470" s="18"/>
      <c r="P470" s="18"/>
      <c r="Q470" s="18"/>
      <c r="R470" s="18"/>
      <c r="S470" s="18"/>
    </row>
    <row r="471" spans="1:19" ht="14.25" hidden="1">
      <c r="A471" s="18"/>
      <c r="B471" s="18"/>
      <c r="C471" s="18"/>
      <c r="D471" s="18"/>
      <c r="E471" s="18"/>
      <c r="F471" s="18"/>
      <c r="G471" s="18"/>
      <c r="H471" s="18"/>
      <c r="I471" s="18"/>
      <c r="J471" s="18"/>
      <c r="K471" s="18"/>
      <c r="L471" s="18"/>
      <c r="M471" s="18"/>
      <c r="N471" s="18"/>
      <c r="O471" s="18"/>
      <c r="P471" s="18"/>
      <c r="Q471" s="18"/>
      <c r="R471" s="18"/>
      <c r="S471" s="18"/>
    </row>
    <row r="472" spans="1:19" ht="14.25" hidden="1">
      <c r="A472" s="18"/>
      <c r="B472" s="18"/>
      <c r="C472" s="18"/>
      <c r="D472" s="18"/>
      <c r="E472" s="18"/>
      <c r="F472" s="18"/>
      <c r="G472" s="18"/>
      <c r="H472" s="18"/>
      <c r="I472" s="18"/>
      <c r="J472" s="18"/>
      <c r="K472" s="18"/>
      <c r="L472" s="18"/>
      <c r="M472" s="18"/>
      <c r="N472" s="18"/>
      <c r="O472" s="18"/>
      <c r="P472" s="18"/>
      <c r="Q472" s="18"/>
      <c r="R472" s="18"/>
      <c r="S472" s="18"/>
    </row>
    <row r="473" spans="1:19" ht="14.25" hidden="1">
      <c r="A473" s="18"/>
      <c r="B473" s="18"/>
      <c r="C473" s="18"/>
      <c r="D473" s="18"/>
      <c r="E473" s="18"/>
      <c r="F473" s="18"/>
      <c r="G473" s="18"/>
      <c r="H473" s="18"/>
      <c r="I473" s="18"/>
      <c r="J473" s="18"/>
      <c r="K473" s="18"/>
      <c r="L473" s="18"/>
      <c r="M473" s="18"/>
      <c r="N473" s="18"/>
      <c r="O473" s="18"/>
      <c r="P473" s="18"/>
      <c r="Q473" s="18"/>
      <c r="R473" s="18"/>
      <c r="S473" s="18"/>
    </row>
    <row r="474" spans="1:19" ht="14.25" hidden="1">
      <c r="A474" s="18"/>
      <c r="B474" s="18"/>
      <c r="C474" s="18"/>
      <c r="D474" s="18"/>
      <c r="E474" s="18"/>
      <c r="F474" s="18"/>
      <c r="G474" s="18"/>
      <c r="H474" s="18"/>
      <c r="I474" s="18"/>
      <c r="J474" s="18"/>
      <c r="K474" s="18"/>
      <c r="L474" s="18"/>
      <c r="M474" s="18"/>
      <c r="N474" s="18"/>
      <c r="O474" s="18"/>
      <c r="P474" s="18"/>
      <c r="Q474" s="18"/>
      <c r="R474" s="18"/>
      <c r="S474" s="18"/>
    </row>
    <row r="475" spans="1:19" ht="14.25" hidden="1">
      <c r="A475" s="18"/>
      <c r="B475" s="18"/>
      <c r="C475" s="18"/>
      <c r="D475" s="18"/>
      <c r="E475" s="18"/>
      <c r="F475" s="18"/>
      <c r="G475" s="18"/>
      <c r="H475" s="18"/>
      <c r="I475" s="18"/>
      <c r="J475" s="18"/>
      <c r="K475" s="18"/>
      <c r="L475" s="18"/>
      <c r="M475" s="18"/>
      <c r="N475" s="18"/>
      <c r="O475" s="18"/>
      <c r="P475" s="18"/>
      <c r="Q475" s="18"/>
      <c r="R475" s="18"/>
      <c r="S475" s="18"/>
    </row>
    <row r="476" spans="1:19" ht="14.25" hidden="1">
      <c r="A476" s="18"/>
      <c r="B476" s="18"/>
      <c r="C476" s="18"/>
      <c r="D476" s="18"/>
      <c r="E476" s="18"/>
      <c r="F476" s="18"/>
      <c r="G476" s="18"/>
      <c r="H476" s="18"/>
      <c r="I476" s="18"/>
      <c r="J476" s="18"/>
      <c r="K476" s="18"/>
      <c r="L476" s="18"/>
      <c r="M476" s="18"/>
      <c r="N476" s="18"/>
      <c r="O476" s="18"/>
      <c r="P476" s="18"/>
      <c r="Q476" s="18"/>
      <c r="R476" s="18"/>
      <c r="S476" s="18"/>
    </row>
    <row r="477" spans="1:19" ht="14.25" hidden="1">
      <c r="A477" s="18"/>
      <c r="B477" s="18"/>
      <c r="C477" s="18"/>
      <c r="D477" s="18"/>
      <c r="E477" s="18"/>
      <c r="F477" s="18"/>
      <c r="G477" s="18"/>
      <c r="H477" s="18"/>
      <c r="I477" s="18"/>
      <c r="J477" s="18"/>
      <c r="K477" s="18"/>
      <c r="L477" s="18"/>
      <c r="M477" s="18"/>
      <c r="N477" s="18"/>
      <c r="O477" s="18"/>
      <c r="P477" s="18"/>
      <c r="Q477" s="18"/>
      <c r="R477" s="18"/>
      <c r="S477" s="18"/>
    </row>
    <row r="478" spans="1:19" ht="14.25" hidden="1">
      <c r="A478" s="18"/>
      <c r="B478" s="18"/>
      <c r="C478" s="18"/>
      <c r="D478" s="18"/>
      <c r="E478" s="18"/>
      <c r="F478" s="18"/>
      <c r="G478" s="18"/>
      <c r="H478" s="18"/>
      <c r="I478" s="18"/>
      <c r="J478" s="18"/>
      <c r="K478" s="18"/>
      <c r="L478" s="18"/>
      <c r="M478" s="18"/>
      <c r="N478" s="18"/>
      <c r="O478" s="18"/>
      <c r="P478" s="18"/>
      <c r="Q478" s="18"/>
      <c r="R478" s="18"/>
      <c r="S478" s="18"/>
    </row>
    <row r="479" spans="1:19" ht="14.25" hidden="1">
      <c r="A479" s="18"/>
      <c r="B479" s="18"/>
      <c r="C479" s="18"/>
      <c r="D479" s="18"/>
      <c r="E479" s="18"/>
      <c r="F479" s="18"/>
      <c r="G479" s="18"/>
      <c r="H479" s="18"/>
      <c r="I479" s="18"/>
      <c r="J479" s="18"/>
      <c r="K479" s="18"/>
      <c r="L479" s="18"/>
      <c r="M479" s="18"/>
      <c r="N479" s="18"/>
      <c r="O479" s="18"/>
      <c r="P479" s="18"/>
      <c r="Q479" s="18"/>
      <c r="R479" s="18"/>
      <c r="S479" s="18"/>
    </row>
    <row r="480" spans="1:19" ht="14.25" hidden="1">
      <c r="A480" s="18"/>
      <c r="B480" s="18"/>
      <c r="C480" s="18"/>
      <c r="D480" s="18"/>
      <c r="E480" s="18"/>
      <c r="F480" s="18"/>
      <c r="G480" s="18"/>
      <c r="H480" s="18"/>
      <c r="I480" s="18"/>
      <c r="J480" s="18"/>
      <c r="K480" s="18"/>
      <c r="L480" s="18"/>
      <c r="M480" s="18"/>
      <c r="N480" s="18"/>
      <c r="O480" s="18"/>
      <c r="P480" s="18"/>
      <c r="Q480" s="18"/>
      <c r="R480" s="18"/>
      <c r="S480" s="18"/>
    </row>
    <row r="481" spans="1:19" ht="14.25" hidden="1">
      <c r="A481" s="18"/>
      <c r="B481" s="18"/>
      <c r="C481" s="18"/>
      <c r="D481" s="18"/>
      <c r="E481" s="18"/>
      <c r="F481" s="18"/>
      <c r="G481" s="18"/>
      <c r="H481" s="18"/>
      <c r="I481" s="18"/>
      <c r="J481" s="18"/>
      <c r="K481" s="18"/>
      <c r="L481" s="18"/>
      <c r="M481" s="18"/>
      <c r="N481" s="18"/>
      <c r="O481" s="18"/>
      <c r="P481" s="18"/>
      <c r="Q481" s="18"/>
      <c r="R481" s="18"/>
      <c r="S481" s="18"/>
    </row>
    <row r="482" spans="1:19" ht="14.25" hidden="1">
      <c r="A482" s="18"/>
      <c r="B482" s="18"/>
      <c r="C482" s="18"/>
      <c r="D482" s="18"/>
      <c r="E482" s="18"/>
      <c r="F482" s="18"/>
      <c r="G482" s="18"/>
      <c r="H482" s="18"/>
      <c r="I482" s="18"/>
      <c r="J482" s="18"/>
      <c r="K482" s="18"/>
      <c r="L482" s="18"/>
      <c r="M482" s="18"/>
      <c r="N482" s="18"/>
      <c r="O482" s="18"/>
      <c r="P482" s="18"/>
      <c r="Q482" s="18"/>
      <c r="R482" s="18"/>
      <c r="S482" s="18"/>
    </row>
    <row r="483" spans="1:19" ht="14.25" hidden="1">
      <c r="A483" s="18"/>
      <c r="B483" s="18"/>
      <c r="C483" s="18"/>
      <c r="D483" s="18"/>
      <c r="E483" s="18"/>
      <c r="F483" s="18"/>
      <c r="G483" s="18"/>
      <c r="H483" s="18"/>
      <c r="I483" s="18"/>
      <c r="J483" s="18"/>
      <c r="K483" s="18"/>
      <c r="L483" s="18"/>
      <c r="M483" s="18"/>
      <c r="N483" s="18"/>
      <c r="O483" s="18"/>
      <c r="P483" s="18"/>
      <c r="Q483" s="18"/>
      <c r="R483" s="18"/>
      <c r="S483" s="18"/>
    </row>
    <row r="484" spans="1:19" ht="14.25" hidden="1">
      <c r="A484" s="18"/>
      <c r="B484" s="18"/>
      <c r="C484" s="18"/>
      <c r="D484" s="18"/>
      <c r="E484" s="18"/>
      <c r="F484" s="18"/>
      <c r="G484" s="18"/>
      <c r="H484" s="18"/>
      <c r="I484" s="18"/>
      <c r="J484" s="18"/>
      <c r="K484" s="18"/>
      <c r="L484" s="18"/>
      <c r="M484" s="18"/>
      <c r="N484" s="18"/>
      <c r="O484" s="18"/>
      <c r="P484" s="18"/>
      <c r="Q484" s="18"/>
      <c r="R484" s="18"/>
      <c r="S484" s="18"/>
    </row>
    <row r="485" spans="1:19" ht="14.25" hidden="1">
      <c r="A485" s="18"/>
      <c r="B485" s="18"/>
      <c r="C485" s="18"/>
      <c r="D485" s="18"/>
      <c r="E485" s="18"/>
      <c r="F485" s="18"/>
      <c r="G485" s="18"/>
      <c r="H485" s="18"/>
      <c r="I485" s="18"/>
      <c r="J485" s="18"/>
      <c r="K485" s="18"/>
      <c r="L485" s="18"/>
      <c r="M485" s="18"/>
      <c r="N485" s="18"/>
      <c r="O485" s="18"/>
      <c r="P485" s="18"/>
      <c r="Q485" s="18"/>
      <c r="R485" s="18"/>
      <c r="S485" s="18"/>
    </row>
    <row r="486" spans="1:19" ht="14.25" hidden="1">
      <c r="A486" s="18"/>
      <c r="B486" s="18"/>
      <c r="C486" s="18"/>
      <c r="D486" s="18"/>
      <c r="E486" s="18"/>
      <c r="F486" s="18"/>
      <c r="G486" s="18"/>
      <c r="H486" s="18"/>
      <c r="I486" s="18"/>
      <c r="J486" s="18"/>
      <c r="K486" s="18"/>
      <c r="L486" s="18"/>
      <c r="M486" s="18"/>
      <c r="N486" s="18"/>
      <c r="O486" s="18"/>
      <c r="P486" s="18"/>
      <c r="Q486" s="18"/>
      <c r="R486" s="18"/>
      <c r="S486" s="18"/>
    </row>
    <row r="487" spans="1:19" ht="14.25" hidden="1">
      <c r="A487" s="18"/>
      <c r="B487" s="18"/>
      <c r="C487" s="18"/>
      <c r="D487" s="18"/>
      <c r="E487" s="18"/>
      <c r="F487" s="18"/>
      <c r="G487" s="18"/>
      <c r="H487" s="18"/>
      <c r="I487" s="18"/>
      <c r="J487" s="18"/>
      <c r="K487" s="18"/>
      <c r="L487" s="18"/>
      <c r="M487" s="18"/>
      <c r="N487" s="18"/>
      <c r="O487" s="18"/>
      <c r="P487" s="18"/>
      <c r="Q487" s="18"/>
      <c r="R487" s="18"/>
      <c r="S487" s="18"/>
    </row>
    <row r="488" spans="1:19" ht="14.25" hidden="1">
      <c r="A488" s="18"/>
      <c r="B488" s="18"/>
      <c r="C488" s="18"/>
      <c r="D488" s="18"/>
      <c r="E488" s="18"/>
      <c r="F488" s="18"/>
      <c r="G488" s="18"/>
      <c r="H488" s="18"/>
      <c r="I488" s="18"/>
      <c r="J488" s="18"/>
      <c r="K488" s="18"/>
      <c r="L488" s="18"/>
      <c r="M488" s="18"/>
      <c r="N488" s="18"/>
      <c r="O488" s="18"/>
      <c r="P488" s="18"/>
      <c r="Q488" s="18"/>
      <c r="R488" s="18"/>
      <c r="S488" s="18"/>
    </row>
    <row r="489" spans="1:19" ht="14.25" hidden="1">
      <c r="A489" s="18"/>
      <c r="B489" s="18"/>
      <c r="C489" s="18"/>
      <c r="D489" s="18"/>
      <c r="E489" s="18"/>
      <c r="F489" s="18"/>
      <c r="G489" s="18"/>
      <c r="H489" s="18"/>
      <c r="I489" s="18"/>
      <c r="J489" s="18"/>
      <c r="K489" s="18"/>
      <c r="L489" s="18"/>
      <c r="M489" s="18"/>
      <c r="N489" s="18"/>
      <c r="O489" s="18"/>
      <c r="P489" s="18"/>
      <c r="Q489" s="18"/>
      <c r="R489" s="18"/>
      <c r="S489" s="18"/>
    </row>
    <row r="490" spans="1:19" ht="14.25" hidden="1">
      <c r="A490" s="18"/>
      <c r="B490" s="18"/>
      <c r="C490" s="18"/>
      <c r="D490" s="18"/>
      <c r="E490" s="18"/>
      <c r="F490" s="18"/>
      <c r="G490" s="18"/>
      <c r="H490" s="18"/>
      <c r="I490" s="18"/>
      <c r="J490" s="18"/>
      <c r="K490" s="18"/>
      <c r="L490" s="18"/>
      <c r="M490" s="18"/>
      <c r="N490" s="18"/>
      <c r="O490" s="18"/>
      <c r="P490" s="18"/>
      <c r="Q490" s="18"/>
      <c r="R490" s="18"/>
      <c r="S490" s="18"/>
    </row>
    <row r="491" spans="1:19" ht="14.25" hidden="1">
      <c r="A491" s="18"/>
      <c r="B491" s="18"/>
      <c r="C491" s="18"/>
      <c r="D491" s="18"/>
      <c r="E491" s="18"/>
      <c r="F491" s="18"/>
      <c r="G491" s="18"/>
      <c r="H491" s="18"/>
      <c r="I491" s="18"/>
      <c r="J491" s="18"/>
      <c r="K491" s="18"/>
      <c r="L491" s="18"/>
      <c r="M491" s="18"/>
      <c r="N491" s="18"/>
      <c r="O491" s="18"/>
      <c r="P491" s="18"/>
      <c r="Q491" s="18"/>
      <c r="R491" s="18"/>
      <c r="S491" s="18"/>
    </row>
    <row r="492" spans="1:19" ht="14.25" hidden="1">
      <c r="A492" s="18"/>
      <c r="B492" s="18"/>
      <c r="C492" s="18"/>
      <c r="D492" s="18"/>
      <c r="E492" s="18"/>
      <c r="F492" s="18"/>
      <c r="G492" s="18"/>
      <c r="H492" s="18"/>
      <c r="I492" s="18"/>
      <c r="J492" s="18"/>
      <c r="K492" s="18"/>
      <c r="L492" s="18"/>
      <c r="M492" s="18"/>
      <c r="N492" s="18"/>
      <c r="O492" s="18"/>
      <c r="P492" s="18"/>
      <c r="Q492" s="18"/>
      <c r="R492" s="18"/>
      <c r="S492" s="18"/>
    </row>
    <row r="493" spans="1:19" ht="14.25" hidden="1">
      <c r="A493" s="18"/>
      <c r="B493" s="18"/>
      <c r="C493" s="18"/>
      <c r="D493" s="18"/>
      <c r="E493" s="18"/>
      <c r="F493" s="18"/>
      <c r="G493" s="18"/>
      <c r="H493" s="18"/>
      <c r="I493" s="18"/>
      <c r="J493" s="18"/>
      <c r="K493" s="18"/>
      <c r="L493" s="18"/>
      <c r="M493" s="18"/>
      <c r="N493" s="18"/>
      <c r="O493" s="18"/>
      <c r="P493" s="18"/>
      <c r="Q493" s="18"/>
      <c r="R493" s="18"/>
      <c r="S493" s="18"/>
    </row>
    <row r="494" spans="1:19" ht="14.25" hidden="1">
      <c r="A494" s="18"/>
      <c r="B494" s="18"/>
      <c r="C494" s="18"/>
      <c r="D494" s="18"/>
      <c r="E494" s="18"/>
      <c r="F494" s="18"/>
      <c r="G494" s="18"/>
      <c r="H494" s="18"/>
      <c r="I494" s="18"/>
      <c r="J494" s="18"/>
      <c r="K494" s="18"/>
      <c r="L494" s="18"/>
      <c r="M494" s="18"/>
      <c r="N494" s="18"/>
      <c r="O494" s="18"/>
      <c r="P494" s="18"/>
      <c r="Q494" s="18"/>
      <c r="R494" s="18"/>
      <c r="S494" s="18"/>
    </row>
    <row r="495" spans="1:19" ht="14.25" hidden="1">
      <c r="A495" s="18"/>
      <c r="B495" s="18"/>
      <c r="C495" s="18"/>
      <c r="D495" s="18"/>
      <c r="E495" s="18"/>
      <c r="F495" s="18"/>
      <c r="G495" s="18"/>
      <c r="H495" s="18"/>
      <c r="I495" s="18"/>
      <c r="J495" s="18"/>
      <c r="K495" s="18"/>
      <c r="L495" s="18"/>
      <c r="M495" s="18"/>
      <c r="N495" s="18"/>
      <c r="O495" s="18"/>
      <c r="P495" s="18"/>
      <c r="Q495" s="18"/>
      <c r="R495" s="18"/>
      <c r="S495" s="18"/>
    </row>
    <row r="496" spans="1:19" ht="14.25" hidden="1">
      <c r="A496" s="18"/>
      <c r="B496" s="18"/>
      <c r="C496" s="18"/>
      <c r="D496" s="18"/>
      <c r="E496" s="18"/>
      <c r="F496" s="18"/>
      <c r="G496" s="18"/>
      <c r="H496" s="18"/>
      <c r="I496" s="18"/>
      <c r="J496" s="18"/>
      <c r="K496" s="18"/>
      <c r="L496" s="18"/>
      <c r="M496" s="18"/>
      <c r="N496" s="18"/>
      <c r="O496" s="18"/>
      <c r="P496" s="18"/>
      <c r="Q496" s="18"/>
      <c r="R496" s="18"/>
      <c r="S496" s="18"/>
    </row>
    <row r="497" spans="1:19" ht="14.25" hidden="1">
      <c r="A497" s="18"/>
      <c r="B497" s="18"/>
      <c r="C497" s="18"/>
      <c r="D497" s="18"/>
      <c r="E497" s="18"/>
      <c r="F497" s="18"/>
      <c r="G497" s="18"/>
      <c r="H497" s="18"/>
      <c r="I497" s="18"/>
      <c r="J497" s="18"/>
      <c r="K497" s="18"/>
      <c r="L497" s="18"/>
      <c r="M497" s="18"/>
      <c r="N497" s="18"/>
      <c r="O497" s="18"/>
      <c r="P497" s="18"/>
      <c r="Q497" s="18"/>
      <c r="R497" s="18"/>
      <c r="S497" s="18"/>
    </row>
    <row r="498" spans="1:19" ht="14.25" hidden="1">
      <c r="A498" s="18"/>
      <c r="B498" s="18"/>
      <c r="C498" s="18"/>
      <c r="D498" s="18"/>
      <c r="E498" s="18"/>
      <c r="F498" s="18"/>
      <c r="G498" s="18"/>
      <c r="H498" s="18"/>
      <c r="I498" s="18"/>
      <c r="J498" s="18"/>
      <c r="K498" s="18"/>
      <c r="L498" s="18"/>
      <c r="M498" s="18"/>
      <c r="N498" s="18"/>
      <c r="O498" s="18"/>
      <c r="P498" s="18"/>
      <c r="Q498" s="18"/>
      <c r="R498" s="18"/>
      <c r="S498" s="18"/>
    </row>
    <row r="499" spans="1:19" ht="14.25" hidden="1">
      <c r="A499" s="18"/>
      <c r="B499" s="18"/>
      <c r="C499" s="18"/>
      <c r="D499" s="18"/>
      <c r="E499" s="18"/>
      <c r="F499" s="18"/>
      <c r="G499" s="18"/>
      <c r="H499" s="18"/>
      <c r="I499" s="18"/>
      <c r="J499" s="18"/>
      <c r="K499" s="18"/>
      <c r="L499" s="18"/>
      <c r="M499" s="18"/>
      <c r="N499" s="18"/>
      <c r="O499" s="18"/>
      <c r="P499" s="18"/>
      <c r="Q499" s="18"/>
      <c r="R499" s="18"/>
      <c r="S499" s="18"/>
    </row>
    <row r="500" spans="1:19" ht="14.25" hidden="1">
      <c r="A500" s="18"/>
      <c r="B500" s="18"/>
      <c r="C500" s="18"/>
      <c r="D500" s="18"/>
      <c r="E500" s="18"/>
      <c r="F500" s="18"/>
      <c r="G500" s="18"/>
      <c r="H500" s="18"/>
      <c r="I500" s="18"/>
      <c r="J500" s="18"/>
      <c r="K500" s="18"/>
      <c r="L500" s="18"/>
      <c r="M500" s="18"/>
      <c r="N500" s="18"/>
      <c r="O500" s="18"/>
      <c r="P500" s="18"/>
      <c r="Q500" s="18"/>
      <c r="R500" s="18"/>
      <c r="S500" s="18"/>
    </row>
    <row r="501" spans="1:19" ht="14.25" hidden="1">
      <c r="A501" s="18"/>
      <c r="B501" s="18"/>
      <c r="C501" s="18"/>
      <c r="D501" s="18"/>
      <c r="E501" s="18"/>
      <c r="F501" s="18"/>
      <c r="G501" s="18"/>
      <c r="H501" s="18"/>
      <c r="I501" s="18"/>
      <c r="J501" s="18"/>
      <c r="K501" s="18"/>
      <c r="L501" s="18"/>
      <c r="M501" s="18"/>
      <c r="N501" s="18"/>
      <c r="O501" s="18"/>
      <c r="P501" s="18"/>
      <c r="Q501" s="18"/>
      <c r="R501" s="18"/>
      <c r="S501" s="18"/>
    </row>
    <row r="502" spans="1:19" ht="14.25" hidden="1">
      <c r="A502" s="18"/>
      <c r="B502" s="18"/>
      <c r="C502" s="18"/>
      <c r="D502" s="18"/>
      <c r="E502" s="18"/>
      <c r="F502" s="18"/>
      <c r="G502" s="18"/>
      <c r="H502" s="18"/>
      <c r="I502" s="18"/>
      <c r="J502" s="18"/>
      <c r="K502" s="18"/>
      <c r="L502" s="18"/>
      <c r="M502" s="18"/>
      <c r="N502" s="18"/>
      <c r="O502" s="18"/>
      <c r="P502" s="18"/>
      <c r="Q502" s="18"/>
      <c r="R502" s="18"/>
      <c r="S502" s="18"/>
    </row>
    <row r="503" spans="1:19" ht="14.25" hidden="1">
      <c r="A503" s="18"/>
      <c r="B503" s="18"/>
      <c r="C503" s="18"/>
      <c r="D503" s="18"/>
      <c r="E503" s="18"/>
      <c r="F503" s="18"/>
      <c r="G503" s="18"/>
      <c r="H503" s="18"/>
      <c r="I503" s="18"/>
      <c r="J503" s="18"/>
      <c r="K503" s="18"/>
      <c r="L503" s="18"/>
      <c r="M503" s="18"/>
      <c r="N503" s="18"/>
      <c r="O503" s="18"/>
      <c r="P503" s="18"/>
      <c r="Q503" s="18"/>
      <c r="R503" s="18"/>
      <c r="S503" s="18"/>
    </row>
    <row r="504" spans="1:19" ht="14.25" hidden="1">
      <c r="A504" s="18"/>
      <c r="B504" s="18"/>
      <c r="C504" s="18"/>
      <c r="D504" s="18"/>
      <c r="E504" s="18"/>
      <c r="F504" s="18"/>
      <c r="G504" s="18"/>
      <c r="H504" s="18"/>
      <c r="I504" s="18"/>
      <c r="J504" s="18"/>
      <c r="K504" s="18"/>
      <c r="L504" s="18"/>
      <c r="M504" s="18"/>
      <c r="N504" s="18"/>
      <c r="O504" s="18"/>
      <c r="P504" s="18"/>
      <c r="Q504" s="18"/>
      <c r="R504" s="18"/>
      <c r="S504" s="18"/>
    </row>
    <row r="505" spans="1:19" ht="14.25" hidden="1">
      <c r="A505" s="18"/>
      <c r="B505" s="18"/>
      <c r="C505" s="18"/>
      <c r="D505" s="18"/>
      <c r="E505" s="18"/>
      <c r="F505" s="18"/>
      <c r="G505" s="18"/>
      <c r="H505" s="18"/>
      <c r="I505" s="18"/>
      <c r="J505" s="18"/>
      <c r="K505" s="18"/>
      <c r="L505" s="18"/>
      <c r="M505" s="18"/>
      <c r="N505" s="18"/>
      <c r="O505" s="18"/>
      <c r="P505" s="18"/>
      <c r="Q505" s="18"/>
      <c r="R505" s="18"/>
      <c r="S505" s="18"/>
    </row>
    <row r="506" spans="1:19" ht="14.25" hidden="1">
      <c r="A506" s="18"/>
      <c r="B506" s="18"/>
      <c r="C506" s="18"/>
      <c r="D506" s="18"/>
      <c r="E506" s="18"/>
      <c r="F506" s="18"/>
      <c r="G506" s="18"/>
      <c r="H506" s="18"/>
      <c r="I506" s="18"/>
      <c r="J506" s="18"/>
      <c r="K506" s="18"/>
      <c r="L506" s="18"/>
      <c r="M506" s="18"/>
      <c r="N506" s="18"/>
      <c r="O506" s="18"/>
      <c r="P506" s="18"/>
      <c r="Q506" s="18"/>
      <c r="R506" s="18"/>
      <c r="S506" s="18"/>
    </row>
    <row r="507" spans="1:19" ht="14.25" hidden="1">
      <c r="A507" s="18"/>
      <c r="B507" s="18"/>
      <c r="C507" s="18"/>
      <c r="D507" s="18"/>
      <c r="E507" s="18"/>
      <c r="F507" s="18"/>
      <c r="G507" s="18"/>
      <c r="H507" s="18"/>
      <c r="I507" s="18"/>
      <c r="J507" s="18"/>
      <c r="K507" s="18"/>
      <c r="L507" s="18"/>
      <c r="M507" s="18"/>
      <c r="N507" s="18"/>
      <c r="O507" s="18"/>
      <c r="P507" s="18"/>
      <c r="Q507" s="18"/>
      <c r="R507" s="18"/>
      <c r="S507" s="18"/>
    </row>
    <row r="508" spans="1:19" ht="14.25" hidden="1">
      <c r="A508" s="18"/>
      <c r="B508" s="18"/>
      <c r="C508" s="18"/>
      <c r="D508" s="18"/>
      <c r="E508" s="18"/>
      <c r="F508" s="18"/>
      <c r="G508" s="18"/>
      <c r="H508" s="18"/>
      <c r="I508" s="18"/>
      <c r="J508" s="18"/>
      <c r="K508" s="18"/>
      <c r="L508" s="18"/>
      <c r="M508" s="18"/>
      <c r="N508" s="18"/>
      <c r="O508" s="18"/>
      <c r="P508" s="18"/>
      <c r="Q508" s="18"/>
      <c r="R508" s="18"/>
      <c r="S508" s="18"/>
    </row>
    <row r="509" spans="1:19" ht="14.25" hidden="1">
      <c r="A509" s="18"/>
      <c r="B509" s="18"/>
      <c r="C509" s="18"/>
      <c r="D509" s="18"/>
      <c r="E509" s="18"/>
      <c r="F509" s="18"/>
      <c r="G509" s="18"/>
      <c r="H509" s="18"/>
      <c r="I509" s="18"/>
      <c r="J509" s="18"/>
      <c r="K509" s="18"/>
      <c r="L509" s="18"/>
      <c r="M509" s="18"/>
      <c r="N509" s="18"/>
      <c r="O509" s="18"/>
      <c r="P509" s="18"/>
      <c r="Q509" s="18"/>
      <c r="R509" s="18"/>
      <c r="S509" s="18"/>
    </row>
    <row r="510" spans="1:19" ht="14.25" hidden="1">
      <c r="A510" s="18"/>
      <c r="B510" s="18"/>
      <c r="C510" s="18"/>
      <c r="D510" s="18"/>
      <c r="E510" s="18"/>
      <c r="F510" s="18"/>
      <c r="G510" s="18"/>
      <c r="H510" s="18"/>
      <c r="I510" s="18"/>
      <c r="J510" s="18"/>
      <c r="K510" s="18"/>
      <c r="L510" s="18"/>
      <c r="M510" s="18"/>
      <c r="N510" s="18"/>
      <c r="O510" s="18"/>
      <c r="P510" s="18"/>
      <c r="Q510" s="18"/>
      <c r="R510" s="18"/>
      <c r="S510" s="18"/>
    </row>
    <row r="511" spans="1:19" ht="14.25" hidden="1">
      <c r="A511" s="18"/>
      <c r="B511" s="18"/>
      <c r="C511" s="18"/>
      <c r="D511" s="18"/>
      <c r="E511" s="18"/>
      <c r="F511" s="18"/>
      <c r="G511" s="18"/>
      <c r="H511" s="18"/>
      <c r="I511" s="18"/>
      <c r="J511" s="18"/>
      <c r="K511" s="18"/>
      <c r="L511" s="18"/>
      <c r="M511" s="18"/>
      <c r="N511" s="18"/>
      <c r="O511" s="18"/>
      <c r="P511" s="18"/>
      <c r="Q511" s="18"/>
      <c r="R511" s="18"/>
      <c r="S511" s="18"/>
    </row>
    <row r="512" spans="1:19" ht="14.25" hidden="1">
      <c r="A512" s="18"/>
      <c r="B512" s="18"/>
      <c r="C512" s="18"/>
      <c r="D512" s="18"/>
      <c r="E512" s="18"/>
      <c r="F512" s="18"/>
      <c r="G512" s="18"/>
      <c r="H512" s="18"/>
      <c r="I512" s="18"/>
      <c r="J512" s="18"/>
      <c r="K512" s="18"/>
      <c r="L512" s="18"/>
      <c r="M512" s="18"/>
      <c r="N512" s="18"/>
      <c r="O512" s="18"/>
      <c r="P512" s="18"/>
      <c r="Q512" s="18"/>
      <c r="R512" s="18"/>
      <c r="S512" s="18"/>
    </row>
    <row r="513" spans="1:19" ht="14.25" hidden="1">
      <c r="A513" s="18"/>
      <c r="B513" s="18"/>
      <c r="C513" s="18"/>
      <c r="D513" s="18"/>
      <c r="E513" s="18"/>
      <c r="F513" s="18"/>
      <c r="G513" s="18"/>
      <c r="H513" s="18"/>
      <c r="I513" s="18"/>
      <c r="J513" s="18"/>
      <c r="K513" s="18"/>
      <c r="L513" s="18"/>
      <c r="M513" s="18"/>
      <c r="N513" s="18"/>
      <c r="O513" s="18"/>
      <c r="P513" s="18"/>
      <c r="Q513" s="18"/>
      <c r="R513" s="18"/>
      <c r="S513" s="18"/>
    </row>
    <row r="514" spans="1:19" ht="14.25" hidden="1">
      <c r="A514" s="18"/>
      <c r="B514" s="18"/>
      <c r="C514" s="18"/>
      <c r="D514" s="18"/>
      <c r="E514" s="18"/>
      <c r="F514" s="18"/>
      <c r="G514" s="18"/>
      <c r="H514" s="18"/>
      <c r="I514" s="18"/>
      <c r="J514" s="18"/>
      <c r="K514" s="18"/>
      <c r="L514" s="18"/>
      <c r="M514" s="18"/>
      <c r="N514" s="18"/>
      <c r="O514" s="18"/>
      <c r="P514" s="18"/>
      <c r="Q514" s="18"/>
      <c r="R514" s="18"/>
      <c r="S514" s="18"/>
    </row>
    <row r="515" spans="1:19" ht="14.25" hidden="1">
      <c r="A515" s="18"/>
      <c r="B515" s="18"/>
      <c r="C515" s="18"/>
      <c r="D515" s="18"/>
      <c r="E515" s="18"/>
      <c r="F515" s="18"/>
      <c r="G515" s="18"/>
      <c r="H515" s="18"/>
      <c r="I515" s="18"/>
      <c r="J515" s="18"/>
      <c r="K515" s="18"/>
      <c r="L515" s="18"/>
      <c r="M515" s="18"/>
      <c r="N515" s="18"/>
      <c r="O515" s="18"/>
      <c r="P515" s="18"/>
      <c r="Q515" s="18"/>
      <c r="R515" s="18"/>
      <c r="S515" s="18"/>
    </row>
    <row r="516" spans="1:19" ht="14.25" hidden="1">
      <c r="A516" s="18"/>
      <c r="B516" s="18"/>
      <c r="C516" s="18"/>
      <c r="D516" s="18"/>
      <c r="E516" s="18"/>
      <c r="F516" s="18"/>
      <c r="G516" s="18"/>
      <c r="H516" s="18"/>
      <c r="I516" s="18"/>
      <c r="J516" s="18"/>
      <c r="K516" s="18"/>
      <c r="L516" s="18"/>
      <c r="M516" s="18"/>
      <c r="N516" s="18"/>
      <c r="O516" s="18"/>
      <c r="P516" s="18"/>
      <c r="Q516" s="18"/>
      <c r="R516" s="18"/>
      <c r="S516" s="18"/>
    </row>
    <row r="517" spans="1:19" ht="14.25" hidden="1">
      <c r="A517" s="18"/>
      <c r="B517" s="18"/>
      <c r="C517" s="18"/>
      <c r="D517" s="18"/>
      <c r="E517" s="18"/>
      <c r="F517" s="18"/>
      <c r="G517" s="18"/>
      <c r="H517" s="18"/>
      <c r="I517" s="18"/>
      <c r="J517" s="18"/>
      <c r="K517" s="18"/>
      <c r="L517" s="18"/>
      <c r="M517" s="18"/>
      <c r="N517" s="18"/>
      <c r="O517" s="18"/>
      <c r="P517" s="18"/>
      <c r="Q517" s="18"/>
      <c r="R517" s="18"/>
      <c r="S517" s="18"/>
    </row>
    <row r="518" spans="1:19" ht="14.25" hidden="1">
      <c r="A518" s="18"/>
      <c r="B518" s="18"/>
      <c r="C518" s="18"/>
      <c r="D518" s="18"/>
      <c r="E518" s="18"/>
      <c r="F518" s="18"/>
      <c r="G518" s="18"/>
      <c r="H518" s="18"/>
      <c r="I518" s="18"/>
      <c r="J518" s="18"/>
      <c r="K518" s="18"/>
      <c r="L518" s="18"/>
      <c r="M518" s="18"/>
      <c r="N518" s="18"/>
      <c r="O518" s="18"/>
      <c r="P518" s="18"/>
      <c r="Q518" s="18"/>
      <c r="R518" s="18"/>
      <c r="S518" s="18"/>
    </row>
    <row r="519" spans="1:19" ht="14.25" hidden="1">
      <c r="A519" s="18"/>
      <c r="B519" s="18"/>
      <c r="C519" s="18"/>
      <c r="D519" s="18"/>
      <c r="E519" s="18"/>
      <c r="F519" s="18"/>
      <c r="G519" s="18"/>
      <c r="H519" s="18"/>
      <c r="I519" s="18"/>
      <c r="J519" s="18"/>
      <c r="K519" s="18"/>
      <c r="L519" s="18"/>
      <c r="M519" s="18"/>
      <c r="N519" s="18"/>
      <c r="O519" s="18"/>
      <c r="P519" s="18"/>
      <c r="Q519" s="18"/>
      <c r="R519" s="18"/>
      <c r="S519" s="18"/>
    </row>
    <row r="520" spans="1:19" ht="14.25" hidden="1">
      <c r="A520" s="18"/>
      <c r="B520" s="18"/>
      <c r="C520" s="18"/>
      <c r="D520" s="18"/>
      <c r="E520" s="18"/>
      <c r="F520" s="18"/>
      <c r="G520" s="18"/>
      <c r="H520" s="18"/>
      <c r="I520" s="18"/>
      <c r="J520" s="18"/>
      <c r="K520" s="18"/>
      <c r="L520" s="18"/>
      <c r="M520" s="18"/>
      <c r="N520" s="18"/>
      <c r="O520" s="18"/>
      <c r="P520" s="18"/>
      <c r="Q520" s="18"/>
      <c r="R520" s="18"/>
      <c r="S520" s="18"/>
    </row>
    <row r="521" spans="1:19" ht="14.25" hidden="1">
      <c r="A521" s="18"/>
      <c r="B521" s="18"/>
      <c r="C521" s="18"/>
      <c r="D521" s="18"/>
      <c r="E521" s="18"/>
      <c r="F521" s="18"/>
      <c r="G521" s="18"/>
      <c r="H521" s="18"/>
      <c r="I521" s="18"/>
      <c r="J521" s="18"/>
      <c r="K521" s="18"/>
      <c r="L521" s="18"/>
      <c r="M521" s="18"/>
      <c r="N521" s="18"/>
      <c r="O521" s="18"/>
      <c r="P521" s="18"/>
      <c r="Q521" s="18"/>
      <c r="R521" s="18"/>
      <c r="S521" s="18"/>
    </row>
    <row r="522" spans="1:19" ht="14.25" hidden="1">
      <c r="A522" s="18"/>
      <c r="B522" s="18"/>
      <c r="C522" s="18"/>
      <c r="D522" s="18"/>
      <c r="E522" s="18"/>
      <c r="F522" s="18"/>
      <c r="G522" s="18"/>
      <c r="H522" s="18"/>
      <c r="I522" s="18"/>
      <c r="J522" s="18"/>
      <c r="K522" s="18"/>
      <c r="L522" s="18"/>
      <c r="M522" s="18"/>
      <c r="N522" s="18"/>
      <c r="O522" s="18"/>
      <c r="P522" s="18"/>
      <c r="Q522" s="18"/>
      <c r="R522" s="18"/>
      <c r="S522" s="18"/>
    </row>
    <row r="523" spans="1:19" ht="14.25" hidden="1">
      <c r="A523" s="18"/>
      <c r="B523" s="18"/>
      <c r="C523" s="18"/>
      <c r="D523" s="18"/>
      <c r="E523" s="18"/>
      <c r="F523" s="18"/>
      <c r="G523" s="18"/>
      <c r="H523" s="18"/>
      <c r="I523" s="18"/>
      <c r="J523" s="18"/>
      <c r="K523" s="18"/>
      <c r="L523" s="18"/>
      <c r="M523" s="18"/>
      <c r="N523" s="18"/>
      <c r="O523" s="18"/>
      <c r="P523" s="18"/>
      <c r="Q523" s="18"/>
      <c r="R523" s="18"/>
      <c r="S523" s="18"/>
    </row>
    <row r="524" spans="1:19" ht="14.25" hidden="1">
      <c r="A524" s="18"/>
      <c r="B524" s="18"/>
      <c r="C524" s="18"/>
      <c r="D524" s="18"/>
      <c r="E524" s="18"/>
      <c r="F524" s="18"/>
      <c r="G524" s="18"/>
      <c r="H524" s="18"/>
      <c r="I524" s="18"/>
      <c r="J524" s="18"/>
      <c r="K524" s="18"/>
      <c r="L524" s="18"/>
      <c r="M524" s="18"/>
      <c r="N524" s="18"/>
      <c r="O524" s="18"/>
      <c r="P524" s="18"/>
      <c r="Q524" s="18"/>
      <c r="R524" s="18"/>
      <c r="S524" s="18"/>
    </row>
    <row r="525" spans="1:19" ht="14.25" hidden="1">
      <c r="A525" s="18"/>
      <c r="B525" s="18"/>
      <c r="C525" s="18"/>
      <c r="D525" s="18"/>
      <c r="E525" s="18"/>
      <c r="F525" s="18"/>
      <c r="G525" s="18"/>
      <c r="H525" s="18"/>
      <c r="I525" s="18"/>
      <c r="J525" s="18"/>
      <c r="K525" s="18"/>
      <c r="L525" s="18"/>
      <c r="M525" s="18"/>
      <c r="N525" s="18"/>
      <c r="O525" s="18"/>
      <c r="P525" s="18"/>
      <c r="Q525" s="18"/>
      <c r="R525" s="18"/>
      <c r="S525" s="18"/>
    </row>
    <row r="526" spans="1:19" ht="14.25" hidden="1">
      <c r="A526" s="18"/>
      <c r="B526" s="18"/>
      <c r="C526" s="18"/>
      <c r="D526" s="18"/>
      <c r="E526" s="18"/>
      <c r="F526" s="18"/>
      <c r="G526" s="18"/>
      <c r="H526" s="18"/>
      <c r="I526" s="18"/>
      <c r="J526" s="18"/>
      <c r="K526" s="18"/>
      <c r="L526" s="18"/>
      <c r="M526" s="18"/>
      <c r="N526" s="18"/>
      <c r="O526" s="18"/>
      <c r="P526" s="18"/>
      <c r="Q526" s="18"/>
      <c r="R526" s="18"/>
      <c r="S526" s="18"/>
    </row>
    <row r="527" spans="1:19" ht="14.25" hidden="1">
      <c r="A527" s="18"/>
      <c r="B527" s="18"/>
      <c r="C527" s="18"/>
      <c r="D527" s="18"/>
      <c r="E527" s="18"/>
      <c r="F527" s="18"/>
      <c r="G527" s="18"/>
      <c r="H527" s="18"/>
      <c r="I527" s="18"/>
      <c r="J527" s="18"/>
      <c r="K527" s="18"/>
      <c r="L527" s="18"/>
      <c r="M527" s="18"/>
      <c r="N527" s="18"/>
      <c r="O527" s="18"/>
      <c r="P527" s="18"/>
      <c r="Q527" s="18"/>
      <c r="R527" s="18"/>
      <c r="S527" s="18"/>
    </row>
    <row r="528" spans="1:19" ht="14.25" hidden="1">
      <c r="A528" s="18"/>
      <c r="B528" s="18"/>
      <c r="C528" s="18"/>
      <c r="D528" s="18"/>
      <c r="E528" s="18"/>
      <c r="F528" s="18"/>
      <c r="G528" s="18"/>
      <c r="H528" s="18"/>
      <c r="I528" s="18"/>
      <c r="J528" s="18"/>
      <c r="K528" s="18"/>
      <c r="L528" s="18"/>
      <c r="M528" s="18"/>
      <c r="N528" s="18"/>
      <c r="O528" s="18"/>
      <c r="P528" s="18"/>
      <c r="Q528" s="18"/>
      <c r="R528" s="18"/>
      <c r="S528" s="18"/>
    </row>
    <row r="529" spans="1:19" ht="14.25" hidden="1">
      <c r="A529" s="18"/>
      <c r="B529" s="18"/>
      <c r="C529" s="18"/>
      <c r="D529" s="18"/>
      <c r="E529" s="18"/>
      <c r="F529" s="18"/>
      <c r="G529" s="18"/>
      <c r="H529" s="18"/>
      <c r="I529" s="18"/>
      <c r="J529" s="18"/>
      <c r="K529" s="18"/>
      <c r="L529" s="18"/>
      <c r="M529" s="18"/>
      <c r="N529" s="18"/>
      <c r="O529" s="18"/>
      <c r="P529" s="18"/>
      <c r="Q529" s="18"/>
      <c r="R529" s="18"/>
      <c r="S529" s="18"/>
    </row>
    <row r="530" spans="1:19" ht="14.25" hidden="1">
      <c r="A530" s="18"/>
      <c r="B530" s="18"/>
      <c r="C530" s="18"/>
      <c r="D530" s="18"/>
      <c r="E530" s="18"/>
      <c r="F530" s="18"/>
      <c r="G530" s="18"/>
      <c r="H530" s="18"/>
      <c r="I530" s="18"/>
      <c r="J530" s="18"/>
      <c r="K530" s="18"/>
      <c r="L530" s="18"/>
      <c r="M530" s="18"/>
      <c r="N530" s="18"/>
      <c r="O530" s="18"/>
      <c r="P530" s="18"/>
      <c r="Q530" s="18"/>
      <c r="R530" s="18"/>
      <c r="S530" s="18"/>
    </row>
    <row r="531" spans="1:19" ht="14.25" hidden="1">
      <c r="A531" s="18"/>
      <c r="B531" s="18"/>
      <c r="C531" s="18"/>
      <c r="D531" s="18"/>
      <c r="E531" s="18"/>
      <c r="F531" s="18"/>
      <c r="G531" s="18"/>
      <c r="H531" s="18"/>
      <c r="I531" s="18"/>
      <c r="J531" s="18"/>
      <c r="K531" s="18"/>
      <c r="L531" s="18"/>
      <c r="M531" s="18"/>
      <c r="N531" s="18"/>
      <c r="O531" s="18"/>
      <c r="P531" s="18"/>
      <c r="Q531" s="18"/>
      <c r="R531" s="18"/>
      <c r="S531" s="18"/>
    </row>
    <row r="532" spans="1:19" ht="14.25" hidden="1">
      <c r="A532" s="18"/>
      <c r="B532" s="18"/>
      <c r="C532" s="18"/>
      <c r="D532" s="18"/>
      <c r="E532" s="18"/>
      <c r="F532" s="18"/>
      <c r="G532" s="18"/>
      <c r="H532" s="18"/>
      <c r="I532" s="18"/>
      <c r="J532" s="18"/>
      <c r="K532" s="18"/>
      <c r="L532" s="18"/>
      <c r="M532" s="18"/>
      <c r="N532" s="18"/>
      <c r="O532" s="18"/>
      <c r="P532" s="18"/>
      <c r="Q532" s="18"/>
      <c r="R532" s="18"/>
      <c r="S532" s="18"/>
    </row>
    <row r="533" spans="1:19" ht="14.25" hidden="1">
      <c r="A533" s="18"/>
      <c r="B533" s="18"/>
      <c r="C533" s="18"/>
      <c r="D533" s="18"/>
      <c r="E533" s="18"/>
      <c r="F533" s="18"/>
      <c r="G533" s="18"/>
      <c r="H533" s="18"/>
      <c r="I533" s="18"/>
      <c r="J533" s="18"/>
      <c r="K533" s="18"/>
      <c r="L533" s="18"/>
      <c r="M533" s="18"/>
      <c r="N533" s="18"/>
      <c r="O533" s="18"/>
      <c r="P533" s="18"/>
      <c r="Q533" s="18"/>
      <c r="R533" s="18"/>
      <c r="S533" s="18"/>
    </row>
    <row r="534" spans="1:19" ht="14.25" hidden="1">
      <c r="A534" s="18"/>
      <c r="B534" s="18"/>
      <c r="C534" s="18"/>
      <c r="D534" s="18"/>
      <c r="E534" s="18"/>
      <c r="F534" s="18"/>
      <c r="G534" s="18"/>
      <c r="H534" s="18"/>
      <c r="I534" s="18"/>
      <c r="J534" s="18"/>
      <c r="K534" s="18"/>
      <c r="L534" s="18"/>
      <c r="M534" s="18"/>
      <c r="N534" s="18"/>
      <c r="O534" s="18"/>
      <c r="P534" s="18"/>
      <c r="Q534" s="18"/>
      <c r="R534" s="18"/>
      <c r="S534" s="18"/>
    </row>
    <row r="535" spans="1:19" ht="14.25" hidden="1">
      <c r="A535" s="18"/>
      <c r="B535" s="18"/>
      <c r="C535" s="18"/>
      <c r="D535" s="18"/>
      <c r="E535" s="18"/>
      <c r="F535" s="18"/>
      <c r="G535" s="18"/>
      <c r="H535" s="18"/>
      <c r="I535" s="18"/>
      <c r="J535" s="18"/>
      <c r="K535" s="18"/>
      <c r="L535" s="18"/>
      <c r="M535" s="18"/>
      <c r="N535" s="18"/>
      <c r="O535" s="18"/>
      <c r="P535" s="18"/>
      <c r="Q535" s="18"/>
      <c r="R535" s="18"/>
      <c r="S535" s="18"/>
    </row>
    <row r="536" spans="1:19" ht="14.25" hidden="1">
      <c r="A536" s="18"/>
      <c r="B536" s="18"/>
      <c r="C536" s="18"/>
      <c r="D536" s="18"/>
      <c r="E536" s="18"/>
      <c r="F536" s="18"/>
      <c r="G536" s="18"/>
      <c r="H536" s="18"/>
      <c r="I536" s="18"/>
      <c r="J536" s="18"/>
      <c r="K536" s="18"/>
      <c r="L536" s="18"/>
      <c r="M536" s="18"/>
      <c r="N536" s="18"/>
      <c r="O536" s="18"/>
      <c r="P536" s="18"/>
      <c r="Q536" s="18"/>
      <c r="R536" s="18"/>
      <c r="S536" s="18"/>
    </row>
    <row r="537" spans="1:19" ht="14.25" hidden="1">
      <c r="A537" s="18"/>
      <c r="B537" s="18"/>
      <c r="C537" s="18"/>
      <c r="D537" s="18"/>
      <c r="E537" s="18"/>
      <c r="F537" s="18"/>
      <c r="G537" s="18"/>
      <c r="H537" s="18"/>
      <c r="I537" s="18"/>
      <c r="J537" s="18"/>
      <c r="K537" s="18"/>
      <c r="L537" s="18"/>
      <c r="M537" s="18"/>
      <c r="N537" s="18"/>
      <c r="O537" s="18"/>
      <c r="P537" s="18"/>
      <c r="Q537" s="18"/>
      <c r="R537" s="18"/>
      <c r="S537" s="18"/>
    </row>
    <row r="538" spans="1:19" ht="14.25" hidden="1">
      <c r="A538" s="18"/>
      <c r="B538" s="18"/>
      <c r="C538" s="18"/>
      <c r="D538" s="18"/>
      <c r="E538" s="18"/>
      <c r="F538" s="18"/>
      <c r="G538" s="18"/>
      <c r="H538" s="18"/>
      <c r="I538" s="18"/>
      <c r="J538" s="18"/>
      <c r="K538" s="18"/>
      <c r="L538" s="18"/>
      <c r="M538" s="18"/>
      <c r="N538" s="18"/>
      <c r="O538" s="18"/>
      <c r="P538" s="18"/>
      <c r="Q538" s="18"/>
      <c r="R538" s="18"/>
      <c r="S538" s="18"/>
    </row>
    <row r="539" spans="1:19" ht="14.25" hidden="1">
      <c r="A539" s="18"/>
      <c r="B539" s="18"/>
      <c r="C539" s="18"/>
      <c r="D539" s="18"/>
      <c r="E539" s="18"/>
      <c r="F539" s="18"/>
      <c r="G539" s="18"/>
      <c r="H539" s="18"/>
      <c r="I539" s="18"/>
      <c r="J539" s="18"/>
      <c r="K539" s="18"/>
      <c r="L539" s="18"/>
      <c r="M539" s="18"/>
      <c r="N539" s="18"/>
      <c r="O539" s="18"/>
      <c r="P539" s="18"/>
      <c r="Q539" s="18"/>
      <c r="R539" s="18"/>
      <c r="S539" s="18"/>
    </row>
    <row r="540" spans="1:19" ht="14.25" hidden="1">
      <c r="A540" s="18"/>
      <c r="B540" s="18"/>
      <c r="C540" s="18"/>
      <c r="D540" s="18"/>
      <c r="E540" s="18"/>
      <c r="F540" s="18"/>
      <c r="G540" s="18"/>
      <c r="H540" s="18"/>
      <c r="I540" s="18"/>
      <c r="J540" s="18"/>
      <c r="K540" s="18"/>
      <c r="L540" s="18"/>
      <c r="M540" s="18"/>
      <c r="N540" s="18"/>
      <c r="O540" s="18"/>
      <c r="P540" s="18"/>
      <c r="Q540" s="18"/>
      <c r="R540" s="18"/>
      <c r="S540" s="18"/>
    </row>
    <row r="541" spans="1:19" ht="14.25" hidden="1">
      <c r="A541" s="18"/>
      <c r="B541" s="18"/>
      <c r="C541" s="18"/>
      <c r="D541" s="18"/>
      <c r="E541" s="18"/>
      <c r="F541" s="18"/>
      <c r="G541" s="18"/>
      <c r="H541" s="18"/>
      <c r="I541" s="18"/>
      <c r="J541" s="18"/>
      <c r="K541" s="18"/>
      <c r="L541" s="18"/>
      <c r="M541" s="18"/>
      <c r="N541" s="18"/>
      <c r="O541" s="18"/>
      <c r="P541" s="18"/>
      <c r="Q541" s="18"/>
      <c r="R541" s="18"/>
      <c r="S541" s="18"/>
    </row>
    <row r="542" spans="1:19" ht="14.25" hidden="1">
      <c r="A542" s="18"/>
      <c r="B542" s="18"/>
      <c r="C542" s="18"/>
      <c r="D542" s="18"/>
      <c r="E542" s="18"/>
      <c r="F542" s="18"/>
      <c r="G542" s="18"/>
      <c r="H542" s="18"/>
      <c r="I542" s="18"/>
      <c r="J542" s="18"/>
      <c r="K542" s="18"/>
      <c r="L542" s="18"/>
      <c r="M542" s="18"/>
      <c r="N542" s="18"/>
      <c r="O542" s="18"/>
      <c r="P542" s="18"/>
      <c r="Q542" s="18"/>
      <c r="R542" s="18"/>
      <c r="S542" s="18"/>
    </row>
    <row r="543" spans="1:19" ht="14.25" hidden="1">
      <c r="A543" s="18"/>
      <c r="B543" s="18"/>
      <c r="C543" s="18"/>
      <c r="D543" s="18"/>
      <c r="E543" s="18"/>
      <c r="F543" s="18"/>
      <c r="G543" s="18"/>
      <c r="H543" s="18"/>
      <c r="I543" s="18"/>
      <c r="J543" s="18"/>
      <c r="K543" s="18"/>
      <c r="L543" s="18"/>
      <c r="M543" s="18"/>
      <c r="N543" s="18"/>
      <c r="O543" s="18"/>
      <c r="P543" s="18"/>
      <c r="Q543" s="18"/>
      <c r="R543" s="18"/>
      <c r="S543" s="18"/>
    </row>
    <row r="544" spans="1:19" ht="14.25" hidden="1">
      <c r="A544" s="18"/>
      <c r="B544" s="18"/>
      <c r="C544" s="18"/>
      <c r="D544" s="18"/>
      <c r="E544" s="18"/>
      <c r="F544" s="18"/>
      <c r="G544" s="18"/>
      <c r="H544" s="18"/>
      <c r="I544" s="18"/>
      <c r="J544" s="18"/>
      <c r="K544" s="18"/>
      <c r="L544" s="18"/>
      <c r="M544" s="18"/>
      <c r="N544" s="18"/>
      <c r="O544" s="18"/>
      <c r="P544" s="18"/>
      <c r="Q544" s="18"/>
      <c r="R544" s="18"/>
      <c r="S544" s="18"/>
    </row>
    <row r="545" spans="1:19" ht="14.25" hidden="1">
      <c r="A545" s="18"/>
      <c r="B545" s="18"/>
      <c r="C545" s="18"/>
      <c r="D545" s="18"/>
      <c r="E545" s="18"/>
      <c r="F545" s="18"/>
      <c r="G545" s="18"/>
      <c r="H545" s="18"/>
      <c r="I545" s="18"/>
      <c r="J545" s="18"/>
      <c r="K545" s="18"/>
      <c r="L545" s="18"/>
      <c r="M545" s="18"/>
      <c r="N545" s="18"/>
      <c r="O545" s="18"/>
      <c r="P545" s="18"/>
      <c r="Q545" s="18"/>
      <c r="R545" s="18"/>
      <c r="S545" s="18"/>
    </row>
    <row r="546" spans="1:19" ht="14.25" hidden="1">
      <c r="A546" s="18"/>
      <c r="B546" s="18"/>
      <c r="C546" s="18"/>
      <c r="D546" s="18"/>
      <c r="E546" s="18"/>
      <c r="F546" s="18"/>
      <c r="G546" s="18"/>
      <c r="H546" s="18"/>
      <c r="I546" s="18"/>
      <c r="J546" s="18"/>
      <c r="K546" s="18"/>
      <c r="L546" s="18"/>
      <c r="M546" s="18"/>
      <c r="N546" s="18"/>
      <c r="O546" s="18"/>
      <c r="P546" s="18"/>
      <c r="Q546" s="18"/>
      <c r="R546" s="18"/>
      <c r="S546" s="18"/>
    </row>
    <row r="547" spans="1:19" ht="14.25" hidden="1">
      <c r="A547" s="18"/>
      <c r="B547" s="18"/>
      <c r="C547" s="18"/>
      <c r="D547" s="18"/>
      <c r="E547" s="18"/>
      <c r="F547" s="18"/>
      <c r="G547" s="18"/>
      <c r="H547" s="18"/>
      <c r="I547" s="18"/>
      <c r="J547" s="18"/>
      <c r="K547" s="18"/>
      <c r="L547" s="18"/>
      <c r="M547" s="18"/>
      <c r="N547" s="18"/>
      <c r="O547" s="18"/>
      <c r="P547" s="18"/>
      <c r="Q547" s="18"/>
      <c r="R547" s="18"/>
      <c r="S547" s="18"/>
    </row>
    <row r="548" spans="1:19" ht="14.25" hidden="1">
      <c r="A548" s="18"/>
      <c r="B548" s="18"/>
      <c r="C548" s="18"/>
      <c r="D548" s="18"/>
      <c r="E548" s="18"/>
      <c r="F548" s="18"/>
      <c r="G548" s="18"/>
      <c r="H548" s="18"/>
      <c r="I548" s="18"/>
      <c r="J548" s="18"/>
      <c r="K548" s="18"/>
      <c r="L548" s="18"/>
      <c r="M548" s="18"/>
      <c r="N548" s="18"/>
      <c r="O548" s="18"/>
      <c r="P548" s="18"/>
      <c r="Q548" s="18"/>
      <c r="R548" s="18"/>
      <c r="S548" s="18"/>
    </row>
    <row r="549" spans="1:19" ht="14.25" hidden="1">
      <c r="A549" s="18"/>
      <c r="B549" s="18"/>
      <c r="C549" s="18"/>
      <c r="D549" s="18"/>
      <c r="E549" s="18"/>
      <c r="F549" s="18"/>
      <c r="G549" s="18"/>
      <c r="H549" s="18"/>
      <c r="I549" s="18"/>
      <c r="J549" s="18"/>
      <c r="K549" s="18"/>
      <c r="L549" s="18"/>
      <c r="M549" s="18"/>
      <c r="N549" s="18"/>
      <c r="O549" s="18"/>
      <c r="P549" s="18"/>
      <c r="Q549" s="18"/>
      <c r="R549" s="18"/>
      <c r="S549" s="18"/>
    </row>
    <row r="550" spans="1:19" ht="14.25" hidden="1">
      <c r="A550" s="18"/>
      <c r="B550" s="18"/>
      <c r="C550" s="18"/>
      <c r="D550" s="18"/>
      <c r="E550" s="18"/>
      <c r="F550" s="18"/>
      <c r="G550" s="18"/>
      <c r="H550" s="18"/>
      <c r="I550" s="18"/>
      <c r="J550" s="18"/>
      <c r="K550" s="18"/>
      <c r="L550" s="18"/>
      <c r="M550" s="18"/>
      <c r="N550" s="18"/>
      <c r="O550" s="18"/>
      <c r="P550" s="18"/>
      <c r="Q550" s="18"/>
      <c r="R550" s="18"/>
      <c r="S550" s="18"/>
    </row>
    <row r="551" spans="1:19" ht="14.25" hidden="1">
      <c r="A551" s="18"/>
      <c r="B551" s="18"/>
      <c r="C551" s="18"/>
      <c r="D551" s="18"/>
      <c r="E551" s="18"/>
      <c r="F551" s="18"/>
      <c r="G551" s="18"/>
      <c r="H551" s="18"/>
      <c r="I551" s="18"/>
      <c r="J551" s="18"/>
      <c r="K551" s="18"/>
      <c r="L551" s="18"/>
      <c r="M551" s="18"/>
      <c r="N551" s="18"/>
      <c r="O551" s="18"/>
      <c r="P551" s="18"/>
      <c r="Q551" s="18"/>
      <c r="R551" s="18"/>
      <c r="S551" s="18"/>
    </row>
    <row r="552" spans="1:19" ht="14.25" hidden="1">
      <c r="A552" s="18"/>
      <c r="B552" s="18"/>
      <c r="C552" s="18"/>
      <c r="D552" s="18"/>
      <c r="E552" s="18"/>
      <c r="F552" s="18"/>
      <c r="G552" s="18"/>
      <c r="H552" s="18"/>
      <c r="I552" s="18"/>
      <c r="J552" s="18"/>
      <c r="K552" s="18"/>
      <c r="L552" s="18"/>
      <c r="M552" s="18"/>
      <c r="N552" s="18"/>
      <c r="O552" s="18"/>
      <c r="P552" s="18"/>
      <c r="Q552" s="18"/>
      <c r="R552" s="18"/>
      <c r="S552" s="18"/>
    </row>
    <row r="553" spans="1:19" ht="14.25" hidden="1">
      <c r="A553" s="18"/>
      <c r="B553" s="18"/>
      <c r="C553" s="18"/>
      <c r="D553" s="18"/>
      <c r="E553" s="18"/>
      <c r="F553" s="18"/>
      <c r="G553" s="18"/>
      <c r="H553" s="18"/>
      <c r="I553" s="18"/>
      <c r="J553" s="18"/>
      <c r="K553" s="18"/>
      <c r="L553" s="18"/>
      <c r="M553" s="18"/>
      <c r="N553" s="18"/>
      <c r="O553" s="18"/>
      <c r="P553" s="18"/>
      <c r="Q553" s="18"/>
      <c r="R553" s="18"/>
      <c r="S553" s="18"/>
    </row>
    <row r="554" spans="1:19" ht="14.25" hidden="1">
      <c r="A554" s="18"/>
      <c r="B554" s="18"/>
      <c r="C554" s="18"/>
      <c r="D554" s="18"/>
      <c r="E554" s="18"/>
      <c r="F554" s="18"/>
      <c r="G554" s="18"/>
      <c r="H554" s="18"/>
      <c r="I554" s="18"/>
      <c r="J554" s="18"/>
      <c r="K554" s="18"/>
      <c r="L554" s="18"/>
      <c r="M554" s="18"/>
      <c r="N554" s="18"/>
      <c r="O554" s="18"/>
      <c r="P554" s="18"/>
      <c r="Q554" s="18"/>
      <c r="R554" s="18"/>
      <c r="S554" s="18"/>
    </row>
    <row r="555" spans="1:19" ht="14.25" hidden="1">
      <c r="A555" s="18"/>
      <c r="B555" s="18"/>
      <c r="C555" s="18"/>
      <c r="D555" s="18"/>
      <c r="E555" s="18"/>
      <c r="F555" s="18"/>
      <c r="G555" s="18"/>
      <c r="H555" s="18"/>
      <c r="I555" s="18"/>
      <c r="J555" s="18"/>
      <c r="K555" s="18"/>
      <c r="L555" s="18"/>
      <c r="M555" s="18"/>
      <c r="N555" s="18"/>
      <c r="O555" s="18"/>
      <c r="P555" s="18"/>
      <c r="Q555" s="18"/>
      <c r="R555" s="18"/>
      <c r="S555" s="18"/>
    </row>
    <row r="556" spans="1:19" ht="14.25" hidden="1">
      <c r="A556" s="18"/>
      <c r="B556" s="18"/>
      <c r="C556" s="18"/>
      <c r="D556" s="18"/>
      <c r="E556" s="18"/>
      <c r="F556" s="18"/>
      <c r="G556" s="18"/>
      <c r="H556" s="18"/>
      <c r="I556" s="18"/>
      <c r="J556" s="18"/>
      <c r="K556" s="18"/>
      <c r="L556" s="18"/>
      <c r="M556" s="18"/>
      <c r="N556" s="18"/>
      <c r="O556" s="18"/>
      <c r="P556" s="18"/>
      <c r="Q556" s="18"/>
      <c r="R556" s="18"/>
      <c r="S556" s="18"/>
    </row>
    <row r="557" spans="1:19" ht="14.25" hidden="1">
      <c r="A557" s="18"/>
      <c r="B557" s="18"/>
      <c r="C557" s="18"/>
      <c r="D557" s="18"/>
      <c r="E557" s="18"/>
      <c r="F557" s="18"/>
      <c r="G557" s="18"/>
      <c r="H557" s="18"/>
      <c r="I557" s="18"/>
      <c r="J557" s="18"/>
      <c r="K557" s="18"/>
      <c r="L557" s="18"/>
      <c r="M557" s="18"/>
      <c r="N557" s="18"/>
      <c r="O557" s="18"/>
      <c r="P557" s="18"/>
      <c r="Q557" s="18"/>
      <c r="R557" s="18"/>
      <c r="S557" s="18"/>
    </row>
    <row r="558" spans="1:19" ht="14.25" hidden="1">
      <c r="A558" s="18"/>
      <c r="B558" s="18"/>
      <c r="C558" s="18"/>
      <c r="D558" s="18"/>
      <c r="E558" s="18"/>
      <c r="F558" s="18"/>
      <c r="G558" s="18"/>
      <c r="H558" s="18"/>
      <c r="I558" s="18"/>
      <c r="J558" s="18"/>
      <c r="K558" s="18"/>
      <c r="L558" s="18"/>
      <c r="M558" s="18"/>
      <c r="N558" s="18"/>
      <c r="O558" s="18"/>
      <c r="P558" s="18"/>
      <c r="Q558" s="18"/>
      <c r="R558" s="18"/>
      <c r="S558" s="18"/>
    </row>
    <row r="559" spans="1:19" ht="14.25" hidden="1">
      <c r="A559" s="18"/>
      <c r="B559" s="18"/>
      <c r="C559" s="18"/>
      <c r="D559" s="18"/>
      <c r="E559" s="18"/>
      <c r="F559" s="18"/>
      <c r="G559" s="18"/>
      <c r="H559" s="18"/>
      <c r="I559" s="18"/>
      <c r="J559" s="18"/>
      <c r="K559" s="18"/>
      <c r="L559" s="18"/>
      <c r="M559" s="18"/>
      <c r="N559" s="18"/>
      <c r="O559" s="18"/>
      <c r="P559" s="18"/>
      <c r="Q559" s="18"/>
      <c r="R559" s="18"/>
      <c r="S559" s="18"/>
    </row>
    <row r="560" spans="1:19" ht="14.25" hidden="1">
      <c r="A560" s="18"/>
      <c r="B560" s="18"/>
      <c r="C560" s="18"/>
      <c r="D560" s="18"/>
      <c r="E560" s="18"/>
      <c r="F560" s="18"/>
      <c r="G560" s="18"/>
      <c r="H560" s="18"/>
      <c r="I560" s="18"/>
      <c r="J560" s="18"/>
      <c r="K560" s="18"/>
      <c r="L560" s="18"/>
      <c r="M560" s="18"/>
      <c r="N560" s="18"/>
      <c r="O560" s="18"/>
      <c r="P560" s="18"/>
      <c r="Q560" s="18"/>
      <c r="R560" s="18"/>
      <c r="S560" s="18"/>
    </row>
    <row r="561" spans="1:19" ht="14.25" hidden="1">
      <c r="A561" s="18"/>
      <c r="B561" s="18"/>
      <c r="C561" s="18"/>
      <c r="D561" s="18"/>
      <c r="E561" s="18"/>
      <c r="F561" s="18"/>
      <c r="G561" s="18"/>
      <c r="H561" s="18"/>
      <c r="I561" s="18"/>
      <c r="J561" s="18"/>
      <c r="K561" s="18"/>
      <c r="L561" s="18"/>
      <c r="M561" s="18"/>
      <c r="N561" s="18"/>
      <c r="O561" s="18"/>
      <c r="P561" s="18"/>
      <c r="Q561" s="18"/>
      <c r="R561" s="18"/>
      <c r="S561" s="18"/>
    </row>
    <row r="562" spans="1:19" ht="14.25" hidden="1">
      <c r="A562" s="18"/>
      <c r="B562" s="18"/>
      <c r="C562" s="18"/>
      <c r="D562" s="18"/>
      <c r="E562" s="18"/>
      <c r="F562" s="18"/>
      <c r="G562" s="18"/>
      <c r="H562" s="18"/>
      <c r="I562" s="18"/>
      <c r="J562" s="18"/>
      <c r="K562" s="18"/>
      <c r="L562" s="18"/>
      <c r="M562" s="18"/>
      <c r="N562" s="18"/>
      <c r="O562" s="18"/>
      <c r="P562" s="18"/>
      <c r="Q562" s="18"/>
      <c r="R562" s="18"/>
      <c r="S562" s="18"/>
    </row>
    <row r="563" spans="1:19" ht="14.25" hidden="1">
      <c r="A563" s="18"/>
      <c r="B563" s="18"/>
      <c r="C563" s="18"/>
      <c r="D563" s="18"/>
      <c r="E563" s="18"/>
      <c r="F563" s="18"/>
      <c r="G563" s="18"/>
      <c r="H563" s="18"/>
      <c r="I563" s="18"/>
      <c r="J563" s="18"/>
      <c r="K563" s="18"/>
      <c r="L563" s="18"/>
      <c r="M563" s="18"/>
      <c r="N563" s="18"/>
      <c r="O563" s="18"/>
      <c r="P563" s="18"/>
      <c r="Q563" s="18"/>
      <c r="R563" s="18"/>
      <c r="S563" s="18"/>
    </row>
    <row r="564" spans="1:19" ht="14.25" hidden="1">
      <c r="A564" s="18"/>
      <c r="B564" s="18"/>
      <c r="C564" s="18"/>
      <c r="D564" s="18"/>
      <c r="E564" s="18"/>
      <c r="F564" s="18"/>
      <c r="G564" s="18"/>
      <c r="H564" s="18"/>
      <c r="I564" s="18"/>
      <c r="J564" s="18"/>
      <c r="K564" s="18"/>
      <c r="L564" s="18"/>
      <c r="M564" s="18"/>
      <c r="N564" s="18"/>
      <c r="O564" s="18"/>
      <c r="P564" s="18"/>
      <c r="Q564" s="18"/>
      <c r="R564" s="18"/>
      <c r="S564" s="18"/>
    </row>
    <row r="565" spans="1:19" ht="14.25" hidden="1">
      <c r="A565" s="18"/>
      <c r="B565" s="18"/>
      <c r="C565" s="18"/>
      <c r="D565" s="18"/>
      <c r="E565" s="18"/>
      <c r="F565" s="18"/>
      <c r="G565" s="18"/>
      <c r="H565" s="18"/>
      <c r="I565" s="18"/>
      <c r="J565" s="18"/>
      <c r="K565" s="18"/>
      <c r="L565" s="18"/>
      <c r="M565" s="18"/>
      <c r="N565" s="18"/>
      <c r="O565" s="18"/>
      <c r="P565" s="18"/>
      <c r="Q565" s="18"/>
      <c r="R565" s="18"/>
      <c r="S565" s="18"/>
    </row>
    <row r="566" spans="1:19" ht="14.25" hidden="1">
      <c r="A566" s="18"/>
      <c r="B566" s="18"/>
      <c r="C566" s="18"/>
      <c r="D566" s="18"/>
      <c r="E566" s="18"/>
      <c r="F566" s="18"/>
      <c r="G566" s="18"/>
      <c r="H566" s="18"/>
      <c r="I566" s="18"/>
      <c r="J566" s="18"/>
      <c r="K566" s="18"/>
      <c r="L566" s="18"/>
      <c r="M566" s="18"/>
      <c r="N566" s="18"/>
      <c r="O566" s="18"/>
      <c r="P566" s="18"/>
      <c r="Q566" s="18"/>
      <c r="R566" s="18"/>
      <c r="S566" s="18"/>
    </row>
    <row r="567" spans="1:19" ht="14.25" hidden="1">
      <c r="A567" s="18"/>
      <c r="B567" s="18"/>
      <c r="C567" s="18"/>
      <c r="D567" s="18"/>
      <c r="E567" s="18"/>
      <c r="F567" s="18"/>
      <c r="G567" s="18"/>
      <c r="H567" s="18"/>
      <c r="I567" s="18"/>
      <c r="J567" s="18"/>
      <c r="K567" s="18"/>
      <c r="L567" s="18"/>
      <c r="M567" s="18"/>
      <c r="N567" s="18"/>
      <c r="O567" s="18"/>
      <c r="P567" s="18"/>
      <c r="Q567" s="18"/>
      <c r="R567" s="18"/>
      <c r="S567" s="18"/>
    </row>
    <row r="568" spans="1:19" ht="14.25" hidden="1">
      <c r="A568" s="18"/>
      <c r="B568" s="18"/>
      <c r="C568" s="18"/>
      <c r="D568" s="18"/>
      <c r="E568" s="18"/>
      <c r="F568" s="18"/>
      <c r="G568" s="18"/>
      <c r="H568" s="18"/>
      <c r="I568" s="18"/>
      <c r="J568" s="18"/>
      <c r="K568" s="18"/>
      <c r="L568" s="18"/>
      <c r="M568" s="18"/>
      <c r="N568" s="18"/>
      <c r="O568" s="18"/>
      <c r="P568" s="18"/>
      <c r="Q568" s="18"/>
      <c r="R568" s="18"/>
      <c r="S568" s="18"/>
    </row>
    <row r="569" spans="1:19" ht="14.25" hidden="1">
      <c r="A569" s="18"/>
      <c r="B569" s="18"/>
      <c r="C569" s="18"/>
      <c r="D569" s="18"/>
      <c r="E569" s="18"/>
      <c r="F569" s="18"/>
      <c r="G569" s="18"/>
      <c r="H569" s="18"/>
      <c r="I569" s="18"/>
      <c r="J569" s="18"/>
      <c r="K569" s="18"/>
      <c r="L569" s="18"/>
      <c r="M569" s="18"/>
      <c r="N569" s="18"/>
      <c r="O569" s="18"/>
      <c r="P569" s="18"/>
      <c r="Q569" s="18"/>
      <c r="R569" s="18"/>
      <c r="S569" s="18"/>
    </row>
    <row r="570" spans="1:19" ht="14.25" hidden="1">
      <c r="A570" s="18"/>
      <c r="B570" s="18"/>
      <c r="C570" s="18"/>
      <c r="D570" s="18"/>
      <c r="E570" s="18"/>
      <c r="F570" s="18"/>
      <c r="G570" s="18"/>
      <c r="H570" s="18"/>
      <c r="I570" s="18"/>
      <c r="J570" s="18"/>
      <c r="K570" s="18"/>
      <c r="L570" s="18"/>
      <c r="M570" s="18"/>
      <c r="N570" s="18"/>
      <c r="O570" s="18"/>
      <c r="P570" s="18"/>
      <c r="Q570" s="18"/>
      <c r="R570" s="18"/>
      <c r="S570" s="18"/>
    </row>
    <row r="571" spans="1:19" ht="14.25" hidden="1">
      <c r="A571" s="18"/>
      <c r="B571" s="18"/>
      <c r="C571" s="18"/>
      <c r="D571" s="18"/>
      <c r="E571" s="18"/>
      <c r="F571" s="18"/>
      <c r="G571" s="18"/>
      <c r="H571" s="18"/>
      <c r="I571" s="18"/>
      <c r="J571" s="18"/>
      <c r="K571" s="18"/>
      <c r="L571" s="18"/>
      <c r="M571" s="18"/>
      <c r="N571" s="18"/>
      <c r="O571" s="18"/>
      <c r="P571" s="18"/>
      <c r="Q571" s="18"/>
      <c r="R571" s="18"/>
      <c r="S571" s="18"/>
    </row>
    <row r="572" spans="1:19" ht="14.25" hidden="1">
      <c r="A572" s="18"/>
      <c r="B572" s="18"/>
      <c r="C572" s="18"/>
      <c r="D572" s="18"/>
      <c r="E572" s="18"/>
      <c r="F572" s="18"/>
      <c r="G572" s="18"/>
      <c r="H572" s="18"/>
      <c r="I572" s="18"/>
      <c r="J572" s="18"/>
      <c r="K572" s="18"/>
      <c r="L572" s="18"/>
      <c r="M572" s="18"/>
      <c r="N572" s="18"/>
      <c r="O572" s="18"/>
      <c r="P572" s="18"/>
      <c r="Q572" s="18"/>
      <c r="R572" s="18"/>
      <c r="S572" s="18"/>
    </row>
    <row r="573" spans="1:19" ht="14.25" hidden="1">
      <c r="A573" s="18"/>
      <c r="B573" s="18"/>
      <c r="C573" s="18"/>
      <c r="D573" s="18"/>
      <c r="E573" s="18"/>
      <c r="F573" s="18"/>
      <c r="G573" s="18"/>
      <c r="H573" s="18"/>
      <c r="I573" s="18"/>
      <c r="J573" s="18"/>
      <c r="K573" s="18"/>
      <c r="L573" s="18"/>
      <c r="M573" s="18"/>
      <c r="N573" s="18"/>
      <c r="O573" s="18"/>
      <c r="P573" s="18"/>
      <c r="Q573" s="18"/>
      <c r="R573" s="18"/>
      <c r="S573" s="18"/>
    </row>
    <row r="574" spans="1:19" ht="14.25" hidden="1">
      <c r="A574" s="18"/>
      <c r="B574" s="18"/>
      <c r="C574" s="18"/>
      <c r="D574" s="18"/>
      <c r="E574" s="18"/>
      <c r="F574" s="18"/>
      <c r="G574" s="18"/>
      <c r="H574" s="18"/>
      <c r="I574" s="18"/>
      <c r="J574" s="18"/>
      <c r="K574" s="18"/>
      <c r="L574" s="18"/>
      <c r="M574" s="18"/>
      <c r="N574" s="18"/>
      <c r="O574" s="18"/>
      <c r="P574" s="18"/>
      <c r="Q574" s="18"/>
      <c r="R574" s="18"/>
      <c r="S574" s="18"/>
    </row>
    <row r="575" spans="1:19" ht="14.25" hidden="1">
      <c r="A575" s="18"/>
      <c r="B575" s="18"/>
      <c r="C575" s="18"/>
      <c r="D575" s="18"/>
      <c r="E575" s="18"/>
      <c r="F575" s="18"/>
      <c r="G575" s="18"/>
      <c r="H575" s="18"/>
      <c r="I575" s="18"/>
      <c r="J575" s="18"/>
      <c r="K575" s="18"/>
      <c r="L575" s="18"/>
      <c r="M575" s="18"/>
      <c r="N575" s="18"/>
      <c r="O575" s="18"/>
      <c r="P575" s="18"/>
      <c r="Q575" s="18"/>
      <c r="R575" s="18"/>
      <c r="S575" s="18"/>
    </row>
    <row r="576" spans="1:19" ht="14.25" hidden="1">
      <c r="A576" s="18"/>
      <c r="B576" s="18"/>
      <c r="C576" s="18"/>
      <c r="D576" s="18"/>
      <c r="E576" s="18"/>
      <c r="F576" s="18"/>
      <c r="G576" s="18"/>
      <c r="H576" s="18"/>
      <c r="I576" s="18"/>
      <c r="J576" s="18"/>
      <c r="K576" s="18"/>
      <c r="L576" s="18"/>
      <c r="M576" s="18"/>
      <c r="N576" s="18"/>
      <c r="O576" s="18"/>
      <c r="P576" s="18"/>
      <c r="Q576" s="18"/>
      <c r="R576" s="18"/>
      <c r="S576" s="18"/>
    </row>
    <row r="577" spans="1:19" ht="14.25" hidden="1">
      <c r="A577" s="18"/>
      <c r="B577" s="18"/>
      <c r="C577" s="18"/>
      <c r="D577" s="18"/>
      <c r="E577" s="18"/>
      <c r="F577" s="18"/>
      <c r="G577" s="18"/>
      <c r="H577" s="18"/>
      <c r="I577" s="18"/>
      <c r="J577" s="18"/>
      <c r="K577" s="18"/>
      <c r="L577" s="18"/>
      <c r="M577" s="18"/>
      <c r="N577" s="18"/>
      <c r="O577" s="18"/>
      <c r="P577" s="18"/>
      <c r="Q577" s="18"/>
      <c r="R577" s="18"/>
      <c r="S577" s="18"/>
    </row>
    <row r="578" spans="1:19" ht="14.25" hidden="1">
      <c r="A578" s="18"/>
      <c r="B578" s="18"/>
      <c r="C578" s="18"/>
      <c r="D578" s="18"/>
      <c r="E578" s="18"/>
      <c r="F578" s="18"/>
      <c r="G578" s="18"/>
      <c r="H578" s="18"/>
      <c r="I578" s="18"/>
      <c r="J578" s="18"/>
      <c r="K578" s="18"/>
      <c r="L578" s="18"/>
      <c r="M578" s="18"/>
      <c r="N578" s="18"/>
      <c r="O578" s="18"/>
      <c r="P578" s="18"/>
      <c r="Q578" s="18"/>
      <c r="R578" s="18"/>
      <c r="S578" s="18"/>
    </row>
    <row r="579" spans="1:19" ht="14.25" hidden="1">
      <c r="A579" s="18"/>
      <c r="B579" s="18"/>
      <c r="C579" s="18"/>
      <c r="D579" s="18"/>
      <c r="E579" s="18"/>
      <c r="F579" s="18"/>
      <c r="G579" s="18"/>
      <c r="H579" s="18"/>
      <c r="I579" s="18"/>
      <c r="J579" s="18"/>
      <c r="K579" s="18"/>
      <c r="L579" s="18"/>
      <c r="M579" s="18"/>
      <c r="N579" s="18"/>
      <c r="O579" s="18"/>
      <c r="P579" s="18"/>
      <c r="Q579" s="18"/>
      <c r="R579" s="18"/>
      <c r="S579" s="18"/>
    </row>
    <row r="580" spans="1:19" ht="14.25" hidden="1">
      <c r="A580" s="18"/>
      <c r="B580" s="18"/>
      <c r="C580" s="18"/>
      <c r="D580" s="18"/>
      <c r="E580" s="18"/>
      <c r="F580" s="18"/>
      <c r="G580" s="18"/>
      <c r="H580" s="18"/>
      <c r="I580" s="18"/>
      <c r="J580" s="18"/>
      <c r="K580" s="18"/>
      <c r="L580" s="18"/>
      <c r="M580" s="18"/>
      <c r="N580" s="18"/>
      <c r="O580" s="18"/>
      <c r="P580" s="18"/>
      <c r="Q580" s="18"/>
      <c r="R580" s="18"/>
      <c r="S580" s="18"/>
    </row>
    <row r="581" spans="1:19" ht="14.25" hidden="1">
      <c r="A581" s="18"/>
      <c r="B581" s="18"/>
      <c r="C581" s="18"/>
      <c r="D581" s="18"/>
      <c r="E581" s="18"/>
      <c r="F581" s="18"/>
      <c r="G581" s="18"/>
      <c r="H581" s="18"/>
      <c r="I581" s="18"/>
      <c r="J581" s="18"/>
      <c r="K581" s="18"/>
      <c r="L581" s="18"/>
      <c r="M581" s="18"/>
      <c r="N581" s="18"/>
      <c r="O581" s="18"/>
      <c r="P581" s="18"/>
      <c r="Q581" s="18"/>
      <c r="R581" s="18"/>
      <c r="S581" s="18"/>
    </row>
    <row r="582" spans="1:19" ht="14.25" hidden="1">
      <c r="A582" s="18"/>
      <c r="B582" s="18"/>
      <c r="C582" s="18"/>
      <c r="D582" s="18"/>
      <c r="E582" s="18"/>
      <c r="F582" s="18"/>
      <c r="G582" s="18"/>
      <c r="H582" s="18"/>
      <c r="I582" s="18"/>
      <c r="J582" s="18"/>
      <c r="K582" s="18"/>
      <c r="L582" s="18"/>
      <c r="M582" s="18"/>
      <c r="N582" s="18"/>
      <c r="O582" s="18"/>
      <c r="P582" s="18"/>
      <c r="Q582" s="18"/>
      <c r="R582" s="18"/>
      <c r="S582" s="18"/>
    </row>
    <row r="583" spans="1:19" ht="14.25" hidden="1">
      <c r="A583" s="18"/>
      <c r="B583" s="18"/>
      <c r="C583" s="18"/>
      <c r="D583" s="18"/>
      <c r="E583" s="18"/>
      <c r="F583" s="18"/>
      <c r="G583" s="18"/>
      <c r="H583" s="18"/>
      <c r="I583" s="18"/>
      <c r="J583" s="18"/>
      <c r="K583" s="18"/>
      <c r="L583" s="18"/>
      <c r="M583" s="18"/>
      <c r="N583" s="18"/>
      <c r="O583" s="18"/>
      <c r="P583" s="18"/>
      <c r="Q583" s="18"/>
      <c r="R583" s="18"/>
      <c r="S583" s="18"/>
    </row>
    <row r="584" spans="1:19" ht="14.25" hidden="1">
      <c r="A584" s="18"/>
      <c r="B584" s="18"/>
      <c r="C584" s="18"/>
      <c r="D584" s="18"/>
      <c r="E584" s="18"/>
      <c r="F584" s="18"/>
      <c r="G584" s="18"/>
      <c r="H584" s="18"/>
      <c r="I584" s="18"/>
      <c r="J584" s="18"/>
      <c r="K584" s="18"/>
      <c r="L584" s="18"/>
      <c r="M584" s="18"/>
      <c r="N584" s="18"/>
      <c r="O584" s="18"/>
      <c r="P584" s="18"/>
      <c r="Q584" s="18"/>
      <c r="R584" s="18"/>
      <c r="S584" s="18"/>
    </row>
    <row r="585" spans="1:19" ht="14.25" hidden="1">
      <c r="A585" s="18"/>
      <c r="B585" s="18"/>
      <c r="C585" s="18"/>
      <c r="D585" s="18"/>
      <c r="E585" s="18"/>
      <c r="F585" s="18"/>
      <c r="G585" s="18"/>
      <c r="H585" s="18"/>
      <c r="I585" s="18"/>
      <c r="J585" s="18"/>
      <c r="K585" s="18"/>
      <c r="L585" s="18"/>
      <c r="M585" s="18"/>
      <c r="N585" s="18"/>
      <c r="O585" s="18"/>
      <c r="P585" s="18"/>
      <c r="Q585" s="18"/>
      <c r="R585" s="18"/>
      <c r="S585" s="18"/>
    </row>
    <row r="586" spans="1:19" ht="14.25" hidden="1">
      <c r="A586" s="18"/>
      <c r="B586" s="18"/>
      <c r="C586" s="18"/>
      <c r="D586" s="18"/>
      <c r="E586" s="18"/>
      <c r="F586" s="18"/>
      <c r="G586" s="18"/>
      <c r="H586" s="18"/>
      <c r="I586" s="18"/>
      <c r="J586" s="18"/>
      <c r="K586" s="18"/>
      <c r="L586" s="18"/>
      <c r="M586" s="18"/>
      <c r="N586" s="18"/>
      <c r="O586" s="18"/>
      <c r="P586" s="18"/>
      <c r="Q586" s="18"/>
      <c r="R586" s="18"/>
      <c r="S586" s="18"/>
    </row>
    <row r="587" spans="1:19" ht="14.25" hidden="1">
      <c r="A587" s="18"/>
      <c r="B587" s="18"/>
      <c r="C587" s="18"/>
      <c r="D587" s="18"/>
      <c r="E587" s="18"/>
      <c r="F587" s="18"/>
      <c r="G587" s="18"/>
      <c r="H587" s="18"/>
      <c r="I587" s="18"/>
      <c r="J587" s="18"/>
      <c r="K587" s="18"/>
      <c r="L587" s="18"/>
      <c r="M587" s="18"/>
      <c r="N587" s="18"/>
      <c r="O587" s="18"/>
      <c r="P587" s="18"/>
      <c r="Q587" s="18"/>
      <c r="R587" s="18"/>
      <c r="S587" s="18"/>
    </row>
    <row r="588" spans="1:19" ht="14.25" hidden="1">
      <c r="A588" s="18"/>
      <c r="B588" s="18"/>
      <c r="C588" s="18"/>
      <c r="D588" s="18"/>
      <c r="E588" s="18"/>
      <c r="F588" s="18"/>
      <c r="G588" s="18"/>
      <c r="H588" s="18"/>
      <c r="I588" s="18"/>
      <c r="J588" s="18"/>
      <c r="K588" s="18"/>
      <c r="L588" s="18"/>
      <c r="M588" s="18"/>
      <c r="N588" s="18"/>
      <c r="O588" s="18"/>
      <c r="P588" s="18"/>
      <c r="Q588" s="18"/>
      <c r="R588" s="18"/>
      <c r="S588" s="18"/>
    </row>
    <row r="589" spans="1:19" ht="14.25" hidden="1">
      <c r="A589" s="18"/>
      <c r="B589" s="18"/>
      <c r="C589" s="18"/>
      <c r="D589" s="18"/>
      <c r="E589" s="18"/>
      <c r="F589" s="18"/>
      <c r="G589" s="18"/>
      <c r="H589" s="18"/>
      <c r="I589" s="18"/>
      <c r="J589" s="18"/>
      <c r="K589" s="18"/>
      <c r="L589" s="18"/>
      <c r="M589" s="18"/>
      <c r="N589" s="18"/>
      <c r="O589" s="18"/>
      <c r="P589" s="18"/>
      <c r="Q589" s="18"/>
      <c r="R589" s="18"/>
      <c r="S589" s="18"/>
    </row>
    <row r="590" spans="1:19" ht="14.25" hidden="1">
      <c r="A590" s="18"/>
      <c r="B590" s="18"/>
      <c r="C590" s="18"/>
      <c r="D590" s="18"/>
      <c r="E590" s="18"/>
      <c r="F590" s="18"/>
      <c r="G590" s="18"/>
      <c r="H590" s="18"/>
      <c r="I590" s="18"/>
      <c r="J590" s="18"/>
      <c r="K590" s="18"/>
      <c r="L590" s="18"/>
      <c r="M590" s="18"/>
      <c r="N590" s="18"/>
      <c r="O590" s="18"/>
      <c r="P590" s="18"/>
      <c r="Q590" s="18"/>
      <c r="R590" s="18"/>
      <c r="S590" s="18"/>
    </row>
    <row r="591" spans="1:19" ht="14.25" hidden="1">
      <c r="A591" s="18"/>
      <c r="B591" s="18"/>
      <c r="C591" s="18"/>
      <c r="D591" s="18"/>
      <c r="E591" s="18"/>
      <c r="F591" s="18"/>
      <c r="G591" s="18"/>
      <c r="H591" s="18"/>
      <c r="I591" s="18"/>
      <c r="J591" s="18"/>
      <c r="K591" s="18"/>
      <c r="L591" s="18"/>
      <c r="M591" s="18"/>
      <c r="N591" s="18"/>
      <c r="O591" s="18"/>
      <c r="P591" s="18"/>
      <c r="Q591" s="18"/>
      <c r="R591" s="18"/>
      <c r="S591" s="18"/>
    </row>
    <row r="592" spans="1:19" ht="14.25" hidden="1">
      <c r="A592" s="18"/>
      <c r="B592" s="18"/>
      <c r="C592" s="18"/>
      <c r="D592" s="18"/>
      <c r="E592" s="18"/>
      <c r="F592" s="18"/>
      <c r="G592" s="18"/>
      <c r="H592" s="18"/>
      <c r="I592" s="18"/>
      <c r="J592" s="18"/>
      <c r="K592" s="18"/>
      <c r="L592" s="18"/>
      <c r="M592" s="18"/>
      <c r="N592" s="18"/>
      <c r="O592" s="18"/>
      <c r="P592" s="18"/>
      <c r="Q592" s="18"/>
      <c r="R592" s="18"/>
      <c r="S592" s="18"/>
    </row>
    <row r="593" spans="1:19" ht="14.25" hidden="1">
      <c r="A593" s="18"/>
      <c r="B593" s="18"/>
      <c r="C593" s="18"/>
      <c r="D593" s="18"/>
      <c r="E593" s="18"/>
      <c r="F593" s="18"/>
      <c r="G593" s="18"/>
      <c r="H593" s="18"/>
      <c r="I593" s="18"/>
      <c r="J593" s="18"/>
      <c r="K593" s="18"/>
      <c r="L593" s="18"/>
      <c r="M593" s="18"/>
      <c r="N593" s="18"/>
      <c r="O593" s="18"/>
      <c r="P593" s="18"/>
      <c r="Q593" s="18"/>
      <c r="R593" s="18"/>
      <c r="S593" s="18"/>
    </row>
    <row r="594" spans="1:19" ht="14.25" hidden="1">
      <c r="A594" s="18"/>
      <c r="B594" s="18"/>
      <c r="C594" s="18"/>
      <c r="D594" s="18"/>
      <c r="E594" s="18"/>
      <c r="F594" s="18"/>
      <c r="G594" s="18"/>
      <c r="H594" s="18"/>
      <c r="I594" s="18"/>
      <c r="J594" s="18"/>
      <c r="K594" s="18"/>
      <c r="L594" s="18"/>
      <c r="M594" s="18"/>
      <c r="N594" s="18"/>
      <c r="O594" s="18"/>
      <c r="P594" s="18"/>
      <c r="Q594" s="18"/>
      <c r="R594" s="18"/>
      <c r="S594" s="18"/>
    </row>
    <row r="595" spans="1:19" ht="14.25" hidden="1">
      <c r="A595" s="18"/>
      <c r="B595" s="18"/>
      <c r="C595" s="18"/>
      <c r="D595" s="18"/>
      <c r="E595" s="18"/>
      <c r="F595" s="18"/>
      <c r="G595" s="18"/>
      <c r="H595" s="18"/>
      <c r="I595" s="18"/>
      <c r="J595" s="18"/>
      <c r="K595" s="18"/>
      <c r="L595" s="18"/>
      <c r="M595" s="18"/>
      <c r="N595" s="18"/>
      <c r="O595" s="18"/>
      <c r="P595" s="18"/>
      <c r="Q595" s="18"/>
      <c r="R595" s="18"/>
      <c r="S595" s="18"/>
    </row>
    <row r="596" spans="1:19" ht="14.25" hidden="1">
      <c r="A596" s="18"/>
      <c r="B596" s="18"/>
      <c r="C596" s="18"/>
      <c r="D596" s="18"/>
      <c r="E596" s="18"/>
      <c r="F596" s="18"/>
      <c r="G596" s="18"/>
      <c r="H596" s="18"/>
      <c r="I596" s="18"/>
      <c r="J596" s="18"/>
      <c r="K596" s="18"/>
      <c r="L596" s="18"/>
      <c r="M596" s="18"/>
      <c r="N596" s="18"/>
      <c r="O596" s="18"/>
      <c r="P596" s="18"/>
      <c r="Q596" s="18"/>
      <c r="R596" s="18"/>
      <c r="S596" s="18"/>
    </row>
    <row r="597" spans="1:19" ht="14.25" hidden="1">
      <c r="A597" s="18"/>
      <c r="B597" s="18"/>
      <c r="C597" s="18"/>
      <c r="D597" s="18"/>
      <c r="E597" s="18"/>
      <c r="F597" s="18"/>
      <c r="G597" s="18"/>
      <c r="H597" s="18"/>
      <c r="I597" s="18"/>
      <c r="J597" s="18"/>
      <c r="K597" s="18"/>
      <c r="L597" s="18"/>
      <c r="M597" s="18"/>
      <c r="N597" s="18"/>
      <c r="O597" s="18"/>
      <c r="P597" s="18"/>
      <c r="Q597" s="18"/>
      <c r="R597" s="18"/>
      <c r="S597" s="18"/>
    </row>
    <row r="598" spans="1:19" ht="14.25" hidden="1">
      <c r="A598" s="18"/>
      <c r="B598" s="18"/>
      <c r="C598" s="18"/>
      <c r="D598" s="18"/>
      <c r="E598" s="18"/>
      <c r="F598" s="18"/>
      <c r="G598" s="18"/>
      <c r="H598" s="18"/>
      <c r="I598" s="18"/>
      <c r="J598" s="18"/>
      <c r="K598" s="18"/>
      <c r="L598" s="18"/>
      <c r="M598" s="18"/>
      <c r="N598" s="18"/>
      <c r="O598" s="18"/>
      <c r="P598" s="18"/>
      <c r="Q598" s="18"/>
      <c r="R598" s="18"/>
      <c r="S598" s="18"/>
    </row>
    <row r="599" spans="1:19" ht="14.25" hidden="1">
      <c r="A599" s="18"/>
      <c r="B599" s="18"/>
      <c r="C599" s="18"/>
      <c r="D599" s="18"/>
      <c r="E599" s="18"/>
      <c r="F599" s="18"/>
      <c r="G599" s="18"/>
      <c r="H599" s="18"/>
      <c r="I599" s="18"/>
      <c r="J599" s="18"/>
      <c r="K599" s="18"/>
      <c r="L599" s="18"/>
      <c r="M599" s="18"/>
      <c r="N599" s="18"/>
      <c r="O599" s="18"/>
      <c r="P599" s="18"/>
      <c r="Q599" s="18"/>
      <c r="R599" s="18"/>
      <c r="S599" s="18"/>
    </row>
    <row r="600" spans="1:19" ht="14.25" hidden="1">
      <c r="A600" s="18"/>
      <c r="B600" s="18"/>
      <c r="C600" s="18"/>
      <c r="D600" s="18"/>
      <c r="E600" s="18"/>
      <c r="F600" s="18"/>
      <c r="G600" s="18"/>
      <c r="H600" s="18"/>
      <c r="I600" s="18"/>
      <c r="J600" s="18"/>
      <c r="K600" s="18"/>
      <c r="L600" s="18"/>
      <c r="M600" s="18"/>
      <c r="N600" s="18"/>
      <c r="O600" s="18"/>
      <c r="P600" s="18"/>
      <c r="Q600" s="18"/>
      <c r="R600" s="18"/>
      <c r="S600" s="18"/>
    </row>
    <row r="601" spans="1:19" ht="14.25" hidden="1">
      <c r="A601" s="18"/>
      <c r="B601" s="18"/>
      <c r="C601" s="18"/>
      <c r="D601" s="18"/>
      <c r="E601" s="18"/>
      <c r="F601" s="18"/>
      <c r="G601" s="18"/>
      <c r="H601" s="18"/>
      <c r="I601" s="18"/>
      <c r="J601" s="18"/>
      <c r="K601" s="18"/>
      <c r="L601" s="18"/>
      <c r="M601" s="18"/>
      <c r="N601" s="18"/>
      <c r="O601" s="18"/>
      <c r="P601" s="18"/>
      <c r="Q601" s="18"/>
      <c r="R601" s="18"/>
      <c r="S601" s="18"/>
    </row>
    <row r="602" spans="1:19" ht="14.25" hidden="1">
      <c r="A602" s="18"/>
      <c r="B602" s="18"/>
      <c r="C602" s="18"/>
      <c r="D602" s="18"/>
      <c r="E602" s="18"/>
      <c r="F602" s="18"/>
      <c r="G602" s="18"/>
      <c r="H602" s="18"/>
      <c r="I602" s="18"/>
      <c r="J602" s="18"/>
      <c r="K602" s="18"/>
      <c r="L602" s="18"/>
      <c r="M602" s="18"/>
      <c r="N602" s="18"/>
      <c r="O602" s="18"/>
      <c r="P602" s="18"/>
      <c r="Q602" s="18"/>
      <c r="R602" s="18"/>
      <c r="S602" s="18"/>
    </row>
    <row r="603" spans="1:19" ht="14.25" hidden="1">
      <c r="A603" s="18"/>
      <c r="B603" s="18"/>
      <c r="C603" s="18"/>
      <c r="D603" s="18"/>
      <c r="E603" s="18"/>
      <c r="F603" s="18"/>
      <c r="G603" s="18"/>
      <c r="H603" s="18"/>
      <c r="I603" s="18"/>
      <c r="J603" s="18"/>
      <c r="K603" s="18"/>
      <c r="L603" s="18"/>
      <c r="M603" s="18"/>
      <c r="N603" s="18"/>
      <c r="O603" s="18"/>
      <c r="P603" s="18"/>
      <c r="Q603" s="18"/>
      <c r="R603" s="18"/>
      <c r="S603" s="18"/>
    </row>
    <row r="604" spans="1:19" ht="14.25" hidden="1">
      <c r="A604" s="18"/>
      <c r="B604" s="18"/>
      <c r="C604" s="18"/>
      <c r="D604" s="18"/>
      <c r="E604" s="18"/>
      <c r="F604" s="18"/>
      <c r="G604" s="18"/>
      <c r="H604" s="18"/>
      <c r="I604" s="18"/>
      <c r="J604" s="18"/>
      <c r="K604" s="18"/>
      <c r="L604" s="18"/>
      <c r="M604" s="18"/>
      <c r="N604" s="18"/>
      <c r="O604" s="18"/>
      <c r="P604" s="18"/>
      <c r="Q604" s="18"/>
      <c r="R604" s="18"/>
      <c r="S604" s="18"/>
    </row>
    <row r="605" spans="1:19" ht="14.25" hidden="1">
      <c r="A605" s="18"/>
      <c r="B605" s="18"/>
      <c r="C605" s="18"/>
      <c r="D605" s="18"/>
      <c r="E605" s="18"/>
      <c r="F605" s="18"/>
      <c r="G605" s="18"/>
      <c r="H605" s="18"/>
      <c r="I605" s="18"/>
      <c r="J605" s="18"/>
      <c r="K605" s="18"/>
      <c r="L605" s="18"/>
      <c r="M605" s="18"/>
      <c r="N605" s="18"/>
      <c r="O605" s="18"/>
      <c r="P605" s="18"/>
      <c r="Q605" s="18"/>
      <c r="R605" s="18"/>
      <c r="S605" s="18"/>
    </row>
    <row r="606" spans="1:19" ht="14.25" hidden="1">
      <c r="A606" s="18"/>
      <c r="B606" s="18"/>
      <c r="C606" s="18"/>
      <c r="D606" s="18"/>
      <c r="E606" s="18"/>
      <c r="F606" s="18"/>
      <c r="G606" s="18"/>
      <c r="H606" s="18"/>
      <c r="I606" s="18"/>
      <c r="J606" s="18"/>
      <c r="K606" s="18"/>
      <c r="L606" s="18"/>
      <c r="M606" s="18"/>
      <c r="N606" s="18"/>
      <c r="O606" s="18"/>
      <c r="P606" s="18"/>
      <c r="Q606" s="18"/>
      <c r="R606" s="18"/>
      <c r="S606" s="18"/>
    </row>
    <row r="607" spans="1:19" ht="14.25" hidden="1">
      <c r="A607" s="18"/>
      <c r="B607" s="18"/>
      <c r="C607" s="18"/>
      <c r="D607" s="18"/>
      <c r="E607" s="18"/>
      <c r="F607" s="18"/>
      <c r="G607" s="18"/>
      <c r="H607" s="18"/>
      <c r="I607" s="18"/>
      <c r="J607" s="18"/>
      <c r="K607" s="18"/>
      <c r="L607" s="18"/>
      <c r="M607" s="18"/>
      <c r="N607" s="18"/>
      <c r="O607" s="18"/>
      <c r="P607" s="18"/>
      <c r="Q607" s="18"/>
      <c r="R607" s="18"/>
      <c r="S607" s="18"/>
    </row>
    <row r="608" spans="1:19" ht="14.25" hidden="1">
      <c r="A608" s="18"/>
      <c r="B608" s="18"/>
      <c r="C608" s="18"/>
      <c r="D608" s="18"/>
      <c r="E608" s="18"/>
      <c r="F608" s="18"/>
      <c r="G608" s="18"/>
      <c r="H608" s="18"/>
      <c r="I608" s="18"/>
      <c r="J608" s="18"/>
      <c r="K608" s="18"/>
      <c r="L608" s="18"/>
      <c r="M608" s="18"/>
      <c r="N608" s="18"/>
      <c r="O608" s="18"/>
      <c r="P608" s="18"/>
      <c r="Q608" s="18"/>
      <c r="R608" s="18"/>
      <c r="S608" s="18"/>
    </row>
    <row r="609" spans="1:19" ht="14.25" hidden="1">
      <c r="A609" s="18"/>
      <c r="B609" s="18"/>
      <c r="C609" s="18"/>
      <c r="D609" s="18"/>
      <c r="E609" s="18"/>
      <c r="F609" s="18"/>
      <c r="G609" s="18"/>
      <c r="H609" s="18"/>
      <c r="I609" s="18"/>
      <c r="J609" s="18"/>
      <c r="K609" s="18"/>
      <c r="L609" s="18"/>
      <c r="M609" s="18"/>
      <c r="N609" s="18"/>
      <c r="O609" s="18"/>
      <c r="P609" s="18"/>
      <c r="Q609" s="18"/>
      <c r="R609" s="18"/>
      <c r="S609" s="18"/>
    </row>
    <row r="610" spans="1:19" ht="14.25" hidden="1">
      <c r="A610" s="18"/>
      <c r="B610" s="18"/>
      <c r="C610" s="18"/>
      <c r="D610" s="18"/>
      <c r="E610" s="18"/>
      <c r="F610" s="18"/>
      <c r="G610" s="18"/>
      <c r="H610" s="18"/>
      <c r="I610" s="18"/>
      <c r="J610" s="18"/>
      <c r="K610" s="18"/>
      <c r="L610" s="18"/>
      <c r="M610" s="18"/>
      <c r="N610" s="18"/>
      <c r="O610" s="18"/>
      <c r="P610" s="18"/>
      <c r="Q610" s="18"/>
      <c r="R610" s="18"/>
      <c r="S610" s="18"/>
    </row>
    <row r="611" spans="1:19" ht="14.25" hidden="1">
      <c r="A611" s="18"/>
      <c r="B611" s="18"/>
      <c r="C611" s="18"/>
      <c r="D611" s="18"/>
      <c r="E611" s="18"/>
      <c r="F611" s="18"/>
      <c r="G611" s="18"/>
      <c r="H611" s="18"/>
      <c r="I611" s="18"/>
      <c r="J611" s="18"/>
      <c r="K611" s="18"/>
      <c r="L611" s="18"/>
      <c r="M611" s="18"/>
      <c r="N611" s="18"/>
      <c r="O611" s="18"/>
      <c r="P611" s="18"/>
      <c r="Q611" s="18"/>
      <c r="R611" s="18"/>
      <c r="S611" s="18"/>
    </row>
    <row r="612" spans="1:19" ht="14.25" hidden="1">
      <c r="A612" s="18"/>
      <c r="B612" s="18"/>
      <c r="C612" s="18"/>
      <c r="D612" s="18"/>
      <c r="E612" s="18"/>
      <c r="F612" s="18"/>
      <c r="G612" s="18"/>
      <c r="H612" s="18"/>
      <c r="I612" s="18"/>
      <c r="J612" s="18"/>
      <c r="K612" s="18"/>
      <c r="L612" s="18"/>
      <c r="M612" s="18"/>
      <c r="N612" s="18"/>
      <c r="O612" s="18"/>
      <c r="P612" s="18"/>
      <c r="Q612" s="18"/>
      <c r="R612" s="18"/>
      <c r="S612" s="18"/>
    </row>
    <row r="613" spans="1:19" ht="14.25" hidden="1">
      <c r="A613" s="18"/>
      <c r="B613" s="18"/>
      <c r="C613" s="18"/>
      <c r="D613" s="18"/>
      <c r="E613" s="18"/>
      <c r="F613" s="18"/>
      <c r="G613" s="18"/>
      <c r="H613" s="18"/>
      <c r="I613" s="18"/>
      <c r="J613" s="18"/>
      <c r="K613" s="18"/>
      <c r="L613" s="18"/>
      <c r="M613" s="18"/>
      <c r="N613" s="18"/>
      <c r="O613" s="18"/>
      <c r="P613" s="18"/>
      <c r="Q613" s="18"/>
      <c r="R613" s="18"/>
      <c r="S613" s="18"/>
    </row>
    <row r="614" spans="1:19" ht="14.25" hidden="1">
      <c r="A614" s="18"/>
      <c r="B614" s="18"/>
      <c r="C614" s="18"/>
      <c r="D614" s="18"/>
      <c r="E614" s="18"/>
      <c r="F614" s="18"/>
      <c r="G614" s="18"/>
      <c r="H614" s="18"/>
      <c r="I614" s="18"/>
      <c r="J614" s="18"/>
      <c r="K614" s="18"/>
      <c r="L614" s="18"/>
      <c r="M614" s="18"/>
      <c r="N614" s="18"/>
      <c r="O614" s="18"/>
      <c r="P614" s="18"/>
      <c r="Q614" s="18"/>
      <c r="R614" s="18"/>
      <c r="S614" s="18"/>
    </row>
    <row r="615" spans="1:19" ht="14.25" hidden="1">
      <c r="A615" s="18"/>
      <c r="B615" s="18"/>
      <c r="C615" s="18"/>
      <c r="D615" s="18"/>
      <c r="E615" s="18"/>
      <c r="F615" s="18"/>
      <c r="G615" s="18"/>
      <c r="H615" s="18"/>
      <c r="I615" s="18"/>
      <c r="J615" s="18"/>
      <c r="K615" s="18"/>
      <c r="L615" s="18"/>
      <c r="M615" s="18"/>
      <c r="N615" s="18"/>
      <c r="O615" s="18"/>
      <c r="P615" s="18"/>
      <c r="Q615" s="18"/>
      <c r="R615" s="18"/>
      <c r="S615" s="18"/>
    </row>
    <row r="616" spans="1:19" ht="14.25" hidden="1">
      <c r="A616" s="18"/>
      <c r="B616" s="18"/>
      <c r="C616" s="18"/>
      <c r="D616" s="18"/>
      <c r="E616" s="18"/>
      <c r="F616" s="18"/>
      <c r="G616" s="18"/>
      <c r="H616" s="18"/>
      <c r="I616" s="18"/>
      <c r="J616" s="18"/>
      <c r="K616" s="18"/>
      <c r="L616" s="18"/>
      <c r="M616" s="18"/>
      <c r="N616" s="18"/>
      <c r="O616" s="18"/>
      <c r="P616" s="18"/>
      <c r="Q616" s="18"/>
      <c r="R616" s="18"/>
      <c r="S616" s="18"/>
    </row>
    <row r="617" spans="1:19" ht="14.25" hidden="1">
      <c r="A617" s="18"/>
      <c r="B617" s="18"/>
      <c r="C617" s="18"/>
      <c r="D617" s="18"/>
      <c r="E617" s="18"/>
      <c r="F617" s="18"/>
      <c r="G617" s="18"/>
      <c r="H617" s="18"/>
      <c r="I617" s="18"/>
      <c r="J617" s="18"/>
      <c r="K617" s="18"/>
      <c r="L617" s="18"/>
      <c r="M617" s="18"/>
      <c r="N617" s="18"/>
      <c r="O617" s="18"/>
      <c r="P617" s="18"/>
      <c r="Q617" s="18"/>
      <c r="R617" s="18"/>
      <c r="S617" s="18"/>
    </row>
    <row r="618" spans="1:19" ht="14.25" hidden="1">
      <c r="A618" s="18"/>
      <c r="B618" s="18"/>
      <c r="C618" s="18"/>
      <c r="D618" s="18"/>
      <c r="E618" s="18"/>
      <c r="F618" s="18"/>
      <c r="G618" s="18"/>
      <c r="H618" s="18"/>
      <c r="I618" s="18"/>
      <c r="J618" s="18"/>
      <c r="K618" s="18"/>
      <c r="L618" s="18"/>
      <c r="M618" s="18"/>
      <c r="N618" s="18"/>
      <c r="O618" s="18"/>
      <c r="P618" s="18"/>
      <c r="Q618" s="18"/>
      <c r="R618" s="18"/>
      <c r="S618" s="18"/>
    </row>
    <row r="619" spans="1:19" ht="14.25" hidden="1">
      <c r="A619" s="18"/>
      <c r="B619" s="18"/>
      <c r="C619" s="18"/>
      <c r="D619" s="18"/>
      <c r="E619" s="18"/>
      <c r="F619" s="18"/>
      <c r="G619" s="18"/>
      <c r="H619" s="18"/>
      <c r="I619" s="18"/>
      <c r="J619" s="18"/>
      <c r="K619" s="18"/>
      <c r="L619" s="18"/>
      <c r="M619" s="18"/>
      <c r="N619" s="18"/>
      <c r="O619" s="18"/>
      <c r="P619" s="18"/>
      <c r="Q619" s="18"/>
      <c r="R619" s="18"/>
      <c r="S619" s="18"/>
    </row>
    <row r="620" spans="1:19" ht="14.25" hidden="1">
      <c r="A620" s="18"/>
      <c r="B620" s="18"/>
      <c r="C620" s="18"/>
      <c r="D620" s="18"/>
      <c r="E620" s="18"/>
      <c r="F620" s="18"/>
      <c r="G620" s="18"/>
      <c r="H620" s="18"/>
      <c r="I620" s="18"/>
      <c r="J620" s="18"/>
      <c r="K620" s="18"/>
      <c r="L620" s="18"/>
      <c r="M620" s="18"/>
      <c r="N620" s="18"/>
      <c r="O620" s="18"/>
      <c r="P620" s="18"/>
      <c r="Q620" s="18"/>
      <c r="R620" s="18"/>
      <c r="S620" s="18"/>
    </row>
    <row r="621" spans="1:19" ht="14.25" hidden="1">
      <c r="A621" s="18"/>
      <c r="B621" s="18"/>
      <c r="C621" s="18"/>
      <c r="D621" s="18"/>
      <c r="E621" s="18"/>
      <c r="F621" s="18"/>
      <c r="G621" s="18"/>
      <c r="H621" s="18"/>
      <c r="I621" s="18"/>
      <c r="J621" s="18"/>
      <c r="K621" s="18"/>
      <c r="L621" s="18"/>
      <c r="M621" s="18"/>
      <c r="N621" s="18"/>
      <c r="O621" s="18"/>
      <c r="P621" s="18"/>
      <c r="Q621" s="18"/>
      <c r="R621" s="18"/>
      <c r="S621" s="18"/>
    </row>
    <row r="622" spans="1:19" ht="14.25" hidden="1">
      <c r="A622" s="18"/>
      <c r="B622" s="18"/>
      <c r="C622" s="18"/>
      <c r="D622" s="18"/>
      <c r="E622" s="18"/>
      <c r="F622" s="18"/>
      <c r="G622" s="18"/>
      <c r="H622" s="18"/>
      <c r="I622" s="18"/>
      <c r="J622" s="18"/>
      <c r="K622" s="18"/>
      <c r="L622" s="18"/>
      <c r="M622" s="18"/>
      <c r="N622" s="18"/>
      <c r="O622" s="18"/>
      <c r="P622" s="18"/>
      <c r="Q622" s="18"/>
      <c r="R622" s="18"/>
      <c r="S622" s="18"/>
    </row>
    <row r="623" spans="1:19" ht="14.25" hidden="1">
      <c r="A623" s="18"/>
      <c r="B623" s="18"/>
      <c r="C623" s="18"/>
      <c r="D623" s="18"/>
      <c r="E623" s="18"/>
      <c r="F623" s="18"/>
      <c r="G623" s="18"/>
      <c r="H623" s="18"/>
      <c r="I623" s="18"/>
      <c r="J623" s="18"/>
      <c r="K623" s="18"/>
      <c r="L623" s="18"/>
      <c r="M623" s="18"/>
      <c r="N623" s="18"/>
      <c r="O623" s="18"/>
      <c r="P623" s="18"/>
      <c r="Q623" s="18"/>
      <c r="R623" s="18"/>
      <c r="S623" s="18"/>
    </row>
    <row r="624" spans="1:19" ht="14.25" hidden="1">
      <c r="A624" s="18"/>
      <c r="B624" s="18"/>
      <c r="C624" s="18"/>
      <c r="D624" s="18"/>
      <c r="E624" s="18"/>
      <c r="F624" s="18"/>
      <c r="G624" s="18"/>
      <c r="H624" s="18"/>
      <c r="I624" s="18"/>
      <c r="J624" s="18"/>
      <c r="K624" s="18"/>
      <c r="L624" s="18"/>
      <c r="M624" s="18"/>
      <c r="N624" s="18"/>
      <c r="O624" s="18"/>
      <c r="P624" s="18"/>
      <c r="Q624" s="18"/>
      <c r="R624" s="18"/>
      <c r="S624" s="18"/>
    </row>
    <row r="625" spans="1:19" ht="14.25" hidden="1">
      <c r="A625" s="18"/>
      <c r="B625" s="18"/>
      <c r="C625" s="18"/>
      <c r="D625" s="18"/>
      <c r="E625" s="18"/>
      <c r="F625" s="18"/>
      <c r="G625" s="18"/>
      <c r="H625" s="18"/>
      <c r="I625" s="18"/>
      <c r="J625" s="18"/>
      <c r="K625" s="18"/>
      <c r="L625" s="18"/>
      <c r="M625" s="18"/>
      <c r="N625" s="18"/>
      <c r="O625" s="18"/>
      <c r="P625" s="18"/>
      <c r="Q625" s="18"/>
      <c r="R625" s="18"/>
      <c r="S625" s="18"/>
    </row>
    <row r="626" spans="1:19" ht="14.25" hidden="1">
      <c r="A626" s="18"/>
      <c r="B626" s="18"/>
      <c r="C626" s="18"/>
      <c r="D626" s="18"/>
      <c r="E626" s="18"/>
      <c r="F626" s="18"/>
      <c r="G626" s="18"/>
      <c r="H626" s="18"/>
      <c r="I626" s="18"/>
      <c r="J626" s="18"/>
      <c r="K626" s="18"/>
      <c r="L626" s="18"/>
      <c r="M626" s="18"/>
      <c r="N626" s="18"/>
      <c r="O626" s="18"/>
      <c r="P626" s="18"/>
      <c r="Q626" s="18"/>
      <c r="R626" s="18"/>
      <c r="S626" s="18"/>
    </row>
    <row r="627" spans="1:19" ht="14.25" hidden="1">
      <c r="A627" s="18"/>
      <c r="B627" s="18"/>
      <c r="C627" s="18"/>
      <c r="D627" s="18"/>
      <c r="E627" s="18"/>
      <c r="F627" s="18"/>
      <c r="G627" s="18"/>
      <c r="H627" s="18"/>
      <c r="I627" s="18"/>
      <c r="J627" s="18"/>
      <c r="K627" s="18"/>
      <c r="L627" s="18"/>
      <c r="M627" s="18"/>
      <c r="N627" s="18"/>
      <c r="O627" s="18"/>
      <c r="P627" s="18"/>
      <c r="Q627" s="18"/>
      <c r="R627" s="18"/>
      <c r="S627" s="18"/>
    </row>
    <row r="628" spans="1:19" ht="14.25" hidden="1">
      <c r="A628" s="18"/>
      <c r="B628" s="18"/>
      <c r="C628" s="18"/>
      <c r="D628" s="18"/>
      <c r="E628" s="18"/>
      <c r="F628" s="18"/>
      <c r="G628" s="18"/>
      <c r="H628" s="18"/>
      <c r="I628" s="18"/>
      <c r="J628" s="18"/>
      <c r="K628" s="18"/>
      <c r="L628" s="18"/>
      <c r="M628" s="18"/>
      <c r="N628" s="18"/>
      <c r="O628" s="18"/>
      <c r="P628" s="18"/>
      <c r="Q628" s="18"/>
      <c r="R628" s="18"/>
      <c r="S628" s="18"/>
    </row>
    <row r="629" spans="1:19" ht="14.25" hidden="1">
      <c r="A629" s="18"/>
      <c r="B629" s="18"/>
      <c r="C629" s="18"/>
      <c r="D629" s="18"/>
      <c r="E629" s="18"/>
      <c r="F629" s="18"/>
      <c r="G629" s="18"/>
      <c r="H629" s="18"/>
      <c r="I629" s="18"/>
      <c r="J629" s="18"/>
      <c r="K629" s="18"/>
      <c r="L629" s="18"/>
      <c r="M629" s="18"/>
      <c r="N629" s="18"/>
      <c r="O629" s="18"/>
      <c r="P629" s="18"/>
      <c r="Q629" s="18"/>
      <c r="R629" s="18"/>
      <c r="S629" s="18"/>
    </row>
    <row r="630" spans="1:19" ht="14.25" hidden="1">
      <c r="A630" s="18"/>
      <c r="B630" s="18"/>
      <c r="C630" s="18"/>
      <c r="D630" s="18"/>
      <c r="E630" s="18"/>
      <c r="F630" s="18"/>
      <c r="G630" s="18"/>
      <c r="H630" s="18"/>
      <c r="I630" s="18"/>
      <c r="J630" s="18"/>
      <c r="K630" s="18"/>
      <c r="L630" s="18"/>
      <c r="M630" s="18"/>
      <c r="N630" s="18"/>
      <c r="O630" s="18"/>
      <c r="P630" s="18"/>
      <c r="Q630" s="18"/>
      <c r="R630" s="18"/>
      <c r="S630" s="18"/>
    </row>
    <row r="631" spans="1:19" ht="14.25" hidden="1">
      <c r="A631" s="18"/>
      <c r="B631" s="18"/>
      <c r="C631" s="18"/>
      <c r="D631" s="18"/>
      <c r="E631" s="18"/>
      <c r="F631" s="18"/>
      <c r="G631" s="18"/>
      <c r="H631" s="18"/>
      <c r="I631" s="18"/>
      <c r="J631" s="18"/>
      <c r="K631" s="18"/>
      <c r="L631" s="18"/>
      <c r="M631" s="18"/>
      <c r="N631" s="18"/>
      <c r="O631" s="18"/>
      <c r="P631" s="18"/>
      <c r="Q631" s="18"/>
      <c r="R631" s="18"/>
      <c r="S631" s="18"/>
    </row>
    <row r="632" spans="1:19" ht="14.25" hidden="1">
      <c r="A632" s="18"/>
      <c r="B632" s="18"/>
      <c r="C632" s="18"/>
      <c r="D632" s="18"/>
      <c r="E632" s="18"/>
      <c r="F632" s="18"/>
      <c r="G632" s="18"/>
      <c r="H632" s="18"/>
      <c r="I632" s="18"/>
      <c r="J632" s="18"/>
      <c r="K632" s="18"/>
      <c r="L632" s="18"/>
      <c r="M632" s="18"/>
      <c r="N632" s="18"/>
      <c r="O632" s="18"/>
      <c r="P632" s="18"/>
      <c r="Q632" s="18"/>
      <c r="R632" s="18"/>
      <c r="S632" s="18"/>
    </row>
    <row r="633" spans="1:19" ht="14.25" hidden="1">
      <c r="A633" s="18"/>
      <c r="B633" s="18"/>
      <c r="C633" s="18"/>
      <c r="D633" s="18"/>
      <c r="E633" s="18"/>
      <c r="F633" s="18"/>
      <c r="G633" s="18"/>
      <c r="H633" s="18"/>
      <c r="I633" s="18"/>
      <c r="J633" s="18"/>
      <c r="K633" s="18"/>
      <c r="L633" s="18"/>
      <c r="M633" s="18"/>
      <c r="N633" s="18"/>
      <c r="O633" s="18"/>
      <c r="P633" s="18"/>
      <c r="Q633" s="18"/>
      <c r="R633" s="18"/>
      <c r="S633" s="18"/>
    </row>
    <row r="634" spans="1:19" ht="14.25" hidden="1">
      <c r="A634" s="18"/>
      <c r="B634" s="18"/>
      <c r="C634" s="18"/>
      <c r="D634" s="18"/>
      <c r="E634" s="18"/>
      <c r="F634" s="18"/>
      <c r="G634" s="18"/>
      <c r="H634" s="18"/>
      <c r="I634" s="18"/>
      <c r="J634" s="18"/>
      <c r="K634" s="18"/>
      <c r="L634" s="18"/>
      <c r="M634" s="18"/>
      <c r="N634" s="18"/>
      <c r="O634" s="18"/>
      <c r="P634" s="18"/>
      <c r="Q634" s="18"/>
      <c r="R634" s="18"/>
      <c r="S634" s="18"/>
    </row>
    <row r="635" spans="1:19" ht="14.25" hidden="1">
      <c r="A635" s="18"/>
      <c r="B635" s="18"/>
      <c r="C635" s="18"/>
      <c r="D635" s="18"/>
      <c r="E635" s="18"/>
      <c r="F635" s="18"/>
      <c r="G635" s="18"/>
      <c r="H635" s="18"/>
      <c r="I635" s="18"/>
      <c r="J635" s="18"/>
      <c r="K635" s="18"/>
      <c r="L635" s="18"/>
      <c r="M635" s="18"/>
      <c r="N635" s="18"/>
      <c r="O635" s="18"/>
      <c r="P635" s="18"/>
      <c r="Q635" s="18"/>
      <c r="R635" s="18"/>
      <c r="S635" s="18"/>
    </row>
    <row r="636" spans="1:19" ht="14.25" hidden="1">
      <c r="A636" s="18"/>
      <c r="B636" s="18"/>
      <c r="C636" s="18"/>
      <c r="D636" s="18"/>
      <c r="E636" s="18"/>
      <c r="F636" s="18"/>
      <c r="G636" s="18"/>
      <c r="H636" s="18"/>
      <c r="I636" s="18"/>
      <c r="J636" s="18"/>
      <c r="K636" s="18"/>
      <c r="L636" s="18"/>
      <c r="M636" s="18"/>
      <c r="N636" s="18"/>
      <c r="O636" s="18"/>
      <c r="P636" s="18"/>
      <c r="Q636" s="18"/>
      <c r="R636" s="18"/>
      <c r="S636" s="18"/>
    </row>
    <row r="637" spans="1:19" ht="14.25" hidden="1">
      <c r="A637" s="18"/>
      <c r="B637" s="18"/>
      <c r="C637" s="18"/>
      <c r="D637" s="18"/>
      <c r="E637" s="18"/>
      <c r="F637" s="18"/>
      <c r="G637" s="18"/>
      <c r="H637" s="18"/>
      <c r="I637" s="18"/>
      <c r="J637" s="18"/>
      <c r="K637" s="18"/>
      <c r="L637" s="18"/>
      <c r="M637" s="18"/>
      <c r="N637" s="18"/>
      <c r="O637" s="18"/>
      <c r="P637" s="18"/>
      <c r="Q637" s="18"/>
      <c r="R637" s="18"/>
      <c r="S637" s="18"/>
    </row>
    <row r="638" spans="1:19" ht="14.25" hidden="1">
      <c r="A638" s="18"/>
      <c r="B638" s="18"/>
      <c r="C638" s="18"/>
      <c r="D638" s="18"/>
      <c r="E638" s="18"/>
      <c r="F638" s="18"/>
      <c r="G638" s="18"/>
      <c r="H638" s="18"/>
      <c r="I638" s="18"/>
      <c r="J638" s="18"/>
      <c r="K638" s="18"/>
      <c r="L638" s="18"/>
      <c r="M638" s="18"/>
      <c r="N638" s="18"/>
      <c r="O638" s="18"/>
      <c r="P638" s="18"/>
      <c r="Q638" s="18"/>
      <c r="R638" s="18"/>
      <c r="S638" s="18"/>
    </row>
    <row r="639" spans="1:19" ht="14.25" hidden="1">
      <c r="A639" s="18"/>
      <c r="B639" s="18"/>
      <c r="C639" s="18"/>
      <c r="D639" s="18"/>
      <c r="E639" s="18"/>
      <c r="F639" s="18"/>
      <c r="G639" s="18"/>
      <c r="H639" s="18"/>
      <c r="I639" s="18"/>
      <c r="J639" s="18"/>
      <c r="K639" s="18"/>
      <c r="L639" s="18"/>
      <c r="M639" s="18"/>
      <c r="N639" s="18"/>
      <c r="O639" s="18"/>
      <c r="P639" s="18"/>
      <c r="Q639" s="18"/>
      <c r="R639" s="18"/>
      <c r="S639" s="18"/>
    </row>
    <row r="640" spans="1:19" ht="14.25" hidden="1">
      <c r="A640" s="18"/>
      <c r="B640" s="18"/>
      <c r="C640" s="18"/>
      <c r="D640" s="18"/>
      <c r="E640" s="18"/>
      <c r="F640" s="18"/>
      <c r="G640" s="18"/>
      <c r="H640" s="18"/>
      <c r="I640" s="18"/>
      <c r="J640" s="18"/>
      <c r="K640" s="18"/>
      <c r="L640" s="18"/>
      <c r="M640" s="18"/>
      <c r="N640" s="18"/>
      <c r="O640" s="18"/>
      <c r="P640" s="18"/>
      <c r="Q640" s="18"/>
      <c r="R640" s="18"/>
      <c r="S640" s="18"/>
    </row>
    <row r="641" spans="1:19" ht="14.25" hidden="1">
      <c r="A641" s="18"/>
      <c r="B641" s="18"/>
      <c r="C641" s="18"/>
      <c r="D641" s="18"/>
      <c r="E641" s="18"/>
      <c r="F641" s="18"/>
      <c r="G641" s="18"/>
      <c r="H641" s="18"/>
      <c r="I641" s="18"/>
      <c r="J641" s="18"/>
      <c r="K641" s="18"/>
      <c r="L641" s="18"/>
      <c r="M641" s="18"/>
      <c r="N641" s="18"/>
      <c r="O641" s="18"/>
      <c r="P641" s="18"/>
      <c r="Q641" s="18"/>
      <c r="R641" s="18"/>
      <c r="S641" s="18"/>
    </row>
    <row r="642" spans="1:19" ht="14.25" hidden="1">
      <c r="A642" s="18"/>
      <c r="B642" s="18"/>
      <c r="C642" s="18"/>
      <c r="D642" s="18"/>
      <c r="E642" s="18"/>
      <c r="F642" s="18"/>
      <c r="G642" s="18"/>
      <c r="H642" s="18"/>
      <c r="I642" s="18"/>
      <c r="J642" s="18"/>
      <c r="K642" s="18"/>
      <c r="L642" s="18"/>
      <c r="M642" s="18"/>
      <c r="N642" s="18"/>
      <c r="O642" s="18"/>
      <c r="P642" s="18"/>
      <c r="Q642" s="18"/>
      <c r="R642" s="18"/>
      <c r="S642" s="18"/>
    </row>
    <row r="643" spans="1:19" ht="14.25" hidden="1">
      <c r="A643" s="18"/>
      <c r="B643" s="18"/>
      <c r="C643" s="18"/>
      <c r="D643" s="18"/>
      <c r="E643" s="18"/>
      <c r="F643" s="18"/>
      <c r="G643" s="18"/>
      <c r="H643" s="18"/>
      <c r="I643" s="18"/>
      <c r="J643" s="18"/>
      <c r="K643" s="18"/>
      <c r="L643" s="18"/>
      <c r="M643" s="18"/>
      <c r="N643" s="18"/>
      <c r="O643" s="18"/>
      <c r="P643" s="18"/>
      <c r="Q643" s="18"/>
      <c r="R643" s="18"/>
      <c r="S643" s="18"/>
    </row>
    <row r="644" spans="1:19" ht="14.25" hidden="1">
      <c r="A644" s="18"/>
      <c r="B644" s="18"/>
      <c r="C644" s="18"/>
      <c r="D644" s="18"/>
      <c r="E644" s="18"/>
      <c r="F644" s="18"/>
      <c r="G644" s="18"/>
      <c r="H644" s="18"/>
      <c r="I644" s="18"/>
      <c r="J644" s="18"/>
      <c r="K644" s="18"/>
      <c r="L644" s="18"/>
      <c r="M644" s="18"/>
      <c r="N644" s="18"/>
      <c r="O644" s="18"/>
      <c r="P644" s="18"/>
      <c r="Q644" s="18"/>
      <c r="R644" s="18"/>
      <c r="S644" s="18"/>
    </row>
    <row r="645" spans="1:19" ht="14.25" hidden="1">
      <c r="A645" s="18"/>
      <c r="B645" s="18"/>
      <c r="C645" s="18"/>
      <c r="D645" s="18"/>
      <c r="E645" s="18"/>
      <c r="F645" s="18"/>
      <c r="G645" s="18"/>
      <c r="H645" s="18"/>
      <c r="I645" s="18"/>
      <c r="J645" s="18"/>
      <c r="K645" s="18"/>
      <c r="L645" s="18"/>
      <c r="M645" s="18"/>
      <c r="N645" s="18"/>
      <c r="O645" s="18"/>
      <c r="P645" s="18"/>
      <c r="Q645" s="18"/>
      <c r="R645" s="18"/>
      <c r="S645" s="18"/>
    </row>
    <row r="646" spans="1:19" ht="14.25" hidden="1">
      <c r="A646" s="18"/>
      <c r="B646" s="18"/>
      <c r="C646" s="18"/>
      <c r="D646" s="18"/>
      <c r="E646" s="18"/>
      <c r="F646" s="18"/>
      <c r="G646" s="18"/>
      <c r="H646" s="18"/>
      <c r="I646" s="18"/>
      <c r="J646" s="18"/>
      <c r="K646" s="18"/>
      <c r="L646" s="18"/>
      <c r="M646" s="18"/>
      <c r="N646" s="18"/>
      <c r="O646" s="18"/>
      <c r="P646" s="18"/>
      <c r="Q646" s="18"/>
      <c r="R646" s="18"/>
      <c r="S646" s="18"/>
    </row>
    <row r="647" spans="1:19" ht="14.25" hidden="1">
      <c r="A647" s="18"/>
      <c r="B647" s="18"/>
      <c r="C647" s="18"/>
      <c r="D647" s="18"/>
      <c r="E647" s="18"/>
      <c r="F647" s="18"/>
      <c r="G647" s="18"/>
      <c r="H647" s="18"/>
      <c r="I647" s="18"/>
      <c r="J647" s="18"/>
      <c r="K647" s="18"/>
      <c r="L647" s="18"/>
      <c r="M647" s="18"/>
      <c r="N647" s="18"/>
      <c r="O647" s="18"/>
      <c r="P647" s="18"/>
      <c r="Q647" s="18"/>
      <c r="R647" s="18"/>
      <c r="S647" s="18"/>
    </row>
    <row r="648" spans="1:19" ht="14.25" hidden="1">
      <c r="A648" s="18"/>
      <c r="B648" s="18"/>
      <c r="C648" s="18"/>
      <c r="D648" s="18"/>
      <c r="E648" s="18"/>
      <c r="F648" s="18"/>
      <c r="G648" s="18"/>
      <c r="H648" s="18"/>
      <c r="I648" s="18"/>
      <c r="J648" s="18"/>
      <c r="K648" s="18"/>
      <c r="L648" s="18"/>
      <c r="M648" s="18"/>
      <c r="N648" s="18"/>
      <c r="O648" s="18"/>
      <c r="P648" s="18"/>
      <c r="Q648" s="18"/>
      <c r="R648" s="18"/>
      <c r="S648" s="18"/>
    </row>
    <row r="649" spans="1:19" ht="14.25" hidden="1">
      <c r="A649" s="18"/>
      <c r="B649" s="18"/>
      <c r="C649" s="18"/>
      <c r="D649" s="18"/>
      <c r="E649" s="18"/>
      <c r="F649" s="18"/>
      <c r="G649" s="18"/>
      <c r="H649" s="18"/>
      <c r="I649" s="18"/>
      <c r="J649" s="18"/>
      <c r="K649" s="18"/>
      <c r="L649" s="18"/>
      <c r="M649" s="18"/>
      <c r="N649" s="18"/>
      <c r="O649" s="18"/>
      <c r="P649" s="18"/>
      <c r="Q649" s="18"/>
      <c r="R649" s="18"/>
      <c r="S649" s="18"/>
    </row>
    <row r="650" spans="1:19" ht="14.25" hidden="1">
      <c r="A650" s="18"/>
      <c r="B650" s="18"/>
      <c r="C650" s="18"/>
      <c r="D650" s="18"/>
      <c r="E650" s="18"/>
      <c r="F650" s="18"/>
      <c r="G650" s="18"/>
      <c r="H650" s="18"/>
      <c r="I650" s="18"/>
      <c r="J650" s="18"/>
      <c r="K650" s="18"/>
      <c r="L650" s="18"/>
      <c r="M650" s="18"/>
      <c r="N650" s="18"/>
      <c r="O650" s="18"/>
      <c r="P650" s="18"/>
      <c r="Q650" s="18"/>
      <c r="R650" s="18"/>
      <c r="S650" s="18"/>
    </row>
    <row r="651" spans="1:19" ht="14.25" hidden="1">
      <c r="A651" s="18"/>
      <c r="B651" s="18"/>
      <c r="C651" s="18"/>
      <c r="D651" s="18"/>
      <c r="E651" s="18"/>
      <c r="F651" s="18"/>
      <c r="G651" s="18"/>
      <c r="H651" s="18"/>
      <c r="I651" s="18"/>
      <c r="J651" s="18"/>
      <c r="K651" s="18"/>
      <c r="L651" s="18"/>
      <c r="M651" s="18"/>
      <c r="N651" s="18"/>
      <c r="O651" s="18"/>
      <c r="P651" s="18"/>
      <c r="Q651" s="18"/>
      <c r="R651" s="18"/>
      <c r="S651" s="18"/>
    </row>
    <row r="652" spans="1:19" ht="14.25" hidden="1">
      <c r="A652" s="18"/>
      <c r="B652" s="18"/>
      <c r="C652" s="18"/>
      <c r="D652" s="18"/>
      <c r="E652" s="18"/>
      <c r="F652" s="18"/>
      <c r="G652" s="18"/>
      <c r="H652" s="18"/>
      <c r="I652" s="18"/>
      <c r="J652" s="18"/>
      <c r="K652" s="18"/>
      <c r="L652" s="18"/>
      <c r="M652" s="18"/>
      <c r="N652" s="18"/>
      <c r="O652" s="18"/>
      <c r="P652" s="18"/>
      <c r="Q652" s="18"/>
      <c r="R652" s="18"/>
      <c r="S652" s="18"/>
    </row>
    <row r="653" spans="1:19" ht="14.25" hidden="1">
      <c r="A653" s="18"/>
      <c r="B653" s="18"/>
      <c r="C653" s="18"/>
      <c r="D653" s="18"/>
      <c r="E653" s="18"/>
      <c r="F653" s="18"/>
      <c r="G653" s="18"/>
      <c r="H653" s="18"/>
      <c r="I653" s="18"/>
      <c r="J653" s="18"/>
      <c r="K653" s="18"/>
      <c r="L653" s="18"/>
      <c r="M653" s="18"/>
      <c r="N653" s="18"/>
      <c r="O653" s="18"/>
      <c r="P653" s="18"/>
      <c r="Q653" s="18"/>
      <c r="R653" s="18"/>
      <c r="S653" s="18"/>
    </row>
    <row r="654" spans="1:19" ht="14.25" hidden="1">
      <c r="A654" s="18"/>
      <c r="B654" s="18"/>
      <c r="C654" s="18"/>
      <c r="D654" s="18"/>
      <c r="E654" s="18"/>
      <c r="F654" s="18"/>
      <c r="G654" s="18"/>
      <c r="H654" s="18"/>
      <c r="I654" s="18"/>
      <c r="J654" s="18"/>
      <c r="K654" s="18"/>
      <c r="L654" s="18"/>
      <c r="M654" s="18"/>
      <c r="N654" s="18"/>
      <c r="O654" s="18"/>
      <c r="P654" s="18"/>
      <c r="Q654" s="18"/>
      <c r="R654" s="18"/>
      <c r="S654" s="18"/>
    </row>
    <row r="655" spans="1:19" ht="14.25" hidden="1">
      <c r="A655" s="18"/>
      <c r="B655" s="18"/>
      <c r="C655" s="18"/>
      <c r="D655" s="18"/>
      <c r="E655" s="18"/>
      <c r="F655" s="18"/>
      <c r="G655" s="18"/>
      <c r="H655" s="18"/>
      <c r="I655" s="18"/>
      <c r="J655" s="18"/>
      <c r="K655" s="18"/>
      <c r="L655" s="18"/>
      <c r="M655" s="18"/>
      <c r="N655" s="18"/>
      <c r="O655" s="18"/>
      <c r="P655" s="18"/>
      <c r="Q655" s="18"/>
      <c r="R655" s="18"/>
      <c r="S655" s="18"/>
    </row>
    <row r="656" spans="1:19" ht="14.25" hidden="1">
      <c r="A656" s="18"/>
      <c r="B656" s="18"/>
      <c r="C656" s="18"/>
      <c r="D656" s="18"/>
      <c r="E656" s="18"/>
      <c r="F656" s="18"/>
      <c r="G656" s="18"/>
      <c r="H656" s="18"/>
      <c r="I656" s="18"/>
      <c r="J656" s="18"/>
      <c r="K656" s="18"/>
      <c r="L656" s="18"/>
      <c r="M656" s="18"/>
      <c r="N656" s="18"/>
      <c r="O656" s="18"/>
      <c r="P656" s="18"/>
      <c r="Q656" s="18"/>
      <c r="R656" s="18"/>
      <c r="S656" s="18"/>
    </row>
    <row r="657" spans="1:19" ht="14.25" hidden="1">
      <c r="A657" s="18"/>
      <c r="B657" s="18"/>
      <c r="C657" s="18"/>
      <c r="D657" s="18"/>
      <c r="E657" s="18"/>
      <c r="F657" s="18"/>
      <c r="G657" s="18"/>
      <c r="H657" s="18"/>
      <c r="I657" s="18"/>
      <c r="J657" s="18"/>
      <c r="K657" s="18"/>
      <c r="L657" s="18"/>
      <c r="M657" s="18"/>
      <c r="N657" s="18"/>
      <c r="O657" s="18"/>
      <c r="P657" s="18"/>
      <c r="Q657" s="18"/>
      <c r="R657" s="18"/>
      <c r="S657" s="18"/>
    </row>
    <row r="658" spans="1:19" ht="14.25" hidden="1">
      <c r="A658" s="18"/>
      <c r="B658" s="18"/>
      <c r="C658" s="18"/>
      <c r="D658" s="18"/>
      <c r="E658" s="18"/>
      <c r="F658" s="18"/>
      <c r="G658" s="18"/>
      <c r="H658" s="18"/>
      <c r="I658" s="18"/>
      <c r="J658" s="18"/>
      <c r="K658" s="18"/>
      <c r="L658" s="18"/>
      <c r="M658" s="18"/>
      <c r="N658" s="18"/>
      <c r="O658" s="18"/>
      <c r="P658" s="18"/>
      <c r="Q658" s="18"/>
      <c r="R658" s="18"/>
      <c r="S658" s="18"/>
    </row>
    <row r="659" spans="1:19" ht="14.25" hidden="1">
      <c r="A659" s="18"/>
      <c r="B659" s="18"/>
      <c r="C659" s="18"/>
      <c r="D659" s="18"/>
      <c r="E659" s="18"/>
      <c r="F659" s="18"/>
      <c r="G659" s="18"/>
      <c r="H659" s="18"/>
      <c r="I659" s="18"/>
      <c r="J659" s="18"/>
      <c r="K659" s="18"/>
      <c r="L659" s="18"/>
      <c r="M659" s="18"/>
      <c r="N659" s="18"/>
      <c r="O659" s="18"/>
      <c r="P659" s="18"/>
      <c r="Q659" s="18"/>
      <c r="R659" s="18"/>
      <c r="S659" s="18"/>
    </row>
    <row r="660" spans="1:19" ht="14.25" hidden="1">
      <c r="A660" s="18"/>
      <c r="B660" s="18"/>
      <c r="C660" s="18"/>
      <c r="D660" s="18"/>
      <c r="E660" s="18"/>
      <c r="F660" s="18"/>
      <c r="G660" s="18"/>
      <c r="H660" s="18"/>
      <c r="I660" s="18"/>
      <c r="J660" s="18"/>
      <c r="K660" s="18"/>
      <c r="L660" s="18"/>
      <c r="M660" s="18"/>
      <c r="N660" s="18"/>
      <c r="O660" s="18"/>
      <c r="P660" s="18"/>
      <c r="Q660" s="18"/>
      <c r="R660" s="18"/>
      <c r="S660" s="18"/>
    </row>
    <row r="661" spans="1:19" ht="14.25" hidden="1">
      <c r="A661" s="18"/>
      <c r="B661" s="18"/>
      <c r="C661" s="18"/>
      <c r="D661" s="18"/>
      <c r="E661" s="18"/>
      <c r="F661" s="18"/>
      <c r="G661" s="18"/>
      <c r="H661" s="18"/>
      <c r="I661" s="18"/>
      <c r="J661" s="18"/>
      <c r="K661" s="18"/>
      <c r="L661" s="18"/>
      <c r="M661" s="18"/>
      <c r="N661" s="18"/>
      <c r="O661" s="18"/>
      <c r="P661" s="18"/>
      <c r="Q661" s="18"/>
      <c r="R661" s="18"/>
      <c r="S661" s="18"/>
    </row>
    <row r="662" spans="1:19" ht="14.25" hidden="1">
      <c r="A662" s="18"/>
      <c r="B662" s="18"/>
      <c r="C662" s="18"/>
      <c r="D662" s="18"/>
      <c r="E662" s="18"/>
      <c r="F662" s="18"/>
      <c r="G662" s="18"/>
      <c r="H662" s="18"/>
      <c r="I662" s="18"/>
      <c r="J662" s="18"/>
      <c r="K662" s="18"/>
      <c r="L662" s="18"/>
      <c r="M662" s="18"/>
      <c r="N662" s="18"/>
      <c r="O662" s="18"/>
      <c r="P662" s="18"/>
      <c r="Q662" s="18"/>
      <c r="R662" s="18"/>
      <c r="S662" s="18"/>
    </row>
    <row r="663" spans="1:19" ht="14.25" hidden="1">
      <c r="A663" s="18"/>
      <c r="B663" s="18"/>
      <c r="C663" s="18"/>
      <c r="D663" s="18"/>
      <c r="E663" s="18"/>
      <c r="F663" s="18"/>
      <c r="G663" s="18"/>
      <c r="H663" s="18"/>
      <c r="I663" s="18"/>
      <c r="J663" s="18"/>
      <c r="K663" s="18"/>
      <c r="L663" s="18"/>
      <c r="M663" s="18"/>
      <c r="N663" s="18"/>
      <c r="O663" s="18"/>
      <c r="P663" s="18"/>
      <c r="Q663" s="18"/>
      <c r="R663" s="18"/>
      <c r="S663" s="18"/>
    </row>
    <row r="664" spans="1:19" ht="14.25" hidden="1">
      <c r="A664" s="18"/>
      <c r="B664" s="18"/>
      <c r="C664" s="18"/>
      <c r="D664" s="18"/>
      <c r="E664" s="18"/>
      <c r="F664" s="18"/>
      <c r="G664" s="18"/>
      <c r="H664" s="18"/>
      <c r="I664" s="18"/>
      <c r="J664" s="18"/>
      <c r="K664" s="18"/>
      <c r="L664" s="18"/>
      <c r="M664" s="18"/>
      <c r="N664" s="18"/>
      <c r="O664" s="18"/>
      <c r="P664" s="18"/>
      <c r="Q664" s="18"/>
      <c r="R664" s="18"/>
      <c r="S664" s="18"/>
    </row>
    <row r="665" spans="1:19" ht="14.25" hidden="1">
      <c r="A665" s="18"/>
      <c r="B665" s="18"/>
      <c r="C665" s="18"/>
      <c r="D665" s="18"/>
      <c r="E665" s="18"/>
      <c r="F665" s="18"/>
      <c r="G665" s="18"/>
      <c r="H665" s="18"/>
      <c r="I665" s="18"/>
      <c r="J665" s="18"/>
      <c r="K665" s="18"/>
      <c r="L665" s="18"/>
      <c r="M665" s="18"/>
      <c r="N665" s="18"/>
      <c r="O665" s="18"/>
      <c r="P665" s="18"/>
      <c r="Q665" s="18"/>
      <c r="R665" s="18"/>
      <c r="S665" s="18"/>
    </row>
    <row r="666" spans="1:19" ht="14.25" hidden="1">
      <c r="A666" s="18"/>
      <c r="B666" s="18"/>
      <c r="C666" s="18"/>
      <c r="D666" s="18"/>
      <c r="E666" s="18"/>
      <c r="F666" s="18"/>
      <c r="G666" s="18"/>
      <c r="H666" s="18"/>
      <c r="I666" s="18"/>
      <c r="J666" s="18"/>
      <c r="K666" s="18"/>
      <c r="L666" s="18"/>
      <c r="M666" s="18"/>
      <c r="N666" s="18"/>
      <c r="O666" s="18"/>
      <c r="P666" s="18"/>
      <c r="Q666" s="18"/>
      <c r="R666" s="18"/>
      <c r="S666" s="18"/>
    </row>
    <row r="667" spans="1:19" ht="14.25" hidden="1">
      <c r="A667" s="18"/>
      <c r="B667" s="18"/>
      <c r="C667" s="18"/>
      <c r="D667" s="18"/>
      <c r="E667" s="18"/>
      <c r="F667" s="18"/>
      <c r="G667" s="18"/>
      <c r="H667" s="18"/>
      <c r="I667" s="18"/>
      <c r="J667" s="18"/>
      <c r="K667" s="18"/>
      <c r="L667" s="18"/>
      <c r="M667" s="18"/>
      <c r="N667" s="18"/>
      <c r="O667" s="18"/>
      <c r="P667" s="18"/>
      <c r="Q667" s="18"/>
      <c r="R667" s="18"/>
      <c r="S667" s="18"/>
    </row>
    <row r="668" spans="1:19" ht="14.25" hidden="1">
      <c r="A668" s="18"/>
      <c r="B668" s="18"/>
      <c r="C668" s="18"/>
      <c r="D668" s="18"/>
      <c r="E668" s="18"/>
      <c r="F668" s="18"/>
      <c r="G668" s="18"/>
      <c r="H668" s="18"/>
      <c r="I668" s="18"/>
      <c r="J668" s="18"/>
      <c r="K668" s="18"/>
      <c r="L668" s="18"/>
      <c r="M668" s="18"/>
      <c r="N668" s="18"/>
      <c r="O668" s="18"/>
      <c r="P668" s="18"/>
      <c r="Q668" s="18"/>
      <c r="R668" s="18"/>
      <c r="S668" s="18"/>
    </row>
    <row r="669" spans="1:19" ht="14.25" hidden="1">
      <c r="A669" s="18"/>
      <c r="B669" s="18"/>
      <c r="C669" s="18"/>
      <c r="D669" s="18"/>
      <c r="E669" s="18"/>
      <c r="F669" s="18"/>
      <c r="G669" s="18"/>
      <c r="H669" s="18"/>
      <c r="I669" s="18"/>
      <c r="J669" s="18"/>
      <c r="K669" s="18"/>
      <c r="L669" s="18"/>
      <c r="M669" s="18"/>
      <c r="N669" s="18"/>
      <c r="O669" s="18"/>
      <c r="P669" s="18"/>
      <c r="Q669" s="18"/>
      <c r="R669" s="18"/>
      <c r="S669" s="18"/>
    </row>
    <row r="670" spans="1:19" ht="14.25" hidden="1">
      <c r="A670" s="18"/>
      <c r="B670" s="18"/>
      <c r="C670" s="18"/>
      <c r="D670" s="18"/>
      <c r="E670" s="18"/>
      <c r="F670" s="18"/>
      <c r="G670" s="18"/>
      <c r="H670" s="18"/>
      <c r="I670" s="18"/>
      <c r="J670" s="18"/>
      <c r="K670" s="18"/>
      <c r="L670" s="18"/>
      <c r="M670" s="18"/>
      <c r="N670" s="18"/>
      <c r="O670" s="18"/>
      <c r="P670" s="18"/>
      <c r="Q670" s="18"/>
      <c r="R670" s="18"/>
      <c r="S670" s="18"/>
    </row>
    <row r="671" spans="1:19" ht="14.25" hidden="1">
      <c r="A671" s="18"/>
      <c r="B671" s="18"/>
      <c r="C671" s="18"/>
      <c r="D671" s="18"/>
      <c r="E671" s="18"/>
      <c r="F671" s="18"/>
      <c r="G671" s="18"/>
      <c r="H671" s="18"/>
      <c r="I671" s="18"/>
      <c r="J671" s="18"/>
      <c r="K671" s="18"/>
      <c r="L671" s="18"/>
      <c r="M671" s="18"/>
      <c r="N671" s="18"/>
      <c r="O671" s="18"/>
      <c r="P671" s="18"/>
      <c r="Q671" s="18"/>
      <c r="R671" s="18"/>
      <c r="S671" s="18"/>
    </row>
    <row r="672" spans="1:19" ht="14.25" hidden="1">
      <c r="A672" s="18"/>
      <c r="B672" s="18"/>
      <c r="C672" s="18"/>
      <c r="D672" s="18"/>
      <c r="E672" s="18"/>
      <c r="F672" s="18"/>
      <c r="G672" s="18"/>
      <c r="H672" s="18"/>
      <c r="I672" s="18"/>
      <c r="J672" s="18"/>
      <c r="K672" s="18"/>
      <c r="L672" s="18"/>
      <c r="M672" s="18"/>
      <c r="N672" s="18"/>
      <c r="O672" s="18"/>
      <c r="P672" s="18"/>
      <c r="Q672" s="18"/>
      <c r="R672" s="18"/>
      <c r="S672" s="18"/>
    </row>
    <row r="673" spans="1:19" ht="14.25" hidden="1">
      <c r="A673" s="18"/>
      <c r="B673" s="18"/>
      <c r="C673" s="18"/>
      <c r="D673" s="18"/>
      <c r="E673" s="18"/>
      <c r="F673" s="18"/>
      <c r="G673" s="18"/>
      <c r="H673" s="18"/>
      <c r="I673" s="18"/>
      <c r="J673" s="18"/>
      <c r="K673" s="18"/>
      <c r="L673" s="18"/>
      <c r="M673" s="18"/>
      <c r="N673" s="18"/>
      <c r="O673" s="18"/>
      <c r="P673" s="18"/>
      <c r="Q673" s="18"/>
      <c r="R673" s="18"/>
      <c r="S673" s="18"/>
    </row>
    <row r="674" spans="1:19" ht="14.25" hidden="1">
      <c r="A674" s="18"/>
      <c r="B674" s="18"/>
      <c r="C674" s="18"/>
      <c r="D674" s="18"/>
      <c r="E674" s="18"/>
      <c r="F674" s="18"/>
      <c r="G674" s="18"/>
      <c r="H674" s="18"/>
      <c r="I674" s="18"/>
      <c r="J674" s="18"/>
      <c r="K674" s="18"/>
      <c r="L674" s="18"/>
      <c r="M674" s="18"/>
      <c r="N674" s="18"/>
      <c r="O674" s="18"/>
      <c r="P674" s="18"/>
      <c r="Q674" s="18"/>
      <c r="R674" s="18"/>
      <c r="S674" s="18"/>
    </row>
    <row r="675" spans="1:19" ht="14.25" hidden="1">
      <c r="A675" s="18"/>
      <c r="B675" s="18"/>
      <c r="C675" s="18"/>
      <c r="D675" s="18"/>
      <c r="E675" s="18"/>
      <c r="F675" s="18"/>
      <c r="G675" s="18"/>
      <c r="H675" s="18"/>
      <c r="I675" s="18"/>
      <c r="J675" s="18"/>
      <c r="K675" s="18"/>
      <c r="L675" s="18"/>
      <c r="M675" s="18"/>
      <c r="N675" s="18"/>
      <c r="O675" s="18"/>
      <c r="P675" s="18"/>
      <c r="Q675" s="18"/>
      <c r="R675" s="18"/>
      <c r="S675" s="18"/>
    </row>
    <row r="676" spans="1:19" ht="14.25" hidden="1">
      <c r="A676" s="18"/>
      <c r="B676" s="18"/>
      <c r="C676" s="18"/>
      <c r="D676" s="18"/>
      <c r="E676" s="18"/>
      <c r="F676" s="18"/>
      <c r="G676" s="18"/>
      <c r="H676" s="18"/>
      <c r="I676" s="18"/>
      <c r="J676" s="18"/>
      <c r="K676" s="18"/>
      <c r="L676" s="18"/>
      <c r="M676" s="18"/>
      <c r="N676" s="18"/>
      <c r="O676" s="18"/>
      <c r="P676" s="18"/>
      <c r="Q676" s="18"/>
      <c r="R676" s="18"/>
      <c r="S676" s="18"/>
    </row>
    <row r="677" spans="1:19" ht="14.25" hidden="1">
      <c r="A677" s="18"/>
      <c r="B677" s="18"/>
      <c r="C677" s="18"/>
      <c r="D677" s="18"/>
      <c r="E677" s="18"/>
      <c r="F677" s="18"/>
      <c r="G677" s="18"/>
      <c r="H677" s="18"/>
      <c r="I677" s="18"/>
      <c r="J677" s="18"/>
      <c r="K677" s="18"/>
      <c r="L677" s="18"/>
      <c r="M677" s="18"/>
      <c r="N677" s="18"/>
      <c r="O677" s="18"/>
      <c r="P677" s="18"/>
      <c r="Q677" s="18"/>
      <c r="R677" s="18"/>
      <c r="S677" s="18"/>
    </row>
    <row r="678" spans="1:19" ht="14.25" hidden="1">
      <c r="A678" s="18"/>
      <c r="B678" s="18"/>
      <c r="C678" s="18"/>
      <c r="D678" s="18"/>
      <c r="E678" s="18"/>
      <c r="F678" s="18"/>
      <c r="G678" s="18"/>
      <c r="H678" s="18"/>
      <c r="I678" s="18"/>
      <c r="J678" s="18"/>
      <c r="K678" s="18"/>
      <c r="L678" s="18"/>
      <c r="M678" s="18"/>
      <c r="N678" s="18"/>
      <c r="O678" s="18"/>
      <c r="P678" s="18"/>
      <c r="Q678" s="18"/>
      <c r="R678" s="18"/>
      <c r="S678" s="18"/>
    </row>
    <row r="679" spans="1:19" ht="14.25" hidden="1">
      <c r="A679" s="18"/>
      <c r="B679" s="18"/>
      <c r="C679" s="18"/>
      <c r="D679" s="18"/>
      <c r="E679" s="18"/>
      <c r="F679" s="18"/>
      <c r="G679" s="18"/>
      <c r="H679" s="18"/>
      <c r="I679" s="18"/>
      <c r="J679" s="18"/>
      <c r="K679" s="18"/>
      <c r="L679" s="18"/>
      <c r="M679" s="18"/>
      <c r="N679" s="18"/>
      <c r="O679" s="18"/>
      <c r="P679" s="18"/>
      <c r="Q679" s="18"/>
      <c r="R679" s="18"/>
      <c r="S679" s="18"/>
    </row>
    <row r="680" spans="1:19" ht="14.25" hidden="1">
      <c r="A680" s="18"/>
      <c r="B680" s="18"/>
      <c r="C680" s="18"/>
      <c r="D680" s="18"/>
      <c r="E680" s="18"/>
      <c r="F680" s="18"/>
      <c r="G680" s="18"/>
      <c r="H680" s="18"/>
      <c r="I680" s="18"/>
      <c r="J680" s="18"/>
      <c r="K680" s="18"/>
      <c r="L680" s="18"/>
      <c r="M680" s="18"/>
      <c r="N680" s="18"/>
      <c r="O680" s="18"/>
      <c r="P680" s="18"/>
      <c r="Q680" s="18"/>
      <c r="R680" s="18"/>
      <c r="S680" s="18"/>
    </row>
    <row r="681" spans="1:19" ht="14.25" hidden="1">
      <c r="A681" s="18"/>
      <c r="B681" s="18"/>
      <c r="C681" s="18"/>
      <c r="D681" s="18"/>
      <c r="E681" s="18"/>
      <c r="F681" s="18"/>
      <c r="G681" s="18"/>
      <c r="H681" s="18"/>
      <c r="I681" s="18"/>
      <c r="J681" s="18"/>
      <c r="K681" s="18"/>
      <c r="L681" s="18"/>
      <c r="M681" s="18"/>
      <c r="N681" s="18"/>
      <c r="O681" s="18"/>
      <c r="P681" s="18"/>
      <c r="Q681" s="18"/>
      <c r="R681" s="18"/>
      <c r="S681" s="18"/>
    </row>
    <row r="682" spans="1:19" ht="14.25" hidden="1">
      <c r="A682" s="18"/>
      <c r="B682" s="18"/>
      <c r="C682" s="18"/>
      <c r="D682" s="18"/>
      <c r="E682" s="18"/>
      <c r="F682" s="18"/>
      <c r="G682" s="18"/>
      <c r="H682" s="18"/>
      <c r="I682" s="18"/>
      <c r="J682" s="18"/>
      <c r="K682" s="18"/>
      <c r="L682" s="18"/>
      <c r="M682" s="18"/>
      <c r="N682" s="18"/>
      <c r="O682" s="18"/>
      <c r="P682" s="18"/>
      <c r="Q682" s="18"/>
      <c r="R682" s="18"/>
      <c r="S682" s="18"/>
    </row>
    <row r="683" spans="1:19" ht="14.25" hidden="1">
      <c r="A683" s="18"/>
      <c r="B683" s="18"/>
      <c r="C683" s="18"/>
      <c r="D683" s="18"/>
      <c r="E683" s="18"/>
      <c r="F683" s="18"/>
      <c r="G683" s="18"/>
      <c r="H683" s="18"/>
      <c r="I683" s="18"/>
      <c r="J683" s="18"/>
      <c r="K683" s="18"/>
      <c r="L683" s="18"/>
      <c r="M683" s="18"/>
      <c r="N683" s="18"/>
      <c r="O683" s="18"/>
      <c r="P683" s="18"/>
      <c r="Q683" s="18"/>
      <c r="R683" s="18"/>
      <c r="S683" s="18"/>
    </row>
    <row r="684" spans="1:19" ht="14.25" hidden="1">
      <c r="A684" s="18"/>
      <c r="B684" s="18"/>
      <c r="C684" s="18"/>
      <c r="D684" s="18"/>
      <c r="E684" s="18"/>
      <c r="F684" s="18"/>
      <c r="G684" s="18"/>
      <c r="H684" s="18"/>
      <c r="I684" s="18"/>
      <c r="J684" s="18"/>
      <c r="K684" s="18"/>
      <c r="L684" s="18"/>
      <c r="M684" s="18"/>
      <c r="N684" s="18"/>
      <c r="O684" s="18"/>
      <c r="P684" s="18"/>
      <c r="Q684" s="18"/>
      <c r="R684" s="18"/>
      <c r="S684" s="18"/>
    </row>
    <row r="685" spans="1:19" ht="14.25" hidden="1">
      <c r="A685" s="18"/>
      <c r="B685" s="18"/>
      <c r="C685" s="18"/>
      <c r="D685" s="18"/>
      <c r="E685" s="18"/>
      <c r="F685" s="18"/>
      <c r="G685" s="18"/>
      <c r="H685" s="18"/>
      <c r="I685" s="18"/>
      <c r="J685" s="18"/>
      <c r="K685" s="18"/>
      <c r="L685" s="18"/>
      <c r="M685" s="18"/>
      <c r="N685" s="18"/>
      <c r="O685" s="18"/>
      <c r="P685" s="18"/>
      <c r="Q685" s="18"/>
      <c r="R685" s="18"/>
      <c r="S685" s="18"/>
    </row>
    <row r="686" spans="1:19" ht="14.25" hidden="1">
      <c r="A686" s="18"/>
      <c r="B686" s="18"/>
      <c r="C686" s="18"/>
      <c r="D686" s="18"/>
      <c r="E686" s="18"/>
      <c r="F686" s="18"/>
      <c r="G686" s="18"/>
      <c r="H686" s="18"/>
      <c r="I686" s="18"/>
      <c r="J686" s="18"/>
      <c r="K686" s="18"/>
      <c r="L686" s="18"/>
      <c r="M686" s="18"/>
      <c r="N686" s="18"/>
      <c r="O686" s="18"/>
      <c r="P686" s="18"/>
      <c r="Q686" s="18"/>
      <c r="R686" s="18"/>
      <c r="S686" s="18"/>
    </row>
    <row r="687" spans="1:19" ht="14.25" hidden="1">
      <c r="A687" s="18"/>
      <c r="B687" s="18"/>
      <c r="C687" s="18"/>
      <c r="D687" s="18"/>
      <c r="E687" s="18"/>
      <c r="F687" s="18"/>
      <c r="G687" s="18"/>
      <c r="H687" s="18"/>
      <c r="I687" s="18"/>
      <c r="J687" s="18"/>
      <c r="K687" s="18"/>
      <c r="L687" s="18"/>
      <c r="M687" s="18"/>
      <c r="N687" s="18"/>
      <c r="O687" s="18"/>
      <c r="P687" s="18"/>
      <c r="Q687" s="18"/>
      <c r="R687" s="18"/>
      <c r="S687" s="18"/>
    </row>
    <row r="688" spans="1:19" ht="14.25" hidden="1">
      <c r="A688" s="18"/>
      <c r="B688" s="18"/>
      <c r="C688" s="18"/>
      <c r="D688" s="18"/>
      <c r="E688" s="18"/>
      <c r="F688" s="18"/>
      <c r="G688" s="18"/>
      <c r="H688" s="18"/>
      <c r="I688" s="18"/>
      <c r="J688" s="18"/>
      <c r="K688" s="18"/>
      <c r="L688" s="18"/>
      <c r="M688" s="18"/>
      <c r="N688" s="18"/>
      <c r="O688" s="18"/>
      <c r="P688" s="18"/>
      <c r="Q688" s="18"/>
      <c r="R688" s="18"/>
      <c r="S688" s="18"/>
    </row>
    <row r="689" spans="1:19" ht="14.25" hidden="1">
      <c r="A689" s="18"/>
      <c r="B689" s="18"/>
      <c r="C689" s="18"/>
      <c r="D689" s="18"/>
      <c r="E689" s="18"/>
      <c r="F689" s="18"/>
      <c r="G689" s="18"/>
      <c r="H689" s="18"/>
      <c r="I689" s="18"/>
      <c r="J689" s="18"/>
      <c r="K689" s="18"/>
      <c r="L689" s="18"/>
      <c r="M689" s="18"/>
      <c r="N689" s="18"/>
      <c r="O689" s="18"/>
      <c r="P689" s="18"/>
      <c r="Q689" s="18"/>
      <c r="R689" s="18"/>
      <c r="S689" s="18"/>
    </row>
    <row r="690" spans="1:19" ht="14.25" hidden="1">
      <c r="A690" s="18"/>
      <c r="B690" s="18"/>
      <c r="C690" s="18"/>
      <c r="D690" s="18"/>
      <c r="E690" s="18"/>
      <c r="F690" s="18"/>
      <c r="G690" s="18"/>
      <c r="H690" s="18"/>
      <c r="I690" s="18"/>
      <c r="J690" s="18"/>
      <c r="K690" s="18"/>
      <c r="L690" s="18"/>
      <c r="M690" s="18"/>
      <c r="N690" s="18"/>
      <c r="O690" s="18"/>
      <c r="P690" s="18"/>
      <c r="Q690" s="18"/>
      <c r="R690" s="18"/>
      <c r="S690" s="18"/>
    </row>
    <row r="691" spans="1:19" ht="14.25" hidden="1">
      <c r="A691" s="18"/>
      <c r="B691" s="18"/>
      <c r="C691" s="18"/>
      <c r="D691" s="18"/>
      <c r="E691" s="18"/>
      <c r="F691" s="18"/>
      <c r="G691" s="18"/>
      <c r="H691" s="18"/>
      <c r="I691" s="18"/>
      <c r="J691" s="18"/>
      <c r="K691" s="18"/>
      <c r="L691" s="18"/>
      <c r="M691" s="18"/>
      <c r="N691" s="18"/>
      <c r="O691" s="18"/>
      <c r="P691" s="18"/>
      <c r="Q691" s="18"/>
      <c r="R691" s="18"/>
      <c r="S691" s="18"/>
    </row>
    <row r="692" spans="1:19" ht="14.25" hidden="1">
      <c r="A692" s="18"/>
      <c r="B692" s="18"/>
      <c r="C692" s="18"/>
      <c r="D692" s="18"/>
      <c r="E692" s="18"/>
      <c r="F692" s="18"/>
      <c r="G692" s="18"/>
      <c r="H692" s="18"/>
      <c r="I692" s="18"/>
      <c r="J692" s="18"/>
      <c r="K692" s="18"/>
      <c r="L692" s="18"/>
      <c r="M692" s="18"/>
      <c r="N692" s="18"/>
      <c r="O692" s="18"/>
      <c r="P692" s="18"/>
      <c r="Q692" s="18"/>
      <c r="R692" s="18"/>
      <c r="S692" s="18"/>
    </row>
    <row r="693" spans="1:19" ht="14.25" hidden="1">
      <c r="A693" s="18"/>
      <c r="B693" s="18"/>
      <c r="C693" s="18"/>
      <c r="D693" s="18"/>
      <c r="E693" s="18"/>
      <c r="F693" s="18"/>
      <c r="G693" s="18"/>
      <c r="H693" s="18"/>
      <c r="I693" s="18"/>
      <c r="J693" s="18"/>
      <c r="K693" s="18"/>
      <c r="L693" s="18"/>
      <c r="M693" s="18"/>
      <c r="N693" s="18"/>
      <c r="O693" s="18"/>
      <c r="P693" s="18"/>
      <c r="Q693" s="18"/>
      <c r="R693" s="18"/>
      <c r="S693" s="18"/>
    </row>
    <row r="694" spans="1:19" ht="14.25" hidden="1">
      <c r="A694" s="18"/>
      <c r="B694" s="18"/>
      <c r="C694" s="18"/>
      <c r="D694" s="18"/>
      <c r="E694" s="18"/>
      <c r="F694" s="18"/>
      <c r="G694" s="18"/>
      <c r="H694" s="18"/>
      <c r="I694" s="18"/>
      <c r="J694" s="18"/>
      <c r="K694" s="18"/>
      <c r="L694" s="18"/>
      <c r="M694" s="18"/>
      <c r="N694" s="18"/>
      <c r="O694" s="18"/>
      <c r="P694" s="18"/>
      <c r="Q694" s="18"/>
      <c r="R694" s="18"/>
      <c r="S694" s="18"/>
    </row>
    <row r="695" spans="1:19" ht="14.25" hidden="1">
      <c r="A695" s="18"/>
      <c r="B695" s="18"/>
      <c r="C695" s="18"/>
      <c r="D695" s="18"/>
      <c r="E695" s="18"/>
      <c r="F695" s="18"/>
      <c r="G695" s="18"/>
      <c r="H695" s="18"/>
      <c r="I695" s="18"/>
      <c r="J695" s="18"/>
      <c r="K695" s="18"/>
      <c r="L695" s="18"/>
      <c r="M695" s="18"/>
      <c r="N695" s="18"/>
      <c r="O695" s="18"/>
      <c r="P695" s="18"/>
      <c r="Q695" s="18"/>
      <c r="R695" s="18"/>
      <c r="S695" s="18"/>
    </row>
    <row r="696" spans="1:19" ht="14.25" hidden="1">
      <c r="A696" s="18"/>
      <c r="B696" s="18"/>
      <c r="C696" s="18"/>
      <c r="D696" s="18"/>
      <c r="E696" s="18"/>
      <c r="F696" s="18"/>
      <c r="G696" s="18"/>
      <c r="H696" s="18"/>
      <c r="I696" s="18"/>
      <c r="J696" s="18"/>
      <c r="K696" s="18"/>
      <c r="L696" s="18"/>
      <c r="M696" s="18"/>
      <c r="N696" s="18"/>
      <c r="O696" s="18"/>
      <c r="P696" s="18"/>
      <c r="Q696" s="18"/>
      <c r="R696" s="18"/>
      <c r="S696" s="18"/>
    </row>
    <row r="697" spans="1:19" ht="14.25" hidden="1">
      <c r="A697" s="18"/>
      <c r="B697" s="18"/>
      <c r="C697" s="18"/>
      <c r="D697" s="18"/>
      <c r="E697" s="18"/>
      <c r="F697" s="18"/>
      <c r="G697" s="18"/>
      <c r="H697" s="18"/>
      <c r="I697" s="18"/>
      <c r="J697" s="18"/>
      <c r="K697" s="18"/>
      <c r="L697" s="18"/>
      <c r="M697" s="18"/>
      <c r="N697" s="18"/>
      <c r="O697" s="18"/>
      <c r="P697" s="18"/>
      <c r="Q697" s="18"/>
      <c r="R697" s="18"/>
      <c r="S697" s="18"/>
    </row>
    <row r="698" spans="1:19" ht="14.25" hidden="1">
      <c r="A698" s="18"/>
      <c r="B698" s="18"/>
      <c r="C698" s="18"/>
      <c r="D698" s="18"/>
      <c r="E698" s="18"/>
      <c r="F698" s="18"/>
      <c r="G698" s="18"/>
      <c r="H698" s="18"/>
      <c r="I698" s="18"/>
      <c r="J698" s="18"/>
      <c r="K698" s="18"/>
      <c r="L698" s="18"/>
      <c r="M698" s="18"/>
      <c r="N698" s="18"/>
      <c r="O698" s="18"/>
      <c r="P698" s="18"/>
      <c r="Q698" s="18"/>
      <c r="R698" s="18"/>
      <c r="S698" s="18"/>
    </row>
    <row r="699" spans="1:19" ht="14.25" hidden="1">
      <c r="A699" s="18"/>
      <c r="B699" s="18"/>
      <c r="C699" s="18"/>
      <c r="D699" s="18"/>
      <c r="E699" s="18"/>
      <c r="F699" s="18"/>
      <c r="G699" s="18"/>
      <c r="H699" s="18"/>
      <c r="I699" s="18"/>
      <c r="J699" s="18"/>
      <c r="K699" s="18"/>
      <c r="L699" s="18"/>
      <c r="M699" s="18"/>
      <c r="N699" s="18"/>
      <c r="O699" s="18"/>
      <c r="P699" s="18"/>
      <c r="Q699" s="18"/>
      <c r="R699" s="18"/>
      <c r="S699" s="18"/>
    </row>
    <row r="700" spans="1:19" ht="14.25" hidden="1">
      <c r="A700" s="18"/>
      <c r="B700" s="18"/>
      <c r="C700" s="18"/>
      <c r="D700" s="18"/>
      <c r="E700" s="18"/>
      <c r="F700" s="18"/>
      <c r="G700" s="18"/>
      <c r="H700" s="18"/>
      <c r="I700" s="18"/>
      <c r="J700" s="18"/>
      <c r="K700" s="18"/>
      <c r="L700" s="18"/>
      <c r="M700" s="18"/>
      <c r="N700" s="18"/>
      <c r="O700" s="18"/>
      <c r="P700" s="18"/>
      <c r="Q700" s="18"/>
      <c r="R700" s="18"/>
      <c r="S700" s="18"/>
    </row>
    <row r="701" spans="1:19" ht="14.25" hidden="1">
      <c r="A701" s="18"/>
      <c r="B701" s="18"/>
      <c r="C701" s="18"/>
      <c r="D701" s="18"/>
      <c r="E701" s="18"/>
      <c r="F701" s="18"/>
      <c r="G701" s="18"/>
      <c r="H701" s="18"/>
      <c r="I701" s="18"/>
      <c r="J701" s="18"/>
      <c r="K701" s="18"/>
      <c r="L701" s="18"/>
      <c r="M701" s="18"/>
      <c r="N701" s="18"/>
      <c r="O701" s="18"/>
      <c r="P701" s="18"/>
      <c r="Q701" s="18"/>
      <c r="R701" s="18"/>
      <c r="S701" s="18"/>
    </row>
    <row r="702" spans="1:19" ht="14.25" hidden="1">
      <c r="A702" s="18"/>
      <c r="B702" s="18"/>
      <c r="C702" s="18"/>
      <c r="D702" s="18"/>
      <c r="E702" s="18"/>
      <c r="F702" s="18"/>
      <c r="G702" s="18"/>
      <c r="H702" s="18"/>
      <c r="I702" s="18"/>
      <c r="J702" s="18"/>
      <c r="K702" s="18"/>
      <c r="L702" s="18"/>
      <c r="M702" s="18"/>
      <c r="N702" s="18"/>
      <c r="O702" s="18"/>
      <c r="P702" s="18"/>
      <c r="Q702" s="18"/>
      <c r="R702" s="18"/>
      <c r="S702" s="18"/>
    </row>
    <row r="703" spans="1:19" ht="14.25" hidden="1">
      <c r="A703" s="18"/>
      <c r="B703" s="18"/>
      <c r="C703" s="18"/>
      <c r="D703" s="18"/>
      <c r="E703" s="18"/>
      <c r="F703" s="18"/>
      <c r="G703" s="18"/>
      <c r="H703" s="18"/>
      <c r="I703" s="18"/>
      <c r="J703" s="18"/>
      <c r="K703" s="18"/>
      <c r="L703" s="18"/>
      <c r="M703" s="18"/>
      <c r="N703" s="18"/>
      <c r="O703" s="18"/>
      <c r="P703" s="18"/>
      <c r="Q703" s="18"/>
      <c r="R703" s="18"/>
      <c r="S703" s="18"/>
    </row>
    <row r="704" spans="1:19" ht="14.25" hidden="1">
      <c r="A704" s="18"/>
      <c r="B704" s="18"/>
      <c r="C704" s="18"/>
      <c r="D704" s="18"/>
      <c r="E704" s="18"/>
      <c r="F704" s="18"/>
      <c r="G704" s="18"/>
      <c r="H704" s="18"/>
      <c r="I704" s="18"/>
      <c r="J704" s="18"/>
      <c r="K704" s="18"/>
      <c r="L704" s="18"/>
      <c r="M704" s="18"/>
      <c r="N704" s="18"/>
      <c r="O704" s="18"/>
      <c r="P704" s="18"/>
      <c r="Q704" s="18"/>
      <c r="R704" s="18"/>
      <c r="S704" s="18"/>
    </row>
    <row r="705" spans="1:19" ht="14.25" hidden="1">
      <c r="A705" s="18"/>
      <c r="B705" s="18"/>
      <c r="C705" s="18"/>
      <c r="D705" s="18"/>
      <c r="E705" s="18"/>
      <c r="F705" s="18"/>
      <c r="G705" s="18"/>
      <c r="H705" s="18"/>
      <c r="I705" s="18"/>
      <c r="J705" s="18"/>
      <c r="K705" s="18"/>
      <c r="L705" s="18"/>
      <c r="M705" s="18"/>
      <c r="N705" s="18"/>
      <c r="O705" s="18"/>
      <c r="P705" s="18"/>
      <c r="Q705" s="18"/>
      <c r="R705" s="18"/>
      <c r="S705" s="18"/>
    </row>
    <row r="706" spans="1:19" ht="14.25" hidden="1">
      <c r="A706" s="18"/>
      <c r="B706" s="18"/>
      <c r="C706" s="18"/>
      <c r="D706" s="18"/>
      <c r="E706" s="18"/>
      <c r="F706" s="18"/>
      <c r="G706" s="18"/>
      <c r="H706" s="18"/>
      <c r="I706" s="18"/>
      <c r="J706" s="18"/>
      <c r="K706" s="18"/>
      <c r="L706" s="18"/>
      <c r="M706" s="18"/>
      <c r="N706" s="18"/>
      <c r="O706" s="18"/>
      <c r="P706" s="18"/>
      <c r="Q706" s="18"/>
      <c r="R706" s="18"/>
      <c r="S706" s="18"/>
    </row>
    <row r="707" spans="1:19" ht="14.25" hidden="1">
      <c r="A707" s="18"/>
      <c r="B707" s="18"/>
      <c r="C707" s="18"/>
      <c r="D707" s="18"/>
      <c r="E707" s="18"/>
      <c r="F707" s="18"/>
      <c r="G707" s="18"/>
      <c r="H707" s="18"/>
      <c r="I707" s="18"/>
      <c r="J707" s="18"/>
      <c r="K707" s="18"/>
      <c r="L707" s="18"/>
      <c r="M707" s="18"/>
      <c r="N707" s="18"/>
      <c r="O707" s="18"/>
      <c r="P707" s="18"/>
      <c r="Q707" s="18"/>
      <c r="R707" s="18"/>
      <c r="S707" s="18"/>
    </row>
    <row r="708" spans="1:19" ht="14.25" hidden="1">
      <c r="A708" s="18"/>
      <c r="B708" s="18"/>
      <c r="C708" s="18"/>
      <c r="D708" s="18"/>
      <c r="E708" s="18"/>
      <c r="F708" s="18"/>
      <c r="G708" s="18"/>
      <c r="H708" s="18"/>
      <c r="I708" s="18"/>
      <c r="J708" s="18"/>
      <c r="K708" s="18"/>
      <c r="L708" s="18"/>
      <c r="M708" s="18"/>
      <c r="N708" s="18"/>
      <c r="O708" s="18"/>
      <c r="P708" s="18"/>
      <c r="Q708" s="18"/>
      <c r="R708" s="18"/>
      <c r="S708" s="18"/>
    </row>
    <row r="709" spans="1:19" ht="14.25" hidden="1">
      <c r="A709" s="18"/>
      <c r="B709" s="18"/>
      <c r="C709" s="18"/>
      <c r="D709" s="18"/>
      <c r="E709" s="18"/>
      <c r="F709" s="18"/>
      <c r="G709" s="18"/>
      <c r="H709" s="18"/>
      <c r="I709" s="18"/>
      <c r="J709" s="18"/>
      <c r="K709" s="18"/>
      <c r="L709" s="18"/>
      <c r="M709" s="18"/>
      <c r="N709" s="18"/>
      <c r="O709" s="18"/>
      <c r="P709" s="18"/>
      <c r="Q709" s="18"/>
      <c r="R709" s="18"/>
      <c r="S709" s="18"/>
    </row>
    <row r="710" spans="1:19" ht="14.25" hidden="1">
      <c r="A710" s="18"/>
      <c r="B710" s="18"/>
      <c r="C710" s="18"/>
      <c r="D710" s="18"/>
      <c r="E710" s="18"/>
      <c r="F710" s="18"/>
      <c r="G710" s="18"/>
      <c r="H710" s="18"/>
      <c r="I710" s="18"/>
      <c r="J710" s="18"/>
      <c r="K710" s="18"/>
      <c r="L710" s="18"/>
      <c r="M710" s="18"/>
      <c r="N710" s="18"/>
      <c r="O710" s="18"/>
      <c r="P710" s="18"/>
      <c r="Q710" s="18"/>
      <c r="R710" s="18"/>
      <c r="S710" s="18"/>
    </row>
    <row r="711" spans="1:19" ht="14.25" hidden="1">
      <c r="A711" s="18"/>
      <c r="B711" s="18"/>
      <c r="C711" s="18"/>
      <c r="D711" s="18"/>
      <c r="E711" s="18"/>
      <c r="F711" s="18"/>
      <c r="G711" s="18"/>
      <c r="H711" s="18"/>
      <c r="I711" s="18"/>
      <c r="J711" s="18"/>
      <c r="K711" s="18"/>
      <c r="L711" s="18"/>
      <c r="M711" s="18"/>
      <c r="N711" s="18"/>
      <c r="O711" s="18"/>
      <c r="P711" s="18"/>
      <c r="Q711" s="18"/>
      <c r="R711" s="18"/>
      <c r="S711" s="18"/>
    </row>
    <row r="712" spans="1:19" ht="14.25" hidden="1">
      <c r="A712" s="18"/>
      <c r="B712" s="18"/>
      <c r="C712" s="18"/>
      <c r="D712" s="18"/>
      <c r="E712" s="18"/>
      <c r="F712" s="18"/>
      <c r="G712" s="18"/>
      <c r="H712" s="18"/>
      <c r="I712" s="18"/>
      <c r="J712" s="18"/>
      <c r="K712" s="18"/>
      <c r="L712" s="18"/>
      <c r="M712" s="18"/>
      <c r="N712" s="18"/>
      <c r="O712" s="18"/>
      <c r="P712" s="18"/>
      <c r="Q712" s="18"/>
      <c r="R712" s="18"/>
      <c r="S712" s="18"/>
    </row>
    <row r="713" spans="1:19" ht="14.25" hidden="1">
      <c r="A713" s="18"/>
      <c r="B713" s="18"/>
      <c r="C713" s="18"/>
      <c r="D713" s="18"/>
      <c r="E713" s="18"/>
      <c r="F713" s="18"/>
      <c r="G713" s="18"/>
      <c r="H713" s="18"/>
      <c r="I713" s="18"/>
      <c r="J713" s="18"/>
      <c r="K713" s="18"/>
      <c r="L713" s="18"/>
      <c r="M713" s="18"/>
      <c r="N713" s="18"/>
      <c r="O713" s="18"/>
      <c r="P713" s="18"/>
      <c r="Q713" s="18"/>
      <c r="R713" s="18"/>
      <c r="S713" s="18"/>
    </row>
    <row r="714" spans="1:19" ht="14.25" hidden="1">
      <c r="A714" s="18"/>
      <c r="B714" s="18"/>
      <c r="C714" s="18"/>
      <c r="D714" s="18"/>
      <c r="E714" s="18"/>
      <c r="F714" s="18"/>
      <c r="G714" s="18"/>
      <c r="H714" s="18"/>
      <c r="I714" s="18"/>
      <c r="J714" s="18"/>
      <c r="K714" s="18"/>
      <c r="L714" s="18"/>
      <c r="M714" s="18"/>
      <c r="N714" s="18"/>
      <c r="O714" s="18"/>
      <c r="P714" s="18"/>
      <c r="Q714" s="18"/>
      <c r="R714" s="18"/>
      <c r="S714" s="18"/>
    </row>
    <row r="715" spans="1:19" ht="14.25" hidden="1">
      <c r="A715" s="18"/>
      <c r="B715" s="18"/>
      <c r="C715" s="18"/>
      <c r="D715" s="18"/>
      <c r="E715" s="18"/>
      <c r="F715" s="18"/>
      <c r="G715" s="18"/>
      <c r="H715" s="18"/>
      <c r="I715" s="18"/>
      <c r="J715" s="18"/>
      <c r="K715" s="18"/>
      <c r="L715" s="18"/>
      <c r="M715" s="18"/>
      <c r="N715" s="18"/>
      <c r="O715" s="18"/>
      <c r="P715" s="18"/>
      <c r="Q715" s="18"/>
      <c r="R715" s="18"/>
      <c r="S715" s="18"/>
    </row>
    <row r="716" spans="1:19" ht="14.25" hidden="1">
      <c r="A716" s="18"/>
      <c r="B716" s="18"/>
      <c r="C716" s="18"/>
      <c r="D716" s="18"/>
      <c r="E716" s="18"/>
      <c r="F716" s="18"/>
      <c r="G716" s="18"/>
      <c r="H716" s="18"/>
      <c r="I716" s="18"/>
      <c r="J716" s="18"/>
      <c r="K716" s="18"/>
      <c r="L716" s="18"/>
      <c r="M716" s="18"/>
      <c r="N716" s="18"/>
      <c r="O716" s="18"/>
      <c r="P716" s="18"/>
      <c r="Q716" s="18"/>
      <c r="R716" s="18"/>
      <c r="S716" s="18"/>
    </row>
    <row r="717" spans="1:19" ht="14.25" hidden="1">
      <c r="A717" s="18"/>
      <c r="B717" s="18"/>
      <c r="C717" s="18"/>
      <c r="D717" s="18"/>
      <c r="E717" s="18"/>
      <c r="F717" s="18"/>
      <c r="G717" s="18"/>
      <c r="H717" s="18"/>
      <c r="I717" s="18"/>
      <c r="J717" s="18"/>
      <c r="K717" s="18"/>
      <c r="L717" s="18"/>
      <c r="M717" s="18"/>
      <c r="N717" s="18"/>
      <c r="O717" s="18"/>
      <c r="P717" s="18"/>
      <c r="Q717" s="18"/>
      <c r="R717" s="18"/>
      <c r="S717" s="18"/>
    </row>
    <row r="718" spans="1:19" ht="14.25" hidden="1">
      <c r="A718" s="18"/>
      <c r="B718" s="18"/>
      <c r="C718" s="18"/>
      <c r="D718" s="18"/>
      <c r="E718" s="18"/>
      <c r="F718" s="18"/>
      <c r="G718" s="18"/>
      <c r="H718" s="18"/>
      <c r="I718" s="18"/>
      <c r="J718" s="18"/>
      <c r="K718" s="18"/>
      <c r="L718" s="18"/>
      <c r="M718" s="18"/>
      <c r="N718" s="18"/>
      <c r="O718" s="18"/>
      <c r="P718" s="18"/>
      <c r="Q718" s="18"/>
      <c r="R718" s="18"/>
      <c r="S718" s="18"/>
    </row>
    <row r="719" spans="1:19" ht="14.25" hidden="1">
      <c r="A719" s="18"/>
      <c r="B719" s="18"/>
      <c r="C719" s="18"/>
      <c r="D719" s="18"/>
      <c r="E719" s="18"/>
      <c r="F719" s="18"/>
      <c r="G719" s="18"/>
      <c r="H719" s="18"/>
      <c r="I719" s="18"/>
      <c r="J719" s="18"/>
      <c r="K719" s="18"/>
      <c r="L719" s="18"/>
      <c r="M719" s="18"/>
      <c r="N719" s="18"/>
      <c r="O719" s="18"/>
      <c r="P719" s="18"/>
      <c r="Q719" s="18"/>
      <c r="R719" s="18"/>
      <c r="S719" s="18"/>
    </row>
    <row r="720" spans="1:19" ht="14.25" hidden="1">
      <c r="A720" s="18"/>
      <c r="B720" s="18"/>
      <c r="C720" s="18"/>
      <c r="D720" s="18"/>
      <c r="E720" s="18"/>
      <c r="F720" s="18"/>
      <c r="G720" s="18"/>
      <c r="H720" s="18"/>
      <c r="I720" s="18"/>
      <c r="J720" s="18"/>
      <c r="K720" s="18"/>
      <c r="L720" s="18"/>
      <c r="M720" s="18"/>
      <c r="N720" s="18"/>
      <c r="O720" s="18"/>
      <c r="P720" s="18"/>
      <c r="Q720" s="18"/>
      <c r="R720" s="18"/>
      <c r="S720" s="18"/>
    </row>
    <row r="721" spans="1:19" ht="14.25" hidden="1">
      <c r="A721" s="18"/>
      <c r="B721" s="18"/>
      <c r="C721" s="18"/>
      <c r="D721" s="18"/>
      <c r="E721" s="18"/>
      <c r="F721" s="18"/>
      <c r="G721" s="18"/>
      <c r="H721" s="18"/>
      <c r="I721" s="18"/>
      <c r="J721" s="18"/>
      <c r="K721" s="18"/>
      <c r="L721" s="18"/>
      <c r="M721" s="18"/>
      <c r="N721" s="18"/>
      <c r="O721" s="18"/>
      <c r="P721" s="18"/>
      <c r="Q721" s="18"/>
      <c r="R721" s="18"/>
      <c r="S721" s="18"/>
    </row>
    <row r="722" spans="1:19" ht="14.25" hidden="1">
      <c r="A722" s="18"/>
      <c r="B722" s="18"/>
      <c r="C722" s="18"/>
      <c r="D722" s="18"/>
      <c r="E722" s="18"/>
      <c r="F722" s="18"/>
      <c r="G722" s="18"/>
      <c r="H722" s="18"/>
      <c r="I722" s="18"/>
      <c r="J722" s="18"/>
      <c r="K722" s="18"/>
      <c r="L722" s="18"/>
      <c r="M722" s="18"/>
      <c r="N722" s="18"/>
      <c r="O722" s="18"/>
      <c r="P722" s="18"/>
      <c r="Q722" s="18"/>
      <c r="R722" s="18"/>
      <c r="S722" s="18"/>
    </row>
    <row r="723" spans="1:19" ht="14.25" hidden="1">
      <c r="A723" s="18"/>
      <c r="B723" s="18"/>
      <c r="C723" s="18"/>
      <c r="D723" s="18"/>
      <c r="E723" s="18"/>
      <c r="F723" s="18"/>
      <c r="G723" s="18"/>
      <c r="H723" s="18"/>
      <c r="I723" s="18"/>
      <c r="J723" s="18"/>
      <c r="K723" s="18"/>
      <c r="L723" s="18"/>
      <c r="M723" s="18"/>
      <c r="N723" s="18"/>
      <c r="O723" s="18"/>
      <c r="P723" s="18"/>
      <c r="Q723" s="18"/>
      <c r="R723" s="18"/>
      <c r="S723" s="18"/>
    </row>
    <row r="724" spans="1:19" ht="14.25" hidden="1">
      <c r="A724" s="18"/>
      <c r="B724" s="18"/>
      <c r="C724" s="18"/>
      <c r="D724" s="18"/>
      <c r="E724" s="18"/>
      <c r="F724" s="18"/>
      <c r="G724" s="18"/>
      <c r="H724" s="18"/>
      <c r="I724" s="18"/>
      <c r="J724" s="18"/>
      <c r="K724" s="18"/>
      <c r="L724" s="18"/>
      <c r="M724" s="18"/>
      <c r="N724" s="18"/>
      <c r="O724" s="18"/>
      <c r="P724" s="18"/>
      <c r="Q724" s="18"/>
      <c r="R724" s="18"/>
      <c r="S724" s="18"/>
    </row>
    <row r="725" spans="1:19" ht="14.25" hidden="1">
      <c r="A725" s="18"/>
      <c r="B725" s="18"/>
      <c r="C725" s="18"/>
      <c r="D725" s="18"/>
      <c r="E725" s="18"/>
      <c r="F725" s="18"/>
      <c r="G725" s="18"/>
      <c r="H725" s="18"/>
      <c r="I725" s="18"/>
      <c r="J725" s="18"/>
      <c r="K725" s="18"/>
      <c r="L725" s="18"/>
      <c r="M725" s="18"/>
      <c r="N725" s="18"/>
      <c r="O725" s="18"/>
      <c r="P725" s="18"/>
      <c r="Q725" s="18"/>
      <c r="R725" s="18"/>
      <c r="S725" s="18"/>
    </row>
    <row r="726" spans="1:19" ht="14.25" hidden="1">
      <c r="A726" s="18"/>
      <c r="B726" s="18"/>
      <c r="C726" s="18"/>
      <c r="D726" s="18"/>
      <c r="E726" s="18"/>
      <c r="F726" s="18"/>
      <c r="G726" s="18"/>
      <c r="H726" s="18"/>
      <c r="I726" s="18"/>
      <c r="J726" s="18"/>
      <c r="K726" s="18"/>
      <c r="L726" s="18"/>
      <c r="M726" s="18"/>
      <c r="N726" s="18"/>
      <c r="O726" s="18"/>
      <c r="P726" s="18"/>
      <c r="Q726" s="18"/>
      <c r="R726" s="18"/>
      <c r="S726" s="18"/>
    </row>
    <row r="727" spans="1:19" ht="14.25" hidden="1">
      <c r="A727" s="18"/>
      <c r="B727" s="18"/>
      <c r="C727" s="18"/>
      <c r="D727" s="18"/>
      <c r="E727" s="18"/>
      <c r="F727" s="18"/>
      <c r="G727" s="18"/>
      <c r="H727" s="18"/>
      <c r="I727" s="18"/>
      <c r="J727" s="18"/>
      <c r="K727" s="18"/>
      <c r="L727" s="18"/>
      <c r="M727" s="18"/>
      <c r="N727" s="18"/>
      <c r="O727" s="18"/>
      <c r="P727" s="18"/>
      <c r="Q727" s="18"/>
      <c r="R727" s="18"/>
      <c r="S727" s="18"/>
    </row>
    <row r="728" spans="1:19" ht="14.25" hidden="1">
      <c r="A728" s="18"/>
      <c r="B728" s="18"/>
      <c r="C728" s="18"/>
      <c r="D728" s="18"/>
      <c r="E728" s="18"/>
      <c r="F728" s="18"/>
      <c r="G728" s="18"/>
      <c r="H728" s="18"/>
      <c r="I728" s="18"/>
      <c r="J728" s="18"/>
      <c r="K728" s="18"/>
      <c r="L728" s="18"/>
      <c r="M728" s="18"/>
      <c r="N728" s="18"/>
      <c r="O728" s="18"/>
      <c r="P728" s="18"/>
      <c r="Q728" s="18"/>
      <c r="R728" s="18"/>
      <c r="S728" s="18"/>
    </row>
    <row r="729" spans="1:19" ht="14.25" hidden="1">
      <c r="A729" s="18"/>
      <c r="B729" s="18"/>
      <c r="C729" s="18"/>
      <c r="D729" s="18"/>
      <c r="E729" s="18"/>
      <c r="F729" s="18"/>
      <c r="G729" s="18"/>
      <c r="H729" s="18"/>
      <c r="I729" s="18"/>
      <c r="J729" s="18"/>
      <c r="K729" s="18"/>
      <c r="L729" s="18"/>
      <c r="M729" s="18"/>
      <c r="N729" s="18"/>
      <c r="O729" s="18"/>
      <c r="P729" s="18"/>
      <c r="Q729" s="18"/>
      <c r="R729" s="18"/>
      <c r="S729" s="18"/>
    </row>
    <row r="730" spans="1:19" ht="14.25" hidden="1">
      <c r="A730" s="18"/>
      <c r="B730" s="18"/>
      <c r="C730" s="18"/>
      <c r="D730" s="18"/>
      <c r="E730" s="18"/>
      <c r="F730" s="18"/>
      <c r="G730" s="18"/>
      <c r="H730" s="18"/>
      <c r="I730" s="18"/>
      <c r="J730" s="18"/>
      <c r="K730" s="18"/>
      <c r="L730" s="18"/>
      <c r="M730" s="18"/>
      <c r="N730" s="18"/>
      <c r="O730" s="18"/>
      <c r="P730" s="18"/>
      <c r="Q730" s="18"/>
      <c r="R730" s="18"/>
      <c r="S730" s="18"/>
    </row>
    <row r="731" spans="1:19" ht="14.25" hidden="1">
      <c r="A731" s="18"/>
      <c r="B731" s="18"/>
      <c r="C731" s="18"/>
      <c r="D731" s="18"/>
      <c r="E731" s="18"/>
      <c r="F731" s="18"/>
      <c r="G731" s="18"/>
      <c r="H731" s="18"/>
      <c r="I731" s="18"/>
      <c r="J731" s="18"/>
      <c r="K731" s="18"/>
      <c r="L731" s="18"/>
      <c r="M731" s="18"/>
      <c r="N731" s="18"/>
      <c r="O731" s="18"/>
      <c r="P731" s="18"/>
      <c r="Q731" s="18"/>
      <c r="R731" s="18"/>
      <c r="S731" s="18"/>
    </row>
    <row r="732" spans="1:19" ht="14.25" hidden="1">
      <c r="A732" s="18"/>
      <c r="B732" s="18"/>
      <c r="C732" s="18"/>
      <c r="D732" s="18"/>
      <c r="E732" s="18"/>
      <c r="F732" s="18"/>
      <c r="G732" s="18"/>
      <c r="H732" s="18"/>
      <c r="I732" s="18"/>
      <c r="J732" s="18"/>
      <c r="K732" s="18"/>
      <c r="L732" s="18"/>
      <c r="M732" s="18"/>
      <c r="N732" s="18"/>
      <c r="O732" s="18"/>
      <c r="P732" s="18"/>
      <c r="Q732" s="18"/>
      <c r="R732" s="18"/>
      <c r="S732" s="18"/>
    </row>
    <row r="733" spans="1:19" ht="14.25" hidden="1">
      <c r="A733" s="18"/>
      <c r="B733" s="18"/>
      <c r="C733" s="18"/>
      <c r="D733" s="18"/>
      <c r="E733" s="18"/>
      <c r="F733" s="18"/>
      <c r="G733" s="18"/>
      <c r="H733" s="18"/>
      <c r="I733" s="18"/>
      <c r="J733" s="18"/>
      <c r="K733" s="18"/>
      <c r="L733" s="18"/>
      <c r="M733" s="18"/>
      <c r="N733" s="18"/>
      <c r="O733" s="18"/>
      <c r="P733" s="18"/>
      <c r="Q733" s="18"/>
      <c r="R733" s="18"/>
      <c r="S733" s="18"/>
    </row>
    <row r="734" spans="1:19" ht="14.25" hidden="1">
      <c r="A734" s="18"/>
      <c r="B734" s="18"/>
      <c r="C734" s="18"/>
      <c r="D734" s="18"/>
      <c r="E734" s="18"/>
      <c r="F734" s="18"/>
      <c r="G734" s="18"/>
      <c r="H734" s="18"/>
      <c r="I734" s="18"/>
      <c r="J734" s="18"/>
      <c r="K734" s="18"/>
      <c r="L734" s="18"/>
      <c r="M734" s="18"/>
      <c r="N734" s="18"/>
      <c r="O734" s="18"/>
      <c r="P734" s="18"/>
      <c r="Q734" s="18"/>
      <c r="R734" s="18"/>
      <c r="S734" s="18"/>
    </row>
    <row r="735" spans="1:19" ht="14.25" hidden="1">
      <c r="A735" s="18"/>
      <c r="B735" s="18"/>
      <c r="C735" s="18"/>
      <c r="D735" s="18"/>
      <c r="E735" s="18"/>
      <c r="F735" s="18"/>
      <c r="G735" s="18"/>
      <c r="H735" s="18"/>
      <c r="I735" s="18"/>
      <c r="J735" s="18"/>
      <c r="K735" s="18"/>
      <c r="L735" s="18"/>
      <c r="M735" s="18"/>
      <c r="N735" s="18"/>
      <c r="O735" s="18"/>
      <c r="P735" s="18"/>
      <c r="Q735" s="18"/>
      <c r="R735" s="18"/>
      <c r="S735" s="18"/>
    </row>
    <row r="736" spans="1:19" ht="14.25" hidden="1">
      <c r="A736" s="18"/>
      <c r="B736" s="18"/>
      <c r="C736" s="18"/>
      <c r="D736" s="18"/>
      <c r="E736" s="18"/>
      <c r="F736" s="18"/>
      <c r="G736" s="18"/>
      <c r="H736" s="18"/>
      <c r="I736" s="18"/>
      <c r="J736" s="18"/>
      <c r="K736" s="18"/>
      <c r="L736" s="18"/>
      <c r="M736" s="18"/>
      <c r="N736" s="18"/>
      <c r="O736" s="18"/>
      <c r="P736" s="18"/>
      <c r="Q736" s="18"/>
      <c r="R736" s="18"/>
      <c r="S736" s="18"/>
    </row>
    <row r="737" spans="1:19" ht="14.25" hidden="1">
      <c r="A737" s="18"/>
      <c r="B737" s="18"/>
      <c r="C737" s="18"/>
      <c r="D737" s="18"/>
      <c r="E737" s="18"/>
      <c r="F737" s="18"/>
      <c r="G737" s="18"/>
      <c r="H737" s="18"/>
      <c r="I737" s="18"/>
      <c r="J737" s="18"/>
      <c r="K737" s="18"/>
      <c r="L737" s="18"/>
      <c r="M737" s="18"/>
      <c r="N737" s="18"/>
      <c r="O737" s="18"/>
      <c r="P737" s="18"/>
      <c r="Q737" s="18"/>
      <c r="R737" s="18"/>
      <c r="S737" s="18"/>
    </row>
    <row r="738" spans="1:19" ht="14.25" hidden="1">
      <c r="A738" s="18"/>
      <c r="B738" s="18"/>
      <c r="C738" s="18"/>
      <c r="D738" s="18"/>
      <c r="E738" s="18"/>
      <c r="F738" s="18"/>
      <c r="G738" s="18"/>
      <c r="H738" s="18"/>
      <c r="I738" s="18"/>
      <c r="J738" s="18"/>
      <c r="K738" s="18"/>
      <c r="L738" s="18"/>
      <c r="M738" s="18"/>
      <c r="N738" s="18"/>
      <c r="O738" s="18"/>
      <c r="P738" s="18"/>
      <c r="Q738" s="18"/>
      <c r="R738" s="18"/>
      <c r="S738" s="18"/>
    </row>
    <row r="739" spans="1:19" ht="14.25" hidden="1">
      <c r="A739" s="18"/>
      <c r="B739" s="18"/>
      <c r="C739" s="18"/>
      <c r="D739" s="18"/>
      <c r="E739" s="18"/>
      <c r="F739" s="18"/>
      <c r="G739" s="18"/>
      <c r="H739" s="18"/>
      <c r="I739" s="18"/>
      <c r="J739" s="18"/>
      <c r="K739" s="18"/>
      <c r="L739" s="18"/>
      <c r="M739" s="18"/>
      <c r="N739" s="18"/>
      <c r="O739" s="18"/>
      <c r="P739" s="18"/>
      <c r="Q739" s="18"/>
      <c r="R739" s="18"/>
      <c r="S739" s="18"/>
    </row>
    <row r="740" spans="1:19" ht="14.25" hidden="1">
      <c r="A740" s="18"/>
      <c r="B740" s="18"/>
      <c r="C740" s="18"/>
      <c r="D740" s="18"/>
      <c r="E740" s="18"/>
      <c r="F740" s="18"/>
      <c r="G740" s="18"/>
      <c r="H740" s="18"/>
      <c r="I740" s="18"/>
      <c r="J740" s="18"/>
      <c r="K740" s="18"/>
      <c r="L740" s="18"/>
      <c r="M740" s="18"/>
      <c r="N740" s="18"/>
      <c r="O740" s="18"/>
      <c r="P740" s="18"/>
      <c r="Q740" s="18"/>
      <c r="R740" s="18"/>
      <c r="S740" s="18"/>
    </row>
    <row r="741" spans="1:19" ht="14.25" hidden="1">
      <c r="A741" s="18"/>
      <c r="B741" s="18"/>
      <c r="C741" s="18"/>
      <c r="D741" s="18"/>
      <c r="E741" s="18"/>
      <c r="F741" s="18"/>
      <c r="G741" s="18"/>
      <c r="H741" s="18"/>
      <c r="I741" s="18"/>
      <c r="J741" s="18"/>
      <c r="K741" s="18"/>
      <c r="L741" s="18"/>
      <c r="M741" s="18"/>
      <c r="N741" s="18"/>
      <c r="O741" s="18"/>
      <c r="P741" s="18"/>
      <c r="Q741" s="18"/>
      <c r="R741" s="18"/>
      <c r="S741" s="18"/>
    </row>
    <row r="742" spans="1:19" ht="14.25" hidden="1">
      <c r="A742" s="18"/>
      <c r="B742" s="18"/>
      <c r="C742" s="18"/>
      <c r="D742" s="18"/>
      <c r="E742" s="18"/>
      <c r="F742" s="18"/>
      <c r="G742" s="18"/>
      <c r="H742" s="18"/>
      <c r="I742" s="18"/>
      <c r="J742" s="18"/>
      <c r="K742" s="18"/>
      <c r="L742" s="18"/>
      <c r="M742" s="18"/>
      <c r="N742" s="18"/>
      <c r="O742" s="18"/>
      <c r="P742" s="18"/>
      <c r="Q742" s="18"/>
      <c r="R742" s="18"/>
      <c r="S742" s="18"/>
    </row>
    <row r="743" spans="1:19" ht="14.25" hidden="1">
      <c r="A743" s="18"/>
      <c r="B743" s="18"/>
      <c r="C743" s="18"/>
      <c r="D743" s="18"/>
      <c r="E743" s="18"/>
      <c r="F743" s="18"/>
      <c r="G743" s="18"/>
      <c r="H743" s="18"/>
      <c r="I743" s="18"/>
      <c r="J743" s="18"/>
      <c r="K743" s="18"/>
      <c r="L743" s="18"/>
      <c r="M743" s="18"/>
      <c r="N743" s="18"/>
      <c r="O743" s="18"/>
      <c r="P743" s="18"/>
      <c r="Q743" s="18"/>
      <c r="R743" s="18"/>
      <c r="S743" s="18"/>
    </row>
    <row r="744" spans="1:19" ht="14.25" hidden="1">
      <c r="A744" s="18"/>
      <c r="B744" s="18"/>
      <c r="C744" s="18"/>
      <c r="D744" s="18"/>
      <c r="E744" s="18"/>
      <c r="F744" s="18"/>
      <c r="G744" s="18"/>
      <c r="H744" s="18"/>
      <c r="I744" s="18"/>
      <c r="J744" s="18"/>
      <c r="K744" s="18"/>
      <c r="L744" s="18"/>
      <c r="M744" s="18"/>
      <c r="N744" s="18"/>
      <c r="O744" s="18"/>
      <c r="P744" s="18"/>
      <c r="Q744" s="18"/>
      <c r="R744" s="18"/>
      <c r="S744" s="18"/>
    </row>
    <row r="745" spans="1:19" ht="14.25" hidden="1">
      <c r="A745" s="18"/>
      <c r="B745" s="18"/>
      <c r="C745" s="18"/>
      <c r="D745" s="18"/>
      <c r="E745" s="18"/>
      <c r="F745" s="18"/>
      <c r="G745" s="18"/>
      <c r="H745" s="18"/>
      <c r="I745" s="18"/>
      <c r="J745" s="18"/>
      <c r="K745" s="18"/>
      <c r="L745" s="18"/>
      <c r="M745" s="18"/>
      <c r="N745" s="18"/>
      <c r="O745" s="18"/>
      <c r="P745" s="18"/>
      <c r="Q745" s="18"/>
      <c r="R745" s="18"/>
      <c r="S745" s="18"/>
    </row>
    <row r="746" spans="1:19" ht="14.25" hidden="1">
      <c r="A746" s="18"/>
      <c r="B746" s="18"/>
      <c r="C746" s="18"/>
      <c r="D746" s="18"/>
      <c r="E746" s="18"/>
      <c r="F746" s="18"/>
      <c r="G746" s="18"/>
      <c r="H746" s="18"/>
      <c r="I746" s="18"/>
      <c r="J746" s="18"/>
      <c r="K746" s="18"/>
      <c r="L746" s="18"/>
      <c r="M746" s="18"/>
      <c r="N746" s="18"/>
      <c r="O746" s="18"/>
      <c r="P746" s="18"/>
      <c r="Q746" s="18"/>
      <c r="R746" s="18"/>
      <c r="S746" s="18"/>
    </row>
    <row r="747" spans="1:19" ht="14.25" hidden="1">
      <c r="A747" s="18"/>
      <c r="B747" s="18"/>
      <c r="C747" s="18"/>
      <c r="D747" s="18"/>
      <c r="E747" s="18"/>
      <c r="F747" s="18"/>
      <c r="G747" s="18"/>
      <c r="H747" s="18"/>
      <c r="I747" s="18"/>
      <c r="J747" s="18"/>
      <c r="K747" s="18"/>
      <c r="L747" s="18"/>
      <c r="M747" s="18"/>
      <c r="N747" s="18"/>
      <c r="O747" s="18"/>
      <c r="P747" s="18"/>
      <c r="Q747" s="18"/>
      <c r="R747" s="18"/>
      <c r="S747" s="18"/>
    </row>
    <row r="748" spans="1:19" ht="14.25" hidden="1">
      <c r="A748" s="18"/>
      <c r="B748" s="18"/>
      <c r="C748" s="18"/>
      <c r="D748" s="18"/>
      <c r="E748" s="18"/>
      <c r="F748" s="18"/>
      <c r="G748" s="18"/>
      <c r="H748" s="18"/>
      <c r="I748" s="18"/>
      <c r="J748" s="18"/>
      <c r="K748" s="18"/>
      <c r="L748" s="18"/>
      <c r="M748" s="18"/>
      <c r="N748" s="18"/>
      <c r="O748" s="18"/>
      <c r="P748" s="18"/>
      <c r="Q748" s="18"/>
      <c r="R748" s="18"/>
      <c r="S748" s="18"/>
    </row>
    <row r="749" spans="1:19" ht="14.25" hidden="1">
      <c r="A749" s="18"/>
      <c r="B749" s="18"/>
      <c r="C749" s="18"/>
      <c r="D749" s="18"/>
      <c r="E749" s="18"/>
      <c r="F749" s="18"/>
      <c r="G749" s="18"/>
      <c r="H749" s="18"/>
      <c r="I749" s="18"/>
      <c r="J749" s="18"/>
      <c r="K749" s="18"/>
      <c r="L749" s="18"/>
      <c r="M749" s="18"/>
      <c r="N749" s="18"/>
      <c r="O749" s="18"/>
      <c r="P749" s="18"/>
      <c r="Q749" s="18"/>
      <c r="R749" s="18"/>
      <c r="S749" s="18"/>
    </row>
    <row r="750" spans="1:19" ht="14.25" hidden="1">
      <c r="A750" s="18"/>
      <c r="B750" s="18"/>
      <c r="C750" s="18"/>
      <c r="D750" s="18"/>
      <c r="E750" s="18"/>
      <c r="F750" s="18"/>
      <c r="G750" s="18"/>
      <c r="H750" s="18"/>
      <c r="I750" s="18"/>
      <c r="J750" s="18"/>
      <c r="K750" s="18"/>
      <c r="L750" s="18"/>
      <c r="M750" s="18"/>
      <c r="N750" s="18"/>
      <c r="O750" s="18"/>
      <c r="P750" s="18"/>
      <c r="Q750" s="18"/>
      <c r="R750" s="18"/>
      <c r="S750" s="18"/>
    </row>
    <row r="751" spans="1:19" ht="14.25" hidden="1">
      <c r="A751" s="18"/>
      <c r="B751" s="18"/>
      <c r="C751" s="18"/>
      <c r="D751" s="18"/>
      <c r="E751" s="18"/>
      <c r="F751" s="18"/>
      <c r="G751" s="18"/>
      <c r="H751" s="18"/>
      <c r="I751" s="18"/>
      <c r="J751" s="18"/>
      <c r="K751" s="18"/>
      <c r="L751" s="18"/>
      <c r="M751" s="18"/>
      <c r="N751" s="18"/>
      <c r="O751" s="18"/>
      <c r="P751" s="18"/>
      <c r="Q751" s="18"/>
      <c r="R751" s="18"/>
      <c r="S751" s="18"/>
    </row>
    <row r="752" spans="1:19" ht="14.25" hidden="1">
      <c r="A752" s="18"/>
      <c r="B752" s="18"/>
      <c r="C752" s="18"/>
      <c r="D752" s="18"/>
      <c r="E752" s="18"/>
      <c r="F752" s="18"/>
      <c r="G752" s="18"/>
      <c r="H752" s="18"/>
      <c r="I752" s="18"/>
      <c r="J752" s="18"/>
      <c r="K752" s="18"/>
      <c r="L752" s="18"/>
      <c r="M752" s="18"/>
      <c r="N752" s="18"/>
      <c r="O752" s="18"/>
      <c r="P752" s="18"/>
      <c r="Q752" s="18"/>
      <c r="R752" s="18"/>
      <c r="S752" s="18"/>
    </row>
    <row r="753" spans="1:19" ht="14.25" hidden="1">
      <c r="A753" s="18"/>
      <c r="B753" s="18"/>
      <c r="C753" s="18"/>
      <c r="D753" s="18"/>
      <c r="E753" s="18"/>
      <c r="F753" s="18"/>
      <c r="G753" s="18"/>
      <c r="H753" s="18"/>
      <c r="I753" s="18"/>
      <c r="J753" s="18"/>
      <c r="K753" s="18"/>
      <c r="L753" s="18"/>
      <c r="M753" s="18"/>
      <c r="N753" s="18"/>
      <c r="O753" s="18"/>
      <c r="P753" s="18"/>
      <c r="Q753" s="18"/>
      <c r="R753" s="18"/>
      <c r="S753" s="18"/>
    </row>
    <row r="754" spans="1:19" ht="14.25" hidden="1">
      <c r="A754" s="18"/>
      <c r="B754" s="18"/>
      <c r="C754" s="18"/>
      <c r="D754" s="18"/>
      <c r="E754" s="18"/>
      <c r="F754" s="18"/>
      <c r="G754" s="18"/>
      <c r="H754" s="18"/>
      <c r="I754" s="18"/>
      <c r="J754" s="18"/>
      <c r="K754" s="18"/>
      <c r="L754" s="18"/>
      <c r="M754" s="18"/>
      <c r="N754" s="18"/>
      <c r="O754" s="18"/>
      <c r="P754" s="18"/>
      <c r="Q754" s="18"/>
      <c r="R754" s="18"/>
      <c r="S754" s="18"/>
    </row>
    <row r="755" spans="1:19" ht="14.25" hidden="1">
      <c r="A755" s="18"/>
      <c r="B755" s="18"/>
      <c r="C755" s="18"/>
      <c r="D755" s="18"/>
      <c r="E755" s="18"/>
      <c r="F755" s="18"/>
      <c r="G755" s="18"/>
      <c r="H755" s="18"/>
      <c r="I755" s="18"/>
      <c r="J755" s="18"/>
      <c r="K755" s="18"/>
      <c r="L755" s="18"/>
      <c r="M755" s="18"/>
      <c r="N755" s="18"/>
      <c r="O755" s="18"/>
      <c r="P755" s="18"/>
      <c r="Q755" s="18"/>
      <c r="R755" s="18"/>
      <c r="S755" s="18"/>
    </row>
    <row r="756" spans="1:19" ht="14.25" hidden="1">
      <c r="A756" s="18"/>
      <c r="B756" s="18"/>
      <c r="C756" s="18"/>
      <c r="D756" s="18"/>
      <c r="E756" s="18"/>
      <c r="F756" s="18"/>
      <c r="G756" s="18"/>
      <c r="H756" s="18"/>
      <c r="I756" s="18"/>
      <c r="J756" s="18"/>
      <c r="K756" s="18"/>
      <c r="L756" s="18"/>
      <c r="M756" s="18"/>
      <c r="N756" s="18"/>
      <c r="O756" s="18"/>
      <c r="P756" s="18"/>
      <c r="Q756" s="18"/>
      <c r="R756" s="18"/>
      <c r="S756" s="18"/>
    </row>
    <row r="757" spans="1:19" ht="14.25" hidden="1">
      <c r="A757" s="18"/>
      <c r="B757" s="18"/>
      <c r="C757" s="18"/>
      <c r="D757" s="18"/>
      <c r="E757" s="18"/>
      <c r="F757" s="18"/>
      <c r="G757" s="18"/>
      <c r="H757" s="18"/>
      <c r="I757" s="18"/>
      <c r="J757" s="18"/>
      <c r="K757" s="18"/>
      <c r="L757" s="18"/>
      <c r="M757" s="18"/>
      <c r="N757" s="18"/>
      <c r="O757" s="18"/>
      <c r="P757" s="18"/>
      <c r="Q757" s="18"/>
      <c r="R757" s="18"/>
      <c r="S757" s="18"/>
    </row>
    <row r="758" spans="1:19" ht="14.25" hidden="1">
      <c r="A758" s="18"/>
      <c r="B758" s="18"/>
      <c r="C758" s="18"/>
      <c r="D758" s="18"/>
      <c r="E758" s="18"/>
      <c r="F758" s="18"/>
      <c r="G758" s="18"/>
      <c r="H758" s="18"/>
      <c r="I758" s="18"/>
      <c r="J758" s="18"/>
      <c r="K758" s="18"/>
      <c r="L758" s="18"/>
      <c r="M758" s="18"/>
      <c r="N758" s="18"/>
      <c r="O758" s="18"/>
      <c r="P758" s="18"/>
      <c r="Q758" s="18"/>
      <c r="R758" s="18"/>
      <c r="S758" s="18"/>
    </row>
    <row r="759" spans="1:19" ht="14.25" hidden="1">
      <c r="A759" s="18"/>
      <c r="B759" s="18"/>
      <c r="C759" s="18"/>
      <c r="D759" s="18"/>
      <c r="E759" s="18"/>
      <c r="F759" s="18"/>
      <c r="G759" s="18"/>
      <c r="H759" s="18"/>
      <c r="I759" s="18"/>
      <c r="J759" s="18"/>
      <c r="K759" s="18"/>
      <c r="L759" s="18"/>
      <c r="M759" s="18"/>
      <c r="N759" s="18"/>
      <c r="O759" s="18"/>
      <c r="P759" s="18"/>
      <c r="Q759" s="18"/>
      <c r="R759" s="18"/>
      <c r="S759" s="18"/>
    </row>
    <row r="760" spans="1:19" ht="14.25" hidden="1">
      <c r="A760" s="18"/>
      <c r="B760" s="18"/>
      <c r="C760" s="18"/>
      <c r="D760" s="18"/>
      <c r="E760" s="18"/>
      <c r="F760" s="18"/>
      <c r="G760" s="18"/>
      <c r="H760" s="18"/>
      <c r="I760" s="18"/>
      <c r="J760" s="18"/>
      <c r="K760" s="18"/>
      <c r="L760" s="18"/>
      <c r="M760" s="18"/>
      <c r="N760" s="18"/>
      <c r="O760" s="18"/>
      <c r="P760" s="18"/>
      <c r="Q760" s="18"/>
      <c r="R760" s="18"/>
      <c r="S760" s="18"/>
    </row>
    <row r="761" spans="1:19" ht="14.25" hidden="1">
      <c r="A761" s="18"/>
      <c r="B761" s="18"/>
      <c r="C761" s="18"/>
      <c r="D761" s="18"/>
      <c r="E761" s="18"/>
      <c r="F761" s="18"/>
      <c r="G761" s="18"/>
      <c r="H761" s="18"/>
      <c r="I761" s="18"/>
      <c r="J761" s="18"/>
      <c r="K761" s="18"/>
      <c r="L761" s="18"/>
      <c r="M761" s="18"/>
      <c r="N761" s="18"/>
      <c r="O761" s="18"/>
      <c r="P761" s="18"/>
      <c r="Q761" s="18"/>
      <c r="R761" s="18"/>
      <c r="S761" s="18"/>
    </row>
    <row r="762" spans="1:19" ht="14.25" hidden="1">
      <c r="A762" s="18"/>
      <c r="B762" s="18"/>
      <c r="C762" s="18"/>
      <c r="D762" s="18"/>
      <c r="E762" s="18"/>
      <c r="F762" s="18"/>
      <c r="G762" s="18"/>
      <c r="H762" s="18"/>
      <c r="I762" s="18"/>
      <c r="J762" s="18"/>
      <c r="K762" s="18"/>
      <c r="L762" s="18"/>
      <c r="M762" s="18"/>
      <c r="N762" s="18"/>
      <c r="O762" s="18"/>
      <c r="P762" s="18"/>
      <c r="Q762" s="18"/>
      <c r="R762" s="18"/>
      <c r="S762" s="18"/>
    </row>
    <row r="763" spans="1:19" ht="14.25" hidden="1">
      <c r="A763" s="18"/>
      <c r="B763" s="18"/>
      <c r="C763" s="18"/>
      <c r="D763" s="18"/>
      <c r="E763" s="18"/>
      <c r="F763" s="18"/>
      <c r="G763" s="18"/>
      <c r="H763" s="18"/>
      <c r="I763" s="18"/>
      <c r="J763" s="18"/>
      <c r="K763" s="18"/>
      <c r="L763" s="18"/>
      <c r="M763" s="18"/>
      <c r="N763" s="18"/>
      <c r="O763" s="18"/>
      <c r="P763" s="18"/>
      <c r="Q763" s="18"/>
      <c r="R763" s="18"/>
      <c r="S763" s="18"/>
    </row>
    <row r="764" spans="1:19" ht="14.25" hidden="1">
      <c r="A764" s="18"/>
      <c r="B764" s="18"/>
      <c r="C764" s="18"/>
      <c r="D764" s="18"/>
      <c r="E764" s="18"/>
      <c r="F764" s="18"/>
      <c r="G764" s="18"/>
      <c r="H764" s="18"/>
      <c r="I764" s="18"/>
      <c r="J764" s="18"/>
      <c r="K764" s="18"/>
      <c r="L764" s="18"/>
      <c r="M764" s="18"/>
      <c r="N764" s="18"/>
      <c r="O764" s="18"/>
      <c r="P764" s="18"/>
      <c r="Q764" s="18"/>
      <c r="R764" s="18"/>
      <c r="S764" s="18"/>
    </row>
    <row r="765" spans="1:19" ht="14.25" hidden="1">
      <c r="A765" s="18"/>
      <c r="B765" s="18"/>
      <c r="C765" s="18"/>
      <c r="D765" s="18"/>
      <c r="E765" s="18"/>
      <c r="F765" s="18"/>
      <c r="G765" s="18"/>
      <c r="H765" s="18"/>
      <c r="I765" s="18"/>
      <c r="J765" s="18"/>
      <c r="K765" s="18"/>
      <c r="L765" s="18"/>
      <c r="M765" s="18"/>
      <c r="N765" s="18"/>
      <c r="O765" s="18"/>
      <c r="P765" s="18"/>
      <c r="Q765" s="18"/>
      <c r="R765" s="18"/>
      <c r="S765" s="18"/>
    </row>
    <row r="766" spans="1:19" ht="14.25" hidden="1">
      <c r="A766" s="18"/>
      <c r="B766" s="18"/>
      <c r="C766" s="18"/>
      <c r="D766" s="18"/>
      <c r="E766" s="18"/>
      <c r="F766" s="18"/>
      <c r="G766" s="18"/>
      <c r="H766" s="18"/>
      <c r="I766" s="18"/>
      <c r="J766" s="18"/>
      <c r="K766" s="18"/>
      <c r="L766" s="18"/>
      <c r="M766" s="18"/>
      <c r="N766" s="18"/>
      <c r="O766" s="18"/>
      <c r="P766" s="18"/>
      <c r="Q766" s="18"/>
      <c r="R766" s="18"/>
      <c r="S766" s="18"/>
    </row>
    <row r="767" spans="1:19" ht="14.25" hidden="1">
      <c r="A767" s="18"/>
      <c r="B767" s="18"/>
      <c r="C767" s="18"/>
      <c r="D767" s="18"/>
      <c r="E767" s="18"/>
      <c r="F767" s="18"/>
      <c r="G767" s="18"/>
      <c r="H767" s="18"/>
      <c r="I767" s="18"/>
      <c r="J767" s="18"/>
      <c r="K767" s="18"/>
      <c r="L767" s="18"/>
      <c r="M767" s="18"/>
      <c r="N767" s="18"/>
      <c r="O767" s="18"/>
      <c r="P767" s="18"/>
      <c r="Q767" s="18"/>
      <c r="R767" s="18"/>
      <c r="S767" s="18"/>
    </row>
    <row r="768" spans="1:19" ht="14.25" hidden="1">
      <c r="A768" s="18"/>
      <c r="B768" s="18"/>
      <c r="C768" s="18"/>
      <c r="D768" s="18"/>
      <c r="E768" s="18"/>
      <c r="F768" s="18"/>
      <c r="G768" s="18"/>
      <c r="H768" s="18"/>
      <c r="I768" s="18"/>
      <c r="J768" s="18"/>
      <c r="K768" s="18"/>
      <c r="L768" s="18"/>
      <c r="M768" s="18"/>
      <c r="N768" s="18"/>
      <c r="O768" s="18"/>
      <c r="P768" s="18"/>
      <c r="Q768" s="18"/>
      <c r="R768" s="18"/>
      <c r="S768" s="18"/>
    </row>
    <row r="769" spans="1:19" ht="14.25" hidden="1">
      <c r="A769" s="18"/>
      <c r="B769" s="18"/>
      <c r="C769" s="18"/>
      <c r="D769" s="18"/>
      <c r="E769" s="18"/>
      <c r="F769" s="18"/>
      <c r="G769" s="18"/>
      <c r="H769" s="18"/>
      <c r="I769" s="18"/>
      <c r="J769" s="18"/>
      <c r="K769" s="18"/>
      <c r="L769" s="18"/>
      <c r="M769" s="18"/>
      <c r="N769" s="18"/>
      <c r="O769" s="18"/>
      <c r="P769" s="18"/>
      <c r="Q769" s="18"/>
      <c r="R769" s="18"/>
      <c r="S769" s="18"/>
    </row>
    <row r="770" spans="1:19" ht="14.25" hidden="1">
      <c r="A770" s="18"/>
      <c r="B770" s="18"/>
      <c r="C770" s="18"/>
      <c r="D770" s="18"/>
      <c r="E770" s="18"/>
      <c r="F770" s="18"/>
      <c r="G770" s="18"/>
      <c r="H770" s="18"/>
      <c r="I770" s="18"/>
      <c r="J770" s="18"/>
      <c r="K770" s="18"/>
      <c r="L770" s="18"/>
      <c r="M770" s="18"/>
      <c r="N770" s="18"/>
      <c r="O770" s="18"/>
      <c r="P770" s="18"/>
      <c r="Q770" s="18"/>
      <c r="R770" s="18"/>
      <c r="S770" s="18"/>
    </row>
    <row r="771" spans="1:19" ht="14.25" hidden="1">
      <c r="A771" s="18"/>
      <c r="B771" s="18"/>
      <c r="C771" s="18"/>
      <c r="D771" s="18"/>
      <c r="E771" s="18"/>
      <c r="F771" s="18"/>
      <c r="G771" s="18"/>
      <c r="H771" s="18"/>
      <c r="I771" s="18"/>
      <c r="J771" s="18"/>
      <c r="K771" s="18"/>
      <c r="L771" s="18"/>
      <c r="M771" s="18"/>
      <c r="N771" s="18"/>
      <c r="O771" s="18"/>
      <c r="P771" s="18"/>
      <c r="Q771" s="18"/>
      <c r="R771" s="18"/>
      <c r="S771" s="18"/>
    </row>
    <row r="772" spans="1:19" ht="14.25" hidden="1">
      <c r="A772" s="18"/>
      <c r="B772" s="18"/>
      <c r="C772" s="18"/>
      <c r="D772" s="18"/>
      <c r="E772" s="18"/>
      <c r="F772" s="18"/>
      <c r="G772" s="18"/>
      <c r="H772" s="18"/>
      <c r="I772" s="18"/>
      <c r="J772" s="18"/>
      <c r="K772" s="18"/>
      <c r="L772" s="18"/>
      <c r="M772" s="18"/>
      <c r="N772" s="18"/>
      <c r="O772" s="18"/>
      <c r="P772" s="18"/>
      <c r="Q772" s="18"/>
      <c r="R772" s="18"/>
      <c r="S772" s="18"/>
    </row>
    <row r="773" spans="1:19" ht="14.25" hidden="1">
      <c r="A773" s="18"/>
      <c r="B773" s="18"/>
      <c r="C773" s="18"/>
      <c r="D773" s="18"/>
      <c r="E773" s="18"/>
      <c r="F773" s="18"/>
      <c r="G773" s="18"/>
      <c r="H773" s="18"/>
      <c r="I773" s="18"/>
      <c r="J773" s="18"/>
      <c r="K773" s="18"/>
      <c r="L773" s="18"/>
      <c r="M773" s="18"/>
      <c r="N773" s="18"/>
      <c r="O773" s="18"/>
      <c r="P773" s="18"/>
      <c r="Q773" s="18"/>
      <c r="R773" s="18"/>
      <c r="S773" s="18"/>
    </row>
    <row r="774" spans="1:19" ht="14.25" hidden="1">
      <c r="A774" s="18"/>
      <c r="B774" s="18"/>
      <c r="C774" s="18"/>
      <c r="D774" s="18"/>
      <c r="E774" s="18"/>
      <c r="F774" s="18"/>
      <c r="G774" s="18"/>
      <c r="H774" s="18"/>
      <c r="I774" s="18"/>
      <c r="J774" s="18"/>
      <c r="K774" s="18"/>
      <c r="L774" s="18"/>
      <c r="M774" s="18"/>
      <c r="N774" s="18"/>
      <c r="O774" s="18"/>
      <c r="P774" s="18"/>
      <c r="Q774" s="18"/>
      <c r="R774" s="18"/>
      <c r="S774" s="18"/>
    </row>
    <row r="775" spans="1:19" ht="14.25" hidden="1">
      <c r="A775" s="18"/>
      <c r="B775" s="18"/>
      <c r="C775" s="18"/>
      <c r="D775" s="18"/>
      <c r="E775" s="18"/>
      <c r="F775" s="18"/>
      <c r="G775" s="18"/>
      <c r="H775" s="18"/>
      <c r="I775" s="18"/>
      <c r="J775" s="18"/>
      <c r="K775" s="18"/>
      <c r="L775" s="18"/>
      <c r="M775" s="18"/>
      <c r="N775" s="18"/>
      <c r="O775" s="18"/>
      <c r="P775" s="18"/>
      <c r="Q775" s="18"/>
      <c r="R775" s="18"/>
      <c r="S775" s="18"/>
    </row>
    <row r="776" spans="1:19" ht="14.25" hidden="1">
      <c r="A776" s="18"/>
      <c r="B776" s="18"/>
      <c r="C776" s="18"/>
      <c r="D776" s="18"/>
      <c r="E776" s="18"/>
      <c r="F776" s="18"/>
      <c r="G776" s="18"/>
      <c r="H776" s="18"/>
      <c r="I776" s="18"/>
      <c r="J776" s="18"/>
      <c r="K776" s="18"/>
      <c r="L776" s="18"/>
      <c r="M776" s="18"/>
      <c r="N776" s="18"/>
      <c r="O776" s="18"/>
      <c r="P776" s="18"/>
      <c r="Q776" s="18"/>
      <c r="R776" s="18"/>
      <c r="S776" s="18"/>
    </row>
    <row r="777" spans="1:19" ht="14.25" hidden="1">
      <c r="A777" s="18"/>
      <c r="B777" s="18"/>
      <c r="C777" s="18"/>
      <c r="D777" s="18"/>
      <c r="E777" s="18"/>
      <c r="F777" s="18"/>
      <c r="G777" s="18"/>
      <c r="H777" s="18"/>
      <c r="I777" s="18"/>
      <c r="J777" s="18"/>
      <c r="K777" s="18"/>
      <c r="L777" s="18"/>
      <c r="M777" s="18"/>
      <c r="N777" s="18"/>
      <c r="O777" s="18"/>
      <c r="P777" s="18"/>
      <c r="Q777" s="18"/>
      <c r="R777" s="18"/>
      <c r="S777" s="18"/>
    </row>
    <row r="778" spans="1:19" ht="14.25" hidden="1">
      <c r="A778" s="18"/>
      <c r="B778" s="18"/>
      <c r="C778" s="18"/>
      <c r="D778" s="18"/>
      <c r="E778" s="18"/>
      <c r="F778" s="18"/>
      <c r="G778" s="18"/>
      <c r="H778" s="18"/>
      <c r="I778" s="18"/>
      <c r="J778" s="18"/>
      <c r="K778" s="18"/>
      <c r="L778" s="18"/>
      <c r="M778" s="18"/>
      <c r="N778" s="18"/>
      <c r="O778" s="18"/>
      <c r="P778" s="18"/>
      <c r="Q778" s="18"/>
      <c r="R778" s="18"/>
      <c r="S778" s="18"/>
    </row>
    <row r="779" spans="1:19" ht="14.25" hidden="1">
      <c r="A779" s="18"/>
      <c r="B779" s="18"/>
      <c r="C779" s="18"/>
      <c r="D779" s="18"/>
      <c r="E779" s="18"/>
      <c r="F779" s="18"/>
      <c r="G779" s="18"/>
      <c r="H779" s="18"/>
      <c r="I779" s="18"/>
      <c r="J779" s="18"/>
      <c r="K779" s="18"/>
      <c r="L779" s="18"/>
      <c r="M779" s="18"/>
      <c r="N779" s="18"/>
      <c r="O779" s="18"/>
      <c r="P779" s="18"/>
      <c r="Q779" s="18"/>
      <c r="R779" s="18"/>
      <c r="S779" s="18"/>
    </row>
    <row r="780" spans="1:19" ht="14.25" hidden="1">
      <c r="A780" s="18"/>
      <c r="B780" s="18"/>
      <c r="C780" s="18"/>
      <c r="D780" s="18"/>
      <c r="E780" s="18"/>
      <c r="F780" s="18"/>
      <c r="G780" s="18"/>
      <c r="H780" s="18"/>
      <c r="I780" s="18"/>
      <c r="J780" s="18"/>
      <c r="K780" s="18"/>
      <c r="L780" s="18"/>
      <c r="M780" s="18"/>
      <c r="N780" s="18"/>
      <c r="O780" s="18"/>
      <c r="P780" s="18"/>
      <c r="Q780" s="18"/>
      <c r="R780" s="18"/>
      <c r="S780" s="18"/>
    </row>
    <row r="781" spans="1:19" ht="14.25" hidden="1">
      <c r="A781" s="18"/>
      <c r="B781" s="18"/>
      <c r="C781" s="18"/>
      <c r="D781" s="18"/>
      <c r="E781" s="18"/>
      <c r="F781" s="18"/>
      <c r="G781" s="18"/>
      <c r="H781" s="18"/>
      <c r="I781" s="18"/>
      <c r="J781" s="18"/>
      <c r="K781" s="18"/>
      <c r="L781" s="18"/>
      <c r="M781" s="18"/>
      <c r="N781" s="18"/>
      <c r="O781" s="18"/>
      <c r="P781" s="18"/>
      <c r="Q781" s="18"/>
      <c r="R781" s="18"/>
      <c r="S781" s="18"/>
    </row>
    <row r="782" spans="1:19" ht="14.25" hidden="1">
      <c r="A782" s="18"/>
      <c r="B782" s="18"/>
      <c r="C782" s="18"/>
      <c r="D782" s="18"/>
      <c r="E782" s="18"/>
      <c r="F782" s="18"/>
      <c r="G782" s="18"/>
      <c r="H782" s="18"/>
      <c r="I782" s="18"/>
      <c r="J782" s="18"/>
      <c r="K782" s="18"/>
      <c r="L782" s="18"/>
      <c r="M782" s="18"/>
      <c r="N782" s="18"/>
      <c r="O782" s="18"/>
      <c r="P782" s="18"/>
      <c r="Q782" s="18"/>
      <c r="R782" s="18"/>
      <c r="S782" s="18"/>
    </row>
    <row r="783" spans="1:19" ht="14.25" hidden="1">
      <c r="A783" s="18"/>
      <c r="B783" s="18"/>
      <c r="C783" s="18"/>
      <c r="D783" s="18"/>
      <c r="E783" s="18"/>
      <c r="F783" s="18"/>
      <c r="G783" s="18"/>
      <c r="H783" s="18"/>
      <c r="I783" s="18"/>
      <c r="J783" s="18"/>
      <c r="K783" s="18"/>
      <c r="L783" s="18"/>
      <c r="M783" s="18"/>
      <c r="N783" s="18"/>
      <c r="O783" s="18"/>
      <c r="P783" s="18"/>
      <c r="Q783" s="18"/>
      <c r="R783" s="18"/>
      <c r="S783" s="18"/>
    </row>
    <row r="784" spans="1:19" ht="14.25" hidden="1">
      <c r="A784" s="18"/>
      <c r="B784" s="18"/>
      <c r="C784" s="18"/>
      <c r="D784" s="18"/>
      <c r="E784" s="18"/>
      <c r="F784" s="18"/>
      <c r="G784" s="18"/>
      <c r="H784" s="18"/>
      <c r="I784" s="18"/>
      <c r="J784" s="18"/>
      <c r="K784" s="18"/>
      <c r="L784" s="18"/>
      <c r="M784" s="18"/>
      <c r="N784" s="18"/>
      <c r="O784" s="18"/>
      <c r="P784" s="18"/>
      <c r="Q784" s="18"/>
      <c r="R784" s="18"/>
      <c r="S784" s="18"/>
    </row>
    <row r="785" spans="1:19" ht="14.25" hidden="1">
      <c r="A785" s="18"/>
      <c r="B785" s="18"/>
      <c r="C785" s="18"/>
      <c r="D785" s="18"/>
      <c r="E785" s="18"/>
      <c r="F785" s="18"/>
      <c r="G785" s="18"/>
      <c r="H785" s="18"/>
      <c r="I785" s="18"/>
      <c r="J785" s="18"/>
      <c r="K785" s="18"/>
      <c r="L785" s="18"/>
      <c r="M785" s="18"/>
      <c r="N785" s="18"/>
      <c r="O785" s="18"/>
      <c r="P785" s="18"/>
      <c r="Q785" s="18"/>
      <c r="R785" s="18"/>
      <c r="S785" s="18"/>
    </row>
    <row r="786" spans="1:19" ht="14.25" hidden="1">
      <c r="A786" s="18"/>
      <c r="B786" s="18"/>
      <c r="C786" s="18"/>
      <c r="D786" s="18"/>
      <c r="E786" s="18"/>
      <c r="F786" s="18"/>
      <c r="G786" s="18"/>
      <c r="H786" s="18"/>
      <c r="I786" s="18"/>
      <c r="J786" s="18"/>
      <c r="K786" s="18"/>
      <c r="L786" s="18"/>
      <c r="M786" s="18"/>
      <c r="N786" s="18"/>
      <c r="O786" s="18"/>
      <c r="P786" s="18"/>
      <c r="Q786" s="18"/>
      <c r="R786" s="18"/>
      <c r="S786" s="18"/>
    </row>
    <row r="787" spans="1:19" ht="14.25" hidden="1">
      <c r="A787" s="18"/>
      <c r="B787" s="18"/>
      <c r="C787" s="18"/>
      <c r="D787" s="18"/>
      <c r="E787" s="18"/>
      <c r="F787" s="18"/>
      <c r="G787" s="18"/>
      <c r="H787" s="18"/>
      <c r="I787" s="18"/>
      <c r="J787" s="18"/>
      <c r="K787" s="18"/>
      <c r="L787" s="18"/>
      <c r="M787" s="18"/>
      <c r="N787" s="18"/>
      <c r="O787" s="18"/>
      <c r="P787" s="18"/>
      <c r="Q787" s="18"/>
      <c r="R787" s="18"/>
      <c r="S787" s="18"/>
    </row>
    <row r="788" spans="1:19" ht="14.25" hidden="1">
      <c r="A788" s="18"/>
      <c r="B788" s="18"/>
      <c r="C788" s="18"/>
      <c r="D788" s="18"/>
      <c r="E788" s="18"/>
      <c r="F788" s="18"/>
      <c r="G788" s="18"/>
      <c r="H788" s="18"/>
      <c r="I788" s="18"/>
      <c r="J788" s="18"/>
      <c r="K788" s="18"/>
      <c r="L788" s="18"/>
      <c r="M788" s="18"/>
      <c r="N788" s="18"/>
      <c r="O788" s="18"/>
      <c r="P788" s="18"/>
      <c r="Q788" s="18"/>
      <c r="R788" s="18"/>
      <c r="S788" s="18"/>
    </row>
    <row r="789" spans="1:19" ht="14.25" hidden="1">
      <c r="A789" s="18"/>
      <c r="B789" s="18"/>
      <c r="C789" s="18"/>
      <c r="D789" s="18"/>
      <c r="E789" s="18"/>
      <c r="F789" s="18"/>
      <c r="G789" s="18"/>
      <c r="H789" s="18"/>
      <c r="I789" s="18"/>
      <c r="J789" s="18"/>
      <c r="K789" s="18"/>
      <c r="L789" s="18"/>
      <c r="M789" s="18"/>
      <c r="N789" s="18"/>
      <c r="O789" s="18"/>
      <c r="P789" s="18"/>
      <c r="Q789" s="18"/>
      <c r="R789" s="18"/>
      <c r="S789" s="18"/>
    </row>
    <row r="790" spans="1:19" ht="14.25" hidden="1">
      <c r="A790" s="18"/>
      <c r="B790" s="18"/>
      <c r="C790" s="18"/>
      <c r="D790" s="18"/>
      <c r="E790" s="18"/>
      <c r="F790" s="18"/>
      <c r="G790" s="18"/>
      <c r="H790" s="18"/>
      <c r="I790" s="18"/>
      <c r="J790" s="18"/>
      <c r="K790" s="18"/>
      <c r="L790" s="18"/>
      <c r="M790" s="18"/>
      <c r="N790" s="18"/>
      <c r="O790" s="18"/>
      <c r="P790" s="18"/>
      <c r="Q790" s="18"/>
      <c r="R790" s="18"/>
      <c r="S790" s="18"/>
    </row>
    <row r="791" spans="1:19" ht="14.25" hidden="1">
      <c r="A791" s="18"/>
      <c r="B791" s="18"/>
      <c r="C791" s="18"/>
      <c r="D791" s="18"/>
      <c r="E791" s="18"/>
      <c r="F791" s="18"/>
      <c r="G791" s="18"/>
      <c r="H791" s="18"/>
      <c r="I791" s="18"/>
      <c r="J791" s="18"/>
      <c r="K791" s="18"/>
      <c r="L791" s="18"/>
      <c r="M791" s="18"/>
      <c r="N791" s="18"/>
      <c r="O791" s="18"/>
      <c r="P791" s="18"/>
      <c r="Q791" s="18"/>
      <c r="R791" s="18"/>
      <c r="S791" s="18"/>
    </row>
    <row r="792" spans="1:19" ht="14.25" hidden="1">
      <c r="A792" s="18"/>
      <c r="B792" s="18"/>
      <c r="C792" s="18"/>
      <c r="D792" s="18"/>
      <c r="E792" s="18"/>
      <c r="F792" s="18"/>
      <c r="G792" s="18"/>
      <c r="H792" s="18"/>
      <c r="I792" s="18"/>
      <c r="J792" s="18"/>
      <c r="K792" s="18"/>
      <c r="L792" s="18"/>
      <c r="M792" s="18"/>
      <c r="N792" s="18"/>
      <c r="O792" s="18"/>
      <c r="P792" s="18"/>
      <c r="Q792" s="18"/>
      <c r="R792" s="18"/>
      <c r="S792" s="18"/>
    </row>
    <row r="793" spans="1:19" ht="14.25" hidden="1">
      <c r="A793" s="18"/>
      <c r="B793" s="18"/>
      <c r="C793" s="18"/>
      <c r="D793" s="18"/>
      <c r="E793" s="18"/>
      <c r="F793" s="18"/>
      <c r="G793" s="18"/>
      <c r="H793" s="18"/>
      <c r="I793" s="18"/>
      <c r="J793" s="18"/>
      <c r="K793" s="18"/>
      <c r="L793" s="18"/>
      <c r="M793" s="18"/>
      <c r="N793" s="18"/>
      <c r="O793" s="18"/>
      <c r="P793" s="18"/>
      <c r="Q793" s="18"/>
      <c r="R793" s="18"/>
      <c r="S793" s="18"/>
    </row>
    <row r="794" spans="1:19" ht="14.25" hidden="1">
      <c r="A794" s="18"/>
      <c r="B794" s="18"/>
      <c r="C794" s="18"/>
      <c r="D794" s="18"/>
      <c r="E794" s="18"/>
      <c r="F794" s="18"/>
      <c r="G794" s="18"/>
      <c r="H794" s="18"/>
      <c r="I794" s="18"/>
      <c r="J794" s="18"/>
      <c r="K794" s="18"/>
      <c r="L794" s="18"/>
      <c r="M794" s="18"/>
      <c r="N794" s="18"/>
      <c r="O794" s="18"/>
      <c r="P794" s="18"/>
      <c r="Q794" s="18"/>
      <c r="R794" s="18"/>
      <c r="S794" s="18"/>
    </row>
    <row r="795" spans="1:19" ht="14.25" hidden="1">
      <c r="A795" s="18"/>
      <c r="B795" s="18"/>
      <c r="C795" s="18"/>
      <c r="D795" s="18"/>
      <c r="E795" s="18"/>
      <c r="F795" s="18"/>
      <c r="G795" s="18"/>
      <c r="H795" s="18"/>
      <c r="I795" s="18"/>
      <c r="J795" s="18"/>
      <c r="K795" s="18"/>
      <c r="L795" s="18"/>
      <c r="M795" s="18"/>
      <c r="N795" s="18"/>
      <c r="O795" s="18"/>
      <c r="P795" s="18"/>
      <c r="Q795" s="18"/>
      <c r="R795" s="18"/>
      <c r="S795" s="18"/>
    </row>
    <row r="796" spans="1:19" ht="14.25" hidden="1">
      <c r="A796" s="18"/>
      <c r="B796" s="18"/>
      <c r="C796" s="18"/>
      <c r="D796" s="18"/>
      <c r="E796" s="18"/>
      <c r="F796" s="18"/>
      <c r="G796" s="18"/>
      <c r="H796" s="18"/>
      <c r="I796" s="18"/>
      <c r="J796" s="18"/>
      <c r="K796" s="18"/>
      <c r="L796" s="18"/>
      <c r="M796" s="18"/>
      <c r="N796" s="18"/>
      <c r="O796" s="18"/>
      <c r="P796" s="18"/>
      <c r="Q796" s="18"/>
      <c r="R796" s="18"/>
      <c r="S796" s="18"/>
    </row>
    <row r="797" spans="1:19" ht="14.25" hidden="1">
      <c r="A797" s="18"/>
      <c r="B797" s="18"/>
      <c r="C797" s="18"/>
      <c r="D797" s="18"/>
      <c r="E797" s="18"/>
      <c r="F797" s="18"/>
      <c r="G797" s="18"/>
      <c r="H797" s="18"/>
      <c r="I797" s="18"/>
      <c r="J797" s="18"/>
      <c r="K797" s="18"/>
      <c r="L797" s="18"/>
      <c r="M797" s="18"/>
      <c r="N797" s="18"/>
      <c r="O797" s="18"/>
      <c r="P797" s="18"/>
      <c r="Q797" s="18"/>
      <c r="R797" s="18"/>
      <c r="S797" s="18"/>
    </row>
    <row r="798" spans="1:19" ht="14.25" hidden="1">
      <c r="A798" s="18"/>
      <c r="B798" s="18"/>
      <c r="C798" s="18"/>
      <c r="D798" s="18"/>
      <c r="E798" s="18"/>
      <c r="F798" s="18"/>
      <c r="G798" s="18"/>
      <c r="H798" s="18"/>
      <c r="I798" s="18"/>
      <c r="J798" s="18"/>
      <c r="K798" s="18"/>
      <c r="L798" s="18"/>
      <c r="M798" s="18"/>
      <c r="N798" s="18"/>
      <c r="O798" s="18"/>
      <c r="P798" s="18"/>
      <c r="Q798" s="18"/>
      <c r="R798" s="18"/>
      <c r="S798" s="18"/>
    </row>
    <row r="799" spans="1:19" ht="14.25" hidden="1">
      <c r="A799" s="18"/>
      <c r="B799" s="18"/>
      <c r="C799" s="18"/>
      <c r="D799" s="18"/>
      <c r="E799" s="18"/>
      <c r="F799" s="18"/>
      <c r="G799" s="18"/>
      <c r="H799" s="18"/>
      <c r="I799" s="18"/>
      <c r="J799" s="18"/>
      <c r="K799" s="18"/>
      <c r="L799" s="18"/>
      <c r="M799" s="18"/>
      <c r="N799" s="18"/>
      <c r="O799" s="18"/>
      <c r="P799" s="18"/>
      <c r="Q799" s="18"/>
      <c r="R799" s="18"/>
      <c r="S799" s="18"/>
    </row>
    <row r="800" spans="1:19" ht="14.25" hidden="1">
      <c r="A800" s="18"/>
      <c r="B800" s="18"/>
      <c r="C800" s="18"/>
      <c r="D800" s="18"/>
      <c r="E800" s="18"/>
      <c r="F800" s="18"/>
      <c r="G800" s="18"/>
      <c r="H800" s="18"/>
      <c r="I800" s="18"/>
      <c r="J800" s="18"/>
      <c r="K800" s="18"/>
      <c r="L800" s="18"/>
      <c r="M800" s="18"/>
      <c r="N800" s="18"/>
      <c r="O800" s="18"/>
      <c r="P800" s="18"/>
      <c r="Q800" s="18"/>
      <c r="R800" s="18"/>
      <c r="S800" s="18"/>
    </row>
    <row r="801" spans="1:19" ht="14.25" hidden="1">
      <c r="A801" s="18"/>
      <c r="B801" s="18"/>
      <c r="C801" s="18"/>
      <c r="D801" s="18"/>
      <c r="E801" s="18"/>
      <c r="F801" s="18"/>
      <c r="G801" s="18"/>
      <c r="H801" s="18"/>
      <c r="I801" s="18"/>
      <c r="J801" s="18"/>
      <c r="K801" s="18"/>
      <c r="L801" s="18"/>
      <c r="M801" s="18"/>
      <c r="N801" s="18"/>
      <c r="O801" s="18"/>
      <c r="P801" s="18"/>
      <c r="Q801" s="18"/>
      <c r="R801" s="18"/>
      <c r="S801" s="18"/>
    </row>
    <row r="802" spans="1:19" ht="14.25" hidden="1">
      <c r="A802" s="18"/>
      <c r="B802" s="18"/>
      <c r="C802" s="18"/>
      <c r="D802" s="18"/>
      <c r="E802" s="18"/>
      <c r="F802" s="18"/>
      <c r="G802" s="18"/>
      <c r="H802" s="18"/>
      <c r="I802" s="18"/>
      <c r="J802" s="18"/>
      <c r="K802" s="18"/>
      <c r="L802" s="18"/>
      <c r="M802" s="18"/>
      <c r="N802" s="18"/>
      <c r="O802" s="18"/>
      <c r="P802" s="18"/>
      <c r="Q802" s="18"/>
      <c r="R802" s="18"/>
      <c r="S802" s="18"/>
    </row>
    <row r="803" spans="1:19" ht="14.25" hidden="1">
      <c r="A803" s="18"/>
      <c r="B803" s="18"/>
      <c r="C803" s="18"/>
      <c r="D803" s="18"/>
      <c r="E803" s="18"/>
      <c r="F803" s="18"/>
      <c r="G803" s="18"/>
      <c r="H803" s="18"/>
      <c r="I803" s="18"/>
      <c r="J803" s="18"/>
      <c r="K803" s="18"/>
      <c r="L803" s="18"/>
      <c r="M803" s="18"/>
      <c r="N803" s="18"/>
      <c r="O803" s="18"/>
      <c r="P803" s="18"/>
      <c r="Q803" s="18"/>
      <c r="R803" s="18"/>
      <c r="S803" s="18"/>
    </row>
    <row r="804" spans="1:19" ht="14.25" hidden="1">
      <c r="A804" s="18"/>
      <c r="B804" s="18"/>
      <c r="C804" s="18"/>
      <c r="D804" s="18"/>
      <c r="E804" s="18"/>
      <c r="F804" s="18"/>
      <c r="G804" s="18"/>
      <c r="H804" s="18"/>
      <c r="I804" s="18"/>
      <c r="J804" s="18"/>
      <c r="K804" s="18"/>
      <c r="L804" s="18"/>
      <c r="M804" s="18"/>
      <c r="N804" s="18"/>
      <c r="O804" s="18"/>
      <c r="P804" s="18"/>
      <c r="Q804" s="18"/>
      <c r="R804" s="18"/>
      <c r="S804" s="18"/>
    </row>
    <row r="805" spans="1:19" ht="14.25" hidden="1">
      <c r="A805" s="18"/>
      <c r="B805" s="18"/>
      <c r="C805" s="18"/>
      <c r="D805" s="18"/>
      <c r="E805" s="18"/>
      <c r="F805" s="18"/>
      <c r="G805" s="18"/>
      <c r="H805" s="18"/>
      <c r="I805" s="18"/>
      <c r="J805" s="18"/>
      <c r="K805" s="18"/>
      <c r="L805" s="18"/>
      <c r="M805" s="18"/>
      <c r="N805" s="18"/>
      <c r="O805" s="18"/>
      <c r="P805" s="18"/>
      <c r="Q805" s="18"/>
      <c r="R805" s="18"/>
      <c r="S805" s="18"/>
    </row>
    <row r="806" spans="1:19" ht="14.25" hidden="1">
      <c r="A806" s="18"/>
      <c r="B806" s="18"/>
      <c r="C806" s="18"/>
      <c r="D806" s="18"/>
      <c r="E806" s="18"/>
      <c r="F806" s="18"/>
      <c r="G806" s="18"/>
      <c r="H806" s="18"/>
      <c r="I806" s="18"/>
      <c r="J806" s="18"/>
      <c r="K806" s="18"/>
      <c r="L806" s="18"/>
      <c r="M806" s="18"/>
      <c r="N806" s="18"/>
      <c r="O806" s="18"/>
      <c r="P806" s="18"/>
      <c r="Q806" s="18"/>
      <c r="R806" s="18"/>
      <c r="S806" s="18"/>
    </row>
    <row r="807" spans="1:19" ht="14.25" hidden="1">
      <c r="A807" s="18"/>
      <c r="B807" s="18"/>
      <c r="C807" s="18"/>
      <c r="D807" s="18"/>
      <c r="E807" s="18"/>
      <c r="F807" s="18"/>
      <c r="G807" s="18"/>
      <c r="H807" s="18"/>
      <c r="I807" s="18"/>
      <c r="J807" s="18"/>
      <c r="K807" s="18"/>
      <c r="L807" s="18"/>
      <c r="M807" s="18"/>
      <c r="N807" s="18"/>
      <c r="O807" s="18"/>
      <c r="P807" s="18"/>
      <c r="Q807" s="18"/>
      <c r="R807" s="18"/>
      <c r="S807" s="18"/>
    </row>
    <row r="808" spans="1:19" ht="14.25" hidden="1">
      <c r="A808" s="18"/>
      <c r="B808" s="18"/>
      <c r="C808" s="18"/>
      <c r="D808" s="18"/>
      <c r="E808" s="18"/>
      <c r="F808" s="18"/>
      <c r="G808" s="18"/>
      <c r="H808" s="18"/>
      <c r="I808" s="18"/>
      <c r="J808" s="18"/>
      <c r="K808" s="18"/>
      <c r="L808" s="18"/>
      <c r="M808" s="18"/>
      <c r="N808" s="18"/>
      <c r="O808" s="18"/>
      <c r="P808" s="18"/>
      <c r="Q808" s="18"/>
      <c r="R808" s="18"/>
      <c r="S808" s="18"/>
    </row>
    <row r="809" spans="1:19" ht="14.25" hidden="1">
      <c r="A809" s="18"/>
      <c r="B809" s="18"/>
      <c r="C809" s="18"/>
      <c r="D809" s="18"/>
      <c r="E809" s="18"/>
      <c r="F809" s="18"/>
      <c r="G809" s="18"/>
      <c r="H809" s="18"/>
      <c r="I809" s="18"/>
      <c r="J809" s="18"/>
      <c r="K809" s="18"/>
      <c r="L809" s="18"/>
      <c r="M809" s="18"/>
      <c r="N809" s="18"/>
      <c r="O809" s="18"/>
      <c r="P809" s="18"/>
      <c r="Q809" s="18"/>
      <c r="R809" s="18"/>
      <c r="S809" s="18"/>
    </row>
    <row r="810" spans="1:19" ht="14.25" hidden="1">
      <c r="A810" s="18"/>
      <c r="B810" s="18"/>
      <c r="C810" s="18"/>
      <c r="D810" s="18"/>
      <c r="E810" s="18"/>
      <c r="F810" s="18"/>
      <c r="G810" s="18"/>
      <c r="H810" s="18"/>
      <c r="I810" s="18"/>
      <c r="J810" s="18"/>
      <c r="K810" s="18"/>
      <c r="L810" s="18"/>
      <c r="M810" s="18"/>
      <c r="N810" s="18"/>
      <c r="O810" s="18"/>
      <c r="P810" s="18"/>
      <c r="Q810" s="18"/>
      <c r="R810" s="18"/>
      <c r="S810" s="18"/>
    </row>
    <row r="811" spans="1:19" ht="14.25" hidden="1">
      <c r="A811" s="18"/>
      <c r="B811" s="18"/>
      <c r="C811" s="18"/>
      <c r="D811" s="18"/>
      <c r="E811" s="18"/>
      <c r="F811" s="18"/>
      <c r="G811" s="18"/>
      <c r="H811" s="18"/>
      <c r="I811" s="18"/>
      <c r="J811" s="18"/>
      <c r="K811" s="18"/>
      <c r="L811" s="18"/>
      <c r="M811" s="18"/>
      <c r="N811" s="18"/>
      <c r="O811" s="18"/>
      <c r="P811" s="18"/>
      <c r="Q811" s="18"/>
      <c r="R811" s="18"/>
      <c r="S811" s="18"/>
    </row>
    <row r="812" spans="1:19" ht="14.25" hidden="1">
      <c r="A812" s="18"/>
      <c r="B812" s="18"/>
      <c r="C812" s="18"/>
      <c r="D812" s="18"/>
      <c r="E812" s="18"/>
      <c r="F812" s="18"/>
      <c r="G812" s="18"/>
      <c r="H812" s="18"/>
      <c r="I812" s="18"/>
      <c r="J812" s="18"/>
      <c r="K812" s="18"/>
      <c r="L812" s="18"/>
      <c r="M812" s="18"/>
      <c r="N812" s="18"/>
      <c r="O812" s="18"/>
      <c r="P812" s="18"/>
      <c r="Q812" s="18"/>
      <c r="R812" s="18"/>
      <c r="S812" s="18"/>
    </row>
    <row r="813" spans="1:19" ht="14.25" hidden="1">
      <c r="A813" s="18"/>
      <c r="B813" s="18"/>
      <c r="C813" s="18"/>
      <c r="D813" s="18"/>
      <c r="E813" s="18"/>
      <c r="F813" s="18"/>
      <c r="G813" s="18"/>
      <c r="H813" s="18"/>
      <c r="I813" s="18"/>
      <c r="J813" s="18"/>
      <c r="K813" s="18"/>
      <c r="L813" s="18"/>
      <c r="M813" s="18"/>
      <c r="N813" s="18"/>
      <c r="O813" s="18"/>
      <c r="P813" s="18"/>
      <c r="Q813" s="18"/>
      <c r="R813" s="18"/>
      <c r="S813" s="18"/>
    </row>
    <row r="814" spans="1:19" ht="14.25" hidden="1">
      <c r="A814" s="18"/>
      <c r="B814" s="18"/>
      <c r="C814" s="18"/>
      <c r="D814" s="18"/>
      <c r="E814" s="18"/>
      <c r="F814" s="18"/>
      <c r="G814" s="18"/>
      <c r="H814" s="18"/>
      <c r="I814" s="18"/>
      <c r="J814" s="18"/>
      <c r="K814" s="18"/>
      <c r="L814" s="18"/>
      <c r="M814" s="18"/>
      <c r="N814" s="18"/>
      <c r="O814" s="18"/>
      <c r="P814" s="18"/>
      <c r="Q814" s="18"/>
      <c r="R814" s="18"/>
      <c r="S814" s="18"/>
    </row>
    <row r="815" spans="1:19" ht="14.25" hidden="1">
      <c r="A815" s="18"/>
      <c r="B815" s="18"/>
      <c r="C815" s="18"/>
      <c r="D815" s="18"/>
      <c r="E815" s="18"/>
      <c r="F815" s="18"/>
      <c r="G815" s="18"/>
      <c r="H815" s="18"/>
      <c r="I815" s="18"/>
      <c r="J815" s="18"/>
      <c r="K815" s="18"/>
      <c r="L815" s="18"/>
      <c r="M815" s="18"/>
      <c r="N815" s="18"/>
      <c r="O815" s="18"/>
      <c r="P815" s="18"/>
      <c r="Q815" s="18"/>
      <c r="R815" s="18"/>
      <c r="S815" s="18"/>
    </row>
    <row r="816" spans="1:19" ht="14.25" hidden="1">
      <c r="A816" s="18"/>
      <c r="B816" s="18"/>
      <c r="C816" s="18"/>
      <c r="D816" s="18"/>
      <c r="E816" s="18"/>
      <c r="F816" s="18"/>
      <c r="G816" s="18"/>
      <c r="H816" s="18"/>
      <c r="I816" s="18"/>
      <c r="J816" s="18"/>
      <c r="K816" s="18"/>
      <c r="L816" s="18"/>
      <c r="M816" s="18"/>
      <c r="N816" s="18"/>
      <c r="O816" s="18"/>
      <c r="P816" s="18"/>
      <c r="Q816" s="18"/>
      <c r="R816" s="18"/>
      <c r="S816" s="18"/>
    </row>
    <row r="817" spans="1:19" ht="14.25" hidden="1">
      <c r="A817" s="18"/>
      <c r="B817" s="18"/>
      <c r="C817" s="18"/>
      <c r="D817" s="18"/>
      <c r="E817" s="18"/>
      <c r="F817" s="18"/>
      <c r="G817" s="18"/>
      <c r="H817" s="18"/>
      <c r="I817" s="18"/>
      <c r="J817" s="18"/>
      <c r="K817" s="18"/>
      <c r="L817" s="18"/>
      <c r="M817" s="18"/>
      <c r="N817" s="18"/>
      <c r="O817" s="18"/>
      <c r="P817" s="18"/>
      <c r="Q817" s="18"/>
      <c r="R817" s="18"/>
      <c r="S817" s="18"/>
    </row>
    <row r="818" spans="1:19" ht="14.25" hidden="1">
      <c r="A818" s="18"/>
      <c r="B818" s="18"/>
      <c r="C818" s="18"/>
      <c r="D818" s="18"/>
      <c r="E818" s="18"/>
      <c r="F818" s="18"/>
      <c r="G818" s="18"/>
      <c r="H818" s="18"/>
      <c r="I818" s="18"/>
      <c r="J818" s="18"/>
      <c r="K818" s="18"/>
      <c r="L818" s="18"/>
      <c r="M818" s="18"/>
      <c r="N818" s="18"/>
      <c r="O818" s="18"/>
      <c r="P818" s="18"/>
      <c r="Q818" s="18"/>
      <c r="R818" s="18"/>
      <c r="S818" s="18"/>
    </row>
    <row r="819" spans="1:19" ht="14.25" hidden="1">
      <c r="A819" s="18"/>
      <c r="B819" s="18"/>
      <c r="C819" s="18"/>
      <c r="D819" s="18"/>
      <c r="E819" s="18"/>
      <c r="F819" s="18"/>
      <c r="G819" s="18"/>
      <c r="H819" s="18"/>
      <c r="I819" s="18"/>
      <c r="J819" s="18"/>
      <c r="K819" s="18"/>
      <c r="L819" s="18"/>
      <c r="M819" s="18"/>
      <c r="N819" s="18"/>
      <c r="O819" s="18"/>
      <c r="P819" s="18"/>
      <c r="Q819" s="18"/>
      <c r="R819" s="18"/>
      <c r="S819" s="18"/>
    </row>
    <row r="820" spans="1:19" ht="14.25" hidden="1">
      <c r="A820" s="18"/>
      <c r="B820" s="18"/>
      <c r="C820" s="18"/>
      <c r="D820" s="18"/>
      <c r="E820" s="18"/>
      <c r="F820" s="18"/>
      <c r="G820" s="18"/>
      <c r="H820" s="18"/>
      <c r="I820" s="18"/>
      <c r="J820" s="18"/>
      <c r="K820" s="18"/>
      <c r="L820" s="18"/>
      <c r="M820" s="18"/>
      <c r="N820" s="18"/>
      <c r="O820" s="18"/>
      <c r="P820" s="18"/>
      <c r="Q820" s="18"/>
      <c r="R820" s="18"/>
      <c r="S820" s="18"/>
    </row>
    <row r="821" spans="1:19" ht="14.25" hidden="1">
      <c r="A821" s="18"/>
      <c r="B821" s="18"/>
      <c r="C821" s="18"/>
      <c r="D821" s="18"/>
      <c r="E821" s="18"/>
      <c r="F821" s="18"/>
      <c r="G821" s="18"/>
      <c r="H821" s="18"/>
      <c r="I821" s="18"/>
      <c r="J821" s="18"/>
      <c r="K821" s="18"/>
      <c r="L821" s="18"/>
      <c r="M821" s="18"/>
      <c r="N821" s="18"/>
      <c r="O821" s="18"/>
      <c r="P821" s="18"/>
      <c r="Q821" s="18"/>
      <c r="R821" s="18"/>
      <c r="S821" s="18"/>
    </row>
    <row r="822" spans="1:19" ht="14.25" hidden="1">
      <c r="A822" s="18"/>
      <c r="B822" s="18"/>
      <c r="C822" s="18"/>
      <c r="D822" s="18"/>
      <c r="E822" s="18"/>
      <c r="F822" s="18"/>
      <c r="G822" s="18"/>
      <c r="H822" s="18"/>
      <c r="I822" s="18"/>
      <c r="J822" s="18"/>
      <c r="K822" s="18"/>
      <c r="L822" s="18"/>
      <c r="M822" s="18"/>
      <c r="N822" s="18"/>
      <c r="O822" s="18"/>
      <c r="P822" s="18"/>
      <c r="Q822" s="18"/>
      <c r="R822" s="18"/>
      <c r="S822" s="18"/>
    </row>
    <row r="823" spans="1:19" ht="14.25" hidden="1">
      <c r="A823" s="18"/>
      <c r="B823" s="18"/>
      <c r="C823" s="18"/>
      <c r="D823" s="18"/>
      <c r="E823" s="18"/>
      <c r="F823" s="18"/>
      <c r="G823" s="18"/>
      <c r="H823" s="18"/>
      <c r="I823" s="18"/>
      <c r="J823" s="18"/>
      <c r="K823" s="18"/>
      <c r="L823" s="18"/>
      <c r="M823" s="18"/>
      <c r="N823" s="18"/>
      <c r="O823" s="18"/>
      <c r="P823" s="18"/>
      <c r="Q823" s="18"/>
      <c r="R823" s="18"/>
      <c r="S823" s="18"/>
    </row>
    <row r="824" spans="1:19" ht="14.25" hidden="1">
      <c r="A824" s="18"/>
      <c r="B824" s="18"/>
      <c r="C824" s="18"/>
      <c r="D824" s="18"/>
      <c r="E824" s="18"/>
      <c r="F824" s="18"/>
      <c r="G824" s="18"/>
      <c r="H824" s="18"/>
      <c r="I824" s="18"/>
      <c r="J824" s="18"/>
      <c r="K824" s="18"/>
      <c r="L824" s="18"/>
      <c r="M824" s="18"/>
      <c r="N824" s="18"/>
      <c r="O824" s="18"/>
      <c r="P824" s="18"/>
      <c r="Q824" s="18"/>
      <c r="R824" s="18"/>
      <c r="S824" s="18"/>
    </row>
    <row r="825" spans="1:19" ht="14.25" hidden="1">
      <c r="A825" s="18"/>
      <c r="B825" s="18"/>
      <c r="C825" s="18"/>
      <c r="D825" s="18"/>
      <c r="E825" s="18"/>
      <c r="F825" s="18"/>
      <c r="G825" s="18"/>
      <c r="H825" s="18"/>
      <c r="I825" s="18"/>
      <c r="J825" s="18"/>
      <c r="K825" s="18"/>
      <c r="L825" s="18"/>
      <c r="M825" s="18"/>
      <c r="N825" s="18"/>
      <c r="O825" s="18"/>
      <c r="P825" s="18"/>
      <c r="Q825" s="18"/>
      <c r="R825" s="18"/>
      <c r="S825" s="18"/>
    </row>
    <row r="826" spans="1:19" ht="14.25" hidden="1">
      <c r="A826" s="18"/>
      <c r="B826" s="18"/>
      <c r="C826" s="18"/>
      <c r="D826" s="18"/>
      <c r="E826" s="18"/>
      <c r="F826" s="18"/>
      <c r="G826" s="18"/>
      <c r="H826" s="18"/>
      <c r="I826" s="18"/>
      <c r="J826" s="18"/>
      <c r="K826" s="18"/>
      <c r="L826" s="18"/>
      <c r="M826" s="18"/>
      <c r="N826" s="18"/>
      <c r="O826" s="18"/>
      <c r="P826" s="18"/>
      <c r="Q826" s="18"/>
      <c r="R826" s="18"/>
      <c r="S826" s="18"/>
    </row>
    <row r="827" spans="1:19" ht="14.25" hidden="1">
      <c r="A827" s="18"/>
      <c r="B827" s="18"/>
      <c r="C827" s="18"/>
      <c r="D827" s="18"/>
      <c r="E827" s="18"/>
      <c r="F827" s="18"/>
      <c r="G827" s="18"/>
      <c r="H827" s="18"/>
      <c r="I827" s="18"/>
      <c r="J827" s="18"/>
      <c r="K827" s="18"/>
      <c r="L827" s="18"/>
      <c r="M827" s="18"/>
      <c r="N827" s="18"/>
      <c r="O827" s="18"/>
      <c r="P827" s="18"/>
      <c r="Q827" s="18"/>
      <c r="R827" s="18"/>
      <c r="S827" s="18"/>
    </row>
    <row r="828" spans="1:19" ht="14.25" hidden="1">
      <c r="A828" s="18"/>
      <c r="B828" s="18"/>
      <c r="C828" s="18"/>
      <c r="D828" s="18"/>
      <c r="E828" s="18"/>
      <c r="F828" s="18"/>
      <c r="G828" s="18"/>
      <c r="H828" s="18"/>
      <c r="I828" s="18"/>
      <c r="J828" s="18"/>
      <c r="K828" s="18"/>
      <c r="L828" s="18"/>
      <c r="M828" s="18"/>
      <c r="N828" s="18"/>
      <c r="O828" s="18"/>
      <c r="P828" s="18"/>
      <c r="Q828" s="18"/>
      <c r="R828" s="18"/>
      <c r="S828" s="18"/>
    </row>
    <row r="829" spans="1:19" ht="14.25" hidden="1">
      <c r="A829" s="18"/>
      <c r="B829" s="18"/>
      <c r="C829" s="18"/>
      <c r="D829" s="18"/>
      <c r="E829" s="18"/>
      <c r="F829" s="18"/>
      <c r="G829" s="18"/>
      <c r="H829" s="18"/>
      <c r="I829" s="18"/>
      <c r="J829" s="18"/>
      <c r="K829" s="18"/>
      <c r="L829" s="18"/>
      <c r="M829" s="18"/>
      <c r="N829" s="18"/>
      <c r="O829" s="18"/>
      <c r="P829" s="18"/>
      <c r="Q829" s="18"/>
      <c r="R829" s="18"/>
      <c r="S829" s="18"/>
    </row>
    <row r="830" spans="1:19" ht="14.25" hidden="1">
      <c r="A830" s="18"/>
      <c r="B830" s="18"/>
      <c r="C830" s="18"/>
      <c r="D830" s="18"/>
      <c r="E830" s="18"/>
      <c r="F830" s="18"/>
      <c r="G830" s="18"/>
      <c r="H830" s="18"/>
      <c r="I830" s="18"/>
      <c r="J830" s="18"/>
      <c r="K830" s="18"/>
      <c r="L830" s="18"/>
      <c r="M830" s="18"/>
      <c r="N830" s="18"/>
      <c r="O830" s="18"/>
      <c r="P830" s="18"/>
      <c r="Q830" s="18"/>
      <c r="R830" s="18"/>
      <c r="S830" s="18"/>
    </row>
    <row r="831" spans="1:19" ht="14.25" hidden="1">
      <c r="A831" s="18"/>
      <c r="B831" s="18"/>
      <c r="C831" s="18"/>
      <c r="D831" s="18"/>
      <c r="E831" s="18"/>
      <c r="F831" s="18"/>
      <c r="G831" s="18"/>
      <c r="H831" s="18"/>
      <c r="I831" s="18"/>
      <c r="J831" s="18"/>
      <c r="K831" s="18"/>
      <c r="L831" s="18"/>
      <c r="M831" s="18"/>
      <c r="N831" s="18"/>
      <c r="O831" s="18"/>
      <c r="P831" s="18"/>
      <c r="Q831" s="18"/>
      <c r="R831" s="18"/>
      <c r="S831" s="18"/>
    </row>
    <row r="832" spans="1:19" ht="14.25" hidden="1">
      <c r="A832" s="18"/>
      <c r="B832" s="18"/>
      <c r="C832" s="18"/>
      <c r="D832" s="18"/>
      <c r="E832" s="18"/>
      <c r="F832" s="18"/>
      <c r="G832" s="18"/>
      <c r="H832" s="18"/>
      <c r="I832" s="18"/>
      <c r="J832" s="18"/>
      <c r="K832" s="18"/>
      <c r="L832" s="18"/>
      <c r="M832" s="18"/>
      <c r="N832" s="18"/>
      <c r="O832" s="18"/>
      <c r="P832" s="18"/>
      <c r="Q832" s="18"/>
      <c r="R832" s="18"/>
      <c r="S832" s="18"/>
    </row>
    <row r="833" spans="1:19" ht="14.25" hidden="1">
      <c r="A833" s="18"/>
      <c r="B833" s="18"/>
      <c r="C833" s="18"/>
      <c r="D833" s="18"/>
      <c r="E833" s="18"/>
      <c r="F833" s="18"/>
      <c r="G833" s="18"/>
      <c r="H833" s="18"/>
      <c r="I833" s="18"/>
      <c r="J833" s="18"/>
      <c r="K833" s="18"/>
      <c r="L833" s="18"/>
      <c r="M833" s="18"/>
      <c r="N833" s="18"/>
      <c r="O833" s="18"/>
      <c r="P833" s="18"/>
      <c r="Q833" s="18"/>
      <c r="R833" s="18"/>
      <c r="S833" s="18"/>
    </row>
    <row r="834" spans="1:19" ht="14.25" hidden="1">
      <c r="A834" s="18"/>
      <c r="B834" s="18"/>
      <c r="C834" s="18"/>
      <c r="D834" s="18"/>
      <c r="E834" s="18"/>
      <c r="F834" s="18"/>
      <c r="G834" s="18"/>
      <c r="H834" s="18"/>
      <c r="I834" s="18"/>
      <c r="J834" s="18"/>
      <c r="K834" s="18"/>
      <c r="L834" s="18"/>
      <c r="M834" s="18"/>
      <c r="N834" s="18"/>
      <c r="O834" s="18"/>
      <c r="P834" s="18"/>
      <c r="Q834" s="18"/>
      <c r="R834" s="18"/>
      <c r="S834" s="18"/>
    </row>
    <row r="835" spans="1:19" ht="14.25" hidden="1">
      <c r="A835" s="18"/>
      <c r="B835" s="18"/>
      <c r="C835" s="18"/>
      <c r="D835" s="18"/>
      <c r="E835" s="18"/>
      <c r="F835" s="18"/>
      <c r="G835" s="18"/>
      <c r="H835" s="18"/>
      <c r="I835" s="18"/>
      <c r="J835" s="18"/>
      <c r="K835" s="18"/>
      <c r="L835" s="18"/>
      <c r="M835" s="18"/>
      <c r="N835" s="18"/>
      <c r="O835" s="18"/>
      <c r="P835" s="18"/>
      <c r="Q835" s="18"/>
      <c r="R835" s="18"/>
      <c r="S835" s="18"/>
    </row>
    <row r="836" spans="1:19" ht="14.25" hidden="1">
      <c r="A836" s="18"/>
      <c r="B836" s="18"/>
      <c r="C836" s="18"/>
      <c r="D836" s="18"/>
      <c r="E836" s="18"/>
      <c r="F836" s="18"/>
      <c r="G836" s="18"/>
      <c r="H836" s="18"/>
      <c r="I836" s="18"/>
      <c r="J836" s="18"/>
      <c r="K836" s="18"/>
      <c r="L836" s="18"/>
      <c r="M836" s="18"/>
      <c r="N836" s="18"/>
      <c r="O836" s="18"/>
      <c r="P836" s="18"/>
      <c r="Q836" s="18"/>
      <c r="R836" s="18"/>
      <c r="S836" s="18"/>
    </row>
    <row r="837" spans="1:19" ht="14.25" hidden="1">
      <c r="A837" s="18"/>
      <c r="B837" s="18"/>
      <c r="C837" s="18"/>
      <c r="D837" s="18"/>
      <c r="E837" s="18"/>
      <c r="F837" s="18"/>
      <c r="G837" s="18"/>
      <c r="H837" s="18"/>
      <c r="I837" s="18"/>
      <c r="J837" s="18"/>
      <c r="K837" s="18"/>
      <c r="L837" s="18"/>
      <c r="M837" s="18"/>
      <c r="N837" s="18"/>
      <c r="O837" s="18"/>
      <c r="P837" s="18"/>
      <c r="Q837" s="18"/>
      <c r="R837" s="18"/>
      <c r="S837" s="18"/>
    </row>
    <row r="838" spans="1:19" ht="14.25" hidden="1">
      <c r="A838" s="18"/>
      <c r="B838" s="18"/>
      <c r="C838" s="18"/>
      <c r="D838" s="18"/>
      <c r="E838" s="18"/>
      <c r="F838" s="18"/>
      <c r="G838" s="18"/>
      <c r="H838" s="18"/>
      <c r="I838" s="18"/>
      <c r="J838" s="18"/>
      <c r="K838" s="18"/>
      <c r="L838" s="18"/>
      <c r="M838" s="18"/>
      <c r="N838" s="18"/>
      <c r="O838" s="18"/>
      <c r="P838" s="18"/>
      <c r="Q838" s="18"/>
      <c r="R838" s="18"/>
      <c r="S838" s="18"/>
    </row>
    <row r="839" spans="1:19" ht="14.25" hidden="1">
      <c r="A839" s="18"/>
      <c r="B839" s="18"/>
      <c r="C839" s="18"/>
      <c r="D839" s="18"/>
      <c r="E839" s="18"/>
      <c r="F839" s="18"/>
      <c r="G839" s="18"/>
      <c r="H839" s="18"/>
      <c r="I839" s="18"/>
      <c r="J839" s="18"/>
      <c r="K839" s="18"/>
      <c r="L839" s="18"/>
      <c r="M839" s="18"/>
      <c r="N839" s="18"/>
      <c r="O839" s="18"/>
      <c r="P839" s="18"/>
      <c r="Q839" s="18"/>
      <c r="R839" s="18"/>
      <c r="S839" s="18"/>
    </row>
    <row r="840" spans="1:19" ht="14.25" hidden="1">
      <c r="A840" s="18"/>
      <c r="B840" s="18"/>
      <c r="C840" s="18"/>
      <c r="D840" s="18"/>
      <c r="E840" s="18"/>
      <c r="F840" s="18"/>
      <c r="G840" s="18"/>
      <c r="H840" s="18"/>
      <c r="I840" s="18"/>
      <c r="J840" s="18"/>
      <c r="K840" s="18"/>
      <c r="L840" s="18"/>
      <c r="M840" s="18"/>
      <c r="N840" s="18"/>
      <c r="O840" s="18"/>
      <c r="P840" s="18"/>
      <c r="Q840" s="18"/>
      <c r="R840" s="18"/>
      <c r="S840" s="18"/>
    </row>
    <row r="841" spans="1:19" ht="14.25" hidden="1">
      <c r="A841" s="18"/>
      <c r="B841" s="18"/>
      <c r="C841" s="18"/>
      <c r="D841" s="18"/>
      <c r="E841" s="18"/>
      <c r="F841" s="18"/>
      <c r="G841" s="18"/>
      <c r="H841" s="18"/>
      <c r="I841" s="18"/>
      <c r="J841" s="18"/>
      <c r="K841" s="18"/>
      <c r="L841" s="18"/>
      <c r="M841" s="18"/>
      <c r="N841" s="18"/>
      <c r="O841" s="18"/>
      <c r="P841" s="18"/>
      <c r="Q841" s="18"/>
      <c r="R841" s="18"/>
      <c r="S841" s="18"/>
    </row>
    <row r="842" spans="1:19" ht="14.25" hidden="1">
      <c r="A842" s="18"/>
      <c r="B842" s="18"/>
      <c r="C842" s="18"/>
      <c r="D842" s="18"/>
      <c r="E842" s="18"/>
      <c r="F842" s="18"/>
      <c r="G842" s="18"/>
      <c r="H842" s="18"/>
      <c r="I842" s="18"/>
      <c r="J842" s="18"/>
      <c r="K842" s="18"/>
      <c r="L842" s="18"/>
      <c r="M842" s="18"/>
      <c r="N842" s="18"/>
      <c r="O842" s="18"/>
      <c r="P842" s="18"/>
      <c r="Q842" s="18"/>
      <c r="R842" s="18"/>
      <c r="S842" s="18"/>
    </row>
    <row r="843" spans="1:19" ht="14.25" hidden="1">
      <c r="A843" s="18"/>
      <c r="B843" s="18"/>
      <c r="C843" s="18"/>
      <c r="D843" s="18"/>
      <c r="E843" s="18"/>
      <c r="F843" s="18"/>
      <c r="G843" s="18"/>
      <c r="H843" s="18"/>
      <c r="I843" s="18"/>
      <c r="J843" s="18"/>
      <c r="K843" s="18"/>
      <c r="L843" s="18"/>
      <c r="M843" s="18"/>
      <c r="N843" s="18"/>
      <c r="O843" s="18"/>
      <c r="P843" s="18"/>
      <c r="Q843" s="18"/>
      <c r="R843" s="18"/>
      <c r="S843" s="18"/>
    </row>
    <row r="844" spans="1:19" ht="14.25" hidden="1">
      <c r="A844" s="18"/>
      <c r="B844" s="18"/>
      <c r="C844" s="18"/>
      <c r="D844" s="18"/>
      <c r="E844" s="18"/>
      <c r="F844" s="18"/>
      <c r="G844" s="18"/>
      <c r="H844" s="18"/>
      <c r="I844" s="18"/>
      <c r="J844" s="18"/>
      <c r="K844" s="18"/>
      <c r="L844" s="18"/>
      <c r="M844" s="18"/>
      <c r="N844" s="18"/>
      <c r="O844" s="18"/>
      <c r="P844" s="18"/>
      <c r="Q844" s="18"/>
      <c r="R844" s="18"/>
      <c r="S844" s="18"/>
    </row>
    <row r="845" spans="1:19" ht="14.25" hidden="1">
      <c r="A845" s="18"/>
      <c r="B845" s="18"/>
      <c r="C845" s="18"/>
      <c r="D845" s="18"/>
      <c r="E845" s="18"/>
      <c r="F845" s="18"/>
      <c r="G845" s="18"/>
      <c r="H845" s="18"/>
      <c r="I845" s="18"/>
      <c r="J845" s="18"/>
      <c r="K845" s="18"/>
      <c r="L845" s="18"/>
      <c r="M845" s="18"/>
      <c r="N845" s="18"/>
      <c r="O845" s="18"/>
      <c r="P845" s="18"/>
      <c r="Q845" s="18"/>
      <c r="R845" s="18"/>
      <c r="S845" s="18"/>
    </row>
    <row r="846" spans="1:19" ht="14.25" hidden="1">
      <c r="A846" s="18"/>
      <c r="B846" s="18"/>
      <c r="C846" s="18"/>
      <c r="D846" s="18"/>
      <c r="E846" s="18"/>
      <c r="F846" s="18"/>
      <c r="G846" s="18"/>
      <c r="H846" s="18"/>
      <c r="I846" s="18"/>
      <c r="J846" s="18"/>
      <c r="K846" s="18"/>
      <c r="L846" s="18"/>
      <c r="M846" s="18"/>
      <c r="N846" s="18"/>
      <c r="O846" s="18"/>
      <c r="P846" s="18"/>
      <c r="Q846" s="18"/>
      <c r="R846" s="18"/>
      <c r="S846" s="18"/>
    </row>
    <row r="847" spans="1:19" ht="14.25" hidden="1">
      <c r="A847" s="18"/>
      <c r="B847" s="18"/>
      <c r="C847" s="18"/>
      <c r="D847" s="18"/>
      <c r="E847" s="18"/>
      <c r="F847" s="18"/>
      <c r="G847" s="18"/>
      <c r="H847" s="18"/>
      <c r="I847" s="18"/>
      <c r="J847" s="18"/>
      <c r="K847" s="18"/>
      <c r="L847" s="18"/>
      <c r="M847" s="18"/>
      <c r="N847" s="18"/>
      <c r="O847" s="18"/>
      <c r="P847" s="18"/>
      <c r="Q847" s="18"/>
      <c r="R847" s="18"/>
      <c r="S847" s="18"/>
    </row>
    <row r="848" spans="1:19" ht="14.25" hidden="1">
      <c r="A848" s="18"/>
      <c r="B848" s="18"/>
      <c r="C848" s="18"/>
      <c r="D848" s="18"/>
      <c r="E848" s="18"/>
      <c r="F848" s="18"/>
      <c r="G848" s="18"/>
      <c r="H848" s="18"/>
      <c r="I848" s="18"/>
      <c r="J848" s="18"/>
      <c r="K848" s="18"/>
      <c r="L848" s="18"/>
      <c r="M848" s="18"/>
      <c r="N848" s="18"/>
      <c r="O848" s="18"/>
      <c r="P848" s="18"/>
      <c r="Q848" s="18"/>
      <c r="R848" s="18"/>
      <c r="S848" s="18"/>
    </row>
    <row r="849" spans="1:19" ht="14.25" hidden="1">
      <c r="A849" s="18"/>
      <c r="B849" s="18"/>
      <c r="C849" s="18"/>
      <c r="D849" s="18"/>
      <c r="E849" s="18"/>
      <c r="F849" s="18"/>
      <c r="G849" s="18"/>
      <c r="H849" s="18"/>
      <c r="I849" s="18"/>
      <c r="J849" s="18"/>
      <c r="K849" s="18"/>
      <c r="L849" s="18"/>
      <c r="M849" s="18"/>
      <c r="N849" s="18"/>
      <c r="O849" s="18"/>
      <c r="P849" s="18"/>
      <c r="Q849" s="18"/>
      <c r="R849" s="18"/>
      <c r="S849" s="18"/>
    </row>
    <row r="850" spans="1:19" ht="14.25" hidden="1">
      <c r="A850" s="18"/>
      <c r="B850" s="18"/>
      <c r="C850" s="18"/>
      <c r="D850" s="18"/>
      <c r="E850" s="18"/>
      <c r="F850" s="18"/>
      <c r="G850" s="18"/>
      <c r="H850" s="18"/>
      <c r="I850" s="18"/>
      <c r="J850" s="18"/>
      <c r="K850" s="18"/>
      <c r="L850" s="18"/>
      <c r="M850" s="18"/>
      <c r="N850" s="18"/>
      <c r="O850" s="18"/>
      <c r="P850" s="18"/>
      <c r="Q850" s="18"/>
      <c r="R850" s="18"/>
      <c r="S850" s="18"/>
    </row>
    <row r="851" spans="1:19" ht="14.25" hidden="1">
      <c r="A851" s="18"/>
      <c r="B851" s="18"/>
      <c r="C851" s="18"/>
      <c r="D851" s="18"/>
      <c r="E851" s="18"/>
      <c r="F851" s="18"/>
      <c r="G851" s="18"/>
      <c r="H851" s="18"/>
      <c r="I851" s="18"/>
      <c r="J851" s="18"/>
      <c r="K851" s="18"/>
      <c r="L851" s="18"/>
      <c r="M851" s="18"/>
      <c r="N851" s="18"/>
      <c r="O851" s="18"/>
      <c r="P851" s="18"/>
      <c r="Q851" s="18"/>
      <c r="R851" s="18"/>
      <c r="S851" s="18"/>
    </row>
    <row r="852" spans="1:19" ht="14.25" hidden="1">
      <c r="A852" s="18"/>
      <c r="B852" s="18"/>
      <c r="C852" s="18"/>
      <c r="D852" s="18"/>
      <c r="E852" s="18"/>
      <c r="F852" s="18"/>
      <c r="G852" s="18"/>
      <c r="H852" s="18"/>
      <c r="I852" s="18"/>
      <c r="J852" s="18"/>
      <c r="K852" s="18"/>
      <c r="L852" s="18"/>
      <c r="M852" s="18"/>
      <c r="N852" s="18"/>
      <c r="O852" s="18"/>
      <c r="P852" s="18"/>
      <c r="Q852" s="18"/>
      <c r="R852" s="18"/>
      <c r="S852" s="18"/>
    </row>
    <row r="853" spans="1:19" ht="14.25" hidden="1">
      <c r="A853" s="18"/>
      <c r="B853" s="18"/>
      <c r="C853" s="18"/>
      <c r="D853" s="18"/>
      <c r="E853" s="18"/>
      <c r="F853" s="18"/>
      <c r="G853" s="18"/>
      <c r="H853" s="18"/>
      <c r="I853" s="18"/>
      <c r="J853" s="18"/>
      <c r="K853" s="18"/>
      <c r="L853" s="18"/>
      <c r="M853" s="18"/>
      <c r="N853" s="18"/>
      <c r="O853" s="18"/>
      <c r="P853" s="18"/>
      <c r="Q853" s="18"/>
      <c r="R853" s="18"/>
      <c r="S853" s="18"/>
    </row>
    <row r="854" spans="1:19" ht="14.25" hidden="1">
      <c r="A854" s="18"/>
      <c r="B854" s="18"/>
      <c r="C854" s="18"/>
      <c r="D854" s="18"/>
      <c r="E854" s="18"/>
      <c r="F854" s="18"/>
      <c r="G854" s="18"/>
      <c r="H854" s="18"/>
      <c r="I854" s="18"/>
      <c r="J854" s="18"/>
      <c r="K854" s="18"/>
      <c r="L854" s="18"/>
      <c r="M854" s="18"/>
      <c r="N854" s="18"/>
      <c r="O854" s="18"/>
      <c r="P854" s="18"/>
      <c r="Q854" s="18"/>
      <c r="R854" s="18"/>
      <c r="S854" s="18"/>
    </row>
    <row r="855" spans="1:19" ht="14.25" hidden="1">
      <c r="A855" s="18"/>
      <c r="B855" s="18"/>
      <c r="C855" s="18"/>
      <c r="D855" s="18"/>
      <c r="E855" s="18"/>
      <c r="F855" s="18"/>
      <c r="G855" s="18"/>
      <c r="H855" s="18"/>
      <c r="I855" s="18"/>
      <c r="J855" s="18"/>
      <c r="K855" s="18"/>
      <c r="L855" s="18"/>
      <c r="M855" s="18"/>
      <c r="N855" s="18"/>
      <c r="O855" s="18"/>
      <c r="P855" s="18"/>
      <c r="Q855" s="18"/>
      <c r="R855" s="18"/>
      <c r="S855" s="18"/>
    </row>
    <row r="856" spans="1:19" ht="14.25" hidden="1">
      <c r="A856" s="18"/>
      <c r="B856" s="18"/>
      <c r="C856" s="18"/>
      <c r="D856" s="18"/>
      <c r="E856" s="18"/>
      <c r="F856" s="18"/>
      <c r="G856" s="18"/>
      <c r="H856" s="18"/>
      <c r="I856" s="18"/>
      <c r="J856" s="18"/>
      <c r="K856" s="18"/>
      <c r="L856" s="18"/>
      <c r="M856" s="18"/>
      <c r="N856" s="18"/>
      <c r="O856" s="18"/>
      <c r="P856" s="18"/>
      <c r="Q856" s="18"/>
      <c r="R856" s="18"/>
      <c r="S856" s="18"/>
    </row>
    <row r="857" spans="1:19" ht="14.25" hidden="1">
      <c r="A857" s="18"/>
      <c r="B857" s="18"/>
      <c r="C857" s="18"/>
      <c r="D857" s="18"/>
      <c r="E857" s="18"/>
      <c r="F857" s="18"/>
      <c r="G857" s="18"/>
      <c r="H857" s="18"/>
      <c r="I857" s="18"/>
      <c r="J857" s="18"/>
      <c r="K857" s="18"/>
      <c r="L857" s="18"/>
      <c r="M857" s="18"/>
      <c r="N857" s="18"/>
      <c r="O857" s="18"/>
      <c r="P857" s="18"/>
      <c r="Q857" s="18"/>
      <c r="R857" s="18"/>
      <c r="S857" s="18"/>
    </row>
    <row r="858" spans="1:19" ht="14.25" hidden="1">
      <c r="A858" s="18"/>
      <c r="B858" s="18"/>
      <c r="C858" s="18"/>
      <c r="D858" s="18"/>
      <c r="E858" s="18"/>
      <c r="F858" s="18"/>
      <c r="G858" s="18"/>
      <c r="H858" s="18"/>
      <c r="I858" s="18"/>
      <c r="J858" s="18"/>
      <c r="K858" s="18"/>
      <c r="L858" s="18"/>
      <c r="M858" s="18"/>
      <c r="N858" s="18"/>
      <c r="O858" s="18"/>
      <c r="P858" s="18"/>
      <c r="Q858" s="18"/>
      <c r="R858" s="18"/>
      <c r="S858" s="18"/>
    </row>
    <row r="859" spans="1:19" ht="14.25" hidden="1">
      <c r="A859" s="18"/>
      <c r="B859" s="18"/>
      <c r="C859" s="18"/>
      <c r="D859" s="18"/>
      <c r="E859" s="18"/>
      <c r="F859" s="18"/>
      <c r="G859" s="18"/>
      <c r="H859" s="18"/>
      <c r="I859" s="18"/>
      <c r="J859" s="18"/>
      <c r="K859" s="18"/>
      <c r="L859" s="18"/>
      <c r="M859" s="18"/>
      <c r="N859" s="18"/>
      <c r="O859" s="18"/>
      <c r="P859" s="18"/>
      <c r="Q859" s="18"/>
      <c r="R859" s="18"/>
      <c r="S859" s="18"/>
    </row>
    <row r="860" spans="1:19" ht="14.25" hidden="1">
      <c r="A860" s="18"/>
      <c r="B860" s="18"/>
      <c r="C860" s="18"/>
      <c r="D860" s="18"/>
      <c r="E860" s="18"/>
      <c r="F860" s="18"/>
      <c r="G860" s="18"/>
      <c r="H860" s="18"/>
      <c r="I860" s="18"/>
      <c r="J860" s="18"/>
      <c r="K860" s="18"/>
      <c r="L860" s="18"/>
      <c r="M860" s="18"/>
      <c r="N860" s="18"/>
      <c r="O860" s="18"/>
      <c r="P860" s="18"/>
      <c r="Q860" s="18"/>
      <c r="R860" s="18"/>
      <c r="S860" s="18"/>
    </row>
    <row r="861" spans="1:19" ht="14.25" hidden="1">
      <c r="A861" s="18"/>
      <c r="B861" s="18"/>
      <c r="C861" s="18"/>
      <c r="D861" s="18"/>
      <c r="E861" s="18"/>
      <c r="F861" s="18"/>
      <c r="G861" s="18"/>
      <c r="H861" s="18"/>
      <c r="I861" s="18"/>
      <c r="J861" s="18"/>
      <c r="K861" s="18"/>
      <c r="L861" s="18"/>
      <c r="M861" s="18"/>
      <c r="N861" s="18"/>
      <c r="O861" s="18"/>
      <c r="P861" s="18"/>
      <c r="Q861" s="18"/>
      <c r="R861" s="18"/>
      <c r="S861" s="18"/>
    </row>
    <row r="862" spans="1:19" ht="14.25" hidden="1">
      <c r="A862" s="18"/>
      <c r="B862" s="18"/>
      <c r="C862" s="18"/>
      <c r="D862" s="18"/>
      <c r="E862" s="18"/>
      <c r="F862" s="18"/>
      <c r="G862" s="18"/>
      <c r="H862" s="18"/>
      <c r="I862" s="18"/>
      <c r="J862" s="18"/>
      <c r="K862" s="18"/>
      <c r="L862" s="18"/>
      <c r="M862" s="18"/>
      <c r="N862" s="18"/>
      <c r="O862" s="18"/>
      <c r="P862" s="18"/>
      <c r="Q862" s="18"/>
      <c r="R862" s="18"/>
      <c r="S862" s="18"/>
    </row>
    <row r="863" spans="1:19" ht="14.25" hidden="1">
      <c r="A863" s="18"/>
      <c r="B863" s="18"/>
      <c r="C863" s="18"/>
      <c r="D863" s="18"/>
      <c r="E863" s="18"/>
      <c r="F863" s="18"/>
      <c r="G863" s="18"/>
      <c r="H863" s="18"/>
      <c r="I863" s="18"/>
      <c r="J863" s="18"/>
      <c r="K863" s="18"/>
      <c r="L863" s="18"/>
      <c r="M863" s="18"/>
      <c r="N863" s="18"/>
      <c r="O863" s="18"/>
      <c r="P863" s="18"/>
      <c r="Q863" s="18"/>
      <c r="R863" s="18"/>
      <c r="S863" s="18"/>
    </row>
    <row r="864" spans="1:19" ht="14.25" hidden="1">
      <c r="A864" s="18"/>
      <c r="B864" s="18"/>
      <c r="C864" s="18"/>
      <c r="D864" s="18"/>
      <c r="E864" s="18"/>
      <c r="F864" s="18"/>
      <c r="G864" s="18"/>
      <c r="H864" s="18"/>
      <c r="I864" s="18"/>
      <c r="J864" s="18"/>
      <c r="K864" s="18"/>
      <c r="L864" s="18"/>
      <c r="M864" s="18"/>
      <c r="N864" s="18"/>
      <c r="O864" s="18"/>
      <c r="P864" s="18"/>
      <c r="Q864" s="18"/>
      <c r="R864" s="18"/>
      <c r="S864" s="18"/>
    </row>
    <row r="865" spans="1:19" ht="14.25" hidden="1">
      <c r="A865" s="18"/>
      <c r="B865" s="18"/>
      <c r="C865" s="18"/>
      <c r="D865" s="18"/>
      <c r="E865" s="18"/>
      <c r="F865" s="18"/>
      <c r="G865" s="18"/>
      <c r="H865" s="18"/>
      <c r="I865" s="18"/>
      <c r="J865" s="18"/>
      <c r="K865" s="18"/>
      <c r="L865" s="18"/>
      <c r="M865" s="18"/>
      <c r="N865" s="18"/>
      <c r="O865" s="18"/>
      <c r="P865" s="18"/>
      <c r="Q865" s="18"/>
      <c r="R865" s="18"/>
      <c r="S865" s="18"/>
    </row>
    <row r="866" spans="1:19" ht="14.25" hidden="1">
      <c r="A866" s="18"/>
      <c r="B866" s="18"/>
      <c r="C866" s="18"/>
      <c r="D866" s="18"/>
      <c r="E866" s="18"/>
      <c r="F866" s="18"/>
      <c r="G866" s="18"/>
      <c r="H866" s="18"/>
      <c r="I866" s="18"/>
      <c r="J866" s="18"/>
      <c r="K866" s="18"/>
      <c r="L866" s="18"/>
      <c r="M866" s="18"/>
      <c r="N866" s="18"/>
      <c r="O866" s="18"/>
      <c r="P866" s="18"/>
      <c r="Q866" s="18"/>
      <c r="R866" s="18"/>
      <c r="S866" s="18"/>
    </row>
    <row r="867" spans="1:19" ht="14.25" hidden="1">
      <c r="A867" s="18"/>
      <c r="B867" s="18"/>
      <c r="C867" s="18"/>
      <c r="D867" s="18"/>
      <c r="E867" s="18"/>
      <c r="F867" s="18"/>
      <c r="G867" s="18"/>
      <c r="H867" s="18"/>
      <c r="I867" s="18"/>
      <c r="J867" s="18"/>
      <c r="K867" s="18"/>
      <c r="L867" s="18"/>
      <c r="M867" s="18"/>
      <c r="N867" s="18"/>
      <c r="O867" s="18"/>
      <c r="P867" s="18"/>
      <c r="Q867" s="18"/>
      <c r="R867" s="18"/>
      <c r="S867" s="18"/>
    </row>
    <row r="868" spans="1:19" ht="14.25" hidden="1">
      <c r="A868" s="18"/>
      <c r="B868" s="18"/>
      <c r="C868" s="18"/>
      <c r="D868" s="18"/>
      <c r="E868" s="18"/>
      <c r="F868" s="18"/>
      <c r="G868" s="18"/>
      <c r="H868" s="18"/>
      <c r="I868" s="18"/>
      <c r="J868" s="18"/>
      <c r="K868" s="18"/>
      <c r="L868" s="18"/>
      <c r="M868" s="18"/>
      <c r="N868" s="18"/>
      <c r="O868" s="18"/>
      <c r="P868" s="18"/>
      <c r="Q868" s="18"/>
      <c r="R868" s="18"/>
      <c r="S868" s="18"/>
    </row>
    <row r="869" spans="1:19" ht="14.25" hidden="1">
      <c r="A869" s="18"/>
      <c r="B869" s="18"/>
      <c r="C869" s="18"/>
      <c r="D869" s="18"/>
      <c r="E869" s="18"/>
      <c r="F869" s="18"/>
      <c r="G869" s="18"/>
      <c r="H869" s="18"/>
      <c r="I869" s="18"/>
      <c r="J869" s="18"/>
      <c r="K869" s="18"/>
      <c r="L869" s="18"/>
      <c r="M869" s="18"/>
      <c r="N869" s="18"/>
      <c r="O869" s="18"/>
      <c r="P869" s="18"/>
      <c r="Q869" s="18"/>
      <c r="R869" s="18"/>
      <c r="S869" s="18"/>
    </row>
    <row r="870" spans="1:19" ht="14.25" hidden="1">
      <c r="A870" s="18"/>
      <c r="B870" s="18"/>
      <c r="C870" s="18"/>
      <c r="D870" s="18"/>
      <c r="E870" s="18"/>
      <c r="F870" s="18"/>
      <c r="G870" s="18"/>
      <c r="H870" s="18"/>
      <c r="I870" s="18"/>
      <c r="J870" s="18"/>
      <c r="K870" s="18"/>
      <c r="L870" s="18"/>
      <c r="M870" s="18"/>
      <c r="N870" s="18"/>
      <c r="O870" s="18"/>
      <c r="P870" s="18"/>
      <c r="Q870" s="18"/>
      <c r="R870" s="18"/>
      <c r="S870" s="18"/>
    </row>
    <row r="871" spans="1:19" ht="14.25" hidden="1">
      <c r="A871" s="18"/>
      <c r="B871" s="18"/>
      <c r="C871" s="18"/>
      <c r="D871" s="18"/>
      <c r="E871" s="18"/>
      <c r="F871" s="18"/>
      <c r="G871" s="18"/>
      <c r="H871" s="18"/>
      <c r="I871" s="18"/>
      <c r="J871" s="18"/>
      <c r="K871" s="18"/>
      <c r="L871" s="18"/>
      <c r="M871" s="18"/>
      <c r="N871" s="18"/>
      <c r="O871" s="18"/>
      <c r="P871" s="18"/>
      <c r="Q871" s="18"/>
      <c r="R871" s="18"/>
      <c r="S871" s="18"/>
    </row>
    <row r="872" spans="1:19" ht="14.25" hidden="1">
      <c r="A872" s="18"/>
      <c r="B872" s="18"/>
      <c r="C872" s="18"/>
      <c r="D872" s="18"/>
      <c r="E872" s="18"/>
      <c r="F872" s="18"/>
      <c r="G872" s="18"/>
      <c r="H872" s="18"/>
      <c r="I872" s="18"/>
      <c r="J872" s="18"/>
      <c r="K872" s="18"/>
      <c r="L872" s="18"/>
      <c r="M872" s="18"/>
      <c r="N872" s="18"/>
      <c r="O872" s="18"/>
      <c r="P872" s="18"/>
      <c r="Q872" s="18"/>
      <c r="R872" s="18"/>
      <c r="S872" s="18"/>
    </row>
    <row r="873" spans="1:19" ht="14.25" hidden="1">
      <c r="A873" s="18"/>
      <c r="B873" s="18"/>
      <c r="C873" s="18"/>
      <c r="D873" s="18"/>
      <c r="E873" s="18"/>
      <c r="F873" s="18"/>
      <c r="G873" s="18"/>
      <c r="H873" s="18"/>
      <c r="I873" s="18"/>
      <c r="J873" s="18"/>
      <c r="K873" s="18"/>
      <c r="L873" s="18"/>
      <c r="M873" s="18"/>
      <c r="N873" s="18"/>
      <c r="O873" s="18"/>
      <c r="P873" s="18"/>
      <c r="Q873" s="18"/>
      <c r="R873" s="18"/>
      <c r="S873" s="18"/>
    </row>
    <row r="874" spans="1:19" ht="14.25" hidden="1">
      <c r="A874" s="18"/>
      <c r="B874" s="18"/>
      <c r="C874" s="18"/>
      <c r="D874" s="18"/>
      <c r="E874" s="18"/>
      <c r="F874" s="18"/>
      <c r="G874" s="18"/>
      <c r="H874" s="18"/>
      <c r="I874" s="18"/>
      <c r="J874" s="18"/>
      <c r="K874" s="18"/>
      <c r="L874" s="18"/>
      <c r="M874" s="18"/>
      <c r="N874" s="18"/>
      <c r="O874" s="18"/>
      <c r="P874" s="18"/>
      <c r="Q874" s="18"/>
      <c r="R874" s="18"/>
      <c r="S874" s="18"/>
    </row>
    <row r="875" spans="1:19" ht="14.25" hidden="1">
      <c r="A875" s="18"/>
      <c r="B875" s="18"/>
      <c r="C875" s="18"/>
      <c r="D875" s="18"/>
      <c r="E875" s="18"/>
      <c r="F875" s="18"/>
      <c r="G875" s="18"/>
      <c r="H875" s="18"/>
      <c r="I875" s="18"/>
      <c r="J875" s="18"/>
      <c r="K875" s="18"/>
      <c r="L875" s="18"/>
      <c r="M875" s="18"/>
      <c r="N875" s="18"/>
      <c r="O875" s="18"/>
      <c r="P875" s="18"/>
      <c r="Q875" s="18"/>
      <c r="R875" s="18"/>
      <c r="S875" s="18"/>
    </row>
    <row r="876" spans="1:19" ht="14.25" hidden="1">
      <c r="A876" s="18"/>
      <c r="B876" s="18"/>
      <c r="C876" s="18"/>
      <c r="D876" s="18"/>
      <c r="E876" s="18"/>
      <c r="F876" s="18"/>
      <c r="G876" s="18"/>
      <c r="H876" s="18"/>
      <c r="I876" s="18"/>
      <c r="J876" s="18"/>
      <c r="K876" s="18"/>
      <c r="L876" s="18"/>
      <c r="M876" s="18"/>
      <c r="N876" s="18"/>
      <c r="O876" s="18"/>
      <c r="P876" s="18"/>
      <c r="Q876" s="18"/>
      <c r="R876" s="18"/>
      <c r="S876" s="18"/>
    </row>
    <row r="877" spans="1:19" ht="14.25" hidden="1">
      <c r="A877" s="18"/>
      <c r="B877" s="18"/>
      <c r="C877" s="18"/>
      <c r="D877" s="18"/>
      <c r="E877" s="18"/>
      <c r="F877" s="18"/>
      <c r="G877" s="18"/>
      <c r="H877" s="18"/>
      <c r="I877" s="18"/>
      <c r="J877" s="18"/>
      <c r="K877" s="18"/>
      <c r="L877" s="18"/>
      <c r="M877" s="18"/>
      <c r="N877" s="18"/>
      <c r="O877" s="18"/>
      <c r="P877" s="18"/>
      <c r="Q877" s="18"/>
      <c r="R877" s="18"/>
      <c r="S877" s="18"/>
    </row>
    <row r="878" spans="1:19" ht="14.25" hidden="1">
      <c r="A878" s="18"/>
      <c r="B878" s="18"/>
      <c r="C878" s="18"/>
      <c r="D878" s="18"/>
      <c r="E878" s="18"/>
      <c r="F878" s="18"/>
      <c r="G878" s="18"/>
      <c r="H878" s="18"/>
      <c r="I878" s="18"/>
      <c r="J878" s="18"/>
      <c r="K878" s="18"/>
      <c r="L878" s="18"/>
      <c r="M878" s="18"/>
      <c r="N878" s="18"/>
      <c r="O878" s="18"/>
      <c r="P878" s="18"/>
      <c r="Q878" s="18"/>
      <c r="R878" s="18"/>
      <c r="S878" s="18"/>
    </row>
    <row r="879" spans="1:19" ht="14.25" hidden="1">
      <c r="A879" s="18"/>
      <c r="B879" s="18"/>
      <c r="C879" s="18"/>
      <c r="D879" s="18"/>
      <c r="E879" s="18"/>
      <c r="F879" s="18"/>
      <c r="G879" s="18"/>
      <c r="H879" s="18"/>
      <c r="I879" s="18"/>
      <c r="J879" s="18"/>
      <c r="K879" s="18"/>
      <c r="L879" s="18"/>
      <c r="M879" s="18"/>
      <c r="N879" s="18"/>
      <c r="O879" s="18"/>
      <c r="P879" s="18"/>
      <c r="Q879" s="18"/>
      <c r="R879" s="18"/>
      <c r="S879" s="18"/>
    </row>
    <row r="880" spans="1:19" ht="14.25" hidden="1">
      <c r="A880" s="18"/>
      <c r="B880" s="18"/>
      <c r="C880" s="18"/>
      <c r="D880" s="18"/>
      <c r="E880" s="18"/>
      <c r="F880" s="18"/>
      <c r="G880" s="18"/>
      <c r="H880" s="18"/>
      <c r="I880" s="18"/>
      <c r="J880" s="18"/>
      <c r="K880" s="18"/>
      <c r="L880" s="18"/>
      <c r="M880" s="18"/>
      <c r="N880" s="18"/>
      <c r="O880" s="18"/>
      <c r="P880" s="18"/>
      <c r="Q880" s="18"/>
      <c r="R880" s="18"/>
      <c r="S880" s="18"/>
    </row>
    <row r="881" spans="1:19" ht="14.25" hidden="1">
      <c r="A881" s="18"/>
      <c r="B881" s="18"/>
      <c r="C881" s="18"/>
      <c r="D881" s="18"/>
      <c r="E881" s="18"/>
      <c r="F881" s="18"/>
      <c r="G881" s="18"/>
      <c r="H881" s="18"/>
      <c r="I881" s="18"/>
      <c r="J881" s="18"/>
      <c r="K881" s="18"/>
      <c r="L881" s="18"/>
      <c r="M881" s="18"/>
      <c r="N881" s="18"/>
      <c r="O881" s="18"/>
      <c r="P881" s="18"/>
      <c r="Q881" s="18"/>
      <c r="R881" s="18"/>
      <c r="S881" s="18"/>
    </row>
    <row r="882" spans="1:19" ht="14.25" hidden="1">
      <c r="A882" s="18"/>
      <c r="B882" s="18"/>
      <c r="C882" s="18"/>
      <c r="D882" s="18"/>
      <c r="E882" s="18"/>
      <c r="F882" s="18"/>
      <c r="G882" s="18"/>
      <c r="H882" s="18"/>
      <c r="I882" s="18"/>
      <c r="J882" s="18"/>
      <c r="K882" s="18"/>
      <c r="L882" s="18"/>
      <c r="M882" s="18"/>
      <c r="N882" s="18"/>
      <c r="O882" s="18"/>
      <c r="P882" s="18"/>
      <c r="Q882" s="18"/>
      <c r="R882" s="18"/>
      <c r="S882" s="18"/>
    </row>
    <row r="883" spans="1:19" ht="14.25" hidden="1">
      <c r="A883" s="18"/>
      <c r="B883" s="18"/>
      <c r="C883" s="18"/>
      <c r="D883" s="18"/>
      <c r="E883" s="18"/>
      <c r="F883" s="18"/>
      <c r="G883" s="18"/>
      <c r="H883" s="18"/>
      <c r="I883" s="18"/>
      <c r="J883" s="18"/>
      <c r="K883" s="18"/>
      <c r="L883" s="18"/>
      <c r="M883" s="18"/>
      <c r="N883" s="18"/>
      <c r="O883" s="18"/>
      <c r="P883" s="18"/>
      <c r="Q883" s="18"/>
      <c r="R883" s="18"/>
      <c r="S883" s="18"/>
    </row>
    <row r="884" spans="1:19" ht="14.25" hidden="1">
      <c r="A884" s="18"/>
      <c r="B884" s="18"/>
      <c r="C884" s="18"/>
      <c r="D884" s="18"/>
      <c r="E884" s="18"/>
      <c r="F884" s="18"/>
      <c r="G884" s="18"/>
      <c r="H884" s="18"/>
      <c r="I884" s="18"/>
      <c r="J884" s="18"/>
      <c r="K884" s="18"/>
      <c r="L884" s="18"/>
      <c r="M884" s="18"/>
      <c r="N884" s="18"/>
      <c r="O884" s="18"/>
      <c r="P884" s="18"/>
      <c r="Q884" s="18"/>
      <c r="R884" s="18"/>
      <c r="S884" s="18"/>
    </row>
    <row r="885" spans="1:19" ht="14.25" hidden="1">
      <c r="A885" s="18"/>
      <c r="B885" s="18"/>
      <c r="C885" s="18"/>
      <c r="D885" s="18"/>
      <c r="E885" s="18"/>
      <c r="F885" s="18"/>
      <c r="G885" s="18"/>
      <c r="H885" s="18"/>
      <c r="I885" s="18"/>
      <c r="J885" s="18"/>
      <c r="K885" s="18"/>
      <c r="L885" s="18"/>
      <c r="M885" s="18"/>
      <c r="N885" s="18"/>
      <c r="O885" s="18"/>
      <c r="P885" s="18"/>
      <c r="Q885" s="18"/>
      <c r="R885" s="18"/>
      <c r="S885" s="18"/>
    </row>
    <row r="886" spans="1:19" ht="14.25" hidden="1">
      <c r="A886" s="18"/>
      <c r="B886" s="18"/>
      <c r="C886" s="18"/>
      <c r="D886" s="18"/>
      <c r="E886" s="18"/>
      <c r="F886" s="18"/>
      <c r="G886" s="18"/>
      <c r="H886" s="18"/>
      <c r="I886" s="18"/>
      <c r="J886" s="18"/>
      <c r="K886" s="18"/>
      <c r="L886" s="18"/>
      <c r="M886" s="18"/>
      <c r="N886" s="18"/>
      <c r="O886" s="18"/>
      <c r="P886" s="18"/>
      <c r="Q886" s="18"/>
      <c r="R886" s="18"/>
      <c r="S886" s="18"/>
    </row>
    <row r="887" spans="1:19" ht="14.25" hidden="1">
      <c r="A887" s="18"/>
      <c r="B887" s="18"/>
      <c r="C887" s="18"/>
      <c r="D887" s="18"/>
      <c r="E887" s="18"/>
      <c r="F887" s="18"/>
      <c r="G887" s="18"/>
      <c r="H887" s="18"/>
      <c r="I887" s="18"/>
      <c r="J887" s="18"/>
      <c r="K887" s="18"/>
      <c r="L887" s="18"/>
      <c r="M887" s="18"/>
      <c r="N887" s="18"/>
      <c r="O887" s="18"/>
      <c r="P887" s="18"/>
      <c r="Q887" s="18"/>
      <c r="R887" s="18"/>
      <c r="S887" s="18"/>
    </row>
    <row r="888" spans="1:19" ht="14.25" hidden="1">
      <c r="A888" s="18"/>
      <c r="B888" s="18"/>
      <c r="C888" s="18"/>
      <c r="D888" s="18"/>
      <c r="E888" s="18"/>
      <c r="F888" s="18"/>
      <c r="G888" s="18"/>
      <c r="H888" s="18"/>
      <c r="I888" s="18"/>
      <c r="J888" s="18"/>
      <c r="K888" s="18"/>
      <c r="L888" s="18"/>
      <c r="M888" s="18"/>
      <c r="N888" s="18"/>
      <c r="O888" s="18"/>
      <c r="P888" s="18"/>
      <c r="Q888" s="18"/>
      <c r="R888" s="18"/>
      <c r="S888" s="18"/>
    </row>
    <row r="889" spans="1:19" ht="14.25" hidden="1">
      <c r="A889" s="18"/>
      <c r="B889" s="18"/>
      <c r="C889" s="18"/>
      <c r="D889" s="18"/>
      <c r="E889" s="18"/>
      <c r="F889" s="18"/>
      <c r="G889" s="18"/>
      <c r="H889" s="18"/>
      <c r="I889" s="18"/>
      <c r="J889" s="18"/>
      <c r="K889" s="18"/>
      <c r="L889" s="18"/>
      <c r="M889" s="18"/>
      <c r="N889" s="18"/>
      <c r="O889" s="18"/>
      <c r="P889" s="18"/>
      <c r="Q889" s="18"/>
      <c r="R889" s="18"/>
      <c r="S889" s="18"/>
    </row>
    <row r="890" spans="1:19" ht="14.25" hidden="1">
      <c r="A890" s="18"/>
      <c r="B890" s="18"/>
      <c r="C890" s="18"/>
      <c r="D890" s="18"/>
      <c r="E890" s="18"/>
      <c r="F890" s="18"/>
      <c r="G890" s="18"/>
      <c r="H890" s="18"/>
      <c r="I890" s="18"/>
      <c r="J890" s="18"/>
      <c r="K890" s="18"/>
      <c r="L890" s="18"/>
      <c r="M890" s="18"/>
      <c r="N890" s="18"/>
      <c r="O890" s="18"/>
      <c r="P890" s="18"/>
      <c r="Q890" s="18"/>
      <c r="R890" s="18"/>
      <c r="S890" s="18"/>
    </row>
    <row r="891" spans="1:19" ht="14.25" hidden="1">
      <c r="A891" s="18"/>
      <c r="B891" s="18"/>
      <c r="C891" s="18"/>
      <c r="D891" s="18"/>
      <c r="E891" s="18"/>
      <c r="F891" s="18"/>
      <c r="G891" s="18"/>
      <c r="H891" s="18"/>
      <c r="I891" s="18"/>
      <c r="J891" s="18"/>
      <c r="K891" s="18"/>
      <c r="L891" s="18"/>
      <c r="M891" s="18"/>
      <c r="N891" s="18"/>
      <c r="O891" s="18"/>
      <c r="P891" s="18"/>
      <c r="Q891" s="18"/>
      <c r="R891" s="18"/>
      <c r="S891" s="18"/>
    </row>
    <row r="892" spans="1:19" ht="14.25" hidden="1">
      <c r="A892" s="18"/>
      <c r="B892" s="18"/>
      <c r="C892" s="18"/>
      <c r="D892" s="18"/>
      <c r="E892" s="18"/>
      <c r="F892" s="18"/>
      <c r="G892" s="18"/>
      <c r="H892" s="18"/>
      <c r="I892" s="18"/>
      <c r="J892" s="18"/>
      <c r="K892" s="18"/>
      <c r="L892" s="18"/>
      <c r="M892" s="18"/>
      <c r="N892" s="18"/>
      <c r="O892" s="18"/>
      <c r="P892" s="18"/>
      <c r="Q892" s="18"/>
      <c r="R892" s="18"/>
      <c r="S892" s="18"/>
    </row>
    <row r="893" spans="1:19" ht="14.25" hidden="1">
      <c r="A893" s="18"/>
      <c r="B893" s="18"/>
      <c r="C893" s="18"/>
      <c r="D893" s="18"/>
      <c r="E893" s="18"/>
      <c r="F893" s="18"/>
      <c r="G893" s="18"/>
      <c r="H893" s="18"/>
      <c r="I893" s="18"/>
      <c r="J893" s="18"/>
      <c r="K893" s="18"/>
      <c r="L893" s="18"/>
      <c r="M893" s="18"/>
      <c r="N893" s="18"/>
      <c r="O893" s="18"/>
      <c r="P893" s="18"/>
      <c r="Q893" s="18"/>
      <c r="R893" s="18"/>
      <c r="S893" s="18"/>
    </row>
    <row r="894" spans="1:19" ht="14.25" hidden="1">
      <c r="A894" s="18"/>
      <c r="B894" s="18"/>
      <c r="C894" s="18"/>
      <c r="D894" s="18"/>
      <c r="E894" s="18"/>
      <c r="F894" s="18"/>
      <c r="G894" s="18"/>
      <c r="H894" s="18"/>
      <c r="I894" s="18"/>
      <c r="J894" s="18"/>
      <c r="K894" s="18"/>
      <c r="L894" s="18"/>
      <c r="M894" s="18"/>
      <c r="N894" s="18"/>
      <c r="O894" s="18"/>
      <c r="P894" s="18"/>
      <c r="Q894" s="18"/>
      <c r="R894" s="18"/>
      <c r="S894" s="18"/>
    </row>
    <row r="895" spans="1:19" ht="14.25" hidden="1">
      <c r="A895" s="18"/>
      <c r="B895" s="18"/>
      <c r="C895" s="18"/>
      <c r="D895" s="18"/>
      <c r="E895" s="18"/>
      <c r="F895" s="18"/>
      <c r="G895" s="18"/>
      <c r="H895" s="18"/>
      <c r="I895" s="18"/>
      <c r="J895" s="18"/>
      <c r="K895" s="18"/>
      <c r="L895" s="18"/>
      <c r="M895" s="18"/>
      <c r="N895" s="18"/>
      <c r="O895" s="18"/>
      <c r="P895" s="18"/>
      <c r="Q895" s="18"/>
      <c r="R895" s="18"/>
      <c r="S895" s="18"/>
    </row>
    <row r="896" spans="1:19" ht="14.25" hidden="1">
      <c r="A896" s="18"/>
      <c r="B896" s="18"/>
      <c r="C896" s="18"/>
      <c r="D896" s="18"/>
      <c r="E896" s="18"/>
      <c r="F896" s="18"/>
      <c r="G896" s="18"/>
      <c r="H896" s="18"/>
      <c r="I896" s="18"/>
      <c r="J896" s="18"/>
      <c r="K896" s="18"/>
      <c r="L896" s="18"/>
      <c r="M896" s="18"/>
      <c r="N896" s="18"/>
      <c r="O896" s="18"/>
      <c r="P896" s="18"/>
      <c r="Q896" s="18"/>
      <c r="R896" s="18"/>
      <c r="S896" s="18"/>
    </row>
    <row r="897" spans="1:19" ht="14.25" hidden="1">
      <c r="A897" s="18"/>
      <c r="B897" s="18"/>
      <c r="C897" s="18"/>
      <c r="D897" s="18"/>
      <c r="E897" s="18"/>
      <c r="F897" s="18"/>
      <c r="G897" s="18"/>
      <c r="H897" s="18"/>
      <c r="I897" s="18"/>
      <c r="J897" s="18"/>
      <c r="K897" s="18"/>
      <c r="L897" s="18"/>
      <c r="M897" s="18"/>
      <c r="N897" s="18"/>
      <c r="O897" s="18"/>
      <c r="P897" s="18"/>
      <c r="Q897" s="18"/>
      <c r="R897" s="18"/>
      <c r="S897" s="18"/>
    </row>
    <row r="898" spans="1:19" ht="14.25" hidden="1">
      <c r="A898" s="18"/>
      <c r="B898" s="18"/>
      <c r="C898" s="18"/>
      <c r="D898" s="18"/>
      <c r="E898" s="18"/>
      <c r="F898" s="18"/>
      <c r="G898" s="18"/>
      <c r="H898" s="18"/>
      <c r="I898" s="18"/>
      <c r="J898" s="18"/>
      <c r="K898" s="18"/>
      <c r="L898" s="18"/>
      <c r="M898" s="18"/>
      <c r="N898" s="18"/>
      <c r="O898" s="18"/>
      <c r="P898" s="18"/>
      <c r="Q898" s="18"/>
      <c r="R898" s="18"/>
      <c r="S898" s="18"/>
    </row>
    <row r="899" spans="1:19" ht="14.25" hidden="1">
      <c r="A899" s="18"/>
      <c r="B899" s="18"/>
      <c r="C899" s="18"/>
      <c r="D899" s="18"/>
      <c r="E899" s="18"/>
      <c r="F899" s="18"/>
      <c r="G899" s="18"/>
      <c r="H899" s="18"/>
      <c r="I899" s="18"/>
      <c r="J899" s="18"/>
      <c r="K899" s="18"/>
      <c r="L899" s="18"/>
      <c r="M899" s="18"/>
      <c r="N899" s="18"/>
      <c r="O899" s="18"/>
      <c r="P899" s="18"/>
      <c r="Q899" s="18"/>
      <c r="R899" s="18"/>
      <c r="S899" s="18"/>
    </row>
    <row r="900" spans="1:19" ht="14.25" hidden="1">
      <c r="A900" s="18"/>
      <c r="B900" s="18"/>
      <c r="C900" s="18"/>
      <c r="D900" s="18"/>
      <c r="E900" s="18"/>
      <c r="F900" s="18"/>
      <c r="G900" s="18"/>
      <c r="H900" s="18"/>
      <c r="I900" s="18"/>
      <c r="J900" s="18"/>
      <c r="K900" s="18"/>
      <c r="L900" s="18"/>
      <c r="M900" s="18"/>
      <c r="N900" s="18"/>
      <c r="O900" s="18"/>
      <c r="P900" s="18"/>
      <c r="Q900" s="18"/>
      <c r="R900" s="18"/>
      <c r="S900" s="18"/>
    </row>
    <row r="901" spans="1:19" ht="14.25" hidden="1">
      <c r="A901" s="18"/>
      <c r="B901" s="18"/>
      <c r="C901" s="18"/>
      <c r="D901" s="18"/>
      <c r="E901" s="18"/>
      <c r="F901" s="18"/>
      <c r="G901" s="18"/>
      <c r="H901" s="18"/>
      <c r="I901" s="18"/>
      <c r="J901" s="18"/>
      <c r="K901" s="18"/>
      <c r="L901" s="18"/>
      <c r="M901" s="18"/>
      <c r="N901" s="18"/>
      <c r="O901" s="18"/>
      <c r="P901" s="18"/>
      <c r="Q901" s="18"/>
      <c r="R901" s="18"/>
      <c r="S901" s="18"/>
    </row>
    <row r="902" spans="1:19" ht="14.25" hidden="1">
      <c r="A902" s="18"/>
      <c r="B902" s="18"/>
      <c r="C902" s="18"/>
      <c r="D902" s="18"/>
      <c r="E902" s="18"/>
      <c r="F902" s="18"/>
      <c r="G902" s="18"/>
      <c r="H902" s="18"/>
      <c r="I902" s="18"/>
      <c r="J902" s="18"/>
      <c r="K902" s="18"/>
      <c r="L902" s="18"/>
      <c r="M902" s="18"/>
      <c r="N902" s="18"/>
      <c r="O902" s="18"/>
      <c r="P902" s="18"/>
      <c r="Q902" s="18"/>
      <c r="R902" s="18"/>
      <c r="S902" s="18"/>
    </row>
    <row r="903" spans="1:19" ht="14.25" hidden="1">
      <c r="A903" s="18"/>
      <c r="B903" s="18"/>
      <c r="C903" s="18"/>
      <c r="D903" s="18"/>
      <c r="E903" s="18"/>
      <c r="F903" s="18"/>
      <c r="G903" s="18"/>
      <c r="H903" s="18"/>
      <c r="I903" s="18"/>
      <c r="J903" s="18"/>
      <c r="K903" s="18"/>
      <c r="L903" s="18"/>
      <c r="M903" s="18"/>
      <c r="N903" s="18"/>
      <c r="O903" s="18"/>
      <c r="P903" s="18"/>
      <c r="Q903" s="18"/>
      <c r="R903" s="18"/>
      <c r="S903" s="18"/>
    </row>
    <row r="904" spans="1:19" ht="14.25" hidden="1">
      <c r="A904" s="18"/>
      <c r="B904" s="18"/>
      <c r="C904" s="18"/>
      <c r="D904" s="18"/>
      <c r="E904" s="18"/>
      <c r="F904" s="18"/>
      <c r="G904" s="18"/>
      <c r="H904" s="18"/>
      <c r="I904" s="18"/>
      <c r="J904" s="18"/>
      <c r="K904" s="18"/>
      <c r="L904" s="18"/>
      <c r="M904" s="18"/>
      <c r="N904" s="18"/>
      <c r="O904" s="18"/>
      <c r="P904" s="18"/>
      <c r="Q904" s="18"/>
      <c r="R904" s="18"/>
      <c r="S904" s="18"/>
    </row>
    <row r="905" spans="1:19" ht="14.25" hidden="1">
      <c r="A905" s="18"/>
      <c r="B905" s="18"/>
      <c r="C905" s="18"/>
      <c r="D905" s="18"/>
      <c r="E905" s="18"/>
      <c r="F905" s="18"/>
      <c r="G905" s="18"/>
      <c r="H905" s="18"/>
      <c r="I905" s="18"/>
      <c r="J905" s="18"/>
      <c r="K905" s="18"/>
      <c r="L905" s="18"/>
      <c r="M905" s="18"/>
      <c r="N905" s="18"/>
      <c r="O905" s="18"/>
      <c r="P905" s="18"/>
      <c r="Q905" s="18"/>
      <c r="R905" s="18"/>
      <c r="S905" s="18"/>
    </row>
    <row r="906" spans="1:19" ht="14.25" hidden="1">
      <c r="A906" s="18"/>
      <c r="B906" s="18"/>
      <c r="C906" s="18"/>
      <c r="D906" s="18"/>
      <c r="E906" s="18"/>
      <c r="F906" s="18"/>
      <c r="G906" s="18"/>
      <c r="H906" s="18"/>
      <c r="I906" s="18"/>
      <c r="J906" s="18"/>
      <c r="K906" s="18"/>
      <c r="L906" s="18"/>
      <c r="M906" s="18"/>
      <c r="N906" s="18"/>
      <c r="O906" s="18"/>
      <c r="P906" s="18"/>
      <c r="Q906" s="18"/>
      <c r="R906" s="18"/>
      <c r="S906" s="18"/>
    </row>
    <row r="907" spans="1:19" ht="14.25" hidden="1">
      <c r="A907" s="18"/>
      <c r="B907" s="18"/>
      <c r="C907" s="18"/>
      <c r="D907" s="18"/>
      <c r="E907" s="18"/>
      <c r="F907" s="18"/>
      <c r="G907" s="18"/>
      <c r="H907" s="18"/>
      <c r="I907" s="18"/>
      <c r="J907" s="18"/>
      <c r="K907" s="18"/>
      <c r="L907" s="18"/>
      <c r="M907" s="18"/>
      <c r="N907" s="18"/>
      <c r="O907" s="18"/>
      <c r="P907" s="18"/>
      <c r="Q907" s="18"/>
      <c r="R907" s="18"/>
      <c r="S907" s="18"/>
    </row>
    <row r="908" spans="1:19" ht="14.25" hidden="1">
      <c r="A908" s="18"/>
      <c r="B908" s="18"/>
      <c r="C908" s="18"/>
      <c r="D908" s="18"/>
      <c r="E908" s="18"/>
      <c r="F908" s="18"/>
      <c r="G908" s="18"/>
      <c r="H908" s="18"/>
      <c r="I908" s="18"/>
      <c r="J908" s="18"/>
      <c r="K908" s="18"/>
      <c r="L908" s="18"/>
      <c r="M908" s="18"/>
      <c r="N908" s="18"/>
      <c r="O908" s="18"/>
      <c r="P908" s="18"/>
      <c r="Q908" s="18"/>
      <c r="R908" s="18"/>
      <c r="S908" s="18"/>
    </row>
    <row r="909" spans="1:19" ht="14.25" hidden="1">
      <c r="A909" s="18"/>
      <c r="B909" s="18"/>
      <c r="C909" s="18"/>
      <c r="D909" s="18"/>
      <c r="E909" s="18"/>
      <c r="F909" s="18"/>
      <c r="G909" s="18"/>
      <c r="H909" s="18"/>
      <c r="I909" s="18"/>
      <c r="J909" s="18"/>
      <c r="K909" s="18"/>
      <c r="L909" s="18"/>
      <c r="M909" s="18"/>
      <c r="N909" s="18"/>
      <c r="O909" s="18"/>
      <c r="P909" s="18"/>
      <c r="Q909" s="18"/>
      <c r="R909" s="18"/>
      <c r="S909" s="18"/>
    </row>
    <row r="910" spans="1:19" ht="14.25" hidden="1">
      <c r="A910" s="18"/>
      <c r="B910" s="18"/>
      <c r="C910" s="18"/>
      <c r="D910" s="18"/>
      <c r="E910" s="18"/>
      <c r="F910" s="18"/>
      <c r="G910" s="18"/>
      <c r="H910" s="18"/>
      <c r="I910" s="18"/>
      <c r="J910" s="18"/>
      <c r="K910" s="18"/>
      <c r="L910" s="18"/>
      <c r="M910" s="18"/>
      <c r="N910" s="18"/>
      <c r="O910" s="18"/>
      <c r="P910" s="18"/>
      <c r="Q910" s="18"/>
      <c r="R910" s="18"/>
      <c r="S910" s="18"/>
    </row>
    <row r="911" spans="1:19" ht="14.25" hidden="1">
      <c r="A911" s="18"/>
      <c r="B911" s="18"/>
      <c r="C911" s="18"/>
      <c r="D911" s="18"/>
      <c r="E911" s="18"/>
      <c r="F911" s="18"/>
      <c r="G911" s="18"/>
      <c r="H911" s="18"/>
      <c r="I911" s="18"/>
      <c r="J911" s="18"/>
      <c r="K911" s="18"/>
      <c r="L911" s="18"/>
      <c r="M911" s="18"/>
      <c r="N911" s="18"/>
      <c r="O911" s="18"/>
      <c r="P911" s="18"/>
      <c r="Q911" s="18"/>
      <c r="R911" s="18"/>
      <c r="S911" s="18"/>
    </row>
    <row r="912" spans="1:19" ht="14.25" hidden="1">
      <c r="A912" s="18"/>
      <c r="B912" s="18"/>
      <c r="C912" s="18"/>
      <c r="D912" s="18"/>
      <c r="E912" s="18"/>
      <c r="F912" s="18"/>
      <c r="G912" s="18"/>
      <c r="H912" s="18"/>
      <c r="I912" s="18"/>
      <c r="J912" s="18"/>
      <c r="K912" s="18"/>
      <c r="L912" s="18"/>
      <c r="M912" s="18"/>
      <c r="N912" s="18"/>
      <c r="O912" s="18"/>
      <c r="P912" s="18"/>
      <c r="Q912" s="18"/>
      <c r="R912" s="18"/>
      <c r="S912" s="18"/>
    </row>
    <row r="913" spans="1:19" ht="14.25" hidden="1">
      <c r="A913" s="18"/>
      <c r="B913" s="18"/>
      <c r="C913" s="18"/>
      <c r="D913" s="18"/>
      <c r="E913" s="18"/>
      <c r="F913" s="18"/>
      <c r="G913" s="18"/>
      <c r="H913" s="18"/>
      <c r="I913" s="18"/>
      <c r="J913" s="18"/>
      <c r="K913" s="18"/>
      <c r="L913" s="18"/>
      <c r="M913" s="18"/>
      <c r="N913" s="18"/>
      <c r="O913" s="18"/>
      <c r="P913" s="18"/>
      <c r="Q913" s="18"/>
      <c r="R913" s="18"/>
      <c r="S913" s="18"/>
    </row>
    <row r="914" spans="1:19" ht="14.25" hidden="1">
      <c r="A914" s="18"/>
      <c r="B914" s="18"/>
      <c r="C914" s="18"/>
      <c r="D914" s="18"/>
      <c r="E914" s="18"/>
      <c r="F914" s="18"/>
      <c r="G914" s="18"/>
      <c r="H914" s="18"/>
      <c r="I914" s="18"/>
      <c r="J914" s="18"/>
      <c r="K914" s="18"/>
      <c r="L914" s="18"/>
      <c r="M914" s="18"/>
      <c r="N914" s="18"/>
      <c r="O914" s="18"/>
      <c r="P914" s="18"/>
      <c r="Q914" s="18"/>
      <c r="R914" s="18"/>
      <c r="S914" s="18"/>
    </row>
    <row r="915" spans="1:19" ht="14.25" hidden="1">
      <c r="A915" s="18"/>
      <c r="B915" s="18"/>
      <c r="C915" s="18"/>
      <c r="D915" s="18"/>
      <c r="E915" s="18"/>
      <c r="F915" s="18"/>
      <c r="G915" s="18"/>
      <c r="H915" s="18"/>
      <c r="I915" s="18"/>
      <c r="J915" s="18"/>
      <c r="K915" s="18"/>
      <c r="L915" s="18"/>
      <c r="M915" s="18"/>
      <c r="N915" s="18"/>
      <c r="O915" s="18"/>
      <c r="P915" s="18"/>
      <c r="Q915" s="18"/>
      <c r="R915" s="18"/>
      <c r="S915" s="18"/>
    </row>
    <row r="916" spans="1:19" ht="14.25" hidden="1">
      <c r="A916" s="18"/>
      <c r="B916" s="18"/>
      <c r="C916" s="18"/>
      <c r="D916" s="18"/>
      <c r="E916" s="18"/>
      <c r="F916" s="18"/>
      <c r="G916" s="18"/>
      <c r="H916" s="18"/>
      <c r="I916" s="18"/>
      <c r="J916" s="18"/>
      <c r="K916" s="18"/>
      <c r="L916" s="18"/>
      <c r="M916" s="18"/>
      <c r="N916" s="18"/>
      <c r="O916" s="18"/>
      <c r="P916" s="18"/>
      <c r="Q916" s="18"/>
      <c r="R916" s="18"/>
      <c r="S916" s="18"/>
    </row>
    <row r="917" spans="1:19" ht="14.25" hidden="1">
      <c r="A917" s="18"/>
      <c r="B917" s="18"/>
      <c r="C917" s="18"/>
      <c r="D917" s="18"/>
      <c r="E917" s="18"/>
      <c r="F917" s="18"/>
      <c r="G917" s="18"/>
      <c r="H917" s="18"/>
      <c r="I917" s="18"/>
      <c r="J917" s="18"/>
      <c r="K917" s="18"/>
      <c r="L917" s="18"/>
      <c r="M917" s="18"/>
      <c r="N917" s="18"/>
      <c r="O917" s="18"/>
      <c r="P917" s="18"/>
      <c r="Q917" s="18"/>
      <c r="R917" s="18"/>
      <c r="S917" s="18"/>
    </row>
    <row r="918" spans="1:19" ht="14.25" hidden="1">
      <c r="A918" s="18"/>
      <c r="B918" s="18"/>
      <c r="C918" s="18"/>
      <c r="D918" s="18"/>
      <c r="E918" s="18"/>
      <c r="F918" s="18"/>
      <c r="G918" s="18"/>
      <c r="H918" s="18"/>
      <c r="I918" s="18"/>
      <c r="J918" s="18"/>
      <c r="K918" s="18"/>
      <c r="L918" s="18"/>
      <c r="M918" s="18"/>
      <c r="N918" s="18"/>
      <c r="O918" s="18"/>
      <c r="P918" s="18"/>
      <c r="Q918" s="18"/>
      <c r="R918" s="18"/>
      <c r="S918" s="18"/>
    </row>
    <row r="919" spans="1:19" ht="14.25" hidden="1">
      <c r="A919" s="18"/>
      <c r="B919" s="18"/>
      <c r="C919" s="18"/>
      <c r="D919" s="18"/>
      <c r="E919" s="18"/>
      <c r="F919" s="18"/>
      <c r="G919" s="18"/>
      <c r="H919" s="18"/>
      <c r="I919" s="18"/>
      <c r="J919" s="18"/>
      <c r="K919" s="18"/>
      <c r="L919" s="18"/>
      <c r="M919" s="18"/>
      <c r="N919" s="18"/>
      <c r="O919" s="18"/>
      <c r="P919" s="18"/>
      <c r="Q919" s="18"/>
      <c r="R919" s="18"/>
      <c r="S919" s="18"/>
    </row>
    <row r="920" spans="1:19" ht="14.25" hidden="1">
      <c r="A920" s="18"/>
      <c r="B920" s="18"/>
      <c r="C920" s="18"/>
      <c r="D920" s="18"/>
      <c r="E920" s="18"/>
      <c r="F920" s="18"/>
      <c r="G920" s="18"/>
      <c r="H920" s="18"/>
      <c r="I920" s="18"/>
      <c r="J920" s="18"/>
      <c r="K920" s="18"/>
      <c r="L920" s="18"/>
      <c r="M920" s="18"/>
      <c r="N920" s="18"/>
      <c r="O920" s="18"/>
      <c r="P920" s="18"/>
      <c r="Q920" s="18"/>
      <c r="R920" s="18"/>
      <c r="S920" s="18"/>
    </row>
    <row r="921" spans="1:19" ht="14.25" hidden="1">
      <c r="A921" s="18"/>
      <c r="B921" s="18"/>
      <c r="C921" s="18"/>
      <c r="D921" s="18"/>
      <c r="E921" s="18"/>
      <c r="F921" s="18"/>
      <c r="G921" s="18"/>
      <c r="H921" s="18"/>
      <c r="I921" s="18"/>
      <c r="J921" s="18"/>
      <c r="K921" s="18"/>
      <c r="L921" s="18"/>
      <c r="M921" s="18"/>
      <c r="N921" s="18"/>
      <c r="O921" s="18"/>
      <c r="P921" s="18"/>
      <c r="Q921" s="18"/>
      <c r="R921" s="18"/>
      <c r="S921" s="18"/>
    </row>
    <row r="922" spans="1:19" ht="14.25" hidden="1">
      <c r="A922" s="18"/>
      <c r="B922" s="18"/>
      <c r="C922" s="18"/>
      <c r="D922" s="18"/>
      <c r="E922" s="18"/>
      <c r="F922" s="18"/>
      <c r="G922" s="18"/>
      <c r="H922" s="18"/>
      <c r="I922" s="18"/>
      <c r="J922" s="18"/>
      <c r="K922" s="18"/>
      <c r="L922" s="18"/>
      <c r="M922" s="18"/>
      <c r="N922" s="18"/>
      <c r="O922" s="18"/>
      <c r="P922" s="18"/>
      <c r="Q922" s="18"/>
      <c r="R922" s="18"/>
      <c r="S922" s="18"/>
    </row>
    <row r="923" spans="1:19" ht="14.25" hidden="1">
      <c r="A923" s="18"/>
      <c r="B923" s="18"/>
      <c r="C923" s="18"/>
      <c r="D923" s="18"/>
      <c r="E923" s="18"/>
      <c r="F923" s="18"/>
      <c r="G923" s="18"/>
      <c r="H923" s="18"/>
      <c r="I923" s="18"/>
      <c r="J923" s="18"/>
      <c r="K923" s="18"/>
      <c r="L923" s="18"/>
      <c r="M923" s="18"/>
      <c r="N923" s="18"/>
      <c r="O923" s="18"/>
      <c r="P923" s="18"/>
      <c r="Q923" s="18"/>
      <c r="R923" s="18"/>
      <c r="S923" s="18"/>
    </row>
    <row r="924" spans="1:19" ht="14.25" hidden="1">
      <c r="A924" s="18"/>
      <c r="B924" s="18"/>
      <c r="C924" s="18"/>
      <c r="D924" s="18"/>
      <c r="E924" s="18"/>
      <c r="F924" s="18"/>
      <c r="G924" s="18"/>
      <c r="H924" s="18"/>
      <c r="I924" s="18"/>
      <c r="J924" s="18"/>
      <c r="K924" s="18"/>
      <c r="L924" s="18"/>
      <c r="M924" s="18"/>
      <c r="N924" s="18"/>
      <c r="O924" s="18"/>
      <c r="P924" s="18"/>
      <c r="Q924" s="18"/>
      <c r="R924" s="18"/>
      <c r="S924" s="18"/>
    </row>
    <row r="925" spans="1:19" ht="14.25" hidden="1">
      <c r="A925" s="18"/>
      <c r="B925" s="18"/>
      <c r="C925" s="18"/>
      <c r="D925" s="18"/>
      <c r="E925" s="18"/>
      <c r="F925" s="18"/>
      <c r="G925" s="18"/>
      <c r="H925" s="18"/>
      <c r="I925" s="18"/>
      <c r="J925" s="18"/>
      <c r="K925" s="18"/>
      <c r="L925" s="18"/>
      <c r="M925" s="18"/>
      <c r="N925" s="18"/>
      <c r="O925" s="18"/>
      <c r="P925" s="18"/>
      <c r="Q925" s="18"/>
      <c r="R925" s="18"/>
      <c r="S925" s="18"/>
    </row>
    <row r="926" spans="1:19" ht="14.25" hidden="1">
      <c r="A926" s="18"/>
      <c r="B926" s="18"/>
      <c r="C926" s="18"/>
      <c r="D926" s="18"/>
      <c r="E926" s="18"/>
      <c r="F926" s="18"/>
      <c r="G926" s="18"/>
      <c r="H926" s="18"/>
      <c r="I926" s="18"/>
      <c r="J926" s="18"/>
      <c r="K926" s="18"/>
      <c r="L926" s="18"/>
      <c r="M926" s="18"/>
      <c r="N926" s="18"/>
      <c r="O926" s="18"/>
      <c r="P926" s="18"/>
      <c r="Q926" s="18"/>
      <c r="R926" s="18"/>
      <c r="S926" s="18"/>
    </row>
    <row r="927" spans="1:19" ht="14.25" hidden="1">
      <c r="A927" s="18"/>
      <c r="B927" s="18"/>
      <c r="C927" s="18"/>
      <c r="D927" s="18"/>
      <c r="E927" s="18"/>
      <c r="F927" s="18"/>
      <c r="G927" s="18"/>
      <c r="H927" s="18"/>
      <c r="I927" s="18"/>
      <c r="J927" s="18"/>
      <c r="K927" s="18"/>
      <c r="L927" s="18"/>
      <c r="M927" s="18"/>
      <c r="N927" s="18"/>
      <c r="O927" s="18"/>
      <c r="P927" s="18"/>
      <c r="Q927" s="18"/>
      <c r="R927" s="18"/>
      <c r="S927" s="18"/>
    </row>
    <row r="928" spans="1:19" ht="14.25" hidden="1">
      <c r="A928" s="18"/>
      <c r="B928" s="18"/>
      <c r="C928" s="18"/>
      <c r="D928" s="18"/>
      <c r="E928" s="18"/>
      <c r="F928" s="18"/>
      <c r="G928" s="18"/>
      <c r="H928" s="18"/>
      <c r="I928" s="18"/>
      <c r="J928" s="18"/>
      <c r="K928" s="18"/>
      <c r="L928" s="18"/>
      <c r="M928" s="18"/>
      <c r="N928" s="18"/>
      <c r="O928" s="18"/>
      <c r="P928" s="18"/>
      <c r="Q928" s="18"/>
      <c r="R928" s="18"/>
      <c r="S928" s="18"/>
    </row>
    <row r="929" spans="1:19" ht="14.25" hidden="1">
      <c r="A929" s="18"/>
      <c r="B929" s="18"/>
      <c r="C929" s="18"/>
      <c r="D929" s="18"/>
      <c r="E929" s="18"/>
      <c r="F929" s="18"/>
      <c r="G929" s="18"/>
      <c r="H929" s="18"/>
      <c r="I929" s="18"/>
      <c r="J929" s="18"/>
      <c r="K929" s="18"/>
      <c r="L929" s="18"/>
      <c r="M929" s="18"/>
      <c r="N929" s="18"/>
      <c r="O929" s="18"/>
      <c r="P929" s="18"/>
      <c r="Q929" s="18"/>
      <c r="R929" s="18"/>
      <c r="S929" s="18"/>
    </row>
    <row r="930" spans="1:19" ht="14.25" hidden="1">
      <c r="A930" s="18"/>
      <c r="B930" s="18"/>
      <c r="C930" s="18"/>
      <c r="D930" s="18"/>
      <c r="E930" s="18"/>
      <c r="F930" s="18"/>
      <c r="G930" s="18"/>
      <c r="H930" s="18"/>
      <c r="I930" s="18"/>
      <c r="J930" s="18"/>
      <c r="K930" s="18"/>
      <c r="L930" s="18"/>
      <c r="M930" s="18"/>
      <c r="N930" s="18"/>
      <c r="O930" s="18"/>
      <c r="P930" s="18"/>
      <c r="Q930" s="18"/>
      <c r="R930" s="18"/>
      <c r="S930" s="18"/>
    </row>
    <row r="931" spans="1:19" ht="14.25" hidden="1">
      <c r="A931" s="18"/>
      <c r="B931" s="18"/>
      <c r="C931" s="18"/>
      <c r="D931" s="18"/>
      <c r="E931" s="18"/>
      <c r="F931" s="18"/>
      <c r="G931" s="18"/>
      <c r="H931" s="18"/>
      <c r="I931" s="18"/>
      <c r="J931" s="18"/>
      <c r="K931" s="18"/>
      <c r="L931" s="18"/>
      <c r="M931" s="18"/>
      <c r="N931" s="18"/>
      <c r="O931" s="18"/>
      <c r="P931" s="18"/>
      <c r="Q931" s="18"/>
      <c r="R931" s="18"/>
      <c r="S931" s="18"/>
    </row>
    <row r="932" spans="1:19" ht="14.25" hidden="1">
      <c r="A932" s="18"/>
      <c r="B932" s="18"/>
      <c r="C932" s="18"/>
      <c r="D932" s="18"/>
      <c r="E932" s="18"/>
      <c r="F932" s="18"/>
      <c r="G932" s="18"/>
      <c r="H932" s="18"/>
      <c r="I932" s="18"/>
      <c r="J932" s="18"/>
      <c r="K932" s="18"/>
      <c r="L932" s="18"/>
      <c r="M932" s="18"/>
      <c r="N932" s="18"/>
      <c r="O932" s="18"/>
      <c r="P932" s="18"/>
      <c r="Q932" s="18"/>
      <c r="R932" s="18"/>
      <c r="S932" s="18"/>
    </row>
    <row r="933" spans="1:19" ht="14.25" hidden="1">
      <c r="A933" s="18"/>
      <c r="B933" s="18"/>
      <c r="C933" s="18"/>
      <c r="D933" s="18"/>
      <c r="E933" s="18"/>
      <c r="F933" s="18"/>
      <c r="G933" s="18"/>
      <c r="H933" s="18"/>
      <c r="I933" s="18"/>
      <c r="J933" s="18"/>
      <c r="K933" s="18"/>
      <c r="L933" s="18"/>
      <c r="M933" s="18"/>
      <c r="N933" s="18"/>
      <c r="O933" s="18"/>
      <c r="P933" s="18"/>
      <c r="Q933" s="18"/>
      <c r="R933" s="18"/>
      <c r="S933" s="18"/>
    </row>
    <row r="934" spans="1:19" ht="14.25" hidden="1">
      <c r="A934" s="18"/>
      <c r="B934" s="18"/>
      <c r="C934" s="18"/>
      <c r="D934" s="18"/>
      <c r="E934" s="18"/>
      <c r="F934" s="18"/>
      <c r="G934" s="18"/>
      <c r="H934" s="18"/>
      <c r="I934" s="18"/>
      <c r="J934" s="18"/>
      <c r="K934" s="18"/>
      <c r="L934" s="18"/>
      <c r="M934" s="18"/>
      <c r="N934" s="18"/>
      <c r="O934" s="18"/>
      <c r="P934" s="18"/>
      <c r="Q934" s="18"/>
      <c r="R934" s="18"/>
      <c r="S934" s="18"/>
    </row>
    <row r="935" spans="1:19" ht="14.25" hidden="1">
      <c r="A935" s="18"/>
      <c r="B935" s="18"/>
      <c r="C935" s="18"/>
      <c r="D935" s="18"/>
      <c r="E935" s="18"/>
      <c r="F935" s="18"/>
      <c r="G935" s="18"/>
      <c r="H935" s="18"/>
      <c r="I935" s="18"/>
      <c r="J935" s="18"/>
      <c r="K935" s="18"/>
      <c r="L935" s="18"/>
      <c r="M935" s="18"/>
      <c r="N935" s="18"/>
      <c r="O935" s="18"/>
      <c r="P935" s="18"/>
      <c r="Q935" s="18"/>
      <c r="R935" s="18"/>
      <c r="S935" s="18"/>
    </row>
    <row r="936" spans="1:19" ht="14.25" hidden="1">
      <c r="A936" s="18"/>
      <c r="B936" s="18"/>
      <c r="C936" s="18"/>
      <c r="D936" s="18"/>
      <c r="E936" s="18"/>
      <c r="F936" s="18"/>
      <c r="G936" s="18"/>
      <c r="H936" s="18"/>
      <c r="I936" s="18"/>
      <c r="J936" s="18"/>
      <c r="K936" s="18"/>
      <c r="L936" s="18"/>
      <c r="M936" s="18"/>
      <c r="N936" s="18"/>
      <c r="O936" s="18"/>
      <c r="P936" s="18"/>
      <c r="Q936" s="18"/>
      <c r="R936" s="18"/>
      <c r="S936" s="18"/>
    </row>
    <row r="937" spans="1:19" ht="14.25" hidden="1">
      <c r="A937" s="18"/>
      <c r="B937" s="18"/>
      <c r="C937" s="18"/>
      <c r="D937" s="18"/>
      <c r="E937" s="18"/>
      <c r="F937" s="18"/>
      <c r="G937" s="18"/>
      <c r="H937" s="18"/>
      <c r="I937" s="18"/>
      <c r="J937" s="18"/>
      <c r="K937" s="18"/>
      <c r="L937" s="18"/>
      <c r="M937" s="18"/>
      <c r="N937" s="18"/>
      <c r="O937" s="18"/>
      <c r="P937" s="18"/>
      <c r="Q937" s="18"/>
      <c r="R937" s="18"/>
      <c r="S937" s="18"/>
    </row>
    <row r="938" spans="1:19" ht="14.25" hidden="1">
      <c r="A938" s="18"/>
      <c r="B938" s="18"/>
      <c r="C938" s="18"/>
      <c r="D938" s="18"/>
      <c r="E938" s="18"/>
      <c r="F938" s="18"/>
      <c r="G938" s="18"/>
      <c r="H938" s="18"/>
      <c r="I938" s="18"/>
      <c r="J938" s="18"/>
      <c r="K938" s="18"/>
      <c r="L938" s="18"/>
      <c r="M938" s="18"/>
      <c r="N938" s="18"/>
      <c r="O938" s="18"/>
      <c r="P938" s="18"/>
      <c r="Q938" s="18"/>
      <c r="R938" s="18"/>
      <c r="S938" s="18"/>
    </row>
    <row r="939" spans="1:19" ht="14.25" hidden="1">
      <c r="A939" s="18"/>
      <c r="B939" s="18"/>
      <c r="C939" s="18"/>
      <c r="D939" s="18"/>
      <c r="E939" s="18"/>
      <c r="F939" s="18"/>
      <c r="G939" s="18"/>
      <c r="H939" s="18"/>
      <c r="I939" s="18"/>
      <c r="J939" s="18"/>
      <c r="K939" s="18"/>
      <c r="L939" s="18"/>
      <c r="M939" s="18"/>
      <c r="N939" s="18"/>
      <c r="O939" s="18"/>
      <c r="P939" s="18"/>
      <c r="Q939" s="18"/>
      <c r="R939" s="18"/>
      <c r="S939" s="18"/>
    </row>
    <row r="940" spans="1:19" ht="14.25" hidden="1">
      <c r="A940" s="18"/>
      <c r="B940" s="18"/>
      <c r="C940" s="18"/>
      <c r="D940" s="18"/>
      <c r="E940" s="18"/>
      <c r="F940" s="18"/>
      <c r="G940" s="18"/>
      <c r="H940" s="18"/>
      <c r="I940" s="18"/>
      <c r="J940" s="18"/>
      <c r="K940" s="18"/>
      <c r="L940" s="18"/>
      <c r="M940" s="18"/>
      <c r="N940" s="18"/>
      <c r="O940" s="18"/>
      <c r="P940" s="18"/>
      <c r="Q940" s="18"/>
      <c r="R940" s="18"/>
      <c r="S940" s="18"/>
    </row>
    <row r="941" spans="1:19" ht="14.25" hidden="1">
      <c r="A941" s="18"/>
      <c r="B941" s="18"/>
      <c r="C941" s="18"/>
      <c r="D941" s="18"/>
      <c r="E941" s="18"/>
      <c r="F941" s="18"/>
      <c r="G941" s="18"/>
      <c r="H941" s="18"/>
      <c r="I941" s="18"/>
      <c r="J941" s="18"/>
      <c r="K941" s="18"/>
      <c r="L941" s="18"/>
      <c r="M941" s="18"/>
      <c r="N941" s="18"/>
      <c r="O941" s="18"/>
      <c r="P941" s="18"/>
      <c r="Q941" s="18"/>
      <c r="R941" s="18"/>
      <c r="S941" s="18"/>
    </row>
    <row r="942" spans="1:19" ht="14.25" hidden="1">
      <c r="A942" s="18"/>
      <c r="B942" s="18"/>
      <c r="C942" s="18"/>
      <c r="D942" s="18"/>
      <c r="E942" s="18"/>
      <c r="F942" s="18"/>
      <c r="G942" s="18"/>
      <c r="H942" s="18"/>
      <c r="I942" s="18"/>
      <c r="J942" s="18"/>
      <c r="K942" s="18"/>
      <c r="L942" s="18"/>
      <c r="M942" s="18"/>
      <c r="N942" s="18"/>
      <c r="O942" s="18"/>
      <c r="P942" s="18"/>
      <c r="Q942" s="18"/>
      <c r="R942" s="18"/>
      <c r="S942" s="18"/>
    </row>
    <row r="943" spans="1:19" ht="14.25" hidden="1">
      <c r="A943" s="18"/>
      <c r="B943" s="18"/>
      <c r="C943" s="18"/>
      <c r="D943" s="18"/>
      <c r="E943" s="18"/>
      <c r="F943" s="18"/>
      <c r="G943" s="18"/>
      <c r="H943" s="18"/>
      <c r="I943" s="18"/>
      <c r="J943" s="18"/>
      <c r="K943" s="18"/>
      <c r="L943" s="18"/>
      <c r="M943" s="18"/>
      <c r="N943" s="18"/>
      <c r="O943" s="18"/>
      <c r="P943" s="18"/>
      <c r="Q943" s="18"/>
      <c r="R943" s="18"/>
      <c r="S943" s="18"/>
    </row>
    <row r="944" spans="1:19" ht="14.25" hidden="1">
      <c r="A944" s="18"/>
      <c r="B944" s="18"/>
      <c r="C944" s="18"/>
      <c r="D944" s="18"/>
      <c r="E944" s="18"/>
      <c r="F944" s="18"/>
      <c r="G944" s="18"/>
      <c r="H944" s="18"/>
      <c r="I944" s="18"/>
      <c r="J944" s="18"/>
      <c r="K944" s="18"/>
      <c r="L944" s="18"/>
      <c r="M944" s="18"/>
      <c r="N944" s="18"/>
      <c r="O944" s="18"/>
      <c r="P944" s="18"/>
      <c r="Q944" s="18"/>
      <c r="R944" s="18"/>
      <c r="S944" s="18"/>
    </row>
    <row r="945" spans="1:19" ht="14.25" hidden="1">
      <c r="A945" s="18"/>
      <c r="B945" s="18"/>
      <c r="C945" s="18"/>
      <c r="D945" s="18"/>
      <c r="E945" s="18"/>
      <c r="F945" s="18"/>
      <c r="G945" s="18"/>
      <c r="H945" s="18"/>
      <c r="I945" s="18"/>
      <c r="J945" s="18"/>
      <c r="K945" s="18"/>
      <c r="L945" s="18"/>
      <c r="M945" s="18"/>
      <c r="N945" s="18"/>
      <c r="O945" s="18"/>
      <c r="P945" s="18"/>
      <c r="Q945" s="18"/>
      <c r="R945" s="18"/>
      <c r="S945" s="18"/>
    </row>
    <row r="946" spans="1:19" ht="14.25" hidden="1">
      <c r="A946" s="18"/>
      <c r="B946" s="18"/>
      <c r="C946" s="18"/>
      <c r="D946" s="18"/>
      <c r="E946" s="18"/>
      <c r="F946" s="18"/>
      <c r="G946" s="18"/>
      <c r="H946" s="18"/>
      <c r="I946" s="18"/>
      <c r="J946" s="18"/>
      <c r="K946" s="18"/>
      <c r="L946" s="18"/>
      <c r="M946" s="18"/>
      <c r="N946" s="18"/>
      <c r="O946" s="18"/>
      <c r="P946" s="18"/>
      <c r="Q946" s="18"/>
      <c r="R946" s="18"/>
      <c r="S946" s="18"/>
    </row>
    <row r="947" spans="1:19" ht="14.25" hidden="1">
      <c r="A947" s="18"/>
      <c r="B947" s="18"/>
      <c r="C947" s="18"/>
      <c r="D947" s="18"/>
      <c r="E947" s="18"/>
      <c r="F947" s="18"/>
      <c r="G947" s="18"/>
      <c r="H947" s="18"/>
      <c r="I947" s="18"/>
      <c r="J947" s="18"/>
      <c r="K947" s="18"/>
      <c r="L947" s="18"/>
      <c r="M947" s="18"/>
      <c r="N947" s="18"/>
      <c r="O947" s="18"/>
      <c r="P947" s="18"/>
      <c r="Q947" s="18"/>
      <c r="R947" s="18"/>
      <c r="S947" s="18"/>
    </row>
    <row r="948" spans="1:19" ht="14.25" hidden="1">
      <c r="A948" s="18"/>
      <c r="B948" s="18"/>
      <c r="C948" s="18"/>
      <c r="D948" s="18"/>
      <c r="E948" s="18"/>
      <c r="F948" s="18"/>
      <c r="G948" s="18"/>
      <c r="H948" s="18"/>
      <c r="I948" s="18"/>
      <c r="J948" s="18"/>
      <c r="K948" s="18"/>
      <c r="L948" s="18"/>
      <c r="M948" s="18"/>
      <c r="N948" s="18"/>
      <c r="O948" s="18"/>
      <c r="P948" s="18"/>
      <c r="Q948" s="18"/>
      <c r="R948" s="18"/>
      <c r="S948" s="18"/>
    </row>
    <row r="949" spans="1:19" ht="14.25" hidden="1">
      <c r="A949" s="18"/>
      <c r="B949" s="18"/>
      <c r="C949" s="18"/>
      <c r="D949" s="18"/>
      <c r="E949" s="18"/>
      <c r="F949" s="18"/>
      <c r="G949" s="18"/>
      <c r="H949" s="18"/>
      <c r="I949" s="18"/>
      <c r="J949" s="18"/>
      <c r="K949" s="18"/>
      <c r="L949" s="18"/>
      <c r="M949" s="18"/>
      <c r="N949" s="18"/>
      <c r="O949" s="18"/>
      <c r="P949" s="18"/>
      <c r="Q949" s="18"/>
      <c r="R949" s="18"/>
      <c r="S949" s="18"/>
    </row>
    <row r="950" spans="1:19" ht="14.25" hidden="1">
      <c r="A950" s="18"/>
      <c r="B950" s="18"/>
      <c r="C950" s="18"/>
      <c r="D950" s="18"/>
      <c r="E950" s="18"/>
      <c r="F950" s="18"/>
      <c r="G950" s="18"/>
      <c r="H950" s="18"/>
      <c r="I950" s="18"/>
      <c r="J950" s="18"/>
      <c r="K950" s="18"/>
      <c r="L950" s="18"/>
      <c r="M950" s="18"/>
      <c r="N950" s="18"/>
      <c r="O950" s="18"/>
      <c r="P950" s="18"/>
      <c r="Q950" s="18"/>
      <c r="R950" s="18"/>
      <c r="S950" s="18"/>
    </row>
    <row r="951" spans="1:19" ht="14.25" hidden="1">
      <c r="A951" s="18"/>
      <c r="B951" s="18"/>
      <c r="C951" s="18"/>
      <c r="D951" s="18"/>
      <c r="E951" s="18"/>
      <c r="F951" s="18"/>
      <c r="G951" s="18"/>
      <c r="H951" s="18"/>
      <c r="I951" s="18"/>
      <c r="J951" s="18"/>
      <c r="K951" s="18"/>
      <c r="L951" s="18"/>
      <c r="M951" s="18"/>
      <c r="N951" s="18"/>
      <c r="O951" s="18"/>
      <c r="P951" s="18"/>
      <c r="Q951" s="18"/>
      <c r="R951" s="18"/>
      <c r="S951" s="18"/>
    </row>
    <row r="952" spans="1:19" ht="14.25" hidden="1">
      <c r="A952" s="18"/>
      <c r="B952" s="18"/>
      <c r="C952" s="18"/>
      <c r="D952" s="18"/>
      <c r="E952" s="18"/>
      <c r="F952" s="18"/>
      <c r="G952" s="18"/>
      <c r="H952" s="18"/>
      <c r="I952" s="18"/>
      <c r="J952" s="18"/>
      <c r="K952" s="18"/>
      <c r="L952" s="18"/>
      <c r="M952" s="18"/>
      <c r="N952" s="18"/>
      <c r="O952" s="18"/>
      <c r="P952" s="18"/>
      <c r="Q952" s="18"/>
      <c r="R952" s="18"/>
      <c r="S952" s="18"/>
    </row>
    <row r="953" spans="1:19" ht="14.25" hidden="1">
      <c r="A953" s="18"/>
      <c r="B953" s="18"/>
      <c r="C953" s="18"/>
      <c r="D953" s="18"/>
      <c r="E953" s="18"/>
      <c r="F953" s="18"/>
      <c r="G953" s="18"/>
      <c r="H953" s="18"/>
      <c r="I953" s="18"/>
      <c r="J953" s="18"/>
      <c r="K953" s="18"/>
      <c r="L953" s="18"/>
      <c r="M953" s="18"/>
      <c r="N953" s="18"/>
      <c r="O953" s="18"/>
      <c r="P953" s="18"/>
      <c r="Q953" s="18"/>
      <c r="R953" s="18"/>
      <c r="S953" s="18"/>
    </row>
    <row r="954" spans="1:19" ht="14.25" hidden="1">
      <c r="A954" s="18"/>
      <c r="B954" s="18"/>
      <c r="C954" s="18"/>
      <c r="D954" s="18"/>
      <c r="E954" s="18"/>
      <c r="F954" s="18"/>
      <c r="G954" s="18"/>
      <c r="H954" s="18"/>
      <c r="I954" s="18"/>
      <c r="J954" s="18"/>
      <c r="K954" s="18"/>
      <c r="L954" s="18"/>
      <c r="M954" s="18"/>
      <c r="N954" s="18"/>
      <c r="O954" s="18"/>
      <c r="P954" s="18"/>
      <c r="Q954" s="18"/>
      <c r="R954" s="18"/>
      <c r="S954" s="18"/>
    </row>
    <row r="955" spans="1:19" ht="14.25" hidden="1">
      <c r="A955" s="18"/>
      <c r="B955" s="18"/>
      <c r="C955" s="18"/>
      <c r="D955" s="18"/>
      <c r="E955" s="18"/>
      <c r="F955" s="18"/>
      <c r="G955" s="18"/>
      <c r="H955" s="18"/>
      <c r="I955" s="18"/>
      <c r="J955" s="18"/>
      <c r="K955" s="18"/>
      <c r="L955" s="18"/>
      <c r="M955" s="18"/>
      <c r="N955" s="18"/>
      <c r="O955" s="18"/>
      <c r="P955" s="18"/>
      <c r="Q955" s="18"/>
      <c r="R955" s="18"/>
      <c r="S955" s="18"/>
    </row>
    <row r="956" spans="1:19" ht="14.25" hidden="1">
      <c r="A956" s="18"/>
      <c r="B956" s="18"/>
      <c r="C956" s="18"/>
      <c r="D956" s="18"/>
      <c r="E956" s="18"/>
      <c r="F956" s="18"/>
      <c r="G956" s="18"/>
      <c r="H956" s="18"/>
      <c r="I956" s="18"/>
      <c r="J956" s="18"/>
      <c r="K956" s="18"/>
      <c r="L956" s="18"/>
      <c r="M956" s="18"/>
      <c r="N956" s="18"/>
      <c r="O956" s="18"/>
      <c r="P956" s="18"/>
      <c r="Q956" s="18"/>
      <c r="R956" s="18"/>
      <c r="S956" s="18"/>
    </row>
    <row r="957" spans="1:19" ht="14.25" hidden="1">
      <c r="A957" s="18"/>
      <c r="B957" s="18"/>
      <c r="C957" s="18"/>
      <c r="D957" s="18"/>
      <c r="E957" s="18"/>
      <c r="F957" s="18"/>
      <c r="G957" s="18"/>
      <c r="H957" s="18"/>
      <c r="I957" s="18"/>
      <c r="J957" s="18"/>
      <c r="K957" s="18"/>
      <c r="L957" s="18"/>
      <c r="M957" s="18"/>
      <c r="N957" s="18"/>
      <c r="O957" s="18"/>
      <c r="P957" s="18"/>
      <c r="Q957" s="18"/>
      <c r="R957" s="18"/>
      <c r="S957" s="18"/>
    </row>
    <row r="958" spans="1:19" ht="14.25" hidden="1">
      <c r="A958" s="18"/>
      <c r="B958" s="18"/>
      <c r="C958" s="18"/>
      <c r="D958" s="18"/>
      <c r="E958" s="18"/>
      <c r="F958" s="18"/>
      <c r="G958" s="18"/>
      <c r="H958" s="18"/>
      <c r="I958" s="18"/>
      <c r="J958" s="18"/>
      <c r="K958" s="18"/>
      <c r="L958" s="18"/>
      <c r="M958" s="18"/>
      <c r="N958" s="18"/>
      <c r="O958" s="18"/>
      <c r="P958" s="18"/>
      <c r="Q958" s="18"/>
      <c r="R958" s="18"/>
      <c r="S958" s="18"/>
    </row>
    <row r="959" spans="1:19" ht="14.25" hidden="1">
      <c r="A959" s="18"/>
      <c r="B959" s="18"/>
      <c r="C959" s="18"/>
      <c r="D959" s="18"/>
      <c r="E959" s="18"/>
      <c r="F959" s="18"/>
      <c r="G959" s="18"/>
      <c r="H959" s="18"/>
      <c r="I959" s="18"/>
      <c r="J959" s="18"/>
      <c r="K959" s="18"/>
      <c r="L959" s="18"/>
      <c r="M959" s="18"/>
      <c r="N959" s="18"/>
      <c r="O959" s="18"/>
      <c r="P959" s="18"/>
      <c r="Q959" s="18"/>
      <c r="R959" s="18"/>
      <c r="S959" s="18"/>
    </row>
    <row r="960" spans="1:19" ht="14.25" hidden="1">
      <c r="A960" s="18"/>
      <c r="B960" s="18"/>
      <c r="C960" s="18"/>
      <c r="D960" s="18"/>
      <c r="E960" s="18"/>
      <c r="F960" s="18"/>
      <c r="G960" s="18"/>
      <c r="H960" s="18"/>
      <c r="I960" s="18"/>
      <c r="J960" s="18"/>
      <c r="K960" s="18"/>
      <c r="L960" s="18"/>
      <c r="M960" s="18"/>
      <c r="N960" s="18"/>
      <c r="O960" s="18"/>
      <c r="P960" s="18"/>
      <c r="Q960" s="18"/>
      <c r="R960" s="18"/>
      <c r="S960" s="18"/>
    </row>
    <row r="961" spans="1:19" ht="14.25" hidden="1">
      <c r="A961" s="18"/>
      <c r="B961" s="18"/>
      <c r="C961" s="18"/>
      <c r="D961" s="18"/>
      <c r="E961" s="18"/>
      <c r="F961" s="18"/>
      <c r="G961" s="18"/>
      <c r="H961" s="18"/>
      <c r="I961" s="18"/>
      <c r="J961" s="18"/>
      <c r="K961" s="18"/>
      <c r="L961" s="18"/>
      <c r="M961" s="18"/>
      <c r="N961" s="18"/>
      <c r="O961" s="18"/>
      <c r="P961" s="18"/>
      <c r="Q961" s="18"/>
      <c r="R961" s="18"/>
      <c r="S961" s="18"/>
    </row>
    <row r="962" spans="1:19" ht="14.25" hidden="1">
      <c r="A962" s="18"/>
      <c r="B962" s="18"/>
      <c r="C962" s="18"/>
      <c r="D962" s="18"/>
      <c r="E962" s="18"/>
      <c r="F962" s="18"/>
      <c r="G962" s="18"/>
      <c r="H962" s="18"/>
      <c r="I962" s="18"/>
      <c r="J962" s="18"/>
      <c r="K962" s="18"/>
      <c r="L962" s="18"/>
      <c r="M962" s="18"/>
      <c r="N962" s="18"/>
      <c r="O962" s="18"/>
      <c r="P962" s="18"/>
      <c r="Q962" s="18"/>
      <c r="R962" s="18"/>
      <c r="S962" s="18"/>
    </row>
    <row r="963" spans="1:19" ht="14.25" hidden="1">
      <c r="A963" s="18"/>
      <c r="B963" s="18"/>
      <c r="C963" s="18"/>
      <c r="D963" s="18"/>
      <c r="E963" s="18"/>
      <c r="F963" s="18"/>
      <c r="G963" s="18"/>
      <c r="H963" s="18"/>
      <c r="I963" s="18"/>
      <c r="J963" s="18"/>
      <c r="K963" s="18"/>
      <c r="L963" s="18"/>
      <c r="M963" s="18"/>
      <c r="N963" s="18"/>
      <c r="O963" s="18"/>
      <c r="P963" s="18"/>
      <c r="Q963" s="18"/>
      <c r="R963" s="18"/>
      <c r="S963" s="18"/>
    </row>
    <row r="964" spans="1:19" ht="14.25" hidden="1">
      <c r="A964" s="18"/>
      <c r="B964" s="18"/>
      <c r="C964" s="18"/>
      <c r="D964" s="18"/>
      <c r="E964" s="18"/>
      <c r="F964" s="18"/>
      <c r="G964" s="18"/>
      <c r="H964" s="18"/>
      <c r="I964" s="18"/>
      <c r="J964" s="18"/>
      <c r="K964" s="18"/>
      <c r="L964" s="18"/>
      <c r="M964" s="18"/>
      <c r="N964" s="18"/>
      <c r="O964" s="18"/>
      <c r="P964" s="18"/>
      <c r="Q964" s="18"/>
      <c r="R964" s="18"/>
      <c r="S964" s="18"/>
    </row>
    <row r="965" spans="1:19" ht="14.25" hidden="1">
      <c r="A965" s="18"/>
      <c r="B965" s="18"/>
      <c r="C965" s="18"/>
      <c r="D965" s="18"/>
      <c r="E965" s="18"/>
      <c r="F965" s="18"/>
      <c r="G965" s="18"/>
      <c r="H965" s="18"/>
      <c r="I965" s="18"/>
      <c r="J965" s="18"/>
      <c r="K965" s="18"/>
      <c r="L965" s="18"/>
      <c r="M965" s="18"/>
      <c r="N965" s="18"/>
      <c r="O965" s="18"/>
      <c r="P965" s="18"/>
      <c r="Q965" s="18"/>
      <c r="R965" s="18"/>
      <c r="S965" s="18"/>
    </row>
    <row r="966" spans="1:19" ht="14.25" hidden="1">
      <c r="A966" s="18"/>
      <c r="B966" s="18"/>
      <c r="C966" s="18"/>
      <c r="D966" s="18"/>
      <c r="E966" s="18"/>
      <c r="F966" s="18"/>
      <c r="G966" s="18"/>
      <c r="H966" s="18"/>
      <c r="I966" s="18"/>
      <c r="J966" s="18"/>
      <c r="K966" s="18"/>
      <c r="L966" s="18"/>
      <c r="M966" s="18"/>
      <c r="N966" s="18"/>
      <c r="O966" s="18"/>
      <c r="P966" s="18"/>
      <c r="Q966" s="18"/>
      <c r="R966" s="18"/>
      <c r="S966" s="18"/>
    </row>
    <row r="967" spans="1:19" ht="14.25" hidden="1">
      <c r="A967" s="18"/>
      <c r="B967" s="18"/>
      <c r="C967" s="18"/>
      <c r="D967" s="18"/>
      <c r="E967" s="18"/>
      <c r="F967" s="18"/>
      <c r="G967" s="18"/>
      <c r="H967" s="18"/>
      <c r="I967" s="18"/>
      <c r="J967" s="18"/>
      <c r="K967" s="18"/>
      <c r="L967" s="18"/>
      <c r="M967" s="18"/>
      <c r="N967" s="18"/>
      <c r="O967" s="18"/>
      <c r="P967" s="18"/>
      <c r="Q967" s="18"/>
      <c r="R967" s="18"/>
      <c r="S967" s="18"/>
    </row>
    <row r="968" spans="1:19" ht="14.25" hidden="1">
      <c r="A968" s="18"/>
      <c r="B968" s="18"/>
      <c r="C968" s="18"/>
      <c r="D968" s="18"/>
      <c r="E968" s="18"/>
      <c r="F968" s="18"/>
      <c r="G968" s="18"/>
      <c r="H968" s="18"/>
      <c r="I968" s="18"/>
      <c r="J968" s="18"/>
      <c r="K968" s="18"/>
      <c r="L968" s="18"/>
      <c r="M968" s="18"/>
      <c r="N968" s="18"/>
      <c r="O968" s="18"/>
      <c r="P968" s="18"/>
      <c r="Q968" s="18"/>
      <c r="R968" s="18"/>
      <c r="S968" s="18"/>
    </row>
    <row r="969" spans="1:19" ht="14.25" hidden="1">
      <c r="A969" s="18"/>
      <c r="B969" s="18"/>
      <c r="C969" s="18"/>
      <c r="D969" s="18"/>
      <c r="E969" s="18"/>
      <c r="F969" s="18"/>
      <c r="G969" s="18"/>
      <c r="H969" s="18"/>
      <c r="I969" s="18"/>
      <c r="J969" s="18"/>
      <c r="K969" s="18"/>
      <c r="L969" s="18"/>
      <c r="M969" s="18"/>
      <c r="N969" s="18"/>
      <c r="O969" s="18"/>
      <c r="P969" s="18"/>
      <c r="Q969" s="18"/>
      <c r="R969" s="18"/>
      <c r="S969" s="18"/>
    </row>
    <row r="970" spans="1:19" ht="14.25" hidden="1">
      <c r="A970" s="18"/>
      <c r="B970" s="18"/>
      <c r="C970" s="18"/>
      <c r="D970" s="18"/>
      <c r="E970" s="18"/>
      <c r="F970" s="18"/>
      <c r="G970" s="18"/>
      <c r="H970" s="18"/>
      <c r="I970" s="18"/>
      <c r="J970" s="18"/>
      <c r="K970" s="18"/>
      <c r="L970" s="18"/>
      <c r="M970" s="18"/>
      <c r="N970" s="18"/>
      <c r="O970" s="18"/>
      <c r="P970" s="18"/>
      <c r="Q970" s="18"/>
      <c r="R970" s="18"/>
      <c r="S970" s="18"/>
    </row>
    <row r="971" spans="1:19" ht="14.25" hidden="1">
      <c r="A971" s="18"/>
      <c r="B971" s="18"/>
      <c r="C971" s="18"/>
      <c r="D971" s="18"/>
      <c r="E971" s="18"/>
      <c r="F971" s="18"/>
      <c r="G971" s="18"/>
      <c r="H971" s="18"/>
      <c r="I971" s="18"/>
      <c r="J971" s="18"/>
      <c r="K971" s="18"/>
      <c r="L971" s="18"/>
      <c r="M971" s="18"/>
      <c r="N971" s="18"/>
      <c r="O971" s="18"/>
      <c r="P971" s="18"/>
      <c r="Q971" s="18"/>
      <c r="R971" s="18"/>
      <c r="S971" s="18"/>
    </row>
    <row r="972" spans="1:19" ht="14.25" hidden="1">
      <c r="A972" s="18"/>
      <c r="B972" s="18"/>
      <c r="C972" s="18"/>
      <c r="D972" s="18"/>
      <c r="E972" s="18"/>
      <c r="F972" s="18"/>
      <c r="G972" s="18"/>
      <c r="H972" s="18"/>
      <c r="I972" s="18"/>
      <c r="J972" s="18"/>
      <c r="K972" s="18"/>
      <c r="L972" s="18"/>
      <c r="M972" s="18"/>
      <c r="N972" s="18"/>
      <c r="O972" s="18"/>
      <c r="P972" s="18"/>
      <c r="Q972" s="18"/>
      <c r="R972" s="18"/>
      <c r="S972" s="18"/>
    </row>
    <row r="973" spans="1:19" ht="14.25" hidden="1">
      <c r="A973" s="18"/>
      <c r="B973" s="18"/>
      <c r="C973" s="18"/>
      <c r="D973" s="18"/>
      <c r="E973" s="18"/>
      <c r="F973" s="18"/>
      <c r="G973" s="18"/>
      <c r="H973" s="18"/>
      <c r="I973" s="18"/>
      <c r="J973" s="18"/>
      <c r="K973" s="18"/>
      <c r="L973" s="18"/>
      <c r="M973" s="18"/>
      <c r="N973" s="18"/>
      <c r="O973" s="18"/>
      <c r="P973" s="18"/>
      <c r="Q973" s="18"/>
      <c r="R973" s="18"/>
      <c r="S973" s="18"/>
    </row>
    <row r="974" spans="1:19" ht="14.25" hidden="1">
      <c r="A974" s="18"/>
      <c r="B974" s="18"/>
      <c r="C974" s="18"/>
      <c r="D974" s="18"/>
      <c r="E974" s="18"/>
      <c r="F974" s="18"/>
      <c r="G974" s="18"/>
      <c r="H974" s="18"/>
      <c r="I974" s="18"/>
      <c r="J974" s="18"/>
      <c r="K974" s="18"/>
      <c r="L974" s="18"/>
      <c r="M974" s="18"/>
      <c r="N974" s="18"/>
      <c r="O974" s="18"/>
      <c r="P974" s="18"/>
      <c r="Q974" s="18"/>
      <c r="R974" s="18"/>
      <c r="S974" s="18"/>
    </row>
    <row r="975" spans="1:19" ht="14.25" hidden="1">
      <c r="A975" s="18"/>
      <c r="B975" s="18"/>
      <c r="C975" s="18"/>
      <c r="D975" s="18"/>
      <c r="E975" s="18"/>
      <c r="F975" s="18"/>
      <c r="G975" s="18"/>
      <c r="H975" s="18"/>
      <c r="I975" s="18"/>
      <c r="J975" s="18"/>
      <c r="K975" s="18"/>
      <c r="L975" s="18"/>
      <c r="M975" s="18"/>
      <c r="N975" s="18"/>
      <c r="O975" s="18"/>
      <c r="P975" s="18"/>
      <c r="Q975" s="18"/>
      <c r="R975" s="18"/>
      <c r="S975" s="18"/>
    </row>
    <row r="976" spans="1:19" ht="14.25" hidden="1">
      <c r="A976" s="18"/>
      <c r="B976" s="18"/>
      <c r="C976" s="18"/>
      <c r="D976" s="18"/>
      <c r="E976" s="18"/>
      <c r="F976" s="18"/>
      <c r="G976" s="18"/>
      <c r="H976" s="18"/>
      <c r="I976" s="18"/>
      <c r="J976" s="18"/>
      <c r="K976" s="18"/>
      <c r="L976" s="18"/>
      <c r="M976" s="18"/>
      <c r="N976" s="18"/>
      <c r="O976" s="18"/>
      <c r="P976" s="18"/>
      <c r="Q976" s="18"/>
      <c r="R976" s="18"/>
      <c r="S976" s="18"/>
    </row>
    <row r="977" spans="1:19" ht="14.25" hidden="1">
      <c r="A977" s="18"/>
      <c r="B977" s="18"/>
      <c r="C977" s="18"/>
      <c r="D977" s="18"/>
      <c r="E977" s="18"/>
      <c r="F977" s="18"/>
      <c r="G977" s="18"/>
      <c r="H977" s="18"/>
      <c r="I977" s="18"/>
      <c r="J977" s="18"/>
      <c r="K977" s="18"/>
      <c r="L977" s="18"/>
      <c r="M977" s="18"/>
      <c r="N977" s="18"/>
      <c r="O977" s="18"/>
      <c r="P977" s="18"/>
      <c r="Q977" s="18"/>
      <c r="R977" s="18"/>
      <c r="S977" s="18"/>
    </row>
    <row r="978" spans="1:19" ht="14.25" hidden="1">
      <c r="A978" s="18"/>
      <c r="B978" s="18"/>
      <c r="C978" s="18"/>
      <c r="D978" s="18"/>
      <c r="E978" s="18"/>
      <c r="F978" s="18"/>
      <c r="G978" s="18"/>
      <c r="H978" s="18"/>
      <c r="I978" s="18"/>
      <c r="J978" s="18"/>
      <c r="K978" s="18"/>
      <c r="L978" s="18"/>
      <c r="M978" s="18"/>
      <c r="N978" s="18"/>
      <c r="O978" s="18"/>
      <c r="P978" s="18"/>
      <c r="Q978" s="18"/>
      <c r="R978" s="18"/>
      <c r="S978" s="18"/>
    </row>
    <row r="979" spans="1:19" ht="14.25" hidden="1">
      <c r="A979" s="18"/>
      <c r="B979" s="18"/>
      <c r="C979" s="18"/>
      <c r="D979" s="18"/>
      <c r="E979" s="18"/>
      <c r="F979" s="18"/>
      <c r="G979" s="18"/>
      <c r="H979" s="18"/>
      <c r="I979" s="18"/>
      <c r="J979" s="18"/>
      <c r="K979" s="18"/>
      <c r="L979" s="18"/>
      <c r="M979" s="18"/>
      <c r="N979" s="18"/>
      <c r="O979" s="18"/>
      <c r="P979" s="18"/>
      <c r="Q979" s="18"/>
      <c r="R979" s="18"/>
      <c r="S979" s="18"/>
    </row>
    <row r="980" spans="1:19" ht="14.25" hidden="1">
      <c r="A980" s="18"/>
      <c r="B980" s="18"/>
      <c r="C980" s="18"/>
      <c r="D980" s="18"/>
      <c r="E980" s="18"/>
      <c r="F980" s="18"/>
      <c r="G980" s="18"/>
      <c r="H980" s="18"/>
      <c r="I980" s="18"/>
      <c r="J980" s="18"/>
      <c r="K980" s="18"/>
      <c r="L980" s="18"/>
      <c r="M980" s="18"/>
      <c r="N980" s="18"/>
      <c r="O980" s="18"/>
      <c r="P980" s="18"/>
      <c r="Q980" s="18"/>
      <c r="R980" s="18"/>
      <c r="S980" s="18"/>
    </row>
    <row r="981" spans="1:19" ht="14.25" hidden="1">
      <c r="A981" s="18"/>
      <c r="B981" s="18"/>
      <c r="C981" s="18"/>
      <c r="D981" s="18"/>
      <c r="E981" s="18"/>
      <c r="F981" s="18"/>
      <c r="G981" s="18"/>
      <c r="H981" s="18"/>
      <c r="I981" s="18"/>
      <c r="J981" s="18"/>
      <c r="K981" s="18"/>
      <c r="L981" s="18"/>
      <c r="M981" s="18"/>
      <c r="N981" s="18"/>
      <c r="O981" s="18"/>
      <c r="P981" s="18"/>
      <c r="Q981" s="18"/>
      <c r="R981" s="18"/>
      <c r="S981" s="18"/>
    </row>
    <row r="982" spans="1:19" ht="14.25" hidden="1">
      <c r="A982" s="18"/>
      <c r="B982" s="18"/>
      <c r="C982" s="18"/>
      <c r="D982" s="18"/>
      <c r="E982" s="18"/>
      <c r="F982" s="18"/>
      <c r="G982" s="18"/>
      <c r="H982" s="18"/>
      <c r="I982" s="18"/>
      <c r="J982" s="18"/>
      <c r="K982" s="18"/>
      <c r="L982" s="18"/>
      <c r="M982" s="18"/>
      <c r="N982" s="18"/>
      <c r="O982" s="18"/>
      <c r="P982" s="18"/>
      <c r="Q982" s="18"/>
      <c r="R982" s="18"/>
      <c r="S982" s="18"/>
    </row>
    <row r="983" spans="1:19" ht="14.25" hidden="1">
      <c r="A983" s="18"/>
      <c r="B983" s="18"/>
      <c r="C983" s="18"/>
      <c r="D983" s="18"/>
      <c r="E983" s="18"/>
      <c r="F983" s="18"/>
      <c r="G983" s="18"/>
      <c r="H983" s="18"/>
      <c r="I983" s="18"/>
      <c r="J983" s="18"/>
      <c r="K983" s="18"/>
      <c r="L983" s="18"/>
      <c r="M983" s="18"/>
      <c r="N983" s="18"/>
      <c r="O983" s="18"/>
      <c r="P983" s="18"/>
      <c r="Q983" s="18"/>
      <c r="R983" s="18"/>
      <c r="S983" s="18"/>
    </row>
    <row r="984" spans="1:19" ht="14.25" hidden="1">
      <c r="A984" s="18"/>
      <c r="B984" s="18"/>
      <c r="C984" s="18"/>
      <c r="D984" s="18"/>
      <c r="E984" s="18"/>
      <c r="F984" s="18"/>
      <c r="G984" s="18"/>
      <c r="H984" s="18"/>
      <c r="I984" s="18"/>
      <c r="J984" s="18"/>
      <c r="K984" s="18"/>
      <c r="L984" s="18"/>
      <c r="M984" s="18"/>
      <c r="N984" s="18"/>
      <c r="O984" s="18"/>
      <c r="P984" s="18"/>
      <c r="Q984" s="18"/>
      <c r="R984" s="18"/>
      <c r="S984" s="18"/>
    </row>
    <row r="985" spans="1:19" ht="14.25" hidden="1">
      <c r="A985" s="18"/>
      <c r="B985" s="18"/>
      <c r="C985" s="18"/>
      <c r="D985" s="18"/>
      <c r="E985" s="18"/>
      <c r="F985" s="18"/>
      <c r="G985" s="18"/>
      <c r="H985" s="18"/>
      <c r="I985" s="18"/>
      <c r="J985" s="18"/>
      <c r="K985" s="18"/>
      <c r="L985" s="18"/>
      <c r="M985" s="18"/>
      <c r="N985" s="18"/>
      <c r="O985" s="18"/>
      <c r="P985" s="18"/>
      <c r="Q985" s="18"/>
      <c r="R985" s="18"/>
      <c r="S985" s="18"/>
    </row>
    <row r="986" spans="1:19" ht="14.25" hidden="1">
      <c r="A986" s="18"/>
      <c r="B986" s="18"/>
      <c r="C986" s="18"/>
      <c r="D986" s="18"/>
      <c r="E986" s="18"/>
      <c r="F986" s="18"/>
      <c r="G986" s="18"/>
      <c r="H986" s="18"/>
      <c r="I986" s="18"/>
      <c r="J986" s="18"/>
      <c r="K986" s="18"/>
      <c r="L986" s="18"/>
      <c r="M986" s="18"/>
      <c r="N986" s="18"/>
      <c r="O986" s="18"/>
      <c r="P986" s="18"/>
      <c r="Q986" s="18"/>
      <c r="R986" s="18"/>
      <c r="S986" s="18"/>
    </row>
    <row r="987" spans="1:19" ht="14.25" hidden="1">
      <c r="A987" s="18"/>
      <c r="B987" s="18"/>
      <c r="C987" s="18"/>
      <c r="D987" s="18"/>
      <c r="E987" s="18"/>
      <c r="F987" s="18"/>
      <c r="G987" s="18"/>
      <c r="H987" s="18"/>
      <c r="I987" s="18"/>
      <c r="J987" s="18"/>
      <c r="K987" s="18"/>
      <c r="L987" s="18"/>
      <c r="M987" s="18"/>
      <c r="N987" s="18"/>
      <c r="O987" s="18"/>
      <c r="P987" s="18"/>
      <c r="Q987" s="18"/>
      <c r="R987" s="18"/>
      <c r="S987" s="18"/>
    </row>
    <row r="988" spans="1:19" ht="14.25" hidden="1">
      <c r="A988" s="18"/>
      <c r="B988" s="18"/>
      <c r="C988" s="18"/>
      <c r="D988" s="18"/>
      <c r="E988" s="18"/>
      <c r="F988" s="18"/>
      <c r="G988" s="18"/>
      <c r="H988" s="18"/>
      <c r="I988" s="18"/>
      <c r="J988" s="18"/>
      <c r="K988" s="18"/>
      <c r="L988" s="18"/>
      <c r="M988" s="18"/>
      <c r="N988" s="18"/>
      <c r="O988" s="18"/>
      <c r="P988" s="18"/>
      <c r="Q988" s="18"/>
      <c r="R988" s="18"/>
      <c r="S988" s="18"/>
    </row>
    <row r="989" spans="1:19" ht="14.25" hidden="1">
      <c r="A989" s="18"/>
      <c r="B989" s="18"/>
      <c r="C989" s="18"/>
      <c r="D989" s="18"/>
      <c r="E989" s="18"/>
      <c r="F989" s="18"/>
      <c r="G989" s="18"/>
      <c r="H989" s="18"/>
      <c r="I989" s="18"/>
      <c r="J989" s="18"/>
      <c r="K989" s="18"/>
      <c r="L989" s="18"/>
      <c r="M989" s="18"/>
      <c r="N989" s="18"/>
      <c r="O989" s="18"/>
      <c r="P989" s="18"/>
      <c r="Q989" s="18"/>
      <c r="R989" s="18"/>
      <c r="S989" s="18"/>
    </row>
    <row r="990" spans="1:19" ht="14.25" hidden="1">
      <c r="A990" s="18"/>
      <c r="B990" s="18"/>
      <c r="C990" s="18"/>
      <c r="D990" s="18"/>
      <c r="E990" s="18"/>
      <c r="F990" s="18"/>
      <c r="G990" s="18"/>
      <c r="H990" s="18"/>
      <c r="I990" s="18"/>
      <c r="J990" s="18"/>
      <c r="K990" s="18"/>
      <c r="L990" s="18"/>
      <c r="M990" s="18"/>
      <c r="N990" s="18"/>
      <c r="O990" s="18"/>
      <c r="P990" s="18"/>
      <c r="Q990" s="18"/>
      <c r="R990" s="18"/>
      <c r="S990" s="18"/>
    </row>
    <row r="991" spans="1:19" ht="14.25" hidden="1">
      <c r="A991" s="18"/>
      <c r="B991" s="18"/>
      <c r="C991" s="18"/>
      <c r="D991" s="18"/>
      <c r="E991" s="18"/>
      <c r="F991" s="18"/>
      <c r="G991" s="18"/>
      <c r="H991" s="18"/>
      <c r="I991" s="18"/>
      <c r="J991" s="18"/>
      <c r="K991" s="18"/>
      <c r="L991" s="18"/>
      <c r="M991" s="18"/>
      <c r="N991" s="18"/>
      <c r="O991" s="18"/>
      <c r="P991" s="18"/>
      <c r="Q991" s="18"/>
      <c r="R991" s="18"/>
      <c r="S991" s="18"/>
    </row>
    <row r="992" spans="1:19" ht="14.25" hidden="1">
      <c r="A992" s="18"/>
      <c r="B992" s="18"/>
      <c r="C992" s="18"/>
      <c r="D992" s="18"/>
      <c r="E992" s="18"/>
      <c r="F992" s="18"/>
      <c r="G992" s="18"/>
      <c r="H992" s="18"/>
      <c r="I992" s="18"/>
      <c r="J992" s="18"/>
      <c r="K992" s="18"/>
      <c r="L992" s="18"/>
      <c r="M992" s="18"/>
      <c r="N992" s="18"/>
      <c r="O992" s="18"/>
      <c r="P992" s="18"/>
      <c r="Q992" s="18"/>
      <c r="R992" s="18"/>
      <c r="S992" s="18"/>
    </row>
    <row r="993" spans="1:19" ht="14.25" hidden="1">
      <c r="A993" s="18"/>
      <c r="B993" s="18"/>
      <c r="C993" s="18"/>
      <c r="D993" s="18"/>
      <c r="E993" s="18"/>
      <c r="F993" s="18"/>
      <c r="G993" s="18"/>
      <c r="H993" s="18"/>
      <c r="I993" s="18"/>
      <c r="J993" s="18"/>
      <c r="K993" s="18"/>
      <c r="L993" s="18"/>
      <c r="M993" s="18"/>
      <c r="N993" s="18"/>
      <c r="O993" s="18"/>
      <c r="P993" s="18"/>
      <c r="Q993" s="18"/>
      <c r="R993" s="18"/>
      <c r="S993" s="18"/>
    </row>
    <row r="994" spans="1:19" ht="14.25" hidden="1">
      <c r="A994" s="18"/>
      <c r="B994" s="18"/>
      <c r="C994" s="18"/>
      <c r="D994" s="18"/>
      <c r="E994" s="18"/>
      <c r="F994" s="18"/>
      <c r="G994" s="18"/>
      <c r="H994" s="18"/>
      <c r="I994" s="18"/>
      <c r="J994" s="18"/>
      <c r="K994" s="18"/>
      <c r="L994" s="18"/>
      <c r="M994" s="18"/>
      <c r="N994" s="18"/>
      <c r="O994" s="18"/>
      <c r="P994" s="18"/>
      <c r="Q994" s="18"/>
      <c r="R994" s="18"/>
      <c r="S994" s="18"/>
    </row>
    <row r="995" spans="1:19" ht="14.25" hidden="1">
      <c r="A995" s="18"/>
      <c r="B995" s="18"/>
      <c r="C995" s="18"/>
      <c r="D995" s="18"/>
      <c r="E995" s="18"/>
      <c r="F995" s="18"/>
      <c r="G995" s="18"/>
      <c r="H995" s="18"/>
      <c r="I995" s="18"/>
      <c r="J995" s="18"/>
      <c r="K995" s="18"/>
      <c r="L995" s="18"/>
      <c r="M995" s="18"/>
      <c r="N995" s="18"/>
      <c r="O995" s="18"/>
      <c r="P995" s="18"/>
      <c r="Q995" s="18"/>
      <c r="R995" s="18"/>
      <c r="S995" s="18"/>
    </row>
    <row r="996" spans="1:19" ht="14.25" hidden="1">
      <c r="A996" s="18"/>
      <c r="B996" s="18"/>
      <c r="C996" s="18"/>
      <c r="D996" s="18"/>
      <c r="E996" s="18"/>
      <c r="F996" s="18"/>
      <c r="G996" s="18"/>
      <c r="H996" s="18"/>
      <c r="I996" s="18"/>
      <c r="J996" s="18"/>
      <c r="K996" s="18"/>
      <c r="L996" s="18"/>
      <c r="M996" s="18"/>
      <c r="N996" s="18"/>
      <c r="O996" s="18"/>
      <c r="P996" s="18"/>
      <c r="Q996" s="18"/>
      <c r="R996" s="18"/>
      <c r="S996" s="18"/>
    </row>
    <row r="997" spans="1:19" ht="14.25" hidden="1">
      <c r="A997" s="18"/>
      <c r="B997" s="18"/>
      <c r="C997" s="18"/>
      <c r="D997" s="18"/>
      <c r="E997" s="18"/>
      <c r="F997" s="18"/>
      <c r="G997" s="18"/>
      <c r="H997" s="18"/>
      <c r="I997" s="18"/>
      <c r="J997" s="18"/>
      <c r="K997" s="18"/>
      <c r="L997" s="18"/>
      <c r="M997" s="18"/>
      <c r="N997" s="18"/>
      <c r="O997" s="18"/>
      <c r="P997" s="18"/>
      <c r="Q997" s="18"/>
      <c r="R997" s="18"/>
      <c r="S997" s="18"/>
    </row>
    <row r="998" spans="1:19" ht="14.25" hidden="1">
      <c r="A998" s="18"/>
      <c r="B998" s="18"/>
      <c r="C998" s="18"/>
      <c r="D998" s="18"/>
      <c r="E998" s="18"/>
      <c r="F998" s="18"/>
      <c r="G998" s="18"/>
      <c r="H998" s="18"/>
      <c r="I998" s="18"/>
      <c r="J998" s="18"/>
      <c r="K998" s="18"/>
      <c r="L998" s="18"/>
      <c r="M998" s="18"/>
      <c r="N998" s="18"/>
      <c r="O998" s="18"/>
      <c r="P998" s="18"/>
      <c r="Q998" s="18"/>
      <c r="R998" s="18"/>
      <c r="S998" s="18"/>
    </row>
    <row r="999" spans="1:19" ht="14.25" hidden="1">
      <c r="A999" s="18"/>
      <c r="B999" s="18"/>
      <c r="C999" s="18"/>
      <c r="D999" s="18"/>
      <c r="E999" s="18"/>
      <c r="F999" s="18"/>
      <c r="G999" s="18"/>
      <c r="H999" s="18"/>
      <c r="I999" s="18"/>
      <c r="J999" s="18"/>
      <c r="K999" s="18"/>
      <c r="L999" s="18"/>
      <c r="M999" s="18"/>
      <c r="N999" s="18"/>
      <c r="O999" s="18"/>
      <c r="P999" s="18"/>
      <c r="Q999" s="18"/>
      <c r="R999" s="18"/>
      <c r="S999" s="18"/>
    </row>
    <row r="1000" spans="1:19" ht="14.25" hidden="1">
      <c r="A1000" s="18"/>
      <c r="B1000" s="18"/>
      <c r="C1000" s="18"/>
      <c r="D1000" s="18"/>
      <c r="E1000" s="18"/>
      <c r="F1000" s="18"/>
      <c r="G1000" s="18"/>
      <c r="H1000" s="18"/>
      <c r="I1000" s="18"/>
      <c r="J1000" s="18"/>
      <c r="K1000" s="18"/>
      <c r="L1000" s="18"/>
      <c r="M1000" s="18"/>
      <c r="N1000" s="18"/>
      <c r="O1000" s="18"/>
      <c r="P1000" s="18"/>
      <c r="Q1000" s="18"/>
      <c r="R1000" s="18"/>
      <c r="S1000" s="18"/>
    </row>
    <row r="1001" spans="1:19" ht="14.25" hidden="1">
      <c r="A1001" s="18"/>
      <c r="B1001" s="18"/>
      <c r="C1001" s="18"/>
      <c r="D1001" s="18"/>
      <c r="E1001" s="18"/>
      <c r="F1001" s="18"/>
      <c r="G1001" s="18"/>
      <c r="H1001" s="18"/>
      <c r="I1001" s="18"/>
      <c r="J1001" s="18"/>
      <c r="K1001" s="18"/>
      <c r="L1001" s="18"/>
      <c r="M1001" s="18"/>
      <c r="N1001" s="18"/>
      <c r="O1001" s="18"/>
      <c r="P1001" s="18"/>
      <c r="Q1001" s="18"/>
      <c r="R1001" s="18"/>
      <c r="S1001" s="18"/>
    </row>
    <row r="1002" spans="1:19" ht="14.25" hidden="1">
      <c r="A1002" s="18"/>
      <c r="B1002" s="18"/>
      <c r="C1002" s="18"/>
      <c r="D1002" s="18"/>
      <c r="E1002" s="18"/>
      <c r="F1002" s="18"/>
      <c r="G1002" s="18"/>
      <c r="H1002" s="18"/>
      <c r="I1002" s="18"/>
      <c r="J1002" s="18"/>
      <c r="K1002" s="18"/>
      <c r="L1002" s="18"/>
      <c r="M1002" s="18"/>
      <c r="N1002" s="18"/>
      <c r="O1002" s="18"/>
      <c r="P1002" s="18"/>
      <c r="Q1002" s="18"/>
      <c r="R1002" s="18"/>
      <c r="S1002" s="18"/>
    </row>
  </sheetData>
  <mergeCells count="12">
    <mergeCell ref="B17:B20"/>
    <mergeCell ref="C17:C20"/>
    <mergeCell ref="B21:B22"/>
    <mergeCell ref="C21:C22"/>
    <mergeCell ref="B24:C24"/>
    <mergeCell ref="B15:B16"/>
    <mergeCell ref="C15:C16"/>
    <mergeCell ref="B1:E1"/>
    <mergeCell ref="B3:B11"/>
    <mergeCell ref="C3:C11"/>
    <mergeCell ref="B12:B14"/>
    <mergeCell ref="C12:C14"/>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tabColor rgb="FFC9DAF8"/>
    <outlinePr summaryBelow="0" summaryRight="0"/>
  </sheetPr>
  <dimension ref="A1:Z995"/>
  <sheetViews>
    <sheetView showGridLines="0" workbookViewId="0"/>
  </sheetViews>
  <sheetFormatPr defaultColWidth="14.42578125" defaultRowHeight="15.75" customHeight="1"/>
  <cols>
    <col min="1" max="1" width="10.85546875" customWidth="1"/>
    <col min="2" max="2" width="21.85546875" customWidth="1"/>
    <col min="3" max="3" width="118.7109375" customWidth="1"/>
  </cols>
  <sheetData>
    <row r="1" spans="1:26" ht="15.75" customHeight="1">
      <c r="A1" s="7"/>
      <c r="B1" s="37" t="s">
        <v>139</v>
      </c>
      <c r="C1" s="38"/>
      <c r="D1" s="4"/>
      <c r="E1" s="4"/>
      <c r="F1" s="4"/>
      <c r="G1" s="4"/>
      <c r="H1" s="4"/>
      <c r="I1" s="4"/>
      <c r="J1" s="4"/>
      <c r="K1" s="4"/>
      <c r="L1" s="4"/>
      <c r="M1" s="4"/>
      <c r="N1" s="4"/>
      <c r="O1" s="4"/>
      <c r="P1" s="4"/>
      <c r="Q1" s="4"/>
      <c r="R1" s="4"/>
      <c r="S1" s="4"/>
      <c r="T1" s="4"/>
      <c r="U1" s="4"/>
      <c r="V1" s="4"/>
      <c r="W1" s="4"/>
      <c r="X1" s="4"/>
      <c r="Y1" s="4"/>
      <c r="Z1" s="4"/>
    </row>
    <row r="2" spans="1:26" ht="12.75">
      <c r="A2" s="8"/>
      <c r="B2" s="4"/>
      <c r="C2" s="4"/>
      <c r="D2" s="4"/>
      <c r="E2" s="4"/>
      <c r="F2" s="4"/>
      <c r="G2" s="4"/>
      <c r="H2" s="4"/>
      <c r="I2" s="4"/>
      <c r="J2" s="4"/>
      <c r="K2" s="4"/>
      <c r="L2" s="4"/>
      <c r="M2" s="4"/>
      <c r="N2" s="4"/>
      <c r="O2" s="4"/>
      <c r="P2" s="4"/>
      <c r="Q2" s="4"/>
      <c r="R2" s="4"/>
      <c r="S2" s="4"/>
      <c r="T2" s="4"/>
      <c r="U2" s="4"/>
      <c r="V2" s="4"/>
      <c r="W2" s="4"/>
      <c r="X2" s="4"/>
      <c r="Y2" s="4"/>
      <c r="Z2" s="4"/>
    </row>
    <row r="3" spans="1:26" ht="12.75">
      <c r="A3" s="4"/>
      <c r="B3" s="4"/>
      <c r="C3" s="65" t="s">
        <v>166</v>
      </c>
      <c r="D3" s="4"/>
      <c r="E3" s="4"/>
      <c r="F3" s="4"/>
      <c r="G3" s="4"/>
      <c r="H3" s="4"/>
      <c r="I3" s="4"/>
      <c r="J3" s="4"/>
      <c r="K3" s="4"/>
      <c r="L3" s="4"/>
      <c r="M3" s="4"/>
      <c r="N3" s="4"/>
      <c r="O3" s="4"/>
      <c r="P3" s="4"/>
      <c r="Q3" s="4"/>
      <c r="R3" s="4"/>
      <c r="S3" s="4"/>
      <c r="T3" s="4"/>
      <c r="U3" s="4"/>
      <c r="V3" s="4"/>
      <c r="W3" s="4"/>
      <c r="X3" s="4"/>
      <c r="Y3" s="4"/>
      <c r="Z3" s="4"/>
    </row>
    <row r="4" spans="1:26" ht="12.75">
      <c r="A4" s="4"/>
      <c r="B4" s="4"/>
      <c r="C4" s="64" t="s">
        <v>164</v>
      </c>
      <c r="D4" s="4"/>
      <c r="E4" s="4"/>
      <c r="F4" s="4"/>
      <c r="G4" s="4"/>
      <c r="H4" s="4"/>
      <c r="I4" s="4"/>
      <c r="J4" s="4"/>
      <c r="K4" s="4"/>
      <c r="L4" s="4"/>
      <c r="M4" s="4"/>
      <c r="N4" s="4"/>
      <c r="O4" s="4"/>
      <c r="P4" s="4"/>
      <c r="Q4" s="4"/>
      <c r="R4" s="4"/>
      <c r="S4" s="4"/>
      <c r="T4" s="4"/>
      <c r="U4" s="4"/>
      <c r="V4" s="4"/>
      <c r="W4" s="4"/>
      <c r="X4" s="4"/>
      <c r="Y4" s="4"/>
      <c r="Z4" s="4"/>
    </row>
    <row r="5" spans="1:26" ht="12.75">
      <c r="A5" s="4"/>
      <c r="B5" s="4"/>
      <c r="C5" s="64"/>
      <c r="D5" s="4"/>
      <c r="E5" s="4"/>
      <c r="F5" s="4"/>
      <c r="G5" s="4"/>
      <c r="H5" s="4"/>
      <c r="I5" s="4"/>
      <c r="J5" s="4"/>
      <c r="K5" s="4"/>
      <c r="L5" s="4"/>
      <c r="M5" s="4"/>
      <c r="N5" s="4"/>
      <c r="O5" s="4"/>
      <c r="P5" s="4"/>
      <c r="Q5" s="4"/>
      <c r="R5" s="4"/>
      <c r="S5" s="4"/>
      <c r="T5" s="4"/>
      <c r="U5" s="4"/>
      <c r="V5" s="4"/>
      <c r="W5" s="4"/>
      <c r="X5" s="4"/>
      <c r="Y5" s="4"/>
      <c r="Z5" s="4"/>
    </row>
    <row r="6" spans="1:26" ht="12.75">
      <c r="A6" s="4"/>
      <c r="B6" s="4"/>
      <c r="C6" s="64"/>
      <c r="D6" s="4"/>
      <c r="E6" s="4"/>
      <c r="F6" s="4"/>
      <c r="G6" s="4"/>
      <c r="H6" s="4"/>
      <c r="I6" s="4"/>
      <c r="J6" s="4"/>
      <c r="K6" s="4"/>
      <c r="L6" s="4"/>
      <c r="M6" s="4"/>
      <c r="N6" s="4"/>
      <c r="O6" s="4"/>
      <c r="P6" s="4"/>
      <c r="Q6" s="4"/>
      <c r="R6" s="4"/>
      <c r="S6" s="4"/>
      <c r="T6" s="4"/>
      <c r="U6" s="4"/>
      <c r="V6" s="4"/>
      <c r="W6" s="4"/>
      <c r="X6" s="4"/>
      <c r="Y6" s="4"/>
      <c r="Z6" s="4"/>
    </row>
    <row r="7" spans="1:26" ht="12.75">
      <c r="A7" s="16"/>
      <c r="B7" s="4"/>
      <c r="C7" s="64"/>
      <c r="D7" s="4"/>
      <c r="E7" s="4"/>
      <c r="F7" s="4"/>
      <c r="G7" s="4"/>
      <c r="H7" s="4"/>
      <c r="I7" s="4"/>
      <c r="J7" s="4"/>
      <c r="K7" s="4"/>
      <c r="L7" s="4"/>
      <c r="M7" s="4"/>
      <c r="N7" s="4"/>
      <c r="O7" s="4"/>
      <c r="P7" s="4"/>
      <c r="Q7" s="4"/>
      <c r="R7" s="4"/>
      <c r="S7" s="4"/>
      <c r="T7" s="4"/>
      <c r="U7" s="4"/>
      <c r="V7" s="4"/>
      <c r="W7" s="4"/>
      <c r="X7" s="4"/>
      <c r="Y7" s="4"/>
      <c r="Z7" s="4"/>
    </row>
    <row r="8" spans="1:26" ht="12.75">
      <c r="A8" s="4"/>
      <c r="B8" s="4"/>
      <c r="C8" s="64"/>
      <c r="D8" s="4"/>
      <c r="E8" s="4"/>
      <c r="F8" s="4"/>
      <c r="G8" s="4"/>
      <c r="H8" s="4"/>
      <c r="I8" s="4"/>
      <c r="J8" s="4"/>
      <c r="K8" s="4"/>
      <c r="L8" s="4"/>
      <c r="M8" s="4"/>
      <c r="N8" s="4"/>
      <c r="O8" s="4"/>
      <c r="P8" s="4"/>
      <c r="Q8" s="4"/>
      <c r="R8" s="4"/>
      <c r="S8" s="4"/>
      <c r="T8" s="4"/>
      <c r="U8" s="4"/>
      <c r="V8" s="4"/>
      <c r="W8" s="4"/>
      <c r="X8" s="4"/>
      <c r="Y8" s="4"/>
      <c r="Z8" s="4"/>
    </row>
    <row r="9" spans="1:26" ht="12.75">
      <c r="A9" s="4"/>
      <c r="B9" s="4"/>
      <c r="C9" s="64"/>
      <c r="D9" s="4"/>
      <c r="E9" s="4"/>
      <c r="F9" s="4"/>
      <c r="G9" s="4"/>
      <c r="H9" s="4"/>
      <c r="I9" s="4"/>
      <c r="J9" s="4"/>
      <c r="K9" s="4"/>
      <c r="L9" s="4"/>
      <c r="M9" s="4"/>
      <c r="N9" s="4"/>
      <c r="O9" s="4"/>
      <c r="P9" s="4"/>
      <c r="Q9" s="4"/>
      <c r="R9" s="4"/>
      <c r="S9" s="4"/>
      <c r="T9" s="4"/>
      <c r="U9" s="4"/>
      <c r="V9" s="4"/>
      <c r="W9" s="4"/>
      <c r="X9" s="4"/>
      <c r="Y9" s="4"/>
      <c r="Z9" s="4"/>
    </row>
    <row r="10" spans="1:26" ht="12.75">
      <c r="A10" s="4"/>
      <c r="B10" s="4"/>
      <c r="C10" s="64"/>
      <c r="D10" s="4"/>
      <c r="E10" s="4"/>
      <c r="F10" s="4"/>
      <c r="G10" s="4"/>
      <c r="H10" s="4"/>
      <c r="I10" s="4"/>
      <c r="J10" s="4"/>
      <c r="K10" s="4"/>
      <c r="L10" s="4"/>
      <c r="M10" s="4"/>
      <c r="N10" s="4"/>
      <c r="O10" s="4"/>
      <c r="P10" s="4"/>
      <c r="Q10" s="4"/>
      <c r="R10" s="4"/>
      <c r="S10" s="4"/>
      <c r="T10" s="4"/>
      <c r="U10" s="4"/>
      <c r="V10" s="4"/>
      <c r="W10" s="4"/>
      <c r="X10" s="4"/>
      <c r="Y10" s="4"/>
      <c r="Z10" s="4"/>
    </row>
    <row r="11" spans="1:26" ht="12.75">
      <c r="A11" s="4"/>
      <c r="B11" s="4"/>
      <c r="C11" s="64"/>
      <c r="D11" s="4"/>
      <c r="E11" s="4"/>
      <c r="F11" s="4"/>
      <c r="G11" s="4"/>
      <c r="H11" s="4"/>
      <c r="I11" s="4"/>
      <c r="J11" s="4"/>
      <c r="K11" s="4"/>
      <c r="L11" s="4"/>
      <c r="M11" s="4"/>
      <c r="N11" s="4"/>
      <c r="O11" s="4"/>
      <c r="P11" s="4"/>
      <c r="Q11" s="4"/>
      <c r="R11" s="4"/>
      <c r="S11" s="4"/>
      <c r="T11" s="4"/>
      <c r="U11" s="4"/>
      <c r="V11" s="4"/>
      <c r="W11" s="4"/>
      <c r="X11" s="4"/>
      <c r="Y11" s="4"/>
      <c r="Z11" s="4"/>
    </row>
    <row r="12" spans="1:26" ht="12.75">
      <c r="A12" s="4"/>
      <c r="B12" s="4"/>
      <c r="C12" s="64"/>
      <c r="D12" s="4"/>
      <c r="E12" s="4"/>
      <c r="F12" s="4"/>
      <c r="G12" s="4"/>
      <c r="H12" s="4"/>
      <c r="I12" s="4"/>
      <c r="J12" s="4"/>
      <c r="K12" s="4"/>
      <c r="L12" s="4"/>
      <c r="M12" s="4"/>
      <c r="N12" s="4"/>
      <c r="O12" s="4"/>
      <c r="P12" s="4"/>
      <c r="Q12" s="4"/>
      <c r="R12" s="4"/>
      <c r="S12" s="4"/>
      <c r="T12" s="4"/>
      <c r="U12" s="4"/>
      <c r="V12" s="4"/>
      <c r="W12" s="4"/>
      <c r="X12" s="4"/>
      <c r="Y12" s="4"/>
      <c r="Z12" s="4"/>
    </row>
    <row r="13" spans="1:26" ht="12.75">
      <c r="A13" s="4"/>
      <c r="B13" s="4"/>
      <c r="C13" s="64"/>
      <c r="D13" s="4"/>
      <c r="E13" s="4"/>
      <c r="F13" s="4"/>
      <c r="G13" s="4"/>
      <c r="H13" s="4"/>
      <c r="I13" s="4"/>
      <c r="J13" s="4"/>
      <c r="K13" s="4"/>
      <c r="L13" s="4"/>
      <c r="M13" s="4"/>
      <c r="N13" s="4"/>
      <c r="O13" s="4"/>
      <c r="P13" s="4"/>
      <c r="Q13" s="4"/>
      <c r="R13" s="4"/>
      <c r="S13" s="4"/>
      <c r="T13" s="4"/>
      <c r="U13" s="4"/>
      <c r="V13" s="4"/>
      <c r="W13" s="4"/>
      <c r="X13" s="4"/>
      <c r="Y13" s="4"/>
      <c r="Z13" s="4"/>
    </row>
    <row r="14" spans="1:26" ht="12.75">
      <c r="A14" s="4"/>
      <c r="B14" s="4"/>
      <c r="C14" s="64"/>
      <c r="D14" s="4"/>
      <c r="E14" s="4"/>
      <c r="F14" s="4"/>
      <c r="G14" s="4"/>
      <c r="H14" s="4"/>
      <c r="I14" s="4"/>
      <c r="J14" s="4"/>
      <c r="K14" s="4"/>
      <c r="L14" s="4"/>
      <c r="M14" s="4"/>
      <c r="N14" s="4"/>
      <c r="O14" s="4"/>
      <c r="P14" s="4"/>
      <c r="Q14" s="4"/>
      <c r="R14" s="4"/>
      <c r="S14" s="4"/>
      <c r="T14" s="4"/>
      <c r="U14" s="4"/>
      <c r="V14" s="4"/>
      <c r="W14" s="4"/>
      <c r="X14" s="4"/>
      <c r="Y14" s="4"/>
      <c r="Z14" s="4"/>
    </row>
    <row r="15" spans="1:26" ht="12.75">
      <c r="A15" s="4"/>
      <c r="B15" s="4"/>
      <c r="C15" s="64"/>
      <c r="D15" s="4"/>
      <c r="E15" s="4"/>
      <c r="F15" s="4"/>
      <c r="G15" s="4"/>
      <c r="H15" s="4"/>
      <c r="I15" s="4"/>
      <c r="J15" s="4"/>
      <c r="K15" s="4"/>
      <c r="L15" s="4"/>
      <c r="M15" s="4"/>
      <c r="N15" s="4"/>
      <c r="O15" s="4"/>
      <c r="P15" s="4"/>
      <c r="Q15" s="4"/>
      <c r="R15" s="4"/>
      <c r="S15" s="4"/>
      <c r="T15" s="4"/>
      <c r="U15" s="4"/>
      <c r="V15" s="4"/>
      <c r="W15" s="4"/>
      <c r="X15" s="4"/>
      <c r="Y15" s="4"/>
      <c r="Z15" s="4"/>
    </row>
    <row r="16" spans="1:26" ht="12.75">
      <c r="A16" s="4"/>
      <c r="B16" s="4"/>
      <c r="C16" s="64"/>
      <c r="D16" s="4"/>
      <c r="E16" s="4"/>
      <c r="F16" s="4"/>
      <c r="G16" s="4"/>
      <c r="H16" s="4"/>
      <c r="I16" s="4"/>
      <c r="J16" s="4"/>
      <c r="K16" s="4"/>
      <c r="L16" s="4"/>
      <c r="M16" s="4"/>
      <c r="N16" s="4"/>
      <c r="O16" s="4"/>
      <c r="P16" s="4"/>
      <c r="Q16" s="4"/>
      <c r="R16" s="4"/>
      <c r="S16" s="4"/>
      <c r="T16" s="4"/>
      <c r="U16" s="4"/>
      <c r="V16" s="4"/>
      <c r="W16" s="4"/>
      <c r="X16" s="4"/>
      <c r="Y16" s="4"/>
      <c r="Z16" s="4"/>
    </row>
    <row r="17" spans="1:26" ht="12.75">
      <c r="A17" s="4"/>
      <c r="B17" s="4"/>
      <c r="C17" s="64"/>
      <c r="D17" s="4"/>
      <c r="E17" s="4"/>
      <c r="F17" s="4"/>
      <c r="G17" s="4"/>
      <c r="H17" s="4"/>
      <c r="I17" s="4"/>
      <c r="J17" s="4"/>
      <c r="K17" s="4"/>
      <c r="L17" s="4"/>
      <c r="M17" s="4"/>
      <c r="N17" s="4"/>
      <c r="O17" s="4"/>
      <c r="P17" s="4"/>
      <c r="Q17" s="4"/>
      <c r="R17" s="4"/>
      <c r="S17" s="4"/>
      <c r="T17" s="4"/>
      <c r="U17" s="4"/>
      <c r="V17" s="4"/>
      <c r="W17" s="4"/>
      <c r="X17" s="4"/>
      <c r="Y17" s="4"/>
      <c r="Z17" s="4"/>
    </row>
    <row r="18" spans="1:26" ht="12.75">
      <c r="A18" s="4"/>
      <c r="B18" s="4"/>
      <c r="C18" s="64"/>
      <c r="D18" s="4"/>
      <c r="E18" s="4"/>
      <c r="F18" s="4"/>
      <c r="G18" s="4"/>
      <c r="H18" s="4"/>
      <c r="I18" s="4"/>
      <c r="J18" s="4"/>
      <c r="K18" s="4"/>
      <c r="L18" s="4"/>
      <c r="M18" s="4"/>
      <c r="N18" s="4"/>
      <c r="O18" s="4"/>
      <c r="P18" s="4"/>
      <c r="Q18" s="4"/>
      <c r="R18" s="4"/>
      <c r="S18" s="4"/>
      <c r="T18" s="4"/>
      <c r="U18" s="4"/>
      <c r="V18" s="4"/>
      <c r="W18" s="4"/>
      <c r="X18" s="4"/>
      <c r="Y18" s="4"/>
      <c r="Z18" s="4"/>
    </row>
    <row r="19" spans="1:26" ht="12.75">
      <c r="A19" s="4"/>
      <c r="B19" s="4"/>
      <c r="C19" s="64"/>
      <c r="D19" s="4"/>
      <c r="E19" s="4"/>
      <c r="F19" s="4"/>
      <c r="G19" s="4"/>
      <c r="H19" s="4"/>
      <c r="I19" s="4"/>
      <c r="J19" s="4"/>
      <c r="K19" s="4"/>
      <c r="L19" s="4"/>
      <c r="M19" s="4"/>
      <c r="N19" s="4"/>
      <c r="O19" s="4"/>
      <c r="P19" s="4"/>
      <c r="Q19" s="4"/>
      <c r="R19" s="4"/>
      <c r="S19" s="4"/>
      <c r="T19" s="4"/>
      <c r="U19" s="4"/>
      <c r="V19" s="4"/>
      <c r="W19" s="4"/>
      <c r="X19" s="4"/>
      <c r="Y19" s="4"/>
      <c r="Z19" s="4"/>
    </row>
    <row r="20" spans="1:26" ht="12.75">
      <c r="A20" s="4"/>
      <c r="B20" s="4"/>
      <c r="C20" s="64"/>
      <c r="D20" s="4"/>
      <c r="E20" s="4"/>
      <c r="F20" s="4"/>
      <c r="G20" s="4"/>
      <c r="H20" s="4"/>
      <c r="I20" s="4"/>
      <c r="J20" s="4"/>
      <c r="K20" s="4"/>
      <c r="L20" s="4"/>
      <c r="M20" s="4"/>
      <c r="N20" s="4"/>
      <c r="O20" s="4"/>
      <c r="P20" s="4"/>
      <c r="Q20" s="4"/>
      <c r="R20" s="4"/>
      <c r="S20" s="4"/>
      <c r="T20" s="4"/>
      <c r="U20" s="4"/>
      <c r="V20" s="4"/>
      <c r="W20" s="4"/>
      <c r="X20" s="4"/>
      <c r="Y20" s="4"/>
      <c r="Z20" s="4"/>
    </row>
    <row r="21" spans="1:26" ht="12.75">
      <c r="A21" s="4"/>
      <c r="B21" s="4"/>
      <c r="C21" s="64"/>
      <c r="D21" s="4"/>
      <c r="E21" s="4"/>
      <c r="F21" s="4"/>
      <c r="G21" s="4"/>
      <c r="H21" s="4"/>
      <c r="I21" s="4"/>
      <c r="J21" s="4"/>
      <c r="K21" s="4"/>
      <c r="L21" s="4"/>
      <c r="M21" s="4"/>
      <c r="N21" s="4"/>
      <c r="O21" s="4"/>
      <c r="P21" s="4"/>
      <c r="Q21" s="4"/>
      <c r="R21" s="4"/>
      <c r="S21" s="4"/>
      <c r="T21" s="4"/>
      <c r="U21" s="4"/>
      <c r="V21" s="4"/>
      <c r="W21" s="4"/>
      <c r="X21" s="4"/>
      <c r="Y21" s="4"/>
      <c r="Z21" s="4"/>
    </row>
    <row r="22" spans="1:26" ht="12.75">
      <c r="A22" s="4"/>
      <c r="B22" s="4"/>
      <c r="C22" s="64"/>
      <c r="D22" s="4"/>
      <c r="E22" s="4"/>
      <c r="F22" s="4"/>
      <c r="G22" s="4"/>
      <c r="H22" s="4"/>
      <c r="I22" s="4"/>
      <c r="J22" s="4"/>
      <c r="K22" s="4"/>
      <c r="L22" s="4"/>
      <c r="M22" s="4"/>
      <c r="N22" s="4"/>
      <c r="O22" s="4"/>
      <c r="P22" s="4"/>
      <c r="Q22" s="4"/>
      <c r="R22" s="4"/>
      <c r="S22" s="4"/>
      <c r="T22" s="4"/>
      <c r="U22" s="4"/>
      <c r="V22" s="4"/>
      <c r="W22" s="4"/>
      <c r="X22" s="4"/>
      <c r="Y22" s="4"/>
      <c r="Z22" s="4"/>
    </row>
    <row r="23" spans="1:26" ht="12.75">
      <c r="A23" s="4"/>
      <c r="B23" s="4"/>
      <c r="C23" s="64"/>
      <c r="D23" s="4"/>
      <c r="E23" s="4"/>
      <c r="F23" s="4"/>
      <c r="G23" s="4"/>
      <c r="H23" s="4"/>
      <c r="I23" s="4"/>
      <c r="J23" s="4"/>
      <c r="K23" s="4"/>
      <c r="L23" s="4"/>
      <c r="M23" s="4"/>
      <c r="N23" s="4"/>
      <c r="O23" s="4"/>
      <c r="P23" s="4"/>
      <c r="Q23" s="4"/>
      <c r="R23" s="4"/>
      <c r="S23" s="4"/>
      <c r="T23" s="4"/>
      <c r="U23" s="4"/>
      <c r="V23" s="4"/>
      <c r="W23" s="4"/>
      <c r="X23" s="4"/>
      <c r="Y23" s="4"/>
      <c r="Z23" s="4"/>
    </row>
    <row r="24" spans="1:26" ht="12.75">
      <c r="A24" s="4"/>
      <c r="B24" s="4"/>
      <c r="C24" s="64"/>
      <c r="D24" s="4"/>
      <c r="E24" s="4"/>
      <c r="F24" s="4"/>
      <c r="G24" s="4"/>
      <c r="H24" s="4"/>
      <c r="I24" s="4"/>
      <c r="J24" s="4"/>
      <c r="K24" s="4"/>
      <c r="L24" s="4"/>
      <c r="M24" s="4"/>
      <c r="N24" s="4"/>
      <c r="O24" s="4"/>
      <c r="P24" s="4"/>
      <c r="Q24" s="4"/>
      <c r="R24" s="4"/>
      <c r="S24" s="4"/>
      <c r="T24" s="4"/>
      <c r="U24" s="4"/>
      <c r="V24" s="4"/>
      <c r="W24" s="4"/>
      <c r="X24" s="4"/>
      <c r="Y24" s="4"/>
      <c r="Z24" s="4"/>
    </row>
    <row r="25" spans="1:26" ht="12.75">
      <c r="A25" s="4"/>
      <c r="B25" s="4"/>
      <c r="C25" s="64"/>
      <c r="D25" s="4"/>
      <c r="E25" s="4"/>
      <c r="F25" s="4"/>
      <c r="G25" s="4"/>
      <c r="H25" s="4"/>
      <c r="I25" s="4"/>
      <c r="J25" s="4"/>
      <c r="K25" s="4"/>
      <c r="L25" s="4"/>
      <c r="M25" s="4"/>
      <c r="N25" s="4"/>
      <c r="O25" s="4"/>
      <c r="P25" s="4"/>
      <c r="Q25" s="4"/>
      <c r="R25" s="4"/>
      <c r="S25" s="4"/>
      <c r="T25" s="4"/>
      <c r="U25" s="4"/>
      <c r="V25" s="4"/>
      <c r="W25" s="4"/>
      <c r="X25" s="4"/>
      <c r="Y25" s="4"/>
      <c r="Z25" s="4"/>
    </row>
    <row r="26" spans="1:26" ht="12.75">
      <c r="A26" s="4"/>
      <c r="B26" s="4"/>
      <c r="C26" s="64"/>
      <c r="D26" s="4"/>
      <c r="E26" s="4"/>
      <c r="F26" s="4"/>
      <c r="G26" s="4"/>
      <c r="H26" s="4"/>
      <c r="I26" s="4"/>
      <c r="J26" s="4"/>
      <c r="K26" s="4"/>
      <c r="L26" s="4"/>
      <c r="M26" s="4"/>
      <c r="N26" s="4"/>
      <c r="O26" s="4"/>
      <c r="P26" s="4"/>
      <c r="Q26" s="4"/>
      <c r="R26" s="4"/>
      <c r="S26" s="4"/>
      <c r="T26" s="4"/>
      <c r="U26" s="4"/>
      <c r="V26" s="4"/>
      <c r="W26" s="4"/>
      <c r="X26" s="4"/>
      <c r="Y26" s="4"/>
      <c r="Z26" s="4"/>
    </row>
    <row r="27" spans="1:26" ht="12.75">
      <c r="A27" s="4"/>
      <c r="B27" s="4"/>
      <c r="C27" s="64"/>
      <c r="D27" s="4"/>
      <c r="E27" s="4"/>
      <c r="F27" s="4"/>
      <c r="G27" s="4"/>
      <c r="H27" s="4"/>
      <c r="I27" s="4"/>
      <c r="J27" s="4"/>
      <c r="K27" s="4"/>
      <c r="L27" s="4"/>
      <c r="M27" s="4"/>
      <c r="N27" s="4"/>
      <c r="O27" s="4"/>
      <c r="P27" s="4"/>
      <c r="Q27" s="4"/>
      <c r="R27" s="4"/>
      <c r="S27" s="4"/>
      <c r="T27" s="4"/>
      <c r="U27" s="4"/>
      <c r="V27" s="4"/>
      <c r="W27" s="4"/>
      <c r="X27" s="4"/>
      <c r="Y27" s="4"/>
      <c r="Z27" s="4"/>
    </row>
    <row r="28" spans="1:26" ht="12.75">
      <c r="A28" s="4"/>
      <c r="B28" s="4"/>
      <c r="C28" s="64"/>
      <c r="D28" s="4"/>
      <c r="E28" s="4"/>
      <c r="F28" s="4"/>
      <c r="G28" s="4"/>
      <c r="H28" s="4"/>
      <c r="I28" s="4"/>
      <c r="J28" s="4"/>
      <c r="K28" s="4"/>
      <c r="L28" s="4"/>
      <c r="M28" s="4"/>
      <c r="N28" s="4"/>
      <c r="O28" s="4"/>
      <c r="P28" s="4"/>
      <c r="Q28" s="4"/>
      <c r="R28" s="4"/>
      <c r="S28" s="4"/>
      <c r="T28" s="4"/>
      <c r="U28" s="4"/>
      <c r="V28" s="4"/>
      <c r="W28" s="4"/>
      <c r="X28" s="4"/>
      <c r="Y28" s="4"/>
      <c r="Z28" s="4"/>
    </row>
    <row r="29" spans="1:26" ht="12.75">
      <c r="A29" s="4"/>
      <c r="B29" s="4"/>
      <c r="C29" s="64"/>
      <c r="D29" s="4"/>
      <c r="E29" s="4"/>
      <c r="F29" s="4"/>
      <c r="G29" s="4"/>
      <c r="H29" s="4"/>
      <c r="I29" s="4"/>
      <c r="J29" s="4"/>
      <c r="K29" s="4"/>
      <c r="L29" s="4"/>
      <c r="M29" s="4"/>
      <c r="N29" s="4"/>
      <c r="O29" s="4"/>
      <c r="P29" s="4"/>
      <c r="Q29" s="4"/>
      <c r="R29" s="4"/>
      <c r="S29" s="4"/>
      <c r="T29" s="4"/>
      <c r="U29" s="4"/>
      <c r="V29" s="4"/>
      <c r="W29" s="4"/>
      <c r="X29" s="4"/>
      <c r="Y29" s="4"/>
      <c r="Z29" s="4"/>
    </row>
    <row r="30" spans="1:26" ht="12.75">
      <c r="A30" s="4"/>
      <c r="B30" s="4"/>
      <c r="C30" s="64"/>
      <c r="D30" s="4"/>
      <c r="E30" s="4"/>
      <c r="F30" s="4"/>
      <c r="G30" s="4"/>
      <c r="H30" s="4"/>
      <c r="I30" s="4"/>
      <c r="J30" s="4"/>
      <c r="K30" s="4"/>
      <c r="L30" s="4"/>
      <c r="M30" s="4"/>
      <c r="N30" s="4"/>
      <c r="O30" s="4"/>
      <c r="P30" s="4"/>
      <c r="Q30" s="4"/>
      <c r="R30" s="4"/>
      <c r="S30" s="4"/>
      <c r="T30" s="4"/>
      <c r="U30" s="4"/>
      <c r="V30" s="4"/>
      <c r="W30" s="4"/>
      <c r="X30" s="4"/>
      <c r="Y30" s="4"/>
      <c r="Z30" s="4"/>
    </row>
    <row r="31" spans="1:26" ht="12.75">
      <c r="A31" s="4"/>
      <c r="B31" s="4"/>
      <c r="C31" s="15"/>
      <c r="D31" s="4"/>
      <c r="E31" s="4"/>
      <c r="F31" s="4"/>
      <c r="G31" s="4"/>
      <c r="H31" s="4"/>
      <c r="I31" s="4"/>
      <c r="J31" s="4"/>
      <c r="K31" s="4"/>
      <c r="L31" s="4"/>
      <c r="M31" s="4"/>
      <c r="N31" s="4"/>
      <c r="O31" s="4"/>
      <c r="P31" s="4"/>
      <c r="Q31" s="4"/>
      <c r="R31" s="4"/>
      <c r="S31" s="4"/>
      <c r="T31" s="4"/>
      <c r="U31" s="4"/>
      <c r="V31" s="4"/>
      <c r="W31" s="4"/>
      <c r="X31" s="4"/>
      <c r="Y31" s="4"/>
      <c r="Z31" s="4"/>
    </row>
    <row r="32" spans="1:26" ht="12.75">
      <c r="A32" s="4"/>
      <c r="B32" s="4"/>
      <c r="C32" s="65" t="s">
        <v>167</v>
      </c>
      <c r="D32" s="4"/>
      <c r="E32" s="4"/>
      <c r="F32" s="4"/>
      <c r="G32" s="4"/>
      <c r="H32" s="4"/>
      <c r="I32" s="4"/>
      <c r="J32" s="4"/>
      <c r="K32" s="4"/>
      <c r="L32" s="4"/>
      <c r="M32" s="4"/>
      <c r="N32" s="4"/>
      <c r="O32" s="4"/>
      <c r="P32" s="4"/>
      <c r="Q32" s="4"/>
      <c r="R32" s="4"/>
      <c r="S32" s="4"/>
      <c r="T32" s="4"/>
      <c r="U32" s="4"/>
      <c r="V32" s="4"/>
      <c r="W32" s="4"/>
      <c r="X32" s="4"/>
      <c r="Y32" s="4"/>
      <c r="Z32" s="4"/>
    </row>
    <row r="33" spans="1:26" ht="12.75">
      <c r="A33" s="4"/>
      <c r="B33" s="4"/>
      <c r="C33" s="64" t="s">
        <v>165</v>
      </c>
      <c r="D33" s="4"/>
      <c r="E33" s="4"/>
      <c r="F33" s="4"/>
      <c r="G33" s="4"/>
      <c r="H33" s="4"/>
      <c r="I33" s="4"/>
      <c r="J33" s="4"/>
      <c r="K33" s="4"/>
      <c r="L33" s="4"/>
      <c r="M33" s="4"/>
      <c r="N33" s="4"/>
      <c r="O33" s="4"/>
      <c r="P33" s="4"/>
      <c r="Q33" s="4"/>
      <c r="R33" s="4"/>
      <c r="S33" s="4"/>
      <c r="T33" s="4"/>
      <c r="U33" s="4"/>
      <c r="V33" s="4"/>
      <c r="W33" s="4"/>
      <c r="X33" s="4"/>
      <c r="Y33" s="4"/>
      <c r="Z33" s="4"/>
    </row>
    <row r="34" spans="1:26" ht="12.75">
      <c r="A34" s="4"/>
      <c r="B34" s="4"/>
      <c r="C34" s="64"/>
      <c r="D34" s="4"/>
      <c r="E34" s="4"/>
      <c r="F34" s="4"/>
      <c r="G34" s="4"/>
      <c r="H34" s="4"/>
      <c r="I34" s="4"/>
      <c r="J34" s="4"/>
      <c r="K34" s="4"/>
      <c r="L34" s="4"/>
      <c r="M34" s="4"/>
      <c r="N34" s="4"/>
      <c r="O34" s="4"/>
      <c r="P34" s="4"/>
      <c r="Q34" s="4"/>
      <c r="R34" s="4"/>
      <c r="S34" s="4"/>
      <c r="T34" s="4"/>
      <c r="U34" s="4"/>
      <c r="V34" s="4"/>
      <c r="W34" s="4"/>
      <c r="X34" s="4"/>
      <c r="Y34" s="4"/>
      <c r="Z34" s="4"/>
    </row>
    <row r="35" spans="1:26" ht="12.75">
      <c r="A35" s="4"/>
      <c r="B35" s="4"/>
      <c r="C35" s="64"/>
      <c r="D35" s="4"/>
      <c r="E35" s="4"/>
      <c r="F35" s="4"/>
      <c r="G35" s="4"/>
      <c r="H35" s="4"/>
      <c r="I35" s="4"/>
      <c r="J35" s="4"/>
      <c r="K35" s="4"/>
      <c r="L35" s="4"/>
      <c r="M35" s="4"/>
      <c r="N35" s="4"/>
      <c r="O35" s="4"/>
      <c r="P35" s="4"/>
      <c r="Q35" s="4"/>
      <c r="R35" s="4"/>
      <c r="S35" s="4"/>
      <c r="T35" s="4"/>
      <c r="U35" s="4"/>
      <c r="V35" s="4"/>
      <c r="W35" s="4"/>
      <c r="X35" s="4"/>
      <c r="Y35" s="4"/>
      <c r="Z35" s="4"/>
    </row>
    <row r="36" spans="1:26" ht="12.75">
      <c r="A36" s="4"/>
      <c r="B36" s="4"/>
      <c r="C36" s="64"/>
      <c r="D36" s="4"/>
      <c r="E36" s="4"/>
      <c r="F36" s="4"/>
      <c r="G36" s="4"/>
      <c r="H36" s="4"/>
      <c r="I36" s="4"/>
      <c r="J36" s="4"/>
      <c r="K36" s="4"/>
      <c r="L36" s="4"/>
      <c r="M36" s="4"/>
      <c r="N36" s="4"/>
      <c r="O36" s="4"/>
      <c r="P36" s="4"/>
      <c r="Q36" s="4"/>
      <c r="R36" s="4"/>
      <c r="S36" s="4"/>
      <c r="T36" s="4"/>
      <c r="U36" s="4"/>
      <c r="V36" s="4"/>
      <c r="W36" s="4"/>
      <c r="X36" s="4"/>
      <c r="Y36" s="4"/>
      <c r="Z36" s="4"/>
    </row>
    <row r="37" spans="1:26" ht="12.75">
      <c r="A37" s="4"/>
      <c r="B37" s="4"/>
      <c r="C37" s="64"/>
      <c r="D37" s="4"/>
      <c r="E37" s="4"/>
      <c r="F37" s="4"/>
      <c r="G37" s="4"/>
      <c r="H37" s="4"/>
      <c r="I37" s="4"/>
      <c r="J37" s="4"/>
      <c r="K37" s="4"/>
      <c r="L37" s="4"/>
      <c r="M37" s="4"/>
      <c r="N37" s="4"/>
      <c r="O37" s="4"/>
      <c r="P37" s="4"/>
      <c r="Q37" s="4"/>
      <c r="R37" s="4"/>
      <c r="S37" s="4"/>
      <c r="T37" s="4"/>
      <c r="U37" s="4"/>
      <c r="V37" s="4"/>
      <c r="W37" s="4"/>
      <c r="X37" s="4"/>
      <c r="Y37" s="4"/>
      <c r="Z37" s="4"/>
    </row>
    <row r="38" spans="1:26" ht="12.75">
      <c r="A38" s="4"/>
      <c r="B38" s="4"/>
      <c r="C38" s="64"/>
      <c r="D38" s="4"/>
      <c r="E38" s="4"/>
      <c r="F38" s="4"/>
      <c r="G38" s="4"/>
      <c r="H38" s="4"/>
      <c r="I38" s="4"/>
      <c r="J38" s="4"/>
      <c r="K38" s="4"/>
      <c r="L38" s="4"/>
      <c r="M38" s="4"/>
      <c r="N38" s="4"/>
      <c r="O38" s="4"/>
      <c r="P38" s="4"/>
      <c r="Q38" s="4"/>
      <c r="R38" s="4"/>
      <c r="S38" s="4"/>
      <c r="T38" s="4"/>
      <c r="U38" s="4"/>
      <c r="V38" s="4"/>
      <c r="W38" s="4"/>
      <c r="X38" s="4"/>
      <c r="Y38" s="4"/>
      <c r="Z38" s="4"/>
    </row>
    <row r="39" spans="1:26" ht="12.75">
      <c r="A39" s="4"/>
      <c r="B39" s="4"/>
      <c r="C39" s="64"/>
      <c r="D39" s="4"/>
      <c r="E39" s="4"/>
      <c r="F39" s="4"/>
      <c r="G39" s="4"/>
      <c r="H39" s="4"/>
      <c r="I39" s="4"/>
      <c r="J39" s="4"/>
      <c r="K39" s="4"/>
      <c r="L39" s="4"/>
      <c r="M39" s="4"/>
      <c r="N39" s="4"/>
      <c r="O39" s="4"/>
      <c r="P39" s="4"/>
      <c r="Q39" s="4"/>
      <c r="R39" s="4"/>
      <c r="S39" s="4"/>
      <c r="T39" s="4"/>
      <c r="U39" s="4"/>
      <c r="V39" s="4"/>
      <c r="W39" s="4"/>
      <c r="X39" s="4"/>
      <c r="Y39" s="4"/>
      <c r="Z39" s="4"/>
    </row>
    <row r="40" spans="1:26" ht="12.75">
      <c r="A40" s="4"/>
      <c r="B40" s="4"/>
      <c r="C40" s="64"/>
      <c r="D40" s="4"/>
      <c r="E40" s="4"/>
      <c r="F40" s="4"/>
      <c r="G40" s="4"/>
      <c r="H40" s="4"/>
      <c r="I40" s="4"/>
      <c r="J40" s="4"/>
      <c r="K40" s="4"/>
      <c r="L40" s="4"/>
      <c r="M40" s="4"/>
      <c r="N40" s="4"/>
      <c r="O40" s="4"/>
      <c r="P40" s="4"/>
      <c r="Q40" s="4"/>
      <c r="R40" s="4"/>
      <c r="S40" s="4"/>
      <c r="T40" s="4"/>
      <c r="U40" s="4"/>
      <c r="V40" s="4"/>
      <c r="W40" s="4"/>
      <c r="X40" s="4"/>
      <c r="Y40" s="4"/>
      <c r="Z40" s="4"/>
    </row>
    <row r="41" spans="1:26" ht="12.75">
      <c r="A41" s="4"/>
      <c r="B41" s="4"/>
      <c r="C41" s="64"/>
      <c r="D41" s="4"/>
      <c r="E41" s="4"/>
      <c r="F41" s="4"/>
      <c r="G41" s="4"/>
      <c r="H41" s="4"/>
      <c r="I41" s="4"/>
      <c r="J41" s="4"/>
      <c r="K41" s="4"/>
      <c r="L41" s="4"/>
      <c r="M41" s="4"/>
      <c r="N41" s="4"/>
      <c r="O41" s="4"/>
      <c r="P41" s="4"/>
      <c r="Q41" s="4"/>
      <c r="R41" s="4"/>
      <c r="S41" s="4"/>
      <c r="T41" s="4"/>
      <c r="U41" s="4"/>
      <c r="V41" s="4"/>
      <c r="W41" s="4"/>
      <c r="X41" s="4"/>
      <c r="Y41" s="4"/>
      <c r="Z41" s="4"/>
    </row>
    <row r="42" spans="1:26" ht="12.75">
      <c r="A42" s="4"/>
      <c r="B42" s="4"/>
      <c r="C42" s="64"/>
      <c r="D42" s="4"/>
      <c r="E42" s="4"/>
      <c r="F42" s="4"/>
      <c r="G42" s="4"/>
      <c r="H42" s="4"/>
      <c r="I42" s="4"/>
      <c r="J42" s="4"/>
      <c r="K42" s="4"/>
      <c r="L42" s="4"/>
      <c r="M42" s="4"/>
      <c r="N42" s="4"/>
      <c r="O42" s="4"/>
      <c r="P42" s="4"/>
      <c r="Q42" s="4"/>
      <c r="R42" s="4"/>
      <c r="S42" s="4"/>
      <c r="T42" s="4"/>
      <c r="U42" s="4"/>
      <c r="V42" s="4"/>
      <c r="W42" s="4"/>
      <c r="X42" s="4"/>
      <c r="Y42" s="4"/>
      <c r="Z42" s="4"/>
    </row>
    <row r="43" spans="1:26" ht="12.75">
      <c r="A43" s="4"/>
      <c r="B43" s="4"/>
      <c r="C43" s="64"/>
      <c r="D43" s="4"/>
      <c r="E43" s="4"/>
      <c r="F43" s="4"/>
      <c r="G43" s="4"/>
      <c r="H43" s="4"/>
      <c r="I43" s="4"/>
      <c r="J43" s="4"/>
      <c r="K43" s="4"/>
      <c r="L43" s="4"/>
      <c r="M43" s="4"/>
      <c r="N43" s="4"/>
      <c r="O43" s="4"/>
      <c r="P43" s="4"/>
      <c r="Q43" s="4"/>
      <c r="R43" s="4"/>
      <c r="S43" s="4"/>
      <c r="T43" s="4"/>
      <c r="U43" s="4"/>
      <c r="V43" s="4"/>
      <c r="W43" s="4"/>
      <c r="X43" s="4"/>
      <c r="Y43" s="4"/>
      <c r="Z43" s="4"/>
    </row>
    <row r="44" spans="1:26" ht="12.75">
      <c r="A44" s="4"/>
      <c r="B44" s="4"/>
      <c r="C44" s="64"/>
      <c r="D44" s="4"/>
      <c r="E44" s="4"/>
      <c r="F44" s="4"/>
      <c r="G44" s="4"/>
      <c r="H44" s="4"/>
      <c r="I44" s="4"/>
      <c r="J44" s="4"/>
      <c r="K44" s="4"/>
      <c r="L44" s="4"/>
      <c r="M44" s="4"/>
      <c r="N44" s="4"/>
      <c r="O44" s="4"/>
      <c r="P44" s="4"/>
      <c r="Q44" s="4"/>
      <c r="R44" s="4"/>
      <c r="S44" s="4"/>
      <c r="T44" s="4"/>
      <c r="U44" s="4"/>
      <c r="V44" s="4"/>
      <c r="W44" s="4"/>
      <c r="X44" s="4"/>
      <c r="Y44" s="4"/>
      <c r="Z44" s="4"/>
    </row>
    <row r="45" spans="1:26" ht="12.75">
      <c r="A45" s="4"/>
      <c r="B45" s="4"/>
      <c r="C45" s="64"/>
      <c r="D45" s="4"/>
      <c r="E45" s="4"/>
      <c r="F45" s="4"/>
      <c r="G45" s="4"/>
      <c r="H45" s="4"/>
      <c r="I45" s="4"/>
      <c r="J45" s="4"/>
      <c r="K45" s="4"/>
      <c r="L45" s="4"/>
      <c r="M45" s="4"/>
      <c r="N45" s="4"/>
      <c r="O45" s="4"/>
      <c r="P45" s="4"/>
      <c r="Q45" s="4"/>
      <c r="R45" s="4"/>
      <c r="S45" s="4"/>
      <c r="T45" s="4"/>
      <c r="U45" s="4"/>
      <c r="V45" s="4"/>
      <c r="W45" s="4"/>
      <c r="X45" s="4"/>
      <c r="Y45" s="4"/>
      <c r="Z45" s="4"/>
    </row>
    <row r="46" spans="1:26" ht="12.75">
      <c r="A46" s="4"/>
      <c r="B46" s="4"/>
      <c r="C46" s="64"/>
      <c r="D46" s="4"/>
      <c r="E46" s="4"/>
      <c r="F46" s="4"/>
      <c r="G46" s="4"/>
      <c r="H46" s="4"/>
      <c r="I46" s="4"/>
      <c r="J46" s="4"/>
      <c r="K46" s="4"/>
      <c r="L46" s="4"/>
      <c r="M46" s="4"/>
      <c r="N46" s="4"/>
      <c r="O46" s="4"/>
      <c r="P46" s="4"/>
      <c r="Q46" s="4"/>
      <c r="R46" s="4"/>
      <c r="S46" s="4"/>
      <c r="T46" s="4"/>
      <c r="U46" s="4"/>
      <c r="V46" s="4"/>
      <c r="W46" s="4"/>
      <c r="X46" s="4"/>
      <c r="Y46" s="4"/>
      <c r="Z46" s="4"/>
    </row>
    <row r="47" spans="1:26" ht="12.75">
      <c r="A47" s="4"/>
      <c r="B47" s="4"/>
      <c r="C47" s="64"/>
      <c r="D47" s="4"/>
      <c r="E47" s="4"/>
      <c r="F47" s="4"/>
      <c r="G47" s="4"/>
      <c r="H47" s="4"/>
      <c r="I47" s="4"/>
      <c r="J47" s="4"/>
      <c r="K47" s="4"/>
      <c r="L47" s="4"/>
      <c r="M47" s="4"/>
      <c r="N47" s="4"/>
      <c r="O47" s="4"/>
      <c r="P47" s="4"/>
      <c r="Q47" s="4"/>
      <c r="R47" s="4"/>
      <c r="S47" s="4"/>
      <c r="T47" s="4"/>
      <c r="U47" s="4"/>
      <c r="V47" s="4"/>
      <c r="W47" s="4"/>
      <c r="X47" s="4"/>
      <c r="Y47" s="4"/>
      <c r="Z47" s="4"/>
    </row>
    <row r="48" spans="1:26" ht="12.75">
      <c r="A48" s="4"/>
      <c r="B48" s="4"/>
      <c r="C48" s="64"/>
      <c r="D48" s="4"/>
      <c r="E48" s="4"/>
      <c r="F48" s="4"/>
      <c r="G48" s="4"/>
      <c r="H48" s="4"/>
      <c r="I48" s="4"/>
      <c r="J48" s="4"/>
      <c r="K48" s="4"/>
      <c r="L48" s="4"/>
      <c r="M48" s="4"/>
      <c r="N48" s="4"/>
      <c r="O48" s="4"/>
      <c r="P48" s="4"/>
      <c r="Q48" s="4"/>
      <c r="R48" s="4"/>
      <c r="S48" s="4"/>
      <c r="T48" s="4"/>
      <c r="U48" s="4"/>
      <c r="V48" s="4"/>
      <c r="W48" s="4"/>
      <c r="X48" s="4"/>
      <c r="Y48" s="4"/>
      <c r="Z48" s="4"/>
    </row>
    <row r="49" spans="1:26" ht="12.75">
      <c r="A49" s="4"/>
      <c r="B49" s="4"/>
      <c r="C49" s="64"/>
      <c r="D49" s="4"/>
      <c r="E49" s="4"/>
      <c r="F49" s="4"/>
      <c r="G49" s="4"/>
      <c r="H49" s="4"/>
      <c r="I49" s="4"/>
      <c r="J49" s="4"/>
      <c r="K49" s="4"/>
      <c r="L49" s="4"/>
      <c r="M49" s="4"/>
      <c r="N49" s="4"/>
      <c r="O49" s="4"/>
      <c r="P49" s="4"/>
      <c r="Q49" s="4"/>
      <c r="R49" s="4"/>
      <c r="S49" s="4"/>
      <c r="T49" s="4"/>
      <c r="U49" s="4"/>
      <c r="V49" s="4"/>
      <c r="W49" s="4"/>
      <c r="X49" s="4"/>
      <c r="Y49" s="4"/>
      <c r="Z49" s="4"/>
    </row>
    <row r="50" spans="1:26" ht="12.75">
      <c r="A50" s="4"/>
      <c r="B50" s="4"/>
      <c r="C50" s="64"/>
      <c r="D50" s="4"/>
      <c r="E50" s="4"/>
      <c r="F50" s="4"/>
      <c r="G50" s="4"/>
      <c r="H50" s="4"/>
      <c r="I50" s="4"/>
      <c r="J50" s="4"/>
      <c r="K50" s="4"/>
      <c r="L50" s="4"/>
      <c r="M50" s="4"/>
      <c r="N50" s="4"/>
      <c r="O50" s="4"/>
      <c r="P50" s="4"/>
      <c r="Q50" s="4"/>
      <c r="R50" s="4"/>
      <c r="S50" s="4"/>
      <c r="T50" s="4"/>
      <c r="U50" s="4"/>
      <c r="V50" s="4"/>
      <c r="W50" s="4"/>
      <c r="X50" s="4"/>
      <c r="Y50" s="4"/>
      <c r="Z50" s="4"/>
    </row>
    <row r="51" spans="1:26" ht="12.75">
      <c r="A51" s="4"/>
      <c r="B51" s="4"/>
      <c r="C51" s="64"/>
      <c r="D51" s="4"/>
      <c r="E51" s="4"/>
      <c r="F51" s="4"/>
      <c r="G51" s="4"/>
      <c r="H51" s="4"/>
      <c r="I51" s="4"/>
      <c r="J51" s="4"/>
      <c r="K51" s="4"/>
      <c r="L51" s="4"/>
      <c r="M51" s="4"/>
      <c r="N51" s="4"/>
      <c r="O51" s="4"/>
      <c r="P51" s="4"/>
      <c r="Q51" s="4"/>
      <c r="R51" s="4"/>
      <c r="S51" s="4"/>
      <c r="T51" s="4"/>
      <c r="U51" s="4"/>
      <c r="V51" s="4"/>
      <c r="W51" s="4"/>
      <c r="X51" s="4"/>
      <c r="Y51" s="4"/>
      <c r="Z51" s="4"/>
    </row>
    <row r="52" spans="1:26" ht="12.75">
      <c r="A52" s="4"/>
      <c r="B52" s="4"/>
      <c r="C52" s="64"/>
      <c r="D52" s="4"/>
      <c r="E52" s="4"/>
      <c r="F52" s="4"/>
      <c r="G52" s="4"/>
      <c r="H52" s="4"/>
      <c r="I52" s="4"/>
      <c r="J52" s="4"/>
      <c r="K52" s="4"/>
      <c r="L52" s="4"/>
      <c r="M52" s="4"/>
      <c r="N52" s="4"/>
      <c r="O52" s="4"/>
      <c r="P52" s="4"/>
      <c r="Q52" s="4"/>
      <c r="R52" s="4"/>
      <c r="S52" s="4"/>
      <c r="T52" s="4"/>
      <c r="U52" s="4"/>
      <c r="V52" s="4"/>
      <c r="W52" s="4"/>
      <c r="X52" s="4"/>
      <c r="Y52" s="4"/>
      <c r="Z52" s="4"/>
    </row>
    <row r="53" spans="1:26" ht="12.75">
      <c r="A53" s="4"/>
      <c r="B53" s="4"/>
      <c r="C53" s="64"/>
      <c r="D53" s="4"/>
      <c r="E53" s="4"/>
      <c r="F53" s="4"/>
      <c r="G53" s="4"/>
      <c r="H53" s="4"/>
      <c r="I53" s="4"/>
      <c r="J53" s="4"/>
      <c r="K53" s="4"/>
      <c r="L53" s="4"/>
      <c r="M53" s="4"/>
      <c r="N53" s="4"/>
      <c r="O53" s="4"/>
      <c r="P53" s="4"/>
      <c r="Q53" s="4"/>
      <c r="R53" s="4"/>
      <c r="S53" s="4"/>
      <c r="T53" s="4"/>
      <c r="U53" s="4"/>
      <c r="V53" s="4"/>
      <c r="W53" s="4"/>
      <c r="X53" s="4"/>
      <c r="Y53" s="4"/>
      <c r="Z53" s="4"/>
    </row>
    <row r="54" spans="1:26" ht="12.75">
      <c r="A54" s="4"/>
      <c r="B54" s="4"/>
      <c r="C54" s="64"/>
      <c r="D54" s="4"/>
      <c r="E54" s="4"/>
      <c r="F54" s="4"/>
      <c r="G54" s="4"/>
      <c r="H54" s="4"/>
      <c r="I54" s="4"/>
      <c r="J54" s="4"/>
      <c r="K54" s="4"/>
      <c r="L54" s="4"/>
      <c r="M54" s="4"/>
      <c r="N54" s="4"/>
      <c r="O54" s="4"/>
      <c r="P54" s="4"/>
      <c r="Q54" s="4"/>
      <c r="R54" s="4"/>
      <c r="S54" s="4"/>
      <c r="T54" s="4"/>
      <c r="U54" s="4"/>
      <c r="V54" s="4"/>
      <c r="W54" s="4"/>
      <c r="X54" s="4"/>
      <c r="Y54" s="4"/>
      <c r="Z54" s="4"/>
    </row>
    <row r="55" spans="1:26" ht="12.75">
      <c r="A55" s="4"/>
      <c r="B55" s="4"/>
      <c r="C55" s="64"/>
      <c r="D55" s="4"/>
      <c r="E55" s="4"/>
      <c r="F55" s="4"/>
      <c r="G55" s="4"/>
      <c r="H55" s="4"/>
      <c r="I55" s="4"/>
      <c r="J55" s="4"/>
      <c r="K55" s="4"/>
      <c r="L55" s="4"/>
      <c r="M55" s="4"/>
      <c r="N55" s="4"/>
      <c r="O55" s="4"/>
      <c r="P55" s="4"/>
      <c r="Q55" s="4"/>
      <c r="R55" s="4"/>
      <c r="S55" s="4"/>
      <c r="T55" s="4"/>
      <c r="U55" s="4"/>
      <c r="V55" s="4"/>
      <c r="W55" s="4"/>
      <c r="X55" s="4"/>
      <c r="Y55" s="4"/>
      <c r="Z55" s="4"/>
    </row>
    <row r="56" spans="1:26" ht="12.75">
      <c r="A56" s="4"/>
      <c r="B56" s="4"/>
      <c r="C56" s="64"/>
      <c r="D56" s="4"/>
      <c r="E56" s="4"/>
      <c r="F56" s="4"/>
      <c r="G56" s="4"/>
      <c r="H56" s="4"/>
      <c r="I56" s="4"/>
      <c r="J56" s="4"/>
      <c r="K56" s="4"/>
      <c r="L56" s="4"/>
      <c r="M56" s="4"/>
      <c r="N56" s="4"/>
      <c r="O56" s="4"/>
      <c r="P56" s="4"/>
      <c r="Q56" s="4"/>
      <c r="R56" s="4"/>
      <c r="S56" s="4"/>
      <c r="T56" s="4"/>
      <c r="U56" s="4"/>
      <c r="V56" s="4"/>
      <c r="W56" s="4"/>
      <c r="X56" s="4"/>
      <c r="Y56" s="4"/>
      <c r="Z56" s="4"/>
    </row>
    <row r="57" spans="1:26" ht="12.75">
      <c r="A57" s="4"/>
      <c r="B57" s="4"/>
      <c r="C57" s="64"/>
      <c r="D57" s="4"/>
      <c r="E57" s="4"/>
      <c r="F57" s="4"/>
      <c r="G57" s="4"/>
      <c r="H57" s="4"/>
      <c r="I57" s="4"/>
      <c r="J57" s="4"/>
      <c r="K57" s="4"/>
      <c r="L57" s="4"/>
      <c r="M57" s="4"/>
      <c r="N57" s="4"/>
      <c r="O57" s="4"/>
      <c r="P57" s="4"/>
      <c r="Q57" s="4"/>
      <c r="R57" s="4"/>
      <c r="S57" s="4"/>
      <c r="T57" s="4"/>
      <c r="U57" s="4"/>
      <c r="V57" s="4"/>
      <c r="W57" s="4"/>
      <c r="X57" s="4"/>
      <c r="Y57" s="4"/>
      <c r="Z57" s="4"/>
    </row>
    <row r="58" spans="1:26" ht="12.75">
      <c r="A58" s="4"/>
      <c r="B58" s="4"/>
      <c r="C58" s="64"/>
      <c r="D58" s="4"/>
      <c r="E58" s="4"/>
      <c r="F58" s="4"/>
      <c r="G58" s="4"/>
      <c r="H58" s="4"/>
      <c r="I58" s="4"/>
      <c r="J58" s="4"/>
      <c r="K58" s="4"/>
      <c r="L58" s="4"/>
      <c r="M58" s="4"/>
      <c r="N58" s="4"/>
      <c r="O58" s="4"/>
      <c r="P58" s="4"/>
      <c r="Q58" s="4"/>
      <c r="R58" s="4"/>
      <c r="S58" s="4"/>
      <c r="T58" s="4"/>
      <c r="U58" s="4"/>
      <c r="V58" s="4"/>
      <c r="W58" s="4"/>
      <c r="X58" s="4"/>
      <c r="Y58" s="4"/>
      <c r="Z58" s="4"/>
    </row>
    <row r="59" spans="1:26" ht="12.75">
      <c r="A59" s="4"/>
      <c r="B59" s="4"/>
      <c r="C59" s="64"/>
      <c r="D59" s="4"/>
      <c r="E59" s="4"/>
      <c r="F59" s="4"/>
      <c r="G59" s="4"/>
      <c r="H59" s="4"/>
      <c r="I59" s="4"/>
      <c r="J59" s="4"/>
      <c r="K59" s="4"/>
      <c r="L59" s="4"/>
      <c r="M59" s="4"/>
      <c r="N59" s="4"/>
      <c r="O59" s="4"/>
      <c r="P59" s="4"/>
      <c r="Q59" s="4"/>
      <c r="R59" s="4"/>
      <c r="S59" s="4"/>
      <c r="T59" s="4"/>
      <c r="U59" s="4"/>
      <c r="V59" s="4"/>
      <c r="W59" s="4"/>
      <c r="X59" s="4"/>
      <c r="Y59" s="4"/>
      <c r="Z59" s="4"/>
    </row>
    <row r="60" spans="1:26" ht="12.75">
      <c r="A60" s="4"/>
      <c r="B60" s="4"/>
      <c r="C60" s="64"/>
      <c r="D60" s="4"/>
      <c r="E60" s="4"/>
      <c r="F60" s="4"/>
      <c r="G60" s="4"/>
      <c r="H60" s="4"/>
      <c r="I60" s="4"/>
      <c r="J60" s="4"/>
      <c r="K60" s="4"/>
      <c r="L60" s="4"/>
      <c r="M60" s="4"/>
      <c r="N60" s="4"/>
      <c r="O60" s="4"/>
      <c r="P60" s="4"/>
      <c r="Q60" s="4"/>
      <c r="R60" s="4"/>
      <c r="S60" s="4"/>
      <c r="T60" s="4"/>
      <c r="U60" s="4"/>
      <c r="V60" s="4"/>
      <c r="W60" s="4"/>
      <c r="X60" s="4"/>
      <c r="Y60" s="4"/>
      <c r="Z60" s="4"/>
    </row>
    <row r="61" spans="1:26" ht="12.75">
      <c r="A61" s="4"/>
      <c r="B61" s="4"/>
      <c r="C61" s="15"/>
      <c r="D61" s="4"/>
      <c r="E61" s="4"/>
      <c r="F61" s="4"/>
      <c r="G61" s="4"/>
      <c r="H61" s="4"/>
      <c r="I61" s="4"/>
      <c r="J61" s="4"/>
      <c r="K61" s="4"/>
      <c r="L61" s="4"/>
      <c r="M61" s="4"/>
      <c r="N61" s="4"/>
      <c r="O61" s="4"/>
      <c r="P61" s="4"/>
      <c r="Q61" s="4"/>
      <c r="R61" s="4"/>
      <c r="S61" s="4"/>
      <c r="T61" s="4"/>
      <c r="U61" s="4"/>
      <c r="V61" s="4"/>
      <c r="W61" s="4"/>
      <c r="X61" s="4"/>
      <c r="Y61" s="4"/>
      <c r="Z61" s="4"/>
    </row>
    <row r="62" spans="1:26" ht="12.75">
      <c r="A62" s="4"/>
      <c r="B62" s="4"/>
      <c r="C62" s="15"/>
      <c r="D62" s="4"/>
      <c r="E62" s="4"/>
      <c r="F62" s="4"/>
      <c r="G62" s="4"/>
      <c r="H62" s="4"/>
      <c r="I62" s="4"/>
      <c r="J62" s="4"/>
      <c r="K62" s="4"/>
      <c r="L62" s="4"/>
      <c r="M62" s="4"/>
      <c r="N62" s="4"/>
      <c r="O62" s="4"/>
      <c r="P62" s="4"/>
      <c r="Q62" s="4"/>
      <c r="R62" s="4"/>
      <c r="S62" s="4"/>
      <c r="T62" s="4"/>
      <c r="U62" s="4"/>
      <c r="V62" s="4"/>
      <c r="W62" s="4"/>
      <c r="X62" s="4"/>
      <c r="Y62" s="4"/>
      <c r="Z62" s="4"/>
    </row>
    <row r="63" spans="1:26" ht="12.75">
      <c r="A63" s="4"/>
      <c r="B63" s="4"/>
      <c r="C63" s="15"/>
      <c r="D63" s="4"/>
      <c r="E63" s="4"/>
      <c r="F63" s="4"/>
      <c r="G63" s="4"/>
      <c r="H63" s="4"/>
      <c r="I63" s="4"/>
      <c r="J63" s="4"/>
      <c r="K63" s="4"/>
      <c r="L63" s="4"/>
      <c r="M63" s="4"/>
      <c r="N63" s="4"/>
      <c r="O63" s="4"/>
      <c r="P63" s="4"/>
      <c r="Q63" s="4"/>
      <c r="R63" s="4"/>
      <c r="S63" s="4"/>
      <c r="T63" s="4"/>
      <c r="U63" s="4"/>
      <c r="V63" s="4"/>
      <c r="W63" s="4"/>
      <c r="X63" s="4"/>
      <c r="Y63" s="4"/>
      <c r="Z63" s="4"/>
    </row>
    <row r="64" spans="1:26" ht="12.75">
      <c r="A64" s="4"/>
      <c r="B64" s="4"/>
      <c r="C64" s="15"/>
      <c r="D64" s="4"/>
      <c r="E64" s="4"/>
      <c r="F64" s="4"/>
      <c r="G64" s="4"/>
      <c r="H64" s="4"/>
      <c r="I64" s="4"/>
      <c r="J64" s="4"/>
      <c r="K64" s="4"/>
      <c r="L64" s="4"/>
      <c r="M64" s="4"/>
      <c r="N64" s="4"/>
      <c r="O64" s="4"/>
      <c r="P64" s="4"/>
      <c r="Q64" s="4"/>
      <c r="R64" s="4"/>
      <c r="S64" s="4"/>
      <c r="T64" s="4"/>
      <c r="U64" s="4"/>
      <c r="V64" s="4"/>
      <c r="W64" s="4"/>
      <c r="X64" s="4"/>
      <c r="Y64" s="4"/>
      <c r="Z64" s="4"/>
    </row>
    <row r="65" spans="1:26" ht="12.75">
      <c r="A65" s="4"/>
      <c r="B65" s="4"/>
      <c r="C65" s="15"/>
      <c r="D65" s="4"/>
      <c r="E65" s="4"/>
      <c r="F65" s="4"/>
      <c r="G65" s="4"/>
      <c r="H65" s="4"/>
      <c r="I65" s="4"/>
      <c r="J65" s="4"/>
      <c r="K65" s="4"/>
      <c r="L65" s="4"/>
      <c r="M65" s="4"/>
      <c r="N65" s="4"/>
      <c r="O65" s="4"/>
      <c r="P65" s="4"/>
      <c r="Q65" s="4"/>
      <c r="R65" s="4"/>
      <c r="S65" s="4"/>
      <c r="T65" s="4"/>
      <c r="U65" s="4"/>
      <c r="V65" s="4"/>
      <c r="W65" s="4"/>
      <c r="X65" s="4"/>
      <c r="Y65" s="4"/>
      <c r="Z65" s="4"/>
    </row>
    <row r="66" spans="1:26" ht="12.75">
      <c r="A66" s="4"/>
      <c r="B66" s="4"/>
      <c r="C66" s="15"/>
      <c r="D66" s="4"/>
      <c r="E66" s="4"/>
      <c r="F66" s="4"/>
      <c r="G66" s="4"/>
      <c r="H66" s="4"/>
      <c r="I66" s="4"/>
      <c r="J66" s="4"/>
      <c r="K66" s="4"/>
      <c r="L66" s="4"/>
      <c r="M66" s="4"/>
      <c r="N66" s="4"/>
      <c r="O66" s="4"/>
      <c r="P66" s="4"/>
      <c r="Q66" s="4"/>
      <c r="R66" s="4"/>
      <c r="S66" s="4"/>
      <c r="T66" s="4"/>
      <c r="U66" s="4"/>
      <c r="V66" s="4"/>
      <c r="W66" s="4"/>
      <c r="X66" s="4"/>
      <c r="Y66" s="4"/>
      <c r="Z66" s="4"/>
    </row>
    <row r="67" spans="1:26" ht="12.75">
      <c r="A67" s="4"/>
      <c r="B67" s="4"/>
      <c r="C67" s="15"/>
      <c r="D67" s="4"/>
      <c r="E67" s="4"/>
      <c r="F67" s="4"/>
      <c r="G67" s="4"/>
      <c r="H67" s="4"/>
      <c r="I67" s="4"/>
      <c r="J67" s="4"/>
      <c r="K67" s="4"/>
      <c r="L67" s="4"/>
      <c r="M67" s="4"/>
      <c r="N67" s="4"/>
      <c r="O67" s="4"/>
      <c r="P67" s="4"/>
      <c r="Q67" s="4"/>
      <c r="R67" s="4"/>
      <c r="S67" s="4"/>
      <c r="T67" s="4"/>
      <c r="U67" s="4"/>
      <c r="V67" s="4"/>
      <c r="W67" s="4"/>
      <c r="X67" s="4"/>
      <c r="Y67" s="4"/>
      <c r="Z67" s="4"/>
    </row>
    <row r="68" spans="1:26" ht="12.75">
      <c r="A68" s="4"/>
      <c r="B68" s="4"/>
      <c r="C68" s="15"/>
      <c r="D68" s="4"/>
      <c r="E68" s="4"/>
      <c r="F68" s="4"/>
      <c r="G68" s="4"/>
      <c r="H68" s="4"/>
      <c r="I68" s="4"/>
      <c r="J68" s="4"/>
      <c r="K68" s="4"/>
      <c r="L68" s="4"/>
      <c r="M68" s="4"/>
      <c r="N68" s="4"/>
      <c r="O68" s="4"/>
      <c r="P68" s="4"/>
      <c r="Q68" s="4"/>
      <c r="R68" s="4"/>
      <c r="S68" s="4"/>
      <c r="T68" s="4"/>
      <c r="U68" s="4"/>
      <c r="V68" s="4"/>
      <c r="W68" s="4"/>
      <c r="X68" s="4"/>
      <c r="Y68" s="4"/>
      <c r="Z68" s="4"/>
    </row>
    <row r="69" spans="1:26" ht="12.75">
      <c r="A69" s="4"/>
      <c r="B69" s="4"/>
      <c r="C69" s="15"/>
      <c r="D69" s="4"/>
      <c r="E69" s="4"/>
      <c r="F69" s="4"/>
      <c r="G69" s="4"/>
      <c r="H69" s="4"/>
      <c r="I69" s="4"/>
      <c r="J69" s="4"/>
      <c r="K69" s="4"/>
      <c r="L69" s="4"/>
      <c r="M69" s="4"/>
      <c r="N69" s="4"/>
      <c r="O69" s="4"/>
      <c r="P69" s="4"/>
      <c r="Q69" s="4"/>
      <c r="R69" s="4"/>
      <c r="S69" s="4"/>
      <c r="T69" s="4"/>
      <c r="U69" s="4"/>
      <c r="V69" s="4"/>
      <c r="W69" s="4"/>
      <c r="X69" s="4"/>
      <c r="Y69" s="4"/>
      <c r="Z69" s="4"/>
    </row>
    <row r="70" spans="1:26" ht="12.75">
      <c r="A70" s="4"/>
      <c r="B70" s="4"/>
      <c r="C70" s="15"/>
      <c r="D70" s="4"/>
      <c r="E70" s="4"/>
      <c r="F70" s="4"/>
      <c r="G70" s="4"/>
      <c r="H70" s="4"/>
      <c r="I70" s="4"/>
      <c r="J70" s="4"/>
      <c r="K70" s="4"/>
      <c r="L70" s="4"/>
      <c r="M70" s="4"/>
      <c r="N70" s="4"/>
      <c r="O70" s="4"/>
      <c r="P70" s="4"/>
      <c r="Q70" s="4"/>
      <c r="R70" s="4"/>
      <c r="S70" s="4"/>
      <c r="T70" s="4"/>
      <c r="U70" s="4"/>
      <c r="V70" s="4"/>
      <c r="W70" s="4"/>
      <c r="X70" s="4"/>
      <c r="Y70" s="4"/>
      <c r="Z70" s="4"/>
    </row>
    <row r="71" spans="1:26" ht="12.75">
      <c r="A71" s="4"/>
      <c r="B71" s="4"/>
      <c r="C71" s="15"/>
      <c r="D71" s="4"/>
      <c r="E71" s="4"/>
      <c r="F71" s="4"/>
      <c r="G71" s="4"/>
      <c r="H71" s="4"/>
      <c r="I71" s="4"/>
      <c r="J71" s="4"/>
      <c r="K71" s="4"/>
      <c r="L71" s="4"/>
      <c r="M71" s="4"/>
      <c r="N71" s="4"/>
      <c r="O71" s="4"/>
      <c r="P71" s="4"/>
      <c r="Q71" s="4"/>
      <c r="R71" s="4"/>
      <c r="S71" s="4"/>
      <c r="T71" s="4"/>
      <c r="U71" s="4"/>
      <c r="V71" s="4"/>
      <c r="W71" s="4"/>
      <c r="X71" s="4"/>
      <c r="Y71" s="4"/>
      <c r="Z71" s="4"/>
    </row>
    <row r="72" spans="1:26" ht="12.75">
      <c r="A72" s="4"/>
      <c r="B72" s="4"/>
      <c r="C72" s="15"/>
      <c r="D72" s="4"/>
      <c r="E72" s="4"/>
      <c r="F72" s="4"/>
      <c r="G72" s="4"/>
      <c r="H72" s="4"/>
      <c r="I72" s="4"/>
      <c r="J72" s="4"/>
      <c r="K72" s="4"/>
      <c r="L72" s="4"/>
      <c r="M72" s="4"/>
      <c r="N72" s="4"/>
      <c r="O72" s="4"/>
      <c r="P72" s="4"/>
      <c r="Q72" s="4"/>
      <c r="R72" s="4"/>
      <c r="S72" s="4"/>
      <c r="T72" s="4"/>
      <c r="U72" s="4"/>
      <c r="V72" s="4"/>
      <c r="W72" s="4"/>
      <c r="X72" s="4"/>
      <c r="Y72" s="4"/>
      <c r="Z72" s="4"/>
    </row>
    <row r="73" spans="1:26" ht="12.75">
      <c r="A73" s="4"/>
      <c r="B73" s="4"/>
      <c r="C73" s="15"/>
      <c r="D73" s="4"/>
      <c r="E73" s="4"/>
      <c r="F73" s="4"/>
      <c r="G73" s="4"/>
      <c r="H73" s="4"/>
      <c r="I73" s="4"/>
      <c r="J73" s="4"/>
      <c r="K73" s="4"/>
      <c r="L73" s="4"/>
      <c r="M73" s="4"/>
      <c r="N73" s="4"/>
      <c r="O73" s="4"/>
      <c r="P73" s="4"/>
      <c r="Q73" s="4"/>
      <c r="R73" s="4"/>
      <c r="S73" s="4"/>
      <c r="T73" s="4"/>
      <c r="U73" s="4"/>
      <c r="V73" s="4"/>
      <c r="W73" s="4"/>
      <c r="X73" s="4"/>
      <c r="Y73" s="4"/>
      <c r="Z73" s="4"/>
    </row>
    <row r="74" spans="1:26" ht="12.75">
      <c r="A74" s="4"/>
      <c r="B74" s="4"/>
      <c r="C74" s="15"/>
      <c r="D74" s="4"/>
      <c r="E74" s="4"/>
      <c r="F74" s="4"/>
      <c r="G74" s="4"/>
      <c r="H74" s="4"/>
      <c r="I74" s="4"/>
      <c r="J74" s="4"/>
      <c r="K74" s="4"/>
      <c r="L74" s="4"/>
      <c r="M74" s="4"/>
      <c r="N74" s="4"/>
      <c r="O74" s="4"/>
      <c r="P74" s="4"/>
      <c r="Q74" s="4"/>
      <c r="R74" s="4"/>
      <c r="S74" s="4"/>
      <c r="T74" s="4"/>
      <c r="U74" s="4"/>
      <c r="V74" s="4"/>
      <c r="W74" s="4"/>
      <c r="X74" s="4"/>
      <c r="Y74" s="4"/>
      <c r="Z74" s="4"/>
    </row>
    <row r="75" spans="1:26" ht="12.75">
      <c r="A75" s="4"/>
      <c r="B75" s="4"/>
      <c r="C75" s="15"/>
      <c r="D75" s="4"/>
      <c r="E75" s="4"/>
      <c r="F75" s="4"/>
      <c r="G75" s="4"/>
      <c r="H75" s="4"/>
      <c r="I75" s="4"/>
      <c r="J75" s="4"/>
      <c r="K75" s="4"/>
      <c r="L75" s="4"/>
      <c r="M75" s="4"/>
      <c r="N75" s="4"/>
      <c r="O75" s="4"/>
      <c r="P75" s="4"/>
      <c r="Q75" s="4"/>
      <c r="R75" s="4"/>
      <c r="S75" s="4"/>
      <c r="T75" s="4"/>
      <c r="U75" s="4"/>
      <c r="V75" s="4"/>
      <c r="W75" s="4"/>
      <c r="X75" s="4"/>
      <c r="Y75" s="4"/>
      <c r="Z75" s="4"/>
    </row>
    <row r="76" spans="1:26" ht="12.75">
      <c r="A76" s="4"/>
      <c r="B76" s="4"/>
      <c r="C76" s="15"/>
      <c r="D76" s="4"/>
      <c r="E76" s="4"/>
      <c r="F76" s="4"/>
      <c r="G76" s="4"/>
      <c r="H76" s="4"/>
      <c r="I76" s="4"/>
      <c r="J76" s="4"/>
      <c r="K76" s="4"/>
      <c r="L76" s="4"/>
      <c r="M76" s="4"/>
      <c r="N76" s="4"/>
      <c r="O76" s="4"/>
      <c r="P76" s="4"/>
      <c r="Q76" s="4"/>
      <c r="R76" s="4"/>
      <c r="S76" s="4"/>
      <c r="T76" s="4"/>
      <c r="U76" s="4"/>
      <c r="V76" s="4"/>
      <c r="W76" s="4"/>
      <c r="X76" s="4"/>
      <c r="Y76" s="4"/>
      <c r="Z76" s="4"/>
    </row>
    <row r="77" spans="1:26" ht="12.75">
      <c r="A77" s="4"/>
      <c r="B77" s="4"/>
      <c r="C77" s="15"/>
      <c r="D77" s="4"/>
      <c r="E77" s="4"/>
      <c r="F77" s="4"/>
      <c r="G77" s="4"/>
      <c r="H77" s="4"/>
      <c r="I77" s="4"/>
      <c r="J77" s="4"/>
      <c r="K77" s="4"/>
      <c r="L77" s="4"/>
      <c r="M77" s="4"/>
      <c r="N77" s="4"/>
      <c r="O77" s="4"/>
      <c r="P77" s="4"/>
      <c r="Q77" s="4"/>
      <c r="R77" s="4"/>
      <c r="S77" s="4"/>
      <c r="T77" s="4"/>
      <c r="U77" s="4"/>
      <c r="V77" s="4"/>
      <c r="W77" s="4"/>
      <c r="X77" s="4"/>
      <c r="Y77" s="4"/>
      <c r="Z77" s="4"/>
    </row>
    <row r="78" spans="1:26" ht="12.75">
      <c r="A78" s="4"/>
      <c r="B78" s="4"/>
      <c r="C78" s="15"/>
      <c r="D78" s="4"/>
      <c r="E78" s="4"/>
      <c r="F78" s="4"/>
      <c r="G78" s="4"/>
      <c r="H78" s="4"/>
      <c r="I78" s="4"/>
      <c r="J78" s="4"/>
      <c r="K78" s="4"/>
      <c r="L78" s="4"/>
      <c r="M78" s="4"/>
      <c r="N78" s="4"/>
      <c r="O78" s="4"/>
      <c r="P78" s="4"/>
      <c r="Q78" s="4"/>
      <c r="R78" s="4"/>
      <c r="S78" s="4"/>
      <c r="T78" s="4"/>
      <c r="U78" s="4"/>
      <c r="V78" s="4"/>
      <c r="W78" s="4"/>
      <c r="X78" s="4"/>
      <c r="Y78" s="4"/>
      <c r="Z78" s="4"/>
    </row>
    <row r="79" spans="1:26" ht="12.75">
      <c r="A79" s="4"/>
      <c r="B79" s="4"/>
      <c r="C79" s="15"/>
      <c r="D79" s="4"/>
      <c r="E79" s="4"/>
      <c r="F79" s="4"/>
      <c r="G79" s="4"/>
      <c r="H79" s="4"/>
      <c r="I79" s="4"/>
      <c r="J79" s="4"/>
      <c r="K79" s="4"/>
      <c r="L79" s="4"/>
      <c r="M79" s="4"/>
      <c r="N79" s="4"/>
      <c r="O79" s="4"/>
      <c r="P79" s="4"/>
      <c r="Q79" s="4"/>
      <c r="R79" s="4"/>
      <c r="S79" s="4"/>
      <c r="T79" s="4"/>
      <c r="U79" s="4"/>
      <c r="V79" s="4"/>
      <c r="W79" s="4"/>
      <c r="X79" s="4"/>
      <c r="Y79" s="4"/>
      <c r="Z79" s="4"/>
    </row>
    <row r="80" spans="1:26" ht="12.75">
      <c r="A80" s="4"/>
      <c r="B80" s="4"/>
      <c r="C80" s="15"/>
      <c r="D80" s="4"/>
      <c r="E80" s="4"/>
      <c r="F80" s="4"/>
      <c r="G80" s="4"/>
      <c r="H80" s="4"/>
      <c r="I80" s="4"/>
      <c r="J80" s="4"/>
      <c r="K80" s="4"/>
      <c r="L80" s="4"/>
      <c r="M80" s="4"/>
      <c r="N80" s="4"/>
      <c r="O80" s="4"/>
      <c r="P80" s="4"/>
      <c r="Q80" s="4"/>
      <c r="R80" s="4"/>
      <c r="S80" s="4"/>
      <c r="T80" s="4"/>
      <c r="U80" s="4"/>
      <c r="V80" s="4"/>
      <c r="W80" s="4"/>
      <c r="X80" s="4"/>
      <c r="Y80" s="4"/>
      <c r="Z80" s="4"/>
    </row>
    <row r="81" spans="1:26" ht="12.75">
      <c r="A81" s="4"/>
      <c r="B81" s="4"/>
      <c r="C81" s="15"/>
      <c r="D81" s="4"/>
      <c r="E81" s="4"/>
      <c r="F81" s="4"/>
      <c r="G81" s="4"/>
      <c r="H81" s="4"/>
      <c r="I81" s="4"/>
      <c r="J81" s="4"/>
      <c r="K81" s="4"/>
      <c r="L81" s="4"/>
      <c r="M81" s="4"/>
      <c r="N81" s="4"/>
      <c r="O81" s="4"/>
      <c r="P81" s="4"/>
      <c r="Q81" s="4"/>
      <c r="R81" s="4"/>
      <c r="S81" s="4"/>
      <c r="T81" s="4"/>
      <c r="U81" s="4"/>
      <c r="V81" s="4"/>
      <c r="W81" s="4"/>
      <c r="X81" s="4"/>
      <c r="Y81" s="4"/>
      <c r="Z81" s="4"/>
    </row>
    <row r="82" spans="1:26" ht="12.75">
      <c r="A82" s="4"/>
      <c r="B82" s="4"/>
      <c r="C82" s="15"/>
      <c r="D82" s="4"/>
      <c r="E82" s="4"/>
      <c r="F82" s="4"/>
      <c r="G82" s="4"/>
      <c r="H82" s="4"/>
      <c r="I82" s="4"/>
      <c r="J82" s="4"/>
      <c r="K82" s="4"/>
      <c r="L82" s="4"/>
      <c r="M82" s="4"/>
      <c r="N82" s="4"/>
      <c r="O82" s="4"/>
      <c r="P82" s="4"/>
      <c r="Q82" s="4"/>
      <c r="R82" s="4"/>
      <c r="S82" s="4"/>
      <c r="T82" s="4"/>
      <c r="U82" s="4"/>
      <c r="V82" s="4"/>
      <c r="W82" s="4"/>
      <c r="X82" s="4"/>
      <c r="Y82" s="4"/>
      <c r="Z82" s="4"/>
    </row>
    <row r="83" spans="1:26" ht="12.75">
      <c r="A83" s="4"/>
      <c r="B83" s="4"/>
      <c r="C83" s="15"/>
      <c r="D83" s="4"/>
      <c r="E83" s="4"/>
      <c r="F83" s="4"/>
      <c r="G83" s="4"/>
      <c r="H83" s="4"/>
      <c r="I83" s="4"/>
      <c r="J83" s="4"/>
      <c r="K83" s="4"/>
      <c r="L83" s="4"/>
      <c r="M83" s="4"/>
      <c r="N83" s="4"/>
      <c r="O83" s="4"/>
      <c r="P83" s="4"/>
      <c r="Q83" s="4"/>
      <c r="R83" s="4"/>
      <c r="S83" s="4"/>
      <c r="T83" s="4"/>
      <c r="U83" s="4"/>
      <c r="V83" s="4"/>
      <c r="W83" s="4"/>
      <c r="X83" s="4"/>
      <c r="Y83" s="4"/>
      <c r="Z83" s="4"/>
    </row>
    <row r="84" spans="1:26" ht="12.75">
      <c r="A84" s="4"/>
      <c r="B84" s="4"/>
      <c r="C84" s="15"/>
      <c r="D84" s="4"/>
      <c r="E84" s="4"/>
      <c r="F84" s="4"/>
      <c r="G84" s="4"/>
      <c r="H84" s="4"/>
      <c r="I84" s="4"/>
      <c r="J84" s="4"/>
      <c r="K84" s="4"/>
      <c r="L84" s="4"/>
      <c r="M84" s="4"/>
      <c r="N84" s="4"/>
      <c r="O84" s="4"/>
      <c r="P84" s="4"/>
      <c r="Q84" s="4"/>
      <c r="R84" s="4"/>
      <c r="S84" s="4"/>
      <c r="T84" s="4"/>
      <c r="U84" s="4"/>
      <c r="V84" s="4"/>
      <c r="W84" s="4"/>
      <c r="X84" s="4"/>
      <c r="Y84" s="4"/>
      <c r="Z84" s="4"/>
    </row>
    <row r="85" spans="1:26" ht="12.75">
      <c r="A85" s="4"/>
      <c r="B85" s="4"/>
      <c r="C85" s="15"/>
      <c r="D85" s="4"/>
      <c r="E85" s="4"/>
      <c r="F85" s="4"/>
      <c r="G85" s="4"/>
      <c r="H85" s="4"/>
      <c r="I85" s="4"/>
      <c r="J85" s="4"/>
      <c r="K85" s="4"/>
      <c r="L85" s="4"/>
      <c r="M85" s="4"/>
      <c r="N85" s="4"/>
      <c r="O85" s="4"/>
      <c r="P85" s="4"/>
      <c r="Q85" s="4"/>
      <c r="R85" s="4"/>
      <c r="S85" s="4"/>
      <c r="T85" s="4"/>
      <c r="U85" s="4"/>
      <c r="V85" s="4"/>
      <c r="W85" s="4"/>
      <c r="X85" s="4"/>
      <c r="Y85" s="4"/>
      <c r="Z85" s="4"/>
    </row>
    <row r="86" spans="1:26" ht="12.75">
      <c r="A86" s="4"/>
      <c r="B86" s="4"/>
      <c r="C86" s="15"/>
      <c r="D86" s="4"/>
      <c r="E86" s="4"/>
      <c r="F86" s="4"/>
      <c r="G86" s="4"/>
      <c r="H86" s="4"/>
      <c r="I86" s="4"/>
      <c r="J86" s="4"/>
      <c r="K86" s="4"/>
      <c r="L86" s="4"/>
      <c r="M86" s="4"/>
      <c r="N86" s="4"/>
      <c r="O86" s="4"/>
      <c r="P86" s="4"/>
      <c r="Q86" s="4"/>
      <c r="R86" s="4"/>
      <c r="S86" s="4"/>
      <c r="T86" s="4"/>
      <c r="U86" s="4"/>
      <c r="V86" s="4"/>
      <c r="W86" s="4"/>
      <c r="X86" s="4"/>
      <c r="Y86" s="4"/>
      <c r="Z86" s="4"/>
    </row>
    <row r="87" spans="1:26" ht="12.75">
      <c r="A87" s="4"/>
      <c r="B87" s="4"/>
      <c r="C87" s="15"/>
      <c r="D87" s="4"/>
      <c r="E87" s="4"/>
      <c r="F87" s="4"/>
      <c r="G87" s="4"/>
      <c r="H87" s="4"/>
      <c r="I87" s="4"/>
      <c r="J87" s="4"/>
      <c r="K87" s="4"/>
      <c r="L87" s="4"/>
      <c r="M87" s="4"/>
      <c r="N87" s="4"/>
      <c r="O87" s="4"/>
      <c r="P87" s="4"/>
      <c r="Q87" s="4"/>
      <c r="R87" s="4"/>
      <c r="S87" s="4"/>
      <c r="T87" s="4"/>
      <c r="U87" s="4"/>
      <c r="V87" s="4"/>
      <c r="W87" s="4"/>
      <c r="X87" s="4"/>
      <c r="Y87" s="4"/>
      <c r="Z87" s="4"/>
    </row>
    <row r="88" spans="1:26" ht="12.75">
      <c r="A88" s="4"/>
      <c r="B88" s="4"/>
      <c r="C88" s="15"/>
      <c r="D88" s="4"/>
      <c r="E88" s="4"/>
      <c r="F88" s="4"/>
      <c r="G88" s="4"/>
      <c r="H88" s="4"/>
      <c r="I88" s="4"/>
      <c r="J88" s="4"/>
      <c r="K88" s="4"/>
      <c r="L88" s="4"/>
      <c r="M88" s="4"/>
      <c r="N88" s="4"/>
      <c r="O88" s="4"/>
      <c r="P88" s="4"/>
      <c r="Q88" s="4"/>
      <c r="R88" s="4"/>
      <c r="S88" s="4"/>
      <c r="T88" s="4"/>
      <c r="U88" s="4"/>
      <c r="V88" s="4"/>
      <c r="W88" s="4"/>
      <c r="X88" s="4"/>
      <c r="Y88" s="4"/>
      <c r="Z88" s="4"/>
    </row>
    <row r="89" spans="1:26" ht="12.75">
      <c r="A89" s="4"/>
      <c r="B89" s="4"/>
      <c r="C89" s="15"/>
      <c r="D89" s="4"/>
      <c r="E89" s="4"/>
      <c r="F89" s="4"/>
      <c r="G89" s="4"/>
      <c r="H89" s="4"/>
      <c r="I89" s="4"/>
      <c r="J89" s="4"/>
      <c r="K89" s="4"/>
      <c r="L89" s="4"/>
      <c r="M89" s="4"/>
      <c r="N89" s="4"/>
      <c r="O89" s="4"/>
      <c r="P89" s="4"/>
      <c r="Q89" s="4"/>
      <c r="R89" s="4"/>
      <c r="S89" s="4"/>
      <c r="T89" s="4"/>
      <c r="U89" s="4"/>
      <c r="V89" s="4"/>
      <c r="W89" s="4"/>
      <c r="X89" s="4"/>
      <c r="Y89" s="4"/>
      <c r="Z89" s="4"/>
    </row>
    <row r="90" spans="1:26" ht="12.75">
      <c r="A90" s="4"/>
      <c r="B90" s="4"/>
      <c r="C90" s="15"/>
      <c r="D90" s="4"/>
      <c r="E90" s="4"/>
      <c r="F90" s="4"/>
      <c r="G90" s="4"/>
      <c r="H90" s="4"/>
      <c r="I90" s="4"/>
      <c r="J90" s="4"/>
      <c r="K90" s="4"/>
      <c r="L90" s="4"/>
      <c r="M90" s="4"/>
      <c r="N90" s="4"/>
      <c r="O90" s="4"/>
      <c r="P90" s="4"/>
      <c r="Q90" s="4"/>
      <c r="R90" s="4"/>
      <c r="S90" s="4"/>
      <c r="T90" s="4"/>
      <c r="U90" s="4"/>
      <c r="V90" s="4"/>
      <c r="W90" s="4"/>
      <c r="X90" s="4"/>
      <c r="Y90" s="4"/>
      <c r="Z90" s="4"/>
    </row>
    <row r="91" spans="1:26" ht="12.75">
      <c r="A91" s="4"/>
      <c r="B91" s="4"/>
      <c r="C91" s="15"/>
      <c r="D91" s="4"/>
      <c r="E91" s="4"/>
      <c r="F91" s="4"/>
      <c r="G91" s="4"/>
      <c r="H91" s="4"/>
      <c r="I91" s="4"/>
      <c r="J91" s="4"/>
      <c r="K91" s="4"/>
      <c r="L91" s="4"/>
      <c r="M91" s="4"/>
      <c r="N91" s="4"/>
      <c r="O91" s="4"/>
      <c r="P91" s="4"/>
      <c r="Q91" s="4"/>
      <c r="R91" s="4"/>
      <c r="S91" s="4"/>
      <c r="T91" s="4"/>
      <c r="U91" s="4"/>
      <c r="V91" s="4"/>
      <c r="W91" s="4"/>
      <c r="X91" s="4"/>
      <c r="Y91" s="4"/>
      <c r="Z91" s="4"/>
    </row>
    <row r="92" spans="1:26" ht="12.75">
      <c r="A92" s="4"/>
      <c r="B92" s="4"/>
      <c r="C92" s="15"/>
      <c r="D92" s="4"/>
      <c r="E92" s="4"/>
      <c r="F92" s="4"/>
      <c r="G92" s="4"/>
      <c r="H92" s="4"/>
      <c r="I92" s="4"/>
      <c r="J92" s="4"/>
      <c r="K92" s="4"/>
      <c r="L92" s="4"/>
      <c r="M92" s="4"/>
      <c r="N92" s="4"/>
      <c r="O92" s="4"/>
      <c r="P92" s="4"/>
      <c r="Q92" s="4"/>
      <c r="R92" s="4"/>
      <c r="S92" s="4"/>
      <c r="T92" s="4"/>
      <c r="U92" s="4"/>
      <c r="V92" s="4"/>
      <c r="W92" s="4"/>
      <c r="X92" s="4"/>
      <c r="Y92" s="4"/>
      <c r="Z92" s="4"/>
    </row>
    <row r="93" spans="1:26" ht="12.75">
      <c r="A93" s="4"/>
      <c r="B93" s="4"/>
      <c r="C93" s="15"/>
      <c r="D93" s="4"/>
      <c r="E93" s="4"/>
      <c r="F93" s="4"/>
      <c r="G93" s="4"/>
      <c r="H93" s="4"/>
      <c r="I93" s="4"/>
      <c r="J93" s="4"/>
      <c r="K93" s="4"/>
      <c r="L93" s="4"/>
      <c r="M93" s="4"/>
      <c r="N93" s="4"/>
      <c r="O93" s="4"/>
      <c r="P93" s="4"/>
      <c r="Q93" s="4"/>
      <c r="R93" s="4"/>
      <c r="S93" s="4"/>
      <c r="T93" s="4"/>
      <c r="U93" s="4"/>
      <c r="V93" s="4"/>
      <c r="W93" s="4"/>
      <c r="X93" s="4"/>
      <c r="Y93" s="4"/>
      <c r="Z93" s="4"/>
    </row>
    <row r="94" spans="1:26" ht="12.75">
      <c r="A94" s="4"/>
      <c r="B94" s="4"/>
      <c r="C94" s="15"/>
      <c r="D94" s="4"/>
      <c r="E94" s="4"/>
      <c r="F94" s="4"/>
      <c r="G94" s="4"/>
      <c r="H94" s="4"/>
      <c r="I94" s="4"/>
      <c r="J94" s="4"/>
      <c r="K94" s="4"/>
      <c r="L94" s="4"/>
      <c r="M94" s="4"/>
      <c r="N94" s="4"/>
      <c r="O94" s="4"/>
      <c r="P94" s="4"/>
      <c r="Q94" s="4"/>
      <c r="R94" s="4"/>
      <c r="S94" s="4"/>
      <c r="T94" s="4"/>
      <c r="U94" s="4"/>
      <c r="V94" s="4"/>
      <c r="W94" s="4"/>
      <c r="X94" s="4"/>
      <c r="Y94" s="4"/>
      <c r="Z94" s="4"/>
    </row>
    <row r="95" spans="1:26" ht="12.75">
      <c r="A95" s="4"/>
      <c r="B95" s="4"/>
      <c r="C95" s="15"/>
      <c r="D95" s="4"/>
      <c r="E95" s="4"/>
      <c r="F95" s="4"/>
      <c r="G95" s="4"/>
      <c r="H95" s="4"/>
      <c r="I95" s="4"/>
      <c r="J95" s="4"/>
      <c r="K95" s="4"/>
      <c r="L95" s="4"/>
      <c r="M95" s="4"/>
      <c r="N95" s="4"/>
      <c r="O95" s="4"/>
      <c r="P95" s="4"/>
      <c r="Q95" s="4"/>
      <c r="R95" s="4"/>
      <c r="S95" s="4"/>
      <c r="T95" s="4"/>
      <c r="U95" s="4"/>
      <c r="V95" s="4"/>
      <c r="W95" s="4"/>
      <c r="X95" s="4"/>
      <c r="Y95" s="4"/>
      <c r="Z95" s="4"/>
    </row>
    <row r="96" spans="1:26" ht="12.75">
      <c r="A96" s="4"/>
      <c r="B96" s="4"/>
      <c r="C96" s="15"/>
      <c r="D96" s="4"/>
      <c r="E96" s="4"/>
      <c r="F96" s="4"/>
      <c r="G96" s="4"/>
      <c r="H96" s="4"/>
      <c r="I96" s="4"/>
      <c r="J96" s="4"/>
      <c r="K96" s="4"/>
      <c r="L96" s="4"/>
      <c r="M96" s="4"/>
      <c r="N96" s="4"/>
      <c r="O96" s="4"/>
      <c r="P96" s="4"/>
      <c r="Q96" s="4"/>
      <c r="R96" s="4"/>
      <c r="S96" s="4"/>
      <c r="T96" s="4"/>
      <c r="U96" s="4"/>
      <c r="V96" s="4"/>
      <c r="W96" s="4"/>
      <c r="X96" s="4"/>
      <c r="Y96" s="4"/>
      <c r="Z96" s="4"/>
    </row>
    <row r="97" spans="1:26" ht="12.75">
      <c r="A97" s="4"/>
      <c r="B97" s="4"/>
      <c r="C97" s="15"/>
      <c r="D97" s="4"/>
      <c r="E97" s="4"/>
      <c r="F97" s="4"/>
      <c r="G97" s="4"/>
      <c r="H97" s="4"/>
      <c r="I97" s="4"/>
      <c r="J97" s="4"/>
      <c r="K97" s="4"/>
      <c r="L97" s="4"/>
      <c r="M97" s="4"/>
      <c r="N97" s="4"/>
      <c r="O97" s="4"/>
      <c r="P97" s="4"/>
      <c r="Q97" s="4"/>
      <c r="R97" s="4"/>
      <c r="S97" s="4"/>
      <c r="T97" s="4"/>
      <c r="U97" s="4"/>
      <c r="V97" s="4"/>
      <c r="W97" s="4"/>
      <c r="X97" s="4"/>
      <c r="Y97" s="4"/>
      <c r="Z97" s="4"/>
    </row>
    <row r="98" spans="1:26" ht="12.75">
      <c r="A98" s="4"/>
      <c r="B98" s="4"/>
      <c r="C98" s="15"/>
      <c r="D98" s="4"/>
      <c r="E98" s="4"/>
      <c r="F98" s="4"/>
      <c r="G98" s="4"/>
      <c r="H98" s="4"/>
      <c r="I98" s="4"/>
      <c r="J98" s="4"/>
      <c r="K98" s="4"/>
      <c r="L98" s="4"/>
      <c r="M98" s="4"/>
      <c r="N98" s="4"/>
      <c r="O98" s="4"/>
      <c r="P98" s="4"/>
      <c r="Q98" s="4"/>
      <c r="R98" s="4"/>
      <c r="S98" s="4"/>
      <c r="T98" s="4"/>
      <c r="U98" s="4"/>
      <c r="V98" s="4"/>
      <c r="W98" s="4"/>
      <c r="X98" s="4"/>
      <c r="Y98" s="4"/>
      <c r="Z98" s="4"/>
    </row>
    <row r="99" spans="1:26" ht="12.75">
      <c r="A99" s="4"/>
      <c r="B99" s="4"/>
      <c r="C99" s="15"/>
      <c r="D99" s="4"/>
      <c r="E99" s="4"/>
      <c r="F99" s="4"/>
      <c r="G99" s="4"/>
      <c r="H99" s="4"/>
      <c r="I99" s="4"/>
      <c r="J99" s="4"/>
      <c r="K99" s="4"/>
      <c r="L99" s="4"/>
      <c r="M99" s="4"/>
      <c r="N99" s="4"/>
      <c r="O99" s="4"/>
      <c r="P99" s="4"/>
      <c r="Q99" s="4"/>
      <c r="R99" s="4"/>
      <c r="S99" s="4"/>
      <c r="T99" s="4"/>
      <c r="U99" s="4"/>
      <c r="V99" s="4"/>
      <c r="W99" s="4"/>
      <c r="X99" s="4"/>
      <c r="Y99" s="4"/>
      <c r="Z99" s="4"/>
    </row>
    <row r="100" spans="1:26" ht="12.75">
      <c r="A100" s="4"/>
      <c r="B100" s="4"/>
      <c r="C100" s="15"/>
      <c r="D100" s="4"/>
      <c r="E100" s="4"/>
      <c r="F100" s="4"/>
      <c r="G100" s="4"/>
      <c r="H100" s="4"/>
      <c r="I100" s="4"/>
      <c r="J100" s="4"/>
      <c r="K100" s="4"/>
      <c r="L100" s="4"/>
      <c r="M100" s="4"/>
      <c r="N100" s="4"/>
      <c r="O100" s="4"/>
      <c r="P100" s="4"/>
      <c r="Q100" s="4"/>
      <c r="R100" s="4"/>
      <c r="S100" s="4"/>
      <c r="T100" s="4"/>
      <c r="U100" s="4"/>
      <c r="V100" s="4"/>
      <c r="W100" s="4"/>
      <c r="X100" s="4"/>
      <c r="Y100" s="4"/>
      <c r="Z100" s="4"/>
    </row>
    <row r="101" spans="1:26" ht="12.75">
      <c r="A101" s="4"/>
      <c r="B101" s="4"/>
      <c r="C101" s="15"/>
      <c r="D101" s="4"/>
      <c r="E101" s="4"/>
      <c r="F101" s="4"/>
      <c r="G101" s="4"/>
      <c r="H101" s="4"/>
      <c r="I101" s="4"/>
      <c r="J101" s="4"/>
      <c r="K101" s="4"/>
      <c r="L101" s="4"/>
      <c r="M101" s="4"/>
      <c r="N101" s="4"/>
      <c r="O101" s="4"/>
      <c r="P101" s="4"/>
      <c r="Q101" s="4"/>
      <c r="R101" s="4"/>
      <c r="S101" s="4"/>
      <c r="T101" s="4"/>
      <c r="U101" s="4"/>
      <c r="V101" s="4"/>
      <c r="W101" s="4"/>
      <c r="X101" s="4"/>
      <c r="Y101" s="4"/>
      <c r="Z101" s="4"/>
    </row>
    <row r="102" spans="1:26" ht="12.75">
      <c r="A102" s="4"/>
      <c r="B102" s="4"/>
      <c r="C102" s="15"/>
      <c r="D102" s="4"/>
      <c r="E102" s="4"/>
      <c r="F102" s="4"/>
      <c r="G102" s="4"/>
      <c r="H102" s="4"/>
      <c r="I102" s="4"/>
      <c r="J102" s="4"/>
      <c r="K102" s="4"/>
      <c r="L102" s="4"/>
      <c r="M102" s="4"/>
      <c r="N102" s="4"/>
      <c r="O102" s="4"/>
      <c r="P102" s="4"/>
      <c r="Q102" s="4"/>
      <c r="R102" s="4"/>
      <c r="S102" s="4"/>
      <c r="T102" s="4"/>
      <c r="U102" s="4"/>
      <c r="V102" s="4"/>
      <c r="W102" s="4"/>
      <c r="X102" s="4"/>
      <c r="Y102" s="4"/>
      <c r="Z102" s="4"/>
    </row>
    <row r="103" spans="1:26" ht="12.75">
      <c r="A103" s="4"/>
      <c r="B103" s="4"/>
      <c r="C103" s="15"/>
      <c r="D103" s="4"/>
      <c r="E103" s="4"/>
      <c r="F103" s="4"/>
      <c r="G103" s="4"/>
      <c r="H103" s="4"/>
      <c r="I103" s="4"/>
      <c r="J103" s="4"/>
      <c r="K103" s="4"/>
      <c r="L103" s="4"/>
      <c r="M103" s="4"/>
      <c r="N103" s="4"/>
      <c r="O103" s="4"/>
      <c r="P103" s="4"/>
      <c r="Q103" s="4"/>
      <c r="R103" s="4"/>
      <c r="S103" s="4"/>
      <c r="T103" s="4"/>
      <c r="U103" s="4"/>
      <c r="V103" s="4"/>
      <c r="W103" s="4"/>
      <c r="X103" s="4"/>
      <c r="Y103" s="4"/>
      <c r="Z103" s="4"/>
    </row>
    <row r="104" spans="1:26" ht="12.75">
      <c r="A104" s="4"/>
      <c r="B104" s="4"/>
      <c r="C104" s="15"/>
      <c r="D104" s="4"/>
      <c r="E104" s="4"/>
      <c r="F104" s="4"/>
      <c r="G104" s="4"/>
      <c r="H104" s="4"/>
      <c r="I104" s="4"/>
      <c r="J104" s="4"/>
      <c r="K104" s="4"/>
      <c r="L104" s="4"/>
      <c r="M104" s="4"/>
      <c r="N104" s="4"/>
      <c r="O104" s="4"/>
      <c r="P104" s="4"/>
      <c r="Q104" s="4"/>
      <c r="R104" s="4"/>
      <c r="S104" s="4"/>
      <c r="T104" s="4"/>
      <c r="U104" s="4"/>
      <c r="V104" s="4"/>
      <c r="W104" s="4"/>
      <c r="X104" s="4"/>
      <c r="Y104" s="4"/>
      <c r="Z104" s="4"/>
    </row>
    <row r="105" spans="1:26" ht="12.75">
      <c r="A105" s="4"/>
      <c r="B105" s="4"/>
      <c r="C105" s="15"/>
      <c r="D105" s="4"/>
      <c r="E105" s="4"/>
      <c r="F105" s="4"/>
      <c r="G105" s="4"/>
      <c r="H105" s="4"/>
      <c r="I105" s="4"/>
      <c r="J105" s="4"/>
      <c r="K105" s="4"/>
      <c r="L105" s="4"/>
      <c r="M105" s="4"/>
      <c r="N105" s="4"/>
      <c r="O105" s="4"/>
      <c r="P105" s="4"/>
      <c r="Q105" s="4"/>
      <c r="R105" s="4"/>
      <c r="S105" s="4"/>
      <c r="T105" s="4"/>
      <c r="U105" s="4"/>
      <c r="V105" s="4"/>
      <c r="W105" s="4"/>
      <c r="X105" s="4"/>
      <c r="Y105" s="4"/>
      <c r="Z105" s="4"/>
    </row>
    <row r="106" spans="1:26" ht="12.75">
      <c r="A106" s="4"/>
      <c r="B106" s="4"/>
      <c r="C106" s="15"/>
      <c r="D106" s="4"/>
      <c r="E106" s="4"/>
      <c r="F106" s="4"/>
      <c r="G106" s="4"/>
      <c r="H106" s="4"/>
      <c r="I106" s="4"/>
      <c r="J106" s="4"/>
      <c r="K106" s="4"/>
      <c r="L106" s="4"/>
      <c r="M106" s="4"/>
      <c r="N106" s="4"/>
      <c r="O106" s="4"/>
      <c r="P106" s="4"/>
      <c r="Q106" s="4"/>
      <c r="R106" s="4"/>
      <c r="S106" s="4"/>
      <c r="T106" s="4"/>
      <c r="U106" s="4"/>
      <c r="V106" s="4"/>
      <c r="W106" s="4"/>
      <c r="X106" s="4"/>
      <c r="Y106" s="4"/>
      <c r="Z106" s="4"/>
    </row>
    <row r="107" spans="1:26" ht="12.75">
      <c r="A107" s="4"/>
      <c r="B107" s="4"/>
      <c r="C107" s="15"/>
      <c r="D107" s="4"/>
      <c r="E107" s="4"/>
      <c r="F107" s="4"/>
      <c r="G107" s="4"/>
      <c r="H107" s="4"/>
      <c r="I107" s="4"/>
      <c r="J107" s="4"/>
      <c r="K107" s="4"/>
      <c r="L107" s="4"/>
      <c r="M107" s="4"/>
      <c r="N107" s="4"/>
      <c r="O107" s="4"/>
      <c r="P107" s="4"/>
      <c r="Q107" s="4"/>
      <c r="R107" s="4"/>
      <c r="S107" s="4"/>
      <c r="T107" s="4"/>
      <c r="U107" s="4"/>
      <c r="V107" s="4"/>
      <c r="W107" s="4"/>
      <c r="X107" s="4"/>
      <c r="Y107" s="4"/>
      <c r="Z107" s="4"/>
    </row>
    <row r="108" spans="1:26" ht="12.75">
      <c r="A108" s="4"/>
      <c r="B108" s="4"/>
      <c r="C108" s="15"/>
      <c r="D108" s="4"/>
      <c r="E108" s="4"/>
      <c r="F108" s="4"/>
      <c r="G108" s="4"/>
      <c r="H108" s="4"/>
      <c r="I108" s="4"/>
      <c r="J108" s="4"/>
      <c r="K108" s="4"/>
      <c r="L108" s="4"/>
      <c r="M108" s="4"/>
      <c r="N108" s="4"/>
      <c r="O108" s="4"/>
      <c r="P108" s="4"/>
      <c r="Q108" s="4"/>
      <c r="R108" s="4"/>
      <c r="S108" s="4"/>
      <c r="T108" s="4"/>
      <c r="U108" s="4"/>
      <c r="V108" s="4"/>
      <c r="W108" s="4"/>
      <c r="X108" s="4"/>
      <c r="Y108" s="4"/>
      <c r="Z108" s="4"/>
    </row>
    <row r="109" spans="1:26" ht="12.75">
      <c r="A109" s="4"/>
      <c r="B109" s="4"/>
      <c r="C109" s="15"/>
      <c r="D109" s="4"/>
      <c r="E109" s="4"/>
      <c r="F109" s="4"/>
      <c r="G109" s="4"/>
      <c r="H109" s="4"/>
      <c r="I109" s="4"/>
      <c r="J109" s="4"/>
      <c r="K109" s="4"/>
      <c r="L109" s="4"/>
      <c r="M109" s="4"/>
      <c r="N109" s="4"/>
      <c r="O109" s="4"/>
      <c r="P109" s="4"/>
      <c r="Q109" s="4"/>
      <c r="R109" s="4"/>
      <c r="S109" s="4"/>
      <c r="T109" s="4"/>
      <c r="U109" s="4"/>
      <c r="V109" s="4"/>
      <c r="W109" s="4"/>
      <c r="X109" s="4"/>
      <c r="Y109" s="4"/>
      <c r="Z109" s="4"/>
    </row>
    <row r="110" spans="1:26" ht="12.75">
      <c r="A110" s="4"/>
      <c r="B110" s="4"/>
      <c r="C110" s="15"/>
      <c r="D110" s="4"/>
      <c r="E110" s="4"/>
      <c r="F110" s="4"/>
      <c r="G110" s="4"/>
      <c r="H110" s="4"/>
      <c r="I110" s="4"/>
      <c r="J110" s="4"/>
      <c r="K110" s="4"/>
      <c r="L110" s="4"/>
      <c r="M110" s="4"/>
      <c r="N110" s="4"/>
      <c r="O110" s="4"/>
      <c r="P110" s="4"/>
      <c r="Q110" s="4"/>
      <c r="R110" s="4"/>
      <c r="S110" s="4"/>
      <c r="T110" s="4"/>
      <c r="U110" s="4"/>
      <c r="V110" s="4"/>
      <c r="W110" s="4"/>
      <c r="X110" s="4"/>
      <c r="Y110" s="4"/>
      <c r="Z110" s="4"/>
    </row>
    <row r="111" spans="1:26" ht="12.75">
      <c r="A111" s="4"/>
      <c r="B111" s="4"/>
      <c r="C111" s="15"/>
      <c r="D111" s="4"/>
      <c r="E111" s="4"/>
      <c r="F111" s="4"/>
      <c r="G111" s="4"/>
      <c r="H111" s="4"/>
      <c r="I111" s="4"/>
      <c r="J111" s="4"/>
      <c r="K111" s="4"/>
      <c r="L111" s="4"/>
      <c r="M111" s="4"/>
      <c r="N111" s="4"/>
      <c r="O111" s="4"/>
      <c r="P111" s="4"/>
      <c r="Q111" s="4"/>
      <c r="R111" s="4"/>
      <c r="S111" s="4"/>
      <c r="T111" s="4"/>
      <c r="U111" s="4"/>
      <c r="V111" s="4"/>
      <c r="W111" s="4"/>
      <c r="X111" s="4"/>
      <c r="Y111" s="4"/>
      <c r="Z111" s="4"/>
    </row>
    <row r="112" spans="1:26" ht="12.75">
      <c r="A112" s="4"/>
      <c r="B112" s="4"/>
      <c r="C112" s="15"/>
      <c r="D112" s="4"/>
      <c r="E112" s="4"/>
      <c r="F112" s="4"/>
      <c r="G112" s="4"/>
      <c r="H112" s="4"/>
      <c r="I112" s="4"/>
      <c r="J112" s="4"/>
      <c r="K112" s="4"/>
      <c r="L112" s="4"/>
      <c r="M112" s="4"/>
      <c r="N112" s="4"/>
      <c r="O112" s="4"/>
      <c r="P112" s="4"/>
      <c r="Q112" s="4"/>
      <c r="R112" s="4"/>
      <c r="S112" s="4"/>
      <c r="T112" s="4"/>
      <c r="U112" s="4"/>
      <c r="V112" s="4"/>
      <c r="W112" s="4"/>
      <c r="X112" s="4"/>
      <c r="Y112" s="4"/>
      <c r="Z112" s="4"/>
    </row>
    <row r="113" spans="1:26" ht="12.75">
      <c r="A113" s="4"/>
      <c r="B113" s="4"/>
      <c r="C113" s="15"/>
      <c r="D113" s="4"/>
      <c r="E113" s="4"/>
      <c r="F113" s="4"/>
      <c r="G113" s="4"/>
      <c r="H113" s="4"/>
      <c r="I113" s="4"/>
      <c r="J113" s="4"/>
      <c r="K113" s="4"/>
      <c r="L113" s="4"/>
      <c r="M113" s="4"/>
      <c r="N113" s="4"/>
      <c r="O113" s="4"/>
      <c r="P113" s="4"/>
      <c r="Q113" s="4"/>
      <c r="R113" s="4"/>
      <c r="S113" s="4"/>
      <c r="T113" s="4"/>
      <c r="U113" s="4"/>
      <c r="V113" s="4"/>
      <c r="W113" s="4"/>
      <c r="X113" s="4"/>
      <c r="Y113" s="4"/>
      <c r="Z113" s="4"/>
    </row>
    <row r="114" spans="1:26" ht="12.75">
      <c r="A114" s="4"/>
      <c r="B114" s="4"/>
      <c r="C114" s="15"/>
      <c r="D114" s="4"/>
      <c r="E114" s="4"/>
      <c r="F114" s="4"/>
      <c r="G114" s="4"/>
      <c r="H114" s="4"/>
      <c r="I114" s="4"/>
      <c r="J114" s="4"/>
      <c r="K114" s="4"/>
      <c r="L114" s="4"/>
      <c r="M114" s="4"/>
      <c r="N114" s="4"/>
      <c r="O114" s="4"/>
      <c r="P114" s="4"/>
      <c r="Q114" s="4"/>
      <c r="R114" s="4"/>
      <c r="S114" s="4"/>
      <c r="T114" s="4"/>
      <c r="U114" s="4"/>
      <c r="V114" s="4"/>
      <c r="W114" s="4"/>
      <c r="X114" s="4"/>
      <c r="Y114" s="4"/>
      <c r="Z114" s="4"/>
    </row>
    <row r="115" spans="1:26" ht="12.75">
      <c r="A115" s="4"/>
      <c r="B115" s="4"/>
      <c r="C115" s="15"/>
      <c r="D115" s="4"/>
      <c r="E115" s="4"/>
      <c r="F115" s="4"/>
      <c r="G115" s="4"/>
      <c r="H115" s="4"/>
      <c r="I115" s="4"/>
      <c r="J115" s="4"/>
      <c r="K115" s="4"/>
      <c r="L115" s="4"/>
      <c r="M115" s="4"/>
      <c r="N115" s="4"/>
      <c r="O115" s="4"/>
      <c r="P115" s="4"/>
      <c r="Q115" s="4"/>
      <c r="R115" s="4"/>
      <c r="S115" s="4"/>
      <c r="T115" s="4"/>
      <c r="U115" s="4"/>
      <c r="V115" s="4"/>
      <c r="W115" s="4"/>
      <c r="X115" s="4"/>
      <c r="Y115" s="4"/>
      <c r="Z115" s="4"/>
    </row>
    <row r="116" spans="1:26" ht="12.75">
      <c r="A116" s="4"/>
      <c r="B116" s="4"/>
      <c r="C116" s="15"/>
      <c r="D116" s="4"/>
      <c r="E116" s="4"/>
      <c r="F116" s="4"/>
      <c r="G116" s="4"/>
      <c r="H116" s="4"/>
      <c r="I116" s="4"/>
      <c r="J116" s="4"/>
      <c r="K116" s="4"/>
      <c r="L116" s="4"/>
      <c r="M116" s="4"/>
      <c r="N116" s="4"/>
      <c r="O116" s="4"/>
      <c r="P116" s="4"/>
      <c r="Q116" s="4"/>
      <c r="R116" s="4"/>
      <c r="S116" s="4"/>
      <c r="T116" s="4"/>
      <c r="U116" s="4"/>
      <c r="V116" s="4"/>
      <c r="W116" s="4"/>
      <c r="X116" s="4"/>
      <c r="Y116" s="4"/>
      <c r="Z116" s="4"/>
    </row>
    <row r="117" spans="1:26" ht="12.75">
      <c r="A117" s="4"/>
      <c r="B117" s="4"/>
      <c r="C117" s="15"/>
      <c r="D117" s="4"/>
      <c r="E117" s="4"/>
      <c r="F117" s="4"/>
      <c r="G117" s="4"/>
      <c r="H117" s="4"/>
      <c r="I117" s="4"/>
      <c r="J117" s="4"/>
      <c r="K117" s="4"/>
      <c r="L117" s="4"/>
      <c r="M117" s="4"/>
      <c r="N117" s="4"/>
      <c r="O117" s="4"/>
      <c r="P117" s="4"/>
      <c r="Q117" s="4"/>
      <c r="R117" s="4"/>
      <c r="S117" s="4"/>
      <c r="T117" s="4"/>
      <c r="U117" s="4"/>
      <c r="V117" s="4"/>
      <c r="W117" s="4"/>
      <c r="X117" s="4"/>
      <c r="Y117" s="4"/>
      <c r="Z117" s="4"/>
    </row>
    <row r="118" spans="1:26" ht="12.75">
      <c r="A118" s="4"/>
      <c r="B118" s="4"/>
      <c r="C118" s="15"/>
      <c r="D118" s="4"/>
      <c r="E118" s="4"/>
      <c r="F118" s="4"/>
      <c r="G118" s="4"/>
      <c r="H118" s="4"/>
      <c r="I118" s="4"/>
      <c r="J118" s="4"/>
      <c r="K118" s="4"/>
      <c r="L118" s="4"/>
      <c r="M118" s="4"/>
      <c r="N118" s="4"/>
      <c r="O118" s="4"/>
      <c r="P118" s="4"/>
      <c r="Q118" s="4"/>
      <c r="R118" s="4"/>
      <c r="S118" s="4"/>
      <c r="T118" s="4"/>
      <c r="U118" s="4"/>
      <c r="V118" s="4"/>
      <c r="W118" s="4"/>
      <c r="X118" s="4"/>
      <c r="Y118" s="4"/>
      <c r="Z118" s="4"/>
    </row>
    <row r="119" spans="1:26" ht="12.75">
      <c r="A119" s="4"/>
      <c r="B119" s="4"/>
      <c r="C119" s="15"/>
      <c r="D119" s="4"/>
      <c r="E119" s="4"/>
      <c r="F119" s="4"/>
      <c r="G119" s="4"/>
      <c r="H119" s="4"/>
      <c r="I119" s="4"/>
      <c r="J119" s="4"/>
      <c r="K119" s="4"/>
      <c r="L119" s="4"/>
      <c r="M119" s="4"/>
      <c r="N119" s="4"/>
      <c r="O119" s="4"/>
      <c r="P119" s="4"/>
      <c r="Q119" s="4"/>
      <c r="R119" s="4"/>
      <c r="S119" s="4"/>
      <c r="T119" s="4"/>
      <c r="U119" s="4"/>
      <c r="V119" s="4"/>
      <c r="W119" s="4"/>
      <c r="X119" s="4"/>
      <c r="Y119" s="4"/>
      <c r="Z119" s="4"/>
    </row>
    <row r="120" spans="1:26" ht="12.75">
      <c r="A120" s="4"/>
      <c r="B120" s="4"/>
      <c r="C120" s="15"/>
      <c r="D120" s="4"/>
      <c r="E120" s="4"/>
      <c r="F120" s="4"/>
      <c r="G120" s="4"/>
      <c r="H120" s="4"/>
      <c r="I120" s="4"/>
      <c r="J120" s="4"/>
      <c r="K120" s="4"/>
      <c r="L120" s="4"/>
      <c r="M120" s="4"/>
      <c r="N120" s="4"/>
      <c r="O120" s="4"/>
      <c r="P120" s="4"/>
      <c r="Q120" s="4"/>
      <c r="R120" s="4"/>
      <c r="S120" s="4"/>
      <c r="T120" s="4"/>
      <c r="U120" s="4"/>
      <c r="V120" s="4"/>
      <c r="W120" s="4"/>
      <c r="X120" s="4"/>
      <c r="Y120" s="4"/>
      <c r="Z120" s="4"/>
    </row>
    <row r="121" spans="1:26" ht="12.75">
      <c r="A121" s="4"/>
      <c r="B121" s="4"/>
      <c r="C121" s="15"/>
      <c r="D121" s="4"/>
      <c r="E121" s="4"/>
      <c r="F121" s="4"/>
      <c r="G121" s="4"/>
      <c r="H121" s="4"/>
      <c r="I121" s="4"/>
      <c r="J121" s="4"/>
      <c r="K121" s="4"/>
      <c r="L121" s="4"/>
      <c r="M121" s="4"/>
      <c r="N121" s="4"/>
      <c r="O121" s="4"/>
      <c r="P121" s="4"/>
      <c r="Q121" s="4"/>
      <c r="R121" s="4"/>
      <c r="S121" s="4"/>
      <c r="T121" s="4"/>
      <c r="U121" s="4"/>
      <c r="V121" s="4"/>
      <c r="W121" s="4"/>
      <c r="X121" s="4"/>
      <c r="Y121" s="4"/>
      <c r="Z121" s="4"/>
    </row>
    <row r="122" spans="1:26" ht="12.75">
      <c r="A122" s="4"/>
      <c r="B122" s="4"/>
      <c r="C122" s="15"/>
      <c r="D122" s="4"/>
      <c r="E122" s="4"/>
      <c r="F122" s="4"/>
      <c r="G122" s="4"/>
      <c r="H122" s="4"/>
      <c r="I122" s="4"/>
      <c r="J122" s="4"/>
      <c r="K122" s="4"/>
      <c r="L122" s="4"/>
      <c r="M122" s="4"/>
      <c r="N122" s="4"/>
      <c r="O122" s="4"/>
      <c r="P122" s="4"/>
      <c r="Q122" s="4"/>
      <c r="R122" s="4"/>
      <c r="S122" s="4"/>
      <c r="T122" s="4"/>
      <c r="U122" s="4"/>
      <c r="V122" s="4"/>
      <c r="W122" s="4"/>
      <c r="X122" s="4"/>
      <c r="Y122" s="4"/>
      <c r="Z122" s="4"/>
    </row>
    <row r="123" spans="1:26" ht="12.75">
      <c r="A123" s="4"/>
      <c r="B123" s="4"/>
      <c r="C123" s="15"/>
      <c r="D123" s="4"/>
      <c r="E123" s="4"/>
      <c r="F123" s="4"/>
      <c r="G123" s="4"/>
      <c r="H123" s="4"/>
      <c r="I123" s="4"/>
      <c r="J123" s="4"/>
      <c r="K123" s="4"/>
      <c r="L123" s="4"/>
      <c r="M123" s="4"/>
      <c r="N123" s="4"/>
      <c r="O123" s="4"/>
      <c r="P123" s="4"/>
      <c r="Q123" s="4"/>
      <c r="R123" s="4"/>
      <c r="S123" s="4"/>
      <c r="T123" s="4"/>
      <c r="U123" s="4"/>
      <c r="V123" s="4"/>
      <c r="W123" s="4"/>
      <c r="X123" s="4"/>
      <c r="Y123" s="4"/>
      <c r="Z123" s="4"/>
    </row>
    <row r="124" spans="1:26" ht="12.75">
      <c r="A124" s="4"/>
      <c r="B124" s="4"/>
      <c r="C124" s="15"/>
      <c r="D124" s="4"/>
      <c r="E124" s="4"/>
      <c r="F124" s="4"/>
      <c r="G124" s="4"/>
      <c r="H124" s="4"/>
      <c r="I124" s="4"/>
      <c r="J124" s="4"/>
      <c r="K124" s="4"/>
      <c r="L124" s="4"/>
      <c r="M124" s="4"/>
      <c r="N124" s="4"/>
      <c r="O124" s="4"/>
      <c r="P124" s="4"/>
      <c r="Q124" s="4"/>
      <c r="R124" s="4"/>
      <c r="S124" s="4"/>
      <c r="T124" s="4"/>
      <c r="U124" s="4"/>
      <c r="V124" s="4"/>
      <c r="W124" s="4"/>
      <c r="X124" s="4"/>
      <c r="Y124" s="4"/>
      <c r="Z124" s="4"/>
    </row>
    <row r="125" spans="1:26" ht="12.75">
      <c r="A125" s="4"/>
      <c r="B125" s="4"/>
      <c r="C125" s="15"/>
      <c r="D125" s="4"/>
      <c r="E125" s="4"/>
      <c r="F125" s="4"/>
      <c r="G125" s="4"/>
      <c r="H125" s="4"/>
      <c r="I125" s="4"/>
      <c r="J125" s="4"/>
      <c r="K125" s="4"/>
      <c r="L125" s="4"/>
      <c r="M125" s="4"/>
      <c r="N125" s="4"/>
      <c r="O125" s="4"/>
      <c r="P125" s="4"/>
      <c r="Q125" s="4"/>
      <c r="R125" s="4"/>
      <c r="S125" s="4"/>
      <c r="T125" s="4"/>
      <c r="U125" s="4"/>
      <c r="V125" s="4"/>
      <c r="W125" s="4"/>
      <c r="X125" s="4"/>
      <c r="Y125" s="4"/>
      <c r="Z125" s="4"/>
    </row>
    <row r="126" spans="1:26" ht="12.75">
      <c r="A126" s="4"/>
      <c r="B126" s="4"/>
      <c r="C126" s="15"/>
      <c r="D126" s="4"/>
      <c r="E126" s="4"/>
      <c r="F126" s="4"/>
      <c r="G126" s="4"/>
      <c r="H126" s="4"/>
      <c r="I126" s="4"/>
      <c r="J126" s="4"/>
      <c r="K126" s="4"/>
      <c r="L126" s="4"/>
      <c r="M126" s="4"/>
      <c r="N126" s="4"/>
      <c r="O126" s="4"/>
      <c r="P126" s="4"/>
      <c r="Q126" s="4"/>
      <c r="R126" s="4"/>
      <c r="S126" s="4"/>
      <c r="T126" s="4"/>
      <c r="U126" s="4"/>
      <c r="V126" s="4"/>
      <c r="W126" s="4"/>
      <c r="X126" s="4"/>
      <c r="Y126" s="4"/>
      <c r="Z126" s="4"/>
    </row>
    <row r="127" spans="1:26" ht="12.75">
      <c r="A127" s="4"/>
      <c r="B127" s="4"/>
      <c r="C127" s="15"/>
      <c r="D127" s="4"/>
      <c r="E127" s="4"/>
      <c r="F127" s="4"/>
      <c r="G127" s="4"/>
      <c r="H127" s="4"/>
      <c r="I127" s="4"/>
      <c r="J127" s="4"/>
      <c r="K127" s="4"/>
      <c r="L127" s="4"/>
      <c r="M127" s="4"/>
      <c r="N127" s="4"/>
      <c r="O127" s="4"/>
      <c r="P127" s="4"/>
      <c r="Q127" s="4"/>
      <c r="R127" s="4"/>
      <c r="S127" s="4"/>
      <c r="T127" s="4"/>
      <c r="U127" s="4"/>
      <c r="V127" s="4"/>
      <c r="W127" s="4"/>
      <c r="X127" s="4"/>
      <c r="Y127" s="4"/>
      <c r="Z127" s="4"/>
    </row>
    <row r="128" spans="1:26" ht="12.75">
      <c r="A128" s="4"/>
      <c r="B128" s="4"/>
      <c r="C128" s="15"/>
      <c r="D128" s="4"/>
      <c r="E128" s="4"/>
      <c r="F128" s="4"/>
      <c r="G128" s="4"/>
      <c r="H128" s="4"/>
      <c r="I128" s="4"/>
      <c r="J128" s="4"/>
      <c r="K128" s="4"/>
      <c r="L128" s="4"/>
      <c r="M128" s="4"/>
      <c r="N128" s="4"/>
      <c r="O128" s="4"/>
      <c r="P128" s="4"/>
      <c r="Q128" s="4"/>
      <c r="R128" s="4"/>
      <c r="S128" s="4"/>
      <c r="T128" s="4"/>
      <c r="U128" s="4"/>
      <c r="V128" s="4"/>
      <c r="W128" s="4"/>
      <c r="X128" s="4"/>
      <c r="Y128" s="4"/>
      <c r="Z128" s="4"/>
    </row>
    <row r="129" spans="1:26" ht="12.75">
      <c r="A129" s="4"/>
      <c r="B129" s="4"/>
      <c r="C129" s="15"/>
      <c r="D129" s="4"/>
      <c r="E129" s="4"/>
      <c r="F129" s="4"/>
      <c r="G129" s="4"/>
      <c r="H129" s="4"/>
      <c r="I129" s="4"/>
      <c r="J129" s="4"/>
      <c r="K129" s="4"/>
      <c r="L129" s="4"/>
      <c r="M129" s="4"/>
      <c r="N129" s="4"/>
      <c r="O129" s="4"/>
      <c r="P129" s="4"/>
      <c r="Q129" s="4"/>
      <c r="R129" s="4"/>
      <c r="S129" s="4"/>
      <c r="T129" s="4"/>
      <c r="U129" s="4"/>
      <c r="V129" s="4"/>
      <c r="W129" s="4"/>
      <c r="X129" s="4"/>
      <c r="Y129" s="4"/>
      <c r="Z129" s="4"/>
    </row>
    <row r="130" spans="1:26" ht="12.75">
      <c r="A130" s="4"/>
      <c r="B130" s="4"/>
      <c r="C130" s="15"/>
      <c r="D130" s="4"/>
      <c r="E130" s="4"/>
      <c r="F130" s="4"/>
      <c r="G130" s="4"/>
      <c r="H130" s="4"/>
      <c r="I130" s="4"/>
      <c r="J130" s="4"/>
      <c r="K130" s="4"/>
      <c r="L130" s="4"/>
      <c r="M130" s="4"/>
      <c r="N130" s="4"/>
      <c r="O130" s="4"/>
      <c r="P130" s="4"/>
      <c r="Q130" s="4"/>
      <c r="R130" s="4"/>
      <c r="S130" s="4"/>
      <c r="T130" s="4"/>
      <c r="U130" s="4"/>
      <c r="V130" s="4"/>
      <c r="W130" s="4"/>
      <c r="X130" s="4"/>
      <c r="Y130" s="4"/>
      <c r="Z130" s="4"/>
    </row>
    <row r="131" spans="1:26" ht="12.75">
      <c r="A131" s="4"/>
      <c r="B131" s="4"/>
      <c r="C131" s="15"/>
      <c r="D131" s="4"/>
      <c r="E131" s="4"/>
      <c r="F131" s="4"/>
      <c r="G131" s="4"/>
      <c r="H131" s="4"/>
      <c r="I131" s="4"/>
      <c r="J131" s="4"/>
      <c r="K131" s="4"/>
      <c r="L131" s="4"/>
      <c r="M131" s="4"/>
      <c r="N131" s="4"/>
      <c r="O131" s="4"/>
      <c r="P131" s="4"/>
      <c r="Q131" s="4"/>
      <c r="R131" s="4"/>
      <c r="S131" s="4"/>
      <c r="T131" s="4"/>
      <c r="U131" s="4"/>
      <c r="V131" s="4"/>
      <c r="W131" s="4"/>
      <c r="X131" s="4"/>
      <c r="Y131" s="4"/>
      <c r="Z131" s="4"/>
    </row>
    <row r="132" spans="1:26" ht="12.75">
      <c r="A132" s="4"/>
      <c r="B132" s="4"/>
      <c r="C132" s="15"/>
      <c r="D132" s="4"/>
      <c r="E132" s="4"/>
      <c r="F132" s="4"/>
      <c r="G132" s="4"/>
      <c r="H132" s="4"/>
      <c r="I132" s="4"/>
      <c r="J132" s="4"/>
      <c r="K132" s="4"/>
      <c r="L132" s="4"/>
      <c r="M132" s="4"/>
      <c r="N132" s="4"/>
      <c r="O132" s="4"/>
      <c r="P132" s="4"/>
      <c r="Q132" s="4"/>
      <c r="R132" s="4"/>
      <c r="S132" s="4"/>
      <c r="T132" s="4"/>
      <c r="U132" s="4"/>
      <c r="V132" s="4"/>
      <c r="W132" s="4"/>
      <c r="X132" s="4"/>
      <c r="Y132" s="4"/>
      <c r="Z132" s="4"/>
    </row>
    <row r="133" spans="1:26" ht="12.75">
      <c r="A133" s="4"/>
      <c r="B133" s="4"/>
      <c r="C133" s="15"/>
      <c r="D133" s="4"/>
      <c r="E133" s="4"/>
      <c r="F133" s="4"/>
      <c r="G133" s="4"/>
      <c r="H133" s="4"/>
      <c r="I133" s="4"/>
      <c r="J133" s="4"/>
      <c r="K133" s="4"/>
      <c r="L133" s="4"/>
      <c r="M133" s="4"/>
      <c r="N133" s="4"/>
      <c r="O133" s="4"/>
      <c r="P133" s="4"/>
      <c r="Q133" s="4"/>
      <c r="R133" s="4"/>
      <c r="S133" s="4"/>
      <c r="T133" s="4"/>
      <c r="U133" s="4"/>
      <c r="V133" s="4"/>
      <c r="W133" s="4"/>
      <c r="X133" s="4"/>
      <c r="Y133" s="4"/>
      <c r="Z133" s="4"/>
    </row>
    <row r="134" spans="1:26" ht="12.75">
      <c r="A134" s="4"/>
      <c r="B134" s="4"/>
      <c r="C134" s="15"/>
      <c r="D134" s="4"/>
      <c r="E134" s="4"/>
      <c r="F134" s="4"/>
      <c r="G134" s="4"/>
      <c r="H134" s="4"/>
      <c r="I134" s="4"/>
      <c r="J134" s="4"/>
      <c r="K134" s="4"/>
      <c r="L134" s="4"/>
      <c r="M134" s="4"/>
      <c r="N134" s="4"/>
      <c r="O134" s="4"/>
      <c r="P134" s="4"/>
      <c r="Q134" s="4"/>
      <c r="R134" s="4"/>
      <c r="S134" s="4"/>
      <c r="T134" s="4"/>
      <c r="U134" s="4"/>
      <c r="V134" s="4"/>
      <c r="W134" s="4"/>
      <c r="X134" s="4"/>
      <c r="Y134" s="4"/>
      <c r="Z134" s="4"/>
    </row>
    <row r="135" spans="1:26" ht="12.75">
      <c r="A135" s="4"/>
      <c r="B135" s="4"/>
      <c r="C135" s="15"/>
      <c r="D135" s="4"/>
      <c r="E135" s="4"/>
      <c r="F135" s="4"/>
      <c r="G135" s="4"/>
      <c r="H135" s="4"/>
      <c r="I135" s="4"/>
      <c r="J135" s="4"/>
      <c r="K135" s="4"/>
      <c r="L135" s="4"/>
      <c r="M135" s="4"/>
      <c r="N135" s="4"/>
      <c r="O135" s="4"/>
      <c r="P135" s="4"/>
      <c r="Q135" s="4"/>
      <c r="R135" s="4"/>
      <c r="S135" s="4"/>
      <c r="T135" s="4"/>
      <c r="U135" s="4"/>
      <c r="V135" s="4"/>
      <c r="W135" s="4"/>
      <c r="X135" s="4"/>
      <c r="Y135" s="4"/>
      <c r="Z135" s="4"/>
    </row>
    <row r="136" spans="1:26" ht="12.75">
      <c r="A136" s="4"/>
      <c r="B136" s="4"/>
      <c r="C136" s="15"/>
      <c r="D136" s="4"/>
      <c r="E136" s="4"/>
      <c r="F136" s="4"/>
      <c r="G136" s="4"/>
      <c r="H136" s="4"/>
      <c r="I136" s="4"/>
      <c r="J136" s="4"/>
      <c r="K136" s="4"/>
      <c r="L136" s="4"/>
      <c r="M136" s="4"/>
      <c r="N136" s="4"/>
      <c r="O136" s="4"/>
      <c r="P136" s="4"/>
      <c r="Q136" s="4"/>
      <c r="R136" s="4"/>
      <c r="S136" s="4"/>
      <c r="T136" s="4"/>
      <c r="U136" s="4"/>
      <c r="V136" s="4"/>
      <c r="W136" s="4"/>
      <c r="X136" s="4"/>
      <c r="Y136" s="4"/>
      <c r="Z136" s="4"/>
    </row>
    <row r="137" spans="1:26" ht="12.75">
      <c r="A137" s="4"/>
      <c r="B137" s="4"/>
      <c r="C137" s="15"/>
      <c r="D137" s="4"/>
      <c r="E137" s="4"/>
      <c r="F137" s="4"/>
      <c r="G137" s="4"/>
      <c r="H137" s="4"/>
      <c r="I137" s="4"/>
      <c r="J137" s="4"/>
      <c r="K137" s="4"/>
      <c r="L137" s="4"/>
      <c r="M137" s="4"/>
      <c r="N137" s="4"/>
      <c r="O137" s="4"/>
      <c r="P137" s="4"/>
      <c r="Q137" s="4"/>
      <c r="R137" s="4"/>
      <c r="S137" s="4"/>
      <c r="T137" s="4"/>
      <c r="U137" s="4"/>
      <c r="V137" s="4"/>
      <c r="W137" s="4"/>
      <c r="X137" s="4"/>
      <c r="Y137" s="4"/>
      <c r="Z137" s="4"/>
    </row>
    <row r="138" spans="1:26" ht="12.75">
      <c r="A138" s="4"/>
      <c r="B138" s="4"/>
      <c r="C138" s="15"/>
      <c r="D138" s="4"/>
      <c r="E138" s="4"/>
      <c r="F138" s="4"/>
      <c r="G138" s="4"/>
      <c r="H138" s="4"/>
      <c r="I138" s="4"/>
      <c r="J138" s="4"/>
      <c r="K138" s="4"/>
      <c r="L138" s="4"/>
      <c r="M138" s="4"/>
      <c r="N138" s="4"/>
      <c r="O138" s="4"/>
      <c r="P138" s="4"/>
      <c r="Q138" s="4"/>
      <c r="R138" s="4"/>
      <c r="S138" s="4"/>
      <c r="T138" s="4"/>
      <c r="U138" s="4"/>
      <c r="V138" s="4"/>
      <c r="W138" s="4"/>
      <c r="X138" s="4"/>
      <c r="Y138" s="4"/>
      <c r="Z138" s="4"/>
    </row>
    <row r="139" spans="1:26" ht="12.75">
      <c r="A139" s="4"/>
      <c r="B139" s="4"/>
      <c r="C139" s="15"/>
      <c r="D139" s="4"/>
      <c r="E139" s="4"/>
      <c r="F139" s="4"/>
      <c r="G139" s="4"/>
      <c r="H139" s="4"/>
      <c r="I139" s="4"/>
      <c r="J139" s="4"/>
      <c r="K139" s="4"/>
      <c r="L139" s="4"/>
      <c r="M139" s="4"/>
      <c r="N139" s="4"/>
      <c r="O139" s="4"/>
      <c r="P139" s="4"/>
      <c r="Q139" s="4"/>
      <c r="R139" s="4"/>
      <c r="S139" s="4"/>
      <c r="T139" s="4"/>
      <c r="U139" s="4"/>
      <c r="V139" s="4"/>
      <c r="W139" s="4"/>
      <c r="X139" s="4"/>
      <c r="Y139" s="4"/>
      <c r="Z139" s="4"/>
    </row>
    <row r="140" spans="1:26" ht="12.75">
      <c r="A140" s="4"/>
      <c r="B140" s="4"/>
      <c r="C140" s="15"/>
      <c r="D140" s="4"/>
      <c r="E140" s="4"/>
      <c r="F140" s="4"/>
      <c r="G140" s="4"/>
      <c r="H140" s="4"/>
      <c r="I140" s="4"/>
      <c r="J140" s="4"/>
      <c r="K140" s="4"/>
      <c r="L140" s="4"/>
      <c r="M140" s="4"/>
      <c r="N140" s="4"/>
      <c r="O140" s="4"/>
      <c r="P140" s="4"/>
      <c r="Q140" s="4"/>
      <c r="R140" s="4"/>
      <c r="S140" s="4"/>
      <c r="T140" s="4"/>
      <c r="U140" s="4"/>
      <c r="V140" s="4"/>
      <c r="W140" s="4"/>
      <c r="X140" s="4"/>
      <c r="Y140" s="4"/>
      <c r="Z140" s="4"/>
    </row>
    <row r="141" spans="1:26" ht="12.75">
      <c r="A141" s="4"/>
      <c r="B141" s="4"/>
      <c r="C141" s="15"/>
      <c r="D141" s="4"/>
      <c r="E141" s="4"/>
      <c r="F141" s="4"/>
      <c r="G141" s="4"/>
      <c r="H141" s="4"/>
      <c r="I141" s="4"/>
      <c r="J141" s="4"/>
      <c r="K141" s="4"/>
      <c r="L141" s="4"/>
      <c r="M141" s="4"/>
      <c r="N141" s="4"/>
      <c r="O141" s="4"/>
      <c r="P141" s="4"/>
      <c r="Q141" s="4"/>
      <c r="R141" s="4"/>
      <c r="S141" s="4"/>
      <c r="T141" s="4"/>
      <c r="U141" s="4"/>
      <c r="V141" s="4"/>
      <c r="W141" s="4"/>
      <c r="X141" s="4"/>
      <c r="Y141" s="4"/>
      <c r="Z141" s="4"/>
    </row>
    <row r="142" spans="1:26" ht="12.75">
      <c r="A142" s="4"/>
      <c r="B142" s="4"/>
      <c r="C142" s="15"/>
      <c r="D142" s="4"/>
      <c r="E142" s="4"/>
      <c r="F142" s="4"/>
      <c r="G142" s="4"/>
      <c r="H142" s="4"/>
      <c r="I142" s="4"/>
      <c r="J142" s="4"/>
      <c r="K142" s="4"/>
      <c r="L142" s="4"/>
      <c r="M142" s="4"/>
      <c r="N142" s="4"/>
      <c r="O142" s="4"/>
      <c r="P142" s="4"/>
      <c r="Q142" s="4"/>
      <c r="R142" s="4"/>
      <c r="S142" s="4"/>
      <c r="T142" s="4"/>
      <c r="U142" s="4"/>
      <c r="V142" s="4"/>
      <c r="W142" s="4"/>
      <c r="X142" s="4"/>
      <c r="Y142" s="4"/>
      <c r="Z142" s="4"/>
    </row>
    <row r="143" spans="1:26" ht="12.75">
      <c r="A143" s="4"/>
      <c r="B143" s="4"/>
      <c r="C143" s="15"/>
      <c r="D143" s="4"/>
      <c r="E143" s="4"/>
      <c r="F143" s="4"/>
      <c r="G143" s="4"/>
      <c r="H143" s="4"/>
      <c r="I143" s="4"/>
      <c r="J143" s="4"/>
      <c r="K143" s="4"/>
      <c r="L143" s="4"/>
      <c r="M143" s="4"/>
      <c r="N143" s="4"/>
      <c r="O143" s="4"/>
      <c r="P143" s="4"/>
      <c r="Q143" s="4"/>
      <c r="R143" s="4"/>
      <c r="S143" s="4"/>
      <c r="T143" s="4"/>
      <c r="U143" s="4"/>
      <c r="V143" s="4"/>
      <c r="W143" s="4"/>
      <c r="X143" s="4"/>
      <c r="Y143" s="4"/>
      <c r="Z143" s="4"/>
    </row>
    <row r="144" spans="1:26" ht="12.75">
      <c r="A144" s="4"/>
      <c r="B144" s="4"/>
      <c r="C144" s="15"/>
      <c r="D144" s="4"/>
      <c r="E144" s="4"/>
      <c r="F144" s="4"/>
      <c r="G144" s="4"/>
      <c r="H144" s="4"/>
      <c r="I144" s="4"/>
      <c r="J144" s="4"/>
      <c r="K144" s="4"/>
      <c r="L144" s="4"/>
      <c r="M144" s="4"/>
      <c r="N144" s="4"/>
      <c r="O144" s="4"/>
      <c r="P144" s="4"/>
      <c r="Q144" s="4"/>
      <c r="R144" s="4"/>
      <c r="S144" s="4"/>
      <c r="T144" s="4"/>
      <c r="U144" s="4"/>
      <c r="V144" s="4"/>
      <c r="W144" s="4"/>
      <c r="X144" s="4"/>
      <c r="Y144" s="4"/>
      <c r="Z144" s="4"/>
    </row>
    <row r="145" spans="1:26" ht="12.75">
      <c r="A145" s="4"/>
      <c r="B145" s="4"/>
      <c r="C145" s="15"/>
      <c r="D145" s="4"/>
      <c r="E145" s="4"/>
      <c r="F145" s="4"/>
      <c r="G145" s="4"/>
      <c r="H145" s="4"/>
      <c r="I145" s="4"/>
      <c r="J145" s="4"/>
      <c r="K145" s="4"/>
      <c r="L145" s="4"/>
      <c r="M145" s="4"/>
      <c r="N145" s="4"/>
      <c r="O145" s="4"/>
      <c r="P145" s="4"/>
      <c r="Q145" s="4"/>
      <c r="R145" s="4"/>
      <c r="S145" s="4"/>
      <c r="T145" s="4"/>
      <c r="U145" s="4"/>
      <c r="V145" s="4"/>
      <c r="W145" s="4"/>
      <c r="X145" s="4"/>
      <c r="Y145" s="4"/>
      <c r="Z145" s="4"/>
    </row>
    <row r="146" spans="1:26" ht="12.75">
      <c r="A146" s="4"/>
      <c r="B146" s="4"/>
      <c r="C146" s="15"/>
      <c r="D146" s="4"/>
      <c r="E146" s="4"/>
      <c r="F146" s="4"/>
      <c r="G146" s="4"/>
      <c r="H146" s="4"/>
      <c r="I146" s="4"/>
      <c r="J146" s="4"/>
      <c r="K146" s="4"/>
      <c r="L146" s="4"/>
      <c r="M146" s="4"/>
      <c r="N146" s="4"/>
      <c r="O146" s="4"/>
      <c r="P146" s="4"/>
      <c r="Q146" s="4"/>
      <c r="R146" s="4"/>
      <c r="S146" s="4"/>
      <c r="T146" s="4"/>
      <c r="U146" s="4"/>
      <c r="V146" s="4"/>
      <c r="W146" s="4"/>
      <c r="X146" s="4"/>
      <c r="Y146" s="4"/>
      <c r="Z146" s="4"/>
    </row>
    <row r="147" spans="1:26" ht="12.75">
      <c r="A147" s="4"/>
      <c r="B147" s="4"/>
      <c r="C147" s="15"/>
      <c r="D147" s="4"/>
      <c r="E147" s="4"/>
      <c r="F147" s="4"/>
      <c r="G147" s="4"/>
      <c r="H147" s="4"/>
      <c r="I147" s="4"/>
      <c r="J147" s="4"/>
      <c r="K147" s="4"/>
      <c r="L147" s="4"/>
      <c r="M147" s="4"/>
      <c r="N147" s="4"/>
      <c r="O147" s="4"/>
      <c r="P147" s="4"/>
      <c r="Q147" s="4"/>
      <c r="R147" s="4"/>
      <c r="S147" s="4"/>
      <c r="T147" s="4"/>
      <c r="U147" s="4"/>
      <c r="V147" s="4"/>
      <c r="W147" s="4"/>
      <c r="X147" s="4"/>
      <c r="Y147" s="4"/>
      <c r="Z147" s="4"/>
    </row>
    <row r="148" spans="1:26" ht="12.75">
      <c r="A148" s="4"/>
      <c r="B148" s="4"/>
      <c r="C148" s="15"/>
      <c r="D148" s="4"/>
      <c r="E148" s="4"/>
      <c r="F148" s="4"/>
      <c r="G148" s="4"/>
      <c r="H148" s="4"/>
      <c r="I148" s="4"/>
      <c r="J148" s="4"/>
      <c r="K148" s="4"/>
      <c r="L148" s="4"/>
      <c r="M148" s="4"/>
      <c r="N148" s="4"/>
      <c r="O148" s="4"/>
      <c r="P148" s="4"/>
      <c r="Q148" s="4"/>
      <c r="R148" s="4"/>
      <c r="S148" s="4"/>
      <c r="T148" s="4"/>
      <c r="U148" s="4"/>
      <c r="V148" s="4"/>
      <c r="W148" s="4"/>
      <c r="X148" s="4"/>
      <c r="Y148" s="4"/>
      <c r="Z148" s="4"/>
    </row>
    <row r="149" spans="1:26" ht="12.75">
      <c r="A149" s="4"/>
      <c r="B149" s="4"/>
      <c r="C149" s="15"/>
      <c r="D149" s="4"/>
      <c r="E149" s="4"/>
      <c r="F149" s="4"/>
      <c r="G149" s="4"/>
      <c r="H149" s="4"/>
      <c r="I149" s="4"/>
      <c r="J149" s="4"/>
      <c r="K149" s="4"/>
      <c r="L149" s="4"/>
      <c r="M149" s="4"/>
      <c r="N149" s="4"/>
      <c r="O149" s="4"/>
      <c r="P149" s="4"/>
      <c r="Q149" s="4"/>
      <c r="R149" s="4"/>
      <c r="S149" s="4"/>
      <c r="T149" s="4"/>
      <c r="U149" s="4"/>
      <c r="V149" s="4"/>
      <c r="W149" s="4"/>
      <c r="X149" s="4"/>
      <c r="Y149" s="4"/>
      <c r="Z149" s="4"/>
    </row>
    <row r="150" spans="1:26" ht="12.75">
      <c r="A150" s="4"/>
      <c r="B150" s="4"/>
      <c r="C150" s="15"/>
      <c r="D150" s="4"/>
      <c r="E150" s="4"/>
      <c r="F150" s="4"/>
      <c r="G150" s="4"/>
      <c r="H150" s="4"/>
      <c r="I150" s="4"/>
      <c r="J150" s="4"/>
      <c r="K150" s="4"/>
      <c r="L150" s="4"/>
      <c r="M150" s="4"/>
      <c r="N150" s="4"/>
      <c r="O150" s="4"/>
      <c r="P150" s="4"/>
      <c r="Q150" s="4"/>
      <c r="R150" s="4"/>
      <c r="S150" s="4"/>
      <c r="T150" s="4"/>
      <c r="U150" s="4"/>
      <c r="V150" s="4"/>
      <c r="W150" s="4"/>
      <c r="X150" s="4"/>
      <c r="Y150" s="4"/>
      <c r="Z150" s="4"/>
    </row>
    <row r="151" spans="1:26" ht="12.75">
      <c r="A151" s="4"/>
      <c r="B151" s="4"/>
      <c r="C151" s="15"/>
      <c r="D151" s="4"/>
      <c r="E151" s="4"/>
      <c r="F151" s="4"/>
      <c r="G151" s="4"/>
      <c r="H151" s="4"/>
      <c r="I151" s="4"/>
      <c r="J151" s="4"/>
      <c r="K151" s="4"/>
      <c r="L151" s="4"/>
      <c r="M151" s="4"/>
      <c r="N151" s="4"/>
      <c r="O151" s="4"/>
      <c r="P151" s="4"/>
      <c r="Q151" s="4"/>
      <c r="R151" s="4"/>
      <c r="S151" s="4"/>
      <c r="T151" s="4"/>
      <c r="U151" s="4"/>
      <c r="V151" s="4"/>
      <c r="W151" s="4"/>
      <c r="X151" s="4"/>
      <c r="Y151" s="4"/>
      <c r="Z151" s="4"/>
    </row>
    <row r="152" spans="1:26" ht="12.75">
      <c r="A152" s="4"/>
      <c r="B152" s="4"/>
      <c r="C152" s="15"/>
      <c r="D152" s="4"/>
      <c r="E152" s="4"/>
      <c r="F152" s="4"/>
      <c r="G152" s="4"/>
      <c r="H152" s="4"/>
      <c r="I152" s="4"/>
      <c r="J152" s="4"/>
      <c r="K152" s="4"/>
      <c r="L152" s="4"/>
      <c r="M152" s="4"/>
      <c r="N152" s="4"/>
      <c r="O152" s="4"/>
      <c r="P152" s="4"/>
      <c r="Q152" s="4"/>
      <c r="R152" s="4"/>
      <c r="S152" s="4"/>
      <c r="T152" s="4"/>
      <c r="U152" s="4"/>
      <c r="V152" s="4"/>
      <c r="W152" s="4"/>
      <c r="X152" s="4"/>
      <c r="Y152" s="4"/>
      <c r="Z152" s="4"/>
    </row>
    <row r="153" spans="1:26" ht="12.75">
      <c r="A153" s="4"/>
      <c r="B153" s="4"/>
      <c r="C153" s="15"/>
      <c r="D153" s="4"/>
      <c r="E153" s="4"/>
      <c r="F153" s="4"/>
      <c r="G153" s="4"/>
      <c r="H153" s="4"/>
      <c r="I153" s="4"/>
      <c r="J153" s="4"/>
      <c r="K153" s="4"/>
      <c r="L153" s="4"/>
      <c r="M153" s="4"/>
      <c r="N153" s="4"/>
      <c r="O153" s="4"/>
      <c r="P153" s="4"/>
      <c r="Q153" s="4"/>
      <c r="R153" s="4"/>
      <c r="S153" s="4"/>
      <c r="T153" s="4"/>
      <c r="U153" s="4"/>
      <c r="V153" s="4"/>
      <c r="W153" s="4"/>
      <c r="X153" s="4"/>
      <c r="Y153" s="4"/>
      <c r="Z153" s="4"/>
    </row>
    <row r="154" spans="1:26" ht="12.75">
      <c r="A154" s="4"/>
      <c r="B154" s="4"/>
      <c r="C154" s="15"/>
      <c r="D154" s="4"/>
      <c r="E154" s="4"/>
      <c r="F154" s="4"/>
      <c r="G154" s="4"/>
      <c r="H154" s="4"/>
      <c r="I154" s="4"/>
      <c r="J154" s="4"/>
      <c r="K154" s="4"/>
      <c r="L154" s="4"/>
      <c r="M154" s="4"/>
      <c r="N154" s="4"/>
      <c r="O154" s="4"/>
      <c r="P154" s="4"/>
      <c r="Q154" s="4"/>
      <c r="R154" s="4"/>
      <c r="S154" s="4"/>
      <c r="T154" s="4"/>
      <c r="U154" s="4"/>
      <c r="V154" s="4"/>
      <c r="W154" s="4"/>
      <c r="X154" s="4"/>
      <c r="Y154" s="4"/>
      <c r="Z154" s="4"/>
    </row>
    <row r="155" spans="1:26" ht="12.75">
      <c r="A155" s="4"/>
      <c r="B155" s="4"/>
      <c r="C155" s="15"/>
      <c r="D155" s="4"/>
      <c r="E155" s="4"/>
      <c r="F155" s="4"/>
      <c r="G155" s="4"/>
      <c r="H155" s="4"/>
      <c r="I155" s="4"/>
      <c r="J155" s="4"/>
      <c r="K155" s="4"/>
      <c r="L155" s="4"/>
      <c r="M155" s="4"/>
      <c r="N155" s="4"/>
      <c r="O155" s="4"/>
      <c r="P155" s="4"/>
      <c r="Q155" s="4"/>
      <c r="R155" s="4"/>
      <c r="S155" s="4"/>
      <c r="T155" s="4"/>
      <c r="U155" s="4"/>
      <c r="V155" s="4"/>
      <c r="W155" s="4"/>
      <c r="X155" s="4"/>
      <c r="Y155" s="4"/>
      <c r="Z155" s="4"/>
    </row>
    <row r="156" spans="1:26" ht="12.75">
      <c r="A156" s="4"/>
      <c r="B156" s="4"/>
      <c r="C156" s="15"/>
      <c r="D156" s="4"/>
      <c r="E156" s="4"/>
      <c r="F156" s="4"/>
      <c r="G156" s="4"/>
      <c r="H156" s="4"/>
      <c r="I156" s="4"/>
      <c r="J156" s="4"/>
      <c r="K156" s="4"/>
      <c r="L156" s="4"/>
      <c r="M156" s="4"/>
      <c r="N156" s="4"/>
      <c r="O156" s="4"/>
      <c r="P156" s="4"/>
      <c r="Q156" s="4"/>
      <c r="R156" s="4"/>
      <c r="S156" s="4"/>
      <c r="T156" s="4"/>
      <c r="U156" s="4"/>
      <c r="V156" s="4"/>
      <c r="W156" s="4"/>
      <c r="X156" s="4"/>
      <c r="Y156" s="4"/>
      <c r="Z156" s="4"/>
    </row>
    <row r="157" spans="1:26" ht="12.75">
      <c r="A157" s="4"/>
      <c r="B157" s="4"/>
      <c r="C157" s="15"/>
      <c r="D157" s="4"/>
      <c r="E157" s="4"/>
      <c r="F157" s="4"/>
      <c r="G157" s="4"/>
      <c r="H157" s="4"/>
      <c r="I157" s="4"/>
      <c r="J157" s="4"/>
      <c r="K157" s="4"/>
      <c r="L157" s="4"/>
      <c r="M157" s="4"/>
      <c r="N157" s="4"/>
      <c r="O157" s="4"/>
      <c r="P157" s="4"/>
      <c r="Q157" s="4"/>
      <c r="R157" s="4"/>
      <c r="S157" s="4"/>
      <c r="T157" s="4"/>
      <c r="U157" s="4"/>
      <c r="V157" s="4"/>
      <c r="W157" s="4"/>
      <c r="X157" s="4"/>
      <c r="Y157" s="4"/>
      <c r="Z157" s="4"/>
    </row>
    <row r="158" spans="1:26" ht="12.75">
      <c r="A158" s="4"/>
      <c r="B158" s="4"/>
      <c r="C158" s="15"/>
      <c r="D158" s="4"/>
      <c r="E158" s="4"/>
      <c r="F158" s="4"/>
      <c r="G158" s="4"/>
      <c r="H158" s="4"/>
      <c r="I158" s="4"/>
      <c r="J158" s="4"/>
      <c r="K158" s="4"/>
      <c r="L158" s="4"/>
      <c r="M158" s="4"/>
      <c r="N158" s="4"/>
      <c r="O158" s="4"/>
      <c r="P158" s="4"/>
      <c r="Q158" s="4"/>
      <c r="R158" s="4"/>
      <c r="S158" s="4"/>
      <c r="T158" s="4"/>
      <c r="U158" s="4"/>
      <c r="V158" s="4"/>
      <c r="W158" s="4"/>
      <c r="X158" s="4"/>
      <c r="Y158" s="4"/>
      <c r="Z158" s="4"/>
    </row>
    <row r="159" spans="1:26" ht="12.75">
      <c r="A159" s="4"/>
      <c r="B159" s="4"/>
      <c r="C159" s="15"/>
      <c r="D159" s="4"/>
      <c r="E159" s="4"/>
      <c r="F159" s="4"/>
      <c r="G159" s="4"/>
      <c r="H159" s="4"/>
      <c r="I159" s="4"/>
      <c r="J159" s="4"/>
      <c r="K159" s="4"/>
      <c r="L159" s="4"/>
      <c r="M159" s="4"/>
      <c r="N159" s="4"/>
      <c r="O159" s="4"/>
      <c r="P159" s="4"/>
      <c r="Q159" s="4"/>
      <c r="R159" s="4"/>
      <c r="S159" s="4"/>
      <c r="T159" s="4"/>
      <c r="U159" s="4"/>
      <c r="V159" s="4"/>
      <c r="W159" s="4"/>
      <c r="X159" s="4"/>
      <c r="Y159" s="4"/>
      <c r="Z159" s="4"/>
    </row>
    <row r="160" spans="1:26" ht="12.75">
      <c r="A160" s="4"/>
      <c r="B160" s="4"/>
      <c r="C160" s="15"/>
      <c r="D160" s="4"/>
      <c r="E160" s="4"/>
      <c r="F160" s="4"/>
      <c r="G160" s="4"/>
      <c r="H160" s="4"/>
      <c r="I160" s="4"/>
      <c r="J160" s="4"/>
      <c r="K160" s="4"/>
      <c r="L160" s="4"/>
      <c r="M160" s="4"/>
      <c r="N160" s="4"/>
      <c r="O160" s="4"/>
      <c r="P160" s="4"/>
      <c r="Q160" s="4"/>
      <c r="R160" s="4"/>
      <c r="S160" s="4"/>
      <c r="T160" s="4"/>
      <c r="U160" s="4"/>
      <c r="V160" s="4"/>
      <c r="W160" s="4"/>
      <c r="X160" s="4"/>
      <c r="Y160" s="4"/>
      <c r="Z160" s="4"/>
    </row>
    <row r="161" spans="1:26" ht="12.75">
      <c r="A161" s="4"/>
      <c r="B161" s="4"/>
      <c r="C161" s="15"/>
      <c r="D161" s="4"/>
      <c r="E161" s="4"/>
      <c r="F161" s="4"/>
      <c r="G161" s="4"/>
      <c r="H161" s="4"/>
      <c r="I161" s="4"/>
      <c r="J161" s="4"/>
      <c r="K161" s="4"/>
      <c r="L161" s="4"/>
      <c r="M161" s="4"/>
      <c r="N161" s="4"/>
      <c r="O161" s="4"/>
      <c r="P161" s="4"/>
      <c r="Q161" s="4"/>
      <c r="R161" s="4"/>
      <c r="S161" s="4"/>
      <c r="T161" s="4"/>
      <c r="U161" s="4"/>
      <c r="V161" s="4"/>
      <c r="W161" s="4"/>
      <c r="X161" s="4"/>
      <c r="Y161" s="4"/>
      <c r="Z161" s="4"/>
    </row>
    <row r="162" spans="1:26" ht="12.75">
      <c r="A162" s="4"/>
      <c r="B162" s="4"/>
      <c r="C162" s="15"/>
      <c r="D162" s="4"/>
      <c r="E162" s="4"/>
      <c r="F162" s="4"/>
      <c r="G162" s="4"/>
      <c r="H162" s="4"/>
      <c r="I162" s="4"/>
      <c r="J162" s="4"/>
      <c r="K162" s="4"/>
      <c r="L162" s="4"/>
      <c r="M162" s="4"/>
      <c r="N162" s="4"/>
      <c r="O162" s="4"/>
      <c r="P162" s="4"/>
      <c r="Q162" s="4"/>
      <c r="R162" s="4"/>
      <c r="S162" s="4"/>
      <c r="T162" s="4"/>
      <c r="U162" s="4"/>
      <c r="V162" s="4"/>
      <c r="W162" s="4"/>
      <c r="X162" s="4"/>
      <c r="Y162" s="4"/>
      <c r="Z162" s="4"/>
    </row>
    <row r="163" spans="1:26" ht="12.75">
      <c r="A163" s="4"/>
      <c r="B163" s="4"/>
      <c r="C163" s="15"/>
      <c r="D163" s="4"/>
      <c r="E163" s="4"/>
      <c r="F163" s="4"/>
      <c r="G163" s="4"/>
      <c r="H163" s="4"/>
      <c r="I163" s="4"/>
      <c r="J163" s="4"/>
      <c r="K163" s="4"/>
      <c r="L163" s="4"/>
      <c r="M163" s="4"/>
      <c r="N163" s="4"/>
      <c r="O163" s="4"/>
      <c r="P163" s="4"/>
      <c r="Q163" s="4"/>
      <c r="R163" s="4"/>
      <c r="S163" s="4"/>
      <c r="T163" s="4"/>
      <c r="U163" s="4"/>
      <c r="V163" s="4"/>
      <c r="W163" s="4"/>
      <c r="X163" s="4"/>
      <c r="Y163" s="4"/>
      <c r="Z163" s="4"/>
    </row>
    <row r="164" spans="1:26" ht="12.75">
      <c r="A164" s="4"/>
      <c r="B164" s="4"/>
      <c r="C164" s="15"/>
      <c r="D164" s="4"/>
      <c r="E164" s="4"/>
      <c r="F164" s="4"/>
      <c r="G164" s="4"/>
      <c r="H164" s="4"/>
      <c r="I164" s="4"/>
      <c r="J164" s="4"/>
      <c r="K164" s="4"/>
      <c r="L164" s="4"/>
      <c r="M164" s="4"/>
      <c r="N164" s="4"/>
      <c r="O164" s="4"/>
      <c r="P164" s="4"/>
      <c r="Q164" s="4"/>
      <c r="R164" s="4"/>
      <c r="S164" s="4"/>
      <c r="T164" s="4"/>
      <c r="U164" s="4"/>
      <c r="V164" s="4"/>
      <c r="W164" s="4"/>
      <c r="X164" s="4"/>
      <c r="Y164" s="4"/>
      <c r="Z164" s="4"/>
    </row>
    <row r="165" spans="1:26" ht="12.75">
      <c r="A165" s="4"/>
      <c r="B165" s="4"/>
      <c r="C165" s="15"/>
      <c r="D165" s="4"/>
      <c r="E165" s="4"/>
      <c r="F165" s="4"/>
      <c r="G165" s="4"/>
      <c r="H165" s="4"/>
      <c r="I165" s="4"/>
      <c r="J165" s="4"/>
      <c r="K165" s="4"/>
      <c r="L165" s="4"/>
      <c r="M165" s="4"/>
      <c r="N165" s="4"/>
      <c r="O165" s="4"/>
      <c r="P165" s="4"/>
      <c r="Q165" s="4"/>
      <c r="R165" s="4"/>
      <c r="S165" s="4"/>
      <c r="T165" s="4"/>
      <c r="U165" s="4"/>
      <c r="V165" s="4"/>
      <c r="W165" s="4"/>
      <c r="X165" s="4"/>
      <c r="Y165" s="4"/>
      <c r="Z165" s="4"/>
    </row>
    <row r="166" spans="1:26" ht="12.75">
      <c r="A166" s="4"/>
      <c r="B166" s="4"/>
      <c r="C166" s="15"/>
      <c r="D166" s="4"/>
      <c r="E166" s="4"/>
      <c r="F166" s="4"/>
      <c r="G166" s="4"/>
      <c r="H166" s="4"/>
      <c r="I166" s="4"/>
      <c r="J166" s="4"/>
      <c r="K166" s="4"/>
      <c r="L166" s="4"/>
      <c r="M166" s="4"/>
      <c r="N166" s="4"/>
      <c r="O166" s="4"/>
      <c r="P166" s="4"/>
      <c r="Q166" s="4"/>
      <c r="R166" s="4"/>
      <c r="S166" s="4"/>
      <c r="T166" s="4"/>
      <c r="U166" s="4"/>
      <c r="V166" s="4"/>
      <c r="W166" s="4"/>
      <c r="X166" s="4"/>
      <c r="Y166" s="4"/>
      <c r="Z166" s="4"/>
    </row>
    <row r="167" spans="1:26" ht="12.75">
      <c r="A167" s="4"/>
      <c r="B167" s="4"/>
      <c r="C167" s="15"/>
      <c r="D167" s="4"/>
      <c r="E167" s="4"/>
      <c r="F167" s="4"/>
      <c r="G167" s="4"/>
      <c r="H167" s="4"/>
      <c r="I167" s="4"/>
      <c r="J167" s="4"/>
      <c r="K167" s="4"/>
      <c r="L167" s="4"/>
      <c r="M167" s="4"/>
      <c r="N167" s="4"/>
      <c r="O167" s="4"/>
      <c r="P167" s="4"/>
      <c r="Q167" s="4"/>
      <c r="R167" s="4"/>
      <c r="S167" s="4"/>
      <c r="T167" s="4"/>
      <c r="U167" s="4"/>
      <c r="V167" s="4"/>
      <c r="W167" s="4"/>
      <c r="X167" s="4"/>
      <c r="Y167" s="4"/>
      <c r="Z167" s="4"/>
    </row>
    <row r="168" spans="1:26" ht="12.75">
      <c r="A168" s="4"/>
      <c r="B168" s="4"/>
      <c r="C168" s="15"/>
      <c r="D168" s="4"/>
      <c r="E168" s="4"/>
      <c r="F168" s="4"/>
      <c r="G168" s="4"/>
      <c r="H168" s="4"/>
      <c r="I168" s="4"/>
      <c r="J168" s="4"/>
      <c r="K168" s="4"/>
      <c r="L168" s="4"/>
      <c r="M168" s="4"/>
      <c r="N168" s="4"/>
      <c r="O168" s="4"/>
      <c r="P168" s="4"/>
      <c r="Q168" s="4"/>
      <c r="R168" s="4"/>
      <c r="S168" s="4"/>
      <c r="T168" s="4"/>
      <c r="U168" s="4"/>
      <c r="V168" s="4"/>
      <c r="W168" s="4"/>
      <c r="X168" s="4"/>
      <c r="Y168" s="4"/>
      <c r="Z168" s="4"/>
    </row>
    <row r="169" spans="1:26" ht="12.75">
      <c r="A169" s="4"/>
      <c r="B169" s="4"/>
      <c r="C169" s="15"/>
      <c r="D169" s="4"/>
      <c r="E169" s="4"/>
      <c r="F169" s="4"/>
      <c r="G169" s="4"/>
      <c r="H169" s="4"/>
      <c r="I169" s="4"/>
      <c r="J169" s="4"/>
      <c r="K169" s="4"/>
      <c r="L169" s="4"/>
      <c r="M169" s="4"/>
      <c r="N169" s="4"/>
      <c r="O169" s="4"/>
      <c r="P169" s="4"/>
      <c r="Q169" s="4"/>
      <c r="R169" s="4"/>
      <c r="S169" s="4"/>
      <c r="T169" s="4"/>
      <c r="U169" s="4"/>
      <c r="V169" s="4"/>
      <c r="W169" s="4"/>
      <c r="X169" s="4"/>
      <c r="Y169" s="4"/>
      <c r="Z169" s="4"/>
    </row>
    <row r="170" spans="1:26" ht="12.75">
      <c r="A170" s="4"/>
      <c r="B170" s="4"/>
      <c r="C170" s="15"/>
      <c r="D170" s="4"/>
      <c r="E170" s="4"/>
      <c r="F170" s="4"/>
      <c r="G170" s="4"/>
      <c r="H170" s="4"/>
      <c r="I170" s="4"/>
      <c r="J170" s="4"/>
      <c r="K170" s="4"/>
      <c r="L170" s="4"/>
      <c r="M170" s="4"/>
      <c r="N170" s="4"/>
      <c r="O170" s="4"/>
      <c r="P170" s="4"/>
      <c r="Q170" s="4"/>
      <c r="R170" s="4"/>
      <c r="S170" s="4"/>
      <c r="T170" s="4"/>
      <c r="U170" s="4"/>
      <c r="V170" s="4"/>
      <c r="W170" s="4"/>
      <c r="X170" s="4"/>
      <c r="Y170" s="4"/>
      <c r="Z170" s="4"/>
    </row>
    <row r="171" spans="1:26" ht="12.75">
      <c r="A171" s="4"/>
      <c r="B171" s="4"/>
      <c r="C171" s="15"/>
      <c r="D171" s="4"/>
      <c r="E171" s="4"/>
      <c r="F171" s="4"/>
      <c r="G171" s="4"/>
      <c r="H171" s="4"/>
      <c r="I171" s="4"/>
      <c r="J171" s="4"/>
      <c r="K171" s="4"/>
      <c r="L171" s="4"/>
      <c r="M171" s="4"/>
      <c r="N171" s="4"/>
      <c r="O171" s="4"/>
      <c r="P171" s="4"/>
      <c r="Q171" s="4"/>
      <c r="R171" s="4"/>
      <c r="S171" s="4"/>
      <c r="T171" s="4"/>
      <c r="U171" s="4"/>
      <c r="V171" s="4"/>
      <c r="W171" s="4"/>
      <c r="X171" s="4"/>
      <c r="Y171" s="4"/>
      <c r="Z171" s="4"/>
    </row>
    <row r="172" spans="1:26" ht="12.75">
      <c r="A172" s="4"/>
      <c r="B172" s="4"/>
      <c r="C172" s="15"/>
      <c r="D172" s="4"/>
      <c r="E172" s="4"/>
      <c r="F172" s="4"/>
      <c r="G172" s="4"/>
      <c r="H172" s="4"/>
      <c r="I172" s="4"/>
      <c r="J172" s="4"/>
      <c r="K172" s="4"/>
      <c r="L172" s="4"/>
      <c r="M172" s="4"/>
      <c r="N172" s="4"/>
      <c r="O172" s="4"/>
      <c r="P172" s="4"/>
      <c r="Q172" s="4"/>
      <c r="R172" s="4"/>
      <c r="S172" s="4"/>
      <c r="T172" s="4"/>
      <c r="U172" s="4"/>
      <c r="V172" s="4"/>
      <c r="W172" s="4"/>
      <c r="X172" s="4"/>
      <c r="Y172" s="4"/>
      <c r="Z172" s="4"/>
    </row>
    <row r="173" spans="1:26" ht="12.75">
      <c r="A173" s="4"/>
      <c r="B173" s="4"/>
      <c r="C173" s="15"/>
      <c r="D173" s="4"/>
      <c r="E173" s="4"/>
      <c r="F173" s="4"/>
      <c r="G173" s="4"/>
      <c r="H173" s="4"/>
      <c r="I173" s="4"/>
      <c r="J173" s="4"/>
      <c r="K173" s="4"/>
      <c r="L173" s="4"/>
      <c r="M173" s="4"/>
      <c r="N173" s="4"/>
      <c r="O173" s="4"/>
      <c r="P173" s="4"/>
      <c r="Q173" s="4"/>
      <c r="R173" s="4"/>
      <c r="S173" s="4"/>
      <c r="T173" s="4"/>
      <c r="U173" s="4"/>
      <c r="V173" s="4"/>
      <c r="W173" s="4"/>
      <c r="X173" s="4"/>
      <c r="Y173" s="4"/>
      <c r="Z173" s="4"/>
    </row>
    <row r="174" spans="1:26" ht="12.75">
      <c r="A174" s="4"/>
      <c r="B174" s="4"/>
      <c r="C174" s="15"/>
      <c r="D174" s="4"/>
      <c r="E174" s="4"/>
      <c r="F174" s="4"/>
      <c r="G174" s="4"/>
      <c r="H174" s="4"/>
      <c r="I174" s="4"/>
      <c r="J174" s="4"/>
      <c r="K174" s="4"/>
      <c r="L174" s="4"/>
      <c r="M174" s="4"/>
      <c r="N174" s="4"/>
      <c r="O174" s="4"/>
      <c r="P174" s="4"/>
      <c r="Q174" s="4"/>
      <c r="R174" s="4"/>
      <c r="S174" s="4"/>
      <c r="T174" s="4"/>
      <c r="U174" s="4"/>
      <c r="V174" s="4"/>
      <c r="W174" s="4"/>
      <c r="X174" s="4"/>
      <c r="Y174" s="4"/>
      <c r="Z174" s="4"/>
    </row>
    <row r="175" spans="1:26" ht="12.75">
      <c r="A175" s="4"/>
      <c r="B175" s="4"/>
      <c r="C175" s="15"/>
      <c r="D175" s="4"/>
      <c r="E175" s="4"/>
      <c r="F175" s="4"/>
      <c r="G175" s="4"/>
      <c r="H175" s="4"/>
      <c r="I175" s="4"/>
      <c r="J175" s="4"/>
      <c r="K175" s="4"/>
      <c r="L175" s="4"/>
      <c r="M175" s="4"/>
      <c r="N175" s="4"/>
      <c r="O175" s="4"/>
      <c r="P175" s="4"/>
      <c r="Q175" s="4"/>
      <c r="R175" s="4"/>
      <c r="S175" s="4"/>
      <c r="T175" s="4"/>
      <c r="U175" s="4"/>
      <c r="V175" s="4"/>
      <c r="W175" s="4"/>
      <c r="X175" s="4"/>
      <c r="Y175" s="4"/>
      <c r="Z175" s="4"/>
    </row>
    <row r="176" spans="1:26" ht="12.75">
      <c r="A176" s="4"/>
      <c r="B176" s="4"/>
      <c r="C176" s="15"/>
      <c r="D176" s="4"/>
      <c r="E176" s="4"/>
      <c r="F176" s="4"/>
      <c r="G176" s="4"/>
      <c r="H176" s="4"/>
      <c r="I176" s="4"/>
      <c r="J176" s="4"/>
      <c r="K176" s="4"/>
      <c r="L176" s="4"/>
      <c r="M176" s="4"/>
      <c r="N176" s="4"/>
      <c r="O176" s="4"/>
      <c r="P176" s="4"/>
      <c r="Q176" s="4"/>
      <c r="R176" s="4"/>
      <c r="S176" s="4"/>
      <c r="T176" s="4"/>
      <c r="U176" s="4"/>
      <c r="V176" s="4"/>
      <c r="W176" s="4"/>
      <c r="X176" s="4"/>
      <c r="Y176" s="4"/>
      <c r="Z176" s="4"/>
    </row>
    <row r="177" spans="1:26" ht="12.75">
      <c r="A177" s="4"/>
      <c r="B177" s="4"/>
      <c r="C177" s="15"/>
      <c r="D177" s="4"/>
      <c r="E177" s="4"/>
      <c r="F177" s="4"/>
      <c r="G177" s="4"/>
      <c r="H177" s="4"/>
      <c r="I177" s="4"/>
      <c r="J177" s="4"/>
      <c r="K177" s="4"/>
      <c r="L177" s="4"/>
      <c r="M177" s="4"/>
      <c r="N177" s="4"/>
      <c r="O177" s="4"/>
      <c r="P177" s="4"/>
      <c r="Q177" s="4"/>
      <c r="R177" s="4"/>
      <c r="S177" s="4"/>
      <c r="T177" s="4"/>
      <c r="U177" s="4"/>
      <c r="V177" s="4"/>
      <c r="W177" s="4"/>
      <c r="X177" s="4"/>
      <c r="Y177" s="4"/>
      <c r="Z177" s="4"/>
    </row>
    <row r="178" spans="1:26" ht="12.75">
      <c r="A178" s="4"/>
      <c r="B178" s="4"/>
      <c r="C178" s="15"/>
      <c r="D178" s="4"/>
      <c r="E178" s="4"/>
      <c r="F178" s="4"/>
      <c r="G178" s="4"/>
      <c r="H178" s="4"/>
      <c r="I178" s="4"/>
      <c r="J178" s="4"/>
      <c r="K178" s="4"/>
      <c r="L178" s="4"/>
      <c r="M178" s="4"/>
      <c r="N178" s="4"/>
      <c r="O178" s="4"/>
      <c r="P178" s="4"/>
      <c r="Q178" s="4"/>
      <c r="R178" s="4"/>
      <c r="S178" s="4"/>
      <c r="T178" s="4"/>
      <c r="U178" s="4"/>
      <c r="V178" s="4"/>
      <c r="W178" s="4"/>
      <c r="X178" s="4"/>
      <c r="Y178" s="4"/>
      <c r="Z178" s="4"/>
    </row>
    <row r="179" spans="1:26" ht="12.75">
      <c r="A179" s="4"/>
      <c r="B179" s="4"/>
      <c r="C179" s="15"/>
      <c r="D179" s="4"/>
      <c r="E179" s="4"/>
      <c r="F179" s="4"/>
      <c r="G179" s="4"/>
      <c r="H179" s="4"/>
      <c r="I179" s="4"/>
      <c r="J179" s="4"/>
      <c r="K179" s="4"/>
      <c r="L179" s="4"/>
      <c r="M179" s="4"/>
      <c r="N179" s="4"/>
      <c r="O179" s="4"/>
      <c r="P179" s="4"/>
      <c r="Q179" s="4"/>
      <c r="R179" s="4"/>
      <c r="S179" s="4"/>
      <c r="T179" s="4"/>
      <c r="U179" s="4"/>
      <c r="V179" s="4"/>
      <c r="W179" s="4"/>
      <c r="X179" s="4"/>
      <c r="Y179" s="4"/>
      <c r="Z179" s="4"/>
    </row>
    <row r="180" spans="1:26" ht="12.75">
      <c r="A180" s="4"/>
      <c r="B180" s="4"/>
      <c r="C180" s="15"/>
      <c r="D180" s="4"/>
      <c r="E180" s="4"/>
      <c r="F180" s="4"/>
      <c r="G180" s="4"/>
      <c r="H180" s="4"/>
      <c r="I180" s="4"/>
      <c r="J180" s="4"/>
      <c r="K180" s="4"/>
      <c r="L180" s="4"/>
      <c r="M180" s="4"/>
      <c r="N180" s="4"/>
      <c r="O180" s="4"/>
      <c r="P180" s="4"/>
      <c r="Q180" s="4"/>
      <c r="R180" s="4"/>
      <c r="S180" s="4"/>
      <c r="T180" s="4"/>
      <c r="U180" s="4"/>
      <c r="V180" s="4"/>
      <c r="W180" s="4"/>
      <c r="X180" s="4"/>
      <c r="Y180" s="4"/>
      <c r="Z180" s="4"/>
    </row>
    <row r="181" spans="1:26" ht="12.75">
      <c r="A181" s="4"/>
      <c r="B181" s="4"/>
      <c r="C181" s="15"/>
      <c r="D181" s="4"/>
      <c r="E181" s="4"/>
      <c r="F181" s="4"/>
      <c r="G181" s="4"/>
      <c r="H181" s="4"/>
      <c r="I181" s="4"/>
      <c r="J181" s="4"/>
      <c r="K181" s="4"/>
      <c r="L181" s="4"/>
      <c r="M181" s="4"/>
      <c r="N181" s="4"/>
      <c r="O181" s="4"/>
      <c r="P181" s="4"/>
      <c r="Q181" s="4"/>
      <c r="R181" s="4"/>
      <c r="S181" s="4"/>
      <c r="T181" s="4"/>
      <c r="U181" s="4"/>
      <c r="V181" s="4"/>
      <c r="W181" s="4"/>
      <c r="X181" s="4"/>
      <c r="Y181" s="4"/>
      <c r="Z181" s="4"/>
    </row>
    <row r="182" spans="1:26" ht="12.75">
      <c r="A182" s="4"/>
      <c r="B182" s="4"/>
      <c r="C182" s="15"/>
      <c r="D182" s="4"/>
      <c r="E182" s="4"/>
      <c r="F182" s="4"/>
      <c r="G182" s="4"/>
      <c r="H182" s="4"/>
      <c r="I182" s="4"/>
      <c r="J182" s="4"/>
      <c r="K182" s="4"/>
      <c r="L182" s="4"/>
      <c r="M182" s="4"/>
      <c r="N182" s="4"/>
      <c r="O182" s="4"/>
      <c r="P182" s="4"/>
      <c r="Q182" s="4"/>
      <c r="R182" s="4"/>
      <c r="S182" s="4"/>
      <c r="T182" s="4"/>
      <c r="U182" s="4"/>
      <c r="V182" s="4"/>
      <c r="W182" s="4"/>
      <c r="X182" s="4"/>
      <c r="Y182" s="4"/>
      <c r="Z182" s="4"/>
    </row>
    <row r="183" spans="1:26" ht="12.75">
      <c r="A183" s="4"/>
      <c r="B183" s="4"/>
      <c r="C183" s="15"/>
      <c r="D183" s="4"/>
      <c r="E183" s="4"/>
      <c r="F183" s="4"/>
      <c r="G183" s="4"/>
      <c r="H183" s="4"/>
      <c r="I183" s="4"/>
      <c r="J183" s="4"/>
      <c r="K183" s="4"/>
      <c r="L183" s="4"/>
      <c r="M183" s="4"/>
      <c r="N183" s="4"/>
      <c r="O183" s="4"/>
      <c r="P183" s="4"/>
      <c r="Q183" s="4"/>
      <c r="R183" s="4"/>
      <c r="S183" s="4"/>
      <c r="T183" s="4"/>
      <c r="U183" s="4"/>
      <c r="V183" s="4"/>
      <c r="W183" s="4"/>
      <c r="X183" s="4"/>
      <c r="Y183" s="4"/>
      <c r="Z183" s="4"/>
    </row>
    <row r="184" spans="1:26" ht="12.75">
      <c r="A184" s="4"/>
      <c r="B184" s="4"/>
      <c r="C184" s="15"/>
      <c r="D184" s="4"/>
      <c r="E184" s="4"/>
      <c r="F184" s="4"/>
      <c r="G184" s="4"/>
      <c r="H184" s="4"/>
      <c r="I184" s="4"/>
      <c r="J184" s="4"/>
      <c r="K184" s="4"/>
      <c r="L184" s="4"/>
      <c r="M184" s="4"/>
      <c r="N184" s="4"/>
      <c r="O184" s="4"/>
      <c r="P184" s="4"/>
      <c r="Q184" s="4"/>
      <c r="R184" s="4"/>
      <c r="S184" s="4"/>
      <c r="T184" s="4"/>
      <c r="U184" s="4"/>
      <c r="V184" s="4"/>
      <c r="W184" s="4"/>
      <c r="X184" s="4"/>
      <c r="Y184" s="4"/>
      <c r="Z184" s="4"/>
    </row>
    <row r="185" spans="1:26" ht="12.75">
      <c r="A185" s="4"/>
      <c r="B185" s="4"/>
      <c r="C185" s="15"/>
      <c r="D185" s="4"/>
      <c r="E185" s="4"/>
      <c r="F185" s="4"/>
      <c r="G185" s="4"/>
      <c r="H185" s="4"/>
      <c r="I185" s="4"/>
      <c r="J185" s="4"/>
      <c r="K185" s="4"/>
      <c r="L185" s="4"/>
      <c r="M185" s="4"/>
      <c r="N185" s="4"/>
      <c r="O185" s="4"/>
      <c r="P185" s="4"/>
      <c r="Q185" s="4"/>
      <c r="R185" s="4"/>
      <c r="S185" s="4"/>
      <c r="T185" s="4"/>
      <c r="U185" s="4"/>
      <c r="V185" s="4"/>
      <c r="W185" s="4"/>
      <c r="X185" s="4"/>
      <c r="Y185" s="4"/>
      <c r="Z185" s="4"/>
    </row>
    <row r="186" spans="1:26" ht="12.75">
      <c r="A186" s="4"/>
      <c r="B186" s="4"/>
      <c r="C186" s="15"/>
      <c r="D186" s="4"/>
      <c r="E186" s="4"/>
      <c r="F186" s="4"/>
      <c r="G186" s="4"/>
      <c r="H186" s="4"/>
      <c r="I186" s="4"/>
      <c r="J186" s="4"/>
      <c r="K186" s="4"/>
      <c r="L186" s="4"/>
      <c r="M186" s="4"/>
      <c r="N186" s="4"/>
      <c r="O186" s="4"/>
      <c r="P186" s="4"/>
      <c r="Q186" s="4"/>
      <c r="R186" s="4"/>
      <c r="S186" s="4"/>
      <c r="T186" s="4"/>
      <c r="U186" s="4"/>
      <c r="V186" s="4"/>
      <c r="W186" s="4"/>
      <c r="X186" s="4"/>
      <c r="Y186" s="4"/>
      <c r="Z186" s="4"/>
    </row>
    <row r="187" spans="1:26" ht="12.75">
      <c r="A187" s="4"/>
      <c r="B187" s="4"/>
      <c r="C187" s="15"/>
      <c r="D187" s="4"/>
      <c r="E187" s="4"/>
      <c r="F187" s="4"/>
      <c r="G187" s="4"/>
      <c r="H187" s="4"/>
      <c r="I187" s="4"/>
      <c r="J187" s="4"/>
      <c r="K187" s="4"/>
      <c r="L187" s="4"/>
      <c r="M187" s="4"/>
      <c r="N187" s="4"/>
      <c r="O187" s="4"/>
      <c r="P187" s="4"/>
      <c r="Q187" s="4"/>
      <c r="R187" s="4"/>
      <c r="S187" s="4"/>
      <c r="T187" s="4"/>
      <c r="U187" s="4"/>
      <c r="V187" s="4"/>
      <c r="W187" s="4"/>
      <c r="X187" s="4"/>
      <c r="Y187" s="4"/>
      <c r="Z187" s="4"/>
    </row>
    <row r="188" spans="1:26" ht="12.75">
      <c r="A188" s="4"/>
      <c r="B188" s="4"/>
      <c r="C188" s="15"/>
      <c r="D188" s="4"/>
      <c r="E188" s="4"/>
      <c r="F188" s="4"/>
      <c r="G188" s="4"/>
      <c r="H188" s="4"/>
      <c r="I188" s="4"/>
      <c r="J188" s="4"/>
      <c r="K188" s="4"/>
      <c r="L188" s="4"/>
      <c r="M188" s="4"/>
      <c r="N188" s="4"/>
      <c r="O188" s="4"/>
      <c r="P188" s="4"/>
      <c r="Q188" s="4"/>
      <c r="R188" s="4"/>
      <c r="S188" s="4"/>
      <c r="T188" s="4"/>
      <c r="U188" s="4"/>
      <c r="V188" s="4"/>
      <c r="W188" s="4"/>
      <c r="X188" s="4"/>
      <c r="Y188" s="4"/>
      <c r="Z188" s="4"/>
    </row>
    <row r="189" spans="1:26" ht="12.75">
      <c r="A189" s="4"/>
      <c r="B189" s="4"/>
      <c r="C189" s="15"/>
      <c r="D189" s="4"/>
      <c r="E189" s="4"/>
      <c r="F189" s="4"/>
      <c r="G189" s="4"/>
      <c r="H189" s="4"/>
      <c r="I189" s="4"/>
      <c r="J189" s="4"/>
      <c r="K189" s="4"/>
      <c r="L189" s="4"/>
      <c r="M189" s="4"/>
      <c r="N189" s="4"/>
      <c r="O189" s="4"/>
      <c r="P189" s="4"/>
      <c r="Q189" s="4"/>
      <c r="R189" s="4"/>
      <c r="S189" s="4"/>
      <c r="T189" s="4"/>
      <c r="U189" s="4"/>
      <c r="V189" s="4"/>
      <c r="W189" s="4"/>
      <c r="X189" s="4"/>
      <c r="Y189" s="4"/>
      <c r="Z189" s="4"/>
    </row>
    <row r="190" spans="1:26" ht="12.75">
      <c r="A190" s="4"/>
      <c r="B190" s="4"/>
      <c r="C190" s="15"/>
      <c r="D190" s="4"/>
      <c r="E190" s="4"/>
      <c r="F190" s="4"/>
      <c r="G190" s="4"/>
      <c r="H190" s="4"/>
      <c r="I190" s="4"/>
      <c r="J190" s="4"/>
      <c r="K190" s="4"/>
      <c r="L190" s="4"/>
      <c r="M190" s="4"/>
      <c r="N190" s="4"/>
      <c r="O190" s="4"/>
      <c r="P190" s="4"/>
      <c r="Q190" s="4"/>
      <c r="R190" s="4"/>
      <c r="S190" s="4"/>
      <c r="T190" s="4"/>
      <c r="U190" s="4"/>
      <c r="V190" s="4"/>
      <c r="W190" s="4"/>
      <c r="X190" s="4"/>
      <c r="Y190" s="4"/>
      <c r="Z190" s="4"/>
    </row>
    <row r="191" spans="1:26" ht="12.75">
      <c r="A191" s="4"/>
      <c r="B191" s="4"/>
      <c r="C191" s="15"/>
      <c r="D191" s="4"/>
      <c r="E191" s="4"/>
      <c r="F191" s="4"/>
      <c r="G191" s="4"/>
      <c r="H191" s="4"/>
      <c r="I191" s="4"/>
      <c r="J191" s="4"/>
      <c r="K191" s="4"/>
      <c r="L191" s="4"/>
      <c r="M191" s="4"/>
      <c r="N191" s="4"/>
      <c r="O191" s="4"/>
      <c r="P191" s="4"/>
      <c r="Q191" s="4"/>
      <c r="R191" s="4"/>
      <c r="S191" s="4"/>
      <c r="T191" s="4"/>
      <c r="U191" s="4"/>
      <c r="V191" s="4"/>
      <c r="W191" s="4"/>
      <c r="X191" s="4"/>
      <c r="Y191" s="4"/>
      <c r="Z191" s="4"/>
    </row>
    <row r="192" spans="1:26" ht="12.75">
      <c r="A192" s="4"/>
      <c r="B192" s="4"/>
      <c r="C192" s="15"/>
      <c r="D192" s="4"/>
      <c r="E192" s="4"/>
      <c r="F192" s="4"/>
      <c r="G192" s="4"/>
      <c r="H192" s="4"/>
      <c r="I192" s="4"/>
      <c r="J192" s="4"/>
      <c r="K192" s="4"/>
      <c r="L192" s="4"/>
      <c r="M192" s="4"/>
      <c r="N192" s="4"/>
      <c r="O192" s="4"/>
      <c r="P192" s="4"/>
      <c r="Q192" s="4"/>
      <c r="R192" s="4"/>
      <c r="S192" s="4"/>
      <c r="T192" s="4"/>
      <c r="U192" s="4"/>
      <c r="V192" s="4"/>
      <c r="W192" s="4"/>
      <c r="X192" s="4"/>
      <c r="Y192" s="4"/>
      <c r="Z192" s="4"/>
    </row>
    <row r="193" spans="1:26" ht="12.75">
      <c r="A193" s="4"/>
      <c r="B193" s="4"/>
      <c r="C193" s="15"/>
      <c r="D193" s="4"/>
      <c r="E193" s="4"/>
      <c r="F193" s="4"/>
      <c r="G193" s="4"/>
      <c r="H193" s="4"/>
      <c r="I193" s="4"/>
      <c r="J193" s="4"/>
      <c r="K193" s="4"/>
      <c r="L193" s="4"/>
      <c r="M193" s="4"/>
      <c r="N193" s="4"/>
      <c r="O193" s="4"/>
      <c r="P193" s="4"/>
      <c r="Q193" s="4"/>
      <c r="R193" s="4"/>
      <c r="S193" s="4"/>
      <c r="T193" s="4"/>
      <c r="U193" s="4"/>
      <c r="V193" s="4"/>
      <c r="W193" s="4"/>
      <c r="X193" s="4"/>
      <c r="Y193" s="4"/>
      <c r="Z193" s="4"/>
    </row>
    <row r="194" spans="1:26" ht="12.75">
      <c r="A194" s="4"/>
      <c r="B194" s="4"/>
      <c r="C194" s="15"/>
      <c r="D194" s="4"/>
      <c r="E194" s="4"/>
      <c r="F194" s="4"/>
      <c r="G194" s="4"/>
      <c r="H194" s="4"/>
      <c r="I194" s="4"/>
      <c r="J194" s="4"/>
      <c r="K194" s="4"/>
      <c r="L194" s="4"/>
      <c r="M194" s="4"/>
      <c r="N194" s="4"/>
      <c r="O194" s="4"/>
      <c r="P194" s="4"/>
      <c r="Q194" s="4"/>
      <c r="R194" s="4"/>
      <c r="S194" s="4"/>
      <c r="T194" s="4"/>
      <c r="U194" s="4"/>
      <c r="V194" s="4"/>
      <c r="W194" s="4"/>
      <c r="X194" s="4"/>
      <c r="Y194" s="4"/>
      <c r="Z194" s="4"/>
    </row>
    <row r="195" spans="1:26" ht="12.75">
      <c r="A195" s="4"/>
      <c r="B195" s="4"/>
      <c r="C195" s="15"/>
      <c r="D195" s="4"/>
      <c r="E195" s="4"/>
      <c r="F195" s="4"/>
      <c r="G195" s="4"/>
      <c r="H195" s="4"/>
      <c r="I195" s="4"/>
      <c r="J195" s="4"/>
      <c r="K195" s="4"/>
      <c r="L195" s="4"/>
      <c r="M195" s="4"/>
      <c r="N195" s="4"/>
      <c r="O195" s="4"/>
      <c r="P195" s="4"/>
      <c r="Q195" s="4"/>
      <c r="R195" s="4"/>
      <c r="S195" s="4"/>
      <c r="T195" s="4"/>
      <c r="U195" s="4"/>
      <c r="V195" s="4"/>
      <c r="W195" s="4"/>
      <c r="X195" s="4"/>
      <c r="Y195" s="4"/>
      <c r="Z195" s="4"/>
    </row>
    <row r="196" spans="1:26" ht="12.75">
      <c r="A196" s="4"/>
      <c r="B196" s="4"/>
      <c r="C196" s="15"/>
      <c r="D196" s="4"/>
      <c r="E196" s="4"/>
      <c r="F196" s="4"/>
      <c r="G196" s="4"/>
      <c r="H196" s="4"/>
      <c r="I196" s="4"/>
      <c r="J196" s="4"/>
      <c r="K196" s="4"/>
      <c r="L196" s="4"/>
      <c r="M196" s="4"/>
      <c r="N196" s="4"/>
      <c r="O196" s="4"/>
      <c r="P196" s="4"/>
      <c r="Q196" s="4"/>
      <c r="R196" s="4"/>
      <c r="S196" s="4"/>
      <c r="T196" s="4"/>
      <c r="U196" s="4"/>
      <c r="V196" s="4"/>
      <c r="W196" s="4"/>
      <c r="X196" s="4"/>
      <c r="Y196" s="4"/>
      <c r="Z196" s="4"/>
    </row>
    <row r="197" spans="1:26" ht="12.75">
      <c r="A197" s="4"/>
      <c r="B197" s="4"/>
      <c r="C197" s="15"/>
      <c r="D197" s="4"/>
      <c r="E197" s="4"/>
      <c r="F197" s="4"/>
      <c r="G197" s="4"/>
      <c r="H197" s="4"/>
      <c r="I197" s="4"/>
      <c r="J197" s="4"/>
      <c r="K197" s="4"/>
      <c r="L197" s="4"/>
      <c r="M197" s="4"/>
      <c r="N197" s="4"/>
      <c r="O197" s="4"/>
      <c r="P197" s="4"/>
      <c r="Q197" s="4"/>
      <c r="R197" s="4"/>
      <c r="S197" s="4"/>
      <c r="T197" s="4"/>
      <c r="U197" s="4"/>
      <c r="V197" s="4"/>
      <c r="W197" s="4"/>
      <c r="X197" s="4"/>
      <c r="Y197" s="4"/>
      <c r="Z197" s="4"/>
    </row>
    <row r="198" spans="1:26" ht="12.75">
      <c r="A198" s="4"/>
      <c r="B198" s="4"/>
      <c r="C198" s="15"/>
      <c r="D198" s="4"/>
      <c r="E198" s="4"/>
      <c r="F198" s="4"/>
      <c r="G198" s="4"/>
      <c r="H198" s="4"/>
      <c r="I198" s="4"/>
      <c r="J198" s="4"/>
      <c r="K198" s="4"/>
      <c r="L198" s="4"/>
      <c r="M198" s="4"/>
      <c r="N198" s="4"/>
      <c r="O198" s="4"/>
      <c r="P198" s="4"/>
      <c r="Q198" s="4"/>
      <c r="R198" s="4"/>
      <c r="S198" s="4"/>
      <c r="T198" s="4"/>
      <c r="U198" s="4"/>
      <c r="V198" s="4"/>
      <c r="W198" s="4"/>
      <c r="X198" s="4"/>
      <c r="Y198" s="4"/>
      <c r="Z198" s="4"/>
    </row>
    <row r="199" spans="1:26" ht="12.75">
      <c r="A199" s="4"/>
      <c r="B199" s="4"/>
      <c r="C199" s="15"/>
      <c r="D199" s="4"/>
      <c r="E199" s="4"/>
      <c r="F199" s="4"/>
      <c r="G199" s="4"/>
      <c r="H199" s="4"/>
      <c r="I199" s="4"/>
      <c r="J199" s="4"/>
      <c r="K199" s="4"/>
      <c r="L199" s="4"/>
      <c r="M199" s="4"/>
      <c r="N199" s="4"/>
      <c r="O199" s="4"/>
      <c r="P199" s="4"/>
      <c r="Q199" s="4"/>
      <c r="R199" s="4"/>
      <c r="S199" s="4"/>
      <c r="T199" s="4"/>
      <c r="U199" s="4"/>
      <c r="V199" s="4"/>
      <c r="W199" s="4"/>
      <c r="X199" s="4"/>
      <c r="Y199" s="4"/>
      <c r="Z199" s="4"/>
    </row>
    <row r="200" spans="1:26" ht="12.75">
      <c r="A200" s="4"/>
      <c r="B200" s="4"/>
      <c r="C200" s="15"/>
      <c r="D200" s="4"/>
      <c r="E200" s="4"/>
      <c r="F200" s="4"/>
      <c r="G200" s="4"/>
      <c r="H200" s="4"/>
      <c r="I200" s="4"/>
      <c r="J200" s="4"/>
      <c r="K200" s="4"/>
      <c r="L200" s="4"/>
      <c r="M200" s="4"/>
      <c r="N200" s="4"/>
      <c r="O200" s="4"/>
      <c r="P200" s="4"/>
      <c r="Q200" s="4"/>
      <c r="R200" s="4"/>
      <c r="S200" s="4"/>
      <c r="T200" s="4"/>
      <c r="U200" s="4"/>
      <c r="V200" s="4"/>
      <c r="W200" s="4"/>
      <c r="X200" s="4"/>
      <c r="Y200" s="4"/>
      <c r="Z200" s="4"/>
    </row>
    <row r="201" spans="1:26" ht="12.75">
      <c r="A201" s="4"/>
      <c r="B201" s="4"/>
      <c r="C201" s="15"/>
      <c r="D201" s="4"/>
      <c r="E201" s="4"/>
      <c r="F201" s="4"/>
      <c r="G201" s="4"/>
      <c r="H201" s="4"/>
      <c r="I201" s="4"/>
      <c r="J201" s="4"/>
      <c r="K201" s="4"/>
      <c r="L201" s="4"/>
      <c r="M201" s="4"/>
      <c r="N201" s="4"/>
      <c r="O201" s="4"/>
      <c r="P201" s="4"/>
      <c r="Q201" s="4"/>
      <c r="R201" s="4"/>
      <c r="S201" s="4"/>
      <c r="T201" s="4"/>
      <c r="U201" s="4"/>
      <c r="V201" s="4"/>
      <c r="W201" s="4"/>
      <c r="X201" s="4"/>
      <c r="Y201" s="4"/>
      <c r="Z201" s="4"/>
    </row>
    <row r="202" spans="1:26" ht="12.75">
      <c r="A202" s="4"/>
      <c r="B202" s="4"/>
      <c r="C202" s="15"/>
      <c r="D202" s="4"/>
      <c r="E202" s="4"/>
      <c r="F202" s="4"/>
      <c r="G202" s="4"/>
      <c r="H202" s="4"/>
      <c r="I202" s="4"/>
      <c r="J202" s="4"/>
      <c r="K202" s="4"/>
      <c r="L202" s="4"/>
      <c r="M202" s="4"/>
      <c r="N202" s="4"/>
      <c r="O202" s="4"/>
      <c r="P202" s="4"/>
      <c r="Q202" s="4"/>
      <c r="R202" s="4"/>
      <c r="S202" s="4"/>
      <c r="T202" s="4"/>
      <c r="U202" s="4"/>
      <c r="V202" s="4"/>
      <c r="W202" s="4"/>
      <c r="X202" s="4"/>
      <c r="Y202" s="4"/>
      <c r="Z202" s="4"/>
    </row>
    <row r="203" spans="1:26" ht="12.75">
      <c r="A203" s="4"/>
      <c r="B203" s="4"/>
      <c r="C203" s="15"/>
      <c r="D203" s="4"/>
      <c r="E203" s="4"/>
      <c r="F203" s="4"/>
      <c r="G203" s="4"/>
      <c r="H203" s="4"/>
      <c r="I203" s="4"/>
      <c r="J203" s="4"/>
      <c r="K203" s="4"/>
      <c r="L203" s="4"/>
      <c r="M203" s="4"/>
      <c r="N203" s="4"/>
      <c r="O203" s="4"/>
      <c r="P203" s="4"/>
      <c r="Q203" s="4"/>
      <c r="R203" s="4"/>
      <c r="S203" s="4"/>
      <c r="T203" s="4"/>
      <c r="U203" s="4"/>
      <c r="V203" s="4"/>
      <c r="W203" s="4"/>
      <c r="X203" s="4"/>
      <c r="Y203" s="4"/>
      <c r="Z203" s="4"/>
    </row>
    <row r="204" spans="1:26" ht="12.75">
      <c r="A204" s="4"/>
      <c r="B204" s="4"/>
      <c r="C204" s="15"/>
      <c r="D204" s="4"/>
      <c r="E204" s="4"/>
      <c r="F204" s="4"/>
      <c r="G204" s="4"/>
      <c r="H204" s="4"/>
      <c r="I204" s="4"/>
      <c r="J204" s="4"/>
      <c r="K204" s="4"/>
      <c r="L204" s="4"/>
      <c r="M204" s="4"/>
      <c r="N204" s="4"/>
      <c r="O204" s="4"/>
      <c r="P204" s="4"/>
      <c r="Q204" s="4"/>
      <c r="R204" s="4"/>
      <c r="S204" s="4"/>
      <c r="T204" s="4"/>
      <c r="U204" s="4"/>
      <c r="V204" s="4"/>
      <c r="W204" s="4"/>
      <c r="X204" s="4"/>
      <c r="Y204" s="4"/>
      <c r="Z204" s="4"/>
    </row>
    <row r="205" spans="1:26" ht="12.75">
      <c r="A205" s="4"/>
      <c r="B205" s="4"/>
      <c r="C205" s="15"/>
      <c r="D205" s="4"/>
      <c r="E205" s="4"/>
      <c r="F205" s="4"/>
      <c r="G205" s="4"/>
      <c r="H205" s="4"/>
      <c r="I205" s="4"/>
      <c r="J205" s="4"/>
      <c r="K205" s="4"/>
      <c r="L205" s="4"/>
      <c r="M205" s="4"/>
      <c r="N205" s="4"/>
      <c r="O205" s="4"/>
      <c r="P205" s="4"/>
      <c r="Q205" s="4"/>
      <c r="R205" s="4"/>
      <c r="S205" s="4"/>
      <c r="T205" s="4"/>
      <c r="U205" s="4"/>
      <c r="V205" s="4"/>
      <c r="W205" s="4"/>
      <c r="X205" s="4"/>
      <c r="Y205" s="4"/>
      <c r="Z205" s="4"/>
    </row>
    <row r="206" spans="1:26" ht="12.75">
      <c r="A206" s="4"/>
      <c r="B206" s="4"/>
      <c r="C206" s="15"/>
      <c r="D206" s="4"/>
      <c r="E206" s="4"/>
      <c r="F206" s="4"/>
      <c r="G206" s="4"/>
      <c r="H206" s="4"/>
      <c r="I206" s="4"/>
      <c r="J206" s="4"/>
      <c r="K206" s="4"/>
      <c r="L206" s="4"/>
      <c r="M206" s="4"/>
      <c r="N206" s="4"/>
      <c r="O206" s="4"/>
      <c r="P206" s="4"/>
      <c r="Q206" s="4"/>
      <c r="R206" s="4"/>
      <c r="S206" s="4"/>
      <c r="T206" s="4"/>
      <c r="U206" s="4"/>
      <c r="V206" s="4"/>
      <c r="W206" s="4"/>
      <c r="X206" s="4"/>
      <c r="Y206" s="4"/>
      <c r="Z206" s="4"/>
    </row>
    <row r="207" spans="1:26" ht="12.75">
      <c r="A207" s="4"/>
      <c r="B207" s="4"/>
      <c r="C207" s="15"/>
      <c r="D207" s="4"/>
      <c r="E207" s="4"/>
      <c r="F207" s="4"/>
      <c r="G207" s="4"/>
      <c r="H207" s="4"/>
      <c r="I207" s="4"/>
      <c r="J207" s="4"/>
      <c r="K207" s="4"/>
      <c r="L207" s="4"/>
      <c r="M207" s="4"/>
      <c r="N207" s="4"/>
      <c r="O207" s="4"/>
      <c r="P207" s="4"/>
      <c r="Q207" s="4"/>
      <c r="R207" s="4"/>
      <c r="S207" s="4"/>
      <c r="T207" s="4"/>
      <c r="U207" s="4"/>
      <c r="V207" s="4"/>
      <c r="W207" s="4"/>
      <c r="X207" s="4"/>
      <c r="Y207" s="4"/>
      <c r="Z207" s="4"/>
    </row>
    <row r="208" spans="1:26" ht="12.75">
      <c r="A208" s="4"/>
      <c r="B208" s="4"/>
      <c r="C208" s="15"/>
      <c r="D208" s="4"/>
      <c r="E208" s="4"/>
      <c r="F208" s="4"/>
      <c r="G208" s="4"/>
      <c r="H208" s="4"/>
      <c r="I208" s="4"/>
      <c r="J208" s="4"/>
      <c r="K208" s="4"/>
      <c r="L208" s="4"/>
      <c r="M208" s="4"/>
      <c r="N208" s="4"/>
      <c r="O208" s="4"/>
      <c r="P208" s="4"/>
      <c r="Q208" s="4"/>
      <c r="R208" s="4"/>
      <c r="S208" s="4"/>
      <c r="T208" s="4"/>
      <c r="U208" s="4"/>
      <c r="V208" s="4"/>
      <c r="W208" s="4"/>
      <c r="X208" s="4"/>
      <c r="Y208" s="4"/>
      <c r="Z208" s="4"/>
    </row>
    <row r="209" spans="1:26" ht="12.75">
      <c r="A209" s="4"/>
      <c r="B209" s="4"/>
      <c r="C209" s="15"/>
      <c r="D209" s="4"/>
      <c r="E209" s="4"/>
      <c r="F209" s="4"/>
      <c r="G209" s="4"/>
      <c r="H209" s="4"/>
      <c r="I209" s="4"/>
      <c r="J209" s="4"/>
      <c r="K209" s="4"/>
      <c r="L209" s="4"/>
      <c r="M209" s="4"/>
      <c r="N209" s="4"/>
      <c r="O209" s="4"/>
      <c r="P209" s="4"/>
      <c r="Q209" s="4"/>
      <c r="R209" s="4"/>
      <c r="S209" s="4"/>
      <c r="T209" s="4"/>
      <c r="U209" s="4"/>
      <c r="V209" s="4"/>
      <c r="W209" s="4"/>
      <c r="X209" s="4"/>
      <c r="Y209" s="4"/>
      <c r="Z209" s="4"/>
    </row>
    <row r="210" spans="1:26" ht="12.75">
      <c r="A210" s="4"/>
      <c r="B210" s="4"/>
      <c r="C210" s="15"/>
      <c r="D210" s="4"/>
      <c r="E210" s="4"/>
      <c r="F210" s="4"/>
      <c r="G210" s="4"/>
      <c r="H210" s="4"/>
      <c r="I210" s="4"/>
      <c r="J210" s="4"/>
      <c r="K210" s="4"/>
      <c r="L210" s="4"/>
      <c r="M210" s="4"/>
      <c r="N210" s="4"/>
      <c r="O210" s="4"/>
      <c r="P210" s="4"/>
      <c r="Q210" s="4"/>
      <c r="R210" s="4"/>
      <c r="S210" s="4"/>
      <c r="T210" s="4"/>
      <c r="U210" s="4"/>
      <c r="V210" s="4"/>
      <c r="W210" s="4"/>
      <c r="X210" s="4"/>
      <c r="Y210" s="4"/>
      <c r="Z210" s="4"/>
    </row>
    <row r="211" spans="1:26" ht="12.75">
      <c r="A211" s="4"/>
      <c r="B211" s="4"/>
      <c r="C211" s="15"/>
      <c r="D211" s="4"/>
      <c r="E211" s="4"/>
      <c r="F211" s="4"/>
      <c r="G211" s="4"/>
      <c r="H211" s="4"/>
      <c r="I211" s="4"/>
      <c r="J211" s="4"/>
      <c r="K211" s="4"/>
      <c r="L211" s="4"/>
      <c r="M211" s="4"/>
      <c r="N211" s="4"/>
      <c r="O211" s="4"/>
      <c r="P211" s="4"/>
      <c r="Q211" s="4"/>
      <c r="R211" s="4"/>
      <c r="S211" s="4"/>
      <c r="T211" s="4"/>
      <c r="U211" s="4"/>
      <c r="V211" s="4"/>
      <c r="W211" s="4"/>
      <c r="X211" s="4"/>
      <c r="Y211" s="4"/>
      <c r="Z211" s="4"/>
    </row>
    <row r="212" spans="1:26" ht="12.75">
      <c r="A212" s="4"/>
      <c r="B212" s="4"/>
      <c r="C212" s="15"/>
      <c r="D212" s="4"/>
      <c r="E212" s="4"/>
      <c r="F212" s="4"/>
      <c r="G212" s="4"/>
      <c r="H212" s="4"/>
      <c r="I212" s="4"/>
      <c r="J212" s="4"/>
      <c r="K212" s="4"/>
      <c r="L212" s="4"/>
      <c r="M212" s="4"/>
      <c r="N212" s="4"/>
      <c r="O212" s="4"/>
      <c r="P212" s="4"/>
      <c r="Q212" s="4"/>
      <c r="R212" s="4"/>
      <c r="S212" s="4"/>
      <c r="T212" s="4"/>
      <c r="U212" s="4"/>
      <c r="V212" s="4"/>
      <c r="W212" s="4"/>
      <c r="X212" s="4"/>
      <c r="Y212" s="4"/>
      <c r="Z212" s="4"/>
    </row>
    <row r="213" spans="1:26" ht="12.75">
      <c r="A213" s="4"/>
      <c r="B213" s="4"/>
      <c r="C213" s="15"/>
      <c r="D213" s="4"/>
      <c r="E213" s="4"/>
      <c r="F213" s="4"/>
      <c r="G213" s="4"/>
      <c r="H213" s="4"/>
      <c r="I213" s="4"/>
      <c r="J213" s="4"/>
      <c r="K213" s="4"/>
      <c r="L213" s="4"/>
      <c r="M213" s="4"/>
      <c r="N213" s="4"/>
      <c r="O213" s="4"/>
      <c r="P213" s="4"/>
      <c r="Q213" s="4"/>
      <c r="R213" s="4"/>
      <c r="S213" s="4"/>
      <c r="T213" s="4"/>
      <c r="U213" s="4"/>
      <c r="V213" s="4"/>
      <c r="W213" s="4"/>
      <c r="X213" s="4"/>
      <c r="Y213" s="4"/>
      <c r="Z213" s="4"/>
    </row>
    <row r="214" spans="1:26" ht="12.75">
      <c r="A214" s="4"/>
      <c r="B214" s="4"/>
      <c r="C214" s="15"/>
      <c r="D214" s="4"/>
      <c r="E214" s="4"/>
      <c r="F214" s="4"/>
      <c r="G214" s="4"/>
      <c r="H214" s="4"/>
      <c r="I214" s="4"/>
      <c r="J214" s="4"/>
      <c r="K214" s="4"/>
      <c r="L214" s="4"/>
      <c r="M214" s="4"/>
      <c r="N214" s="4"/>
      <c r="O214" s="4"/>
      <c r="P214" s="4"/>
      <c r="Q214" s="4"/>
      <c r="R214" s="4"/>
      <c r="S214" s="4"/>
      <c r="T214" s="4"/>
      <c r="U214" s="4"/>
      <c r="V214" s="4"/>
      <c r="W214" s="4"/>
      <c r="X214" s="4"/>
      <c r="Y214" s="4"/>
      <c r="Z214" s="4"/>
    </row>
    <row r="215" spans="1:26" ht="12.75">
      <c r="A215" s="4"/>
      <c r="B215" s="4"/>
      <c r="C215" s="15"/>
      <c r="D215" s="4"/>
      <c r="E215" s="4"/>
      <c r="F215" s="4"/>
      <c r="G215" s="4"/>
      <c r="H215" s="4"/>
      <c r="I215" s="4"/>
      <c r="J215" s="4"/>
      <c r="K215" s="4"/>
      <c r="L215" s="4"/>
      <c r="M215" s="4"/>
      <c r="N215" s="4"/>
      <c r="O215" s="4"/>
      <c r="P215" s="4"/>
      <c r="Q215" s="4"/>
      <c r="R215" s="4"/>
      <c r="S215" s="4"/>
      <c r="T215" s="4"/>
      <c r="U215" s="4"/>
      <c r="V215" s="4"/>
      <c r="W215" s="4"/>
      <c r="X215" s="4"/>
      <c r="Y215" s="4"/>
      <c r="Z215" s="4"/>
    </row>
    <row r="216" spans="1:26" ht="12.75">
      <c r="A216" s="4"/>
      <c r="B216" s="4"/>
      <c r="C216" s="15"/>
      <c r="D216" s="4"/>
      <c r="E216" s="4"/>
      <c r="F216" s="4"/>
      <c r="G216" s="4"/>
      <c r="H216" s="4"/>
      <c r="I216" s="4"/>
      <c r="J216" s="4"/>
      <c r="K216" s="4"/>
      <c r="L216" s="4"/>
      <c r="M216" s="4"/>
      <c r="N216" s="4"/>
      <c r="O216" s="4"/>
      <c r="P216" s="4"/>
      <c r="Q216" s="4"/>
      <c r="R216" s="4"/>
      <c r="S216" s="4"/>
      <c r="T216" s="4"/>
      <c r="U216" s="4"/>
      <c r="V216" s="4"/>
      <c r="W216" s="4"/>
      <c r="X216" s="4"/>
      <c r="Y216" s="4"/>
      <c r="Z216" s="4"/>
    </row>
    <row r="217" spans="1:26" ht="12.75">
      <c r="A217" s="4"/>
      <c r="B217" s="4"/>
      <c r="C217" s="15"/>
      <c r="D217" s="4"/>
      <c r="E217" s="4"/>
      <c r="F217" s="4"/>
      <c r="G217" s="4"/>
      <c r="H217" s="4"/>
      <c r="I217" s="4"/>
      <c r="J217" s="4"/>
      <c r="K217" s="4"/>
      <c r="L217" s="4"/>
      <c r="M217" s="4"/>
      <c r="N217" s="4"/>
      <c r="O217" s="4"/>
      <c r="P217" s="4"/>
      <c r="Q217" s="4"/>
      <c r="R217" s="4"/>
      <c r="S217" s="4"/>
      <c r="T217" s="4"/>
      <c r="U217" s="4"/>
      <c r="V217" s="4"/>
      <c r="W217" s="4"/>
      <c r="X217" s="4"/>
      <c r="Y217" s="4"/>
      <c r="Z217" s="4"/>
    </row>
    <row r="218" spans="1:26" ht="12.75">
      <c r="A218" s="4"/>
      <c r="B218" s="4"/>
      <c r="C218" s="15"/>
      <c r="D218" s="4"/>
      <c r="E218" s="4"/>
      <c r="F218" s="4"/>
      <c r="G218" s="4"/>
      <c r="H218" s="4"/>
      <c r="I218" s="4"/>
      <c r="J218" s="4"/>
      <c r="K218" s="4"/>
      <c r="L218" s="4"/>
      <c r="M218" s="4"/>
      <c r="N218" s="4"/>
      <c r="O218" s="4"/>
      <c r="P218" s="4"/>
      <c r="Q218" s="4"/>
      <c r="R218" s="4"/>
      <c r="S218" s="4"/>
      <c r="T218" s="4"/>
      <c r="U218" s="4"/>
      <c r="V218" s="4"/>
      <c r="W218" s="4"/>
      <c r="X218" s="4"/>
      <c r="Y218" s="4"/>
      <c r="Z218" s="4"/>
    </row>
    <row r="219" spans="1:26" ht="12.75">
      <c r="A219" s="4"/>
      <c r="B219" s="4"/>
      <c r="C219" s="15"/>
      <c r="D219" s="4"/>
      <c r="E219" s="4"/>
      <c r="F219" s="4"/>
      <c r="G219" s="4"/>
      <c r="H219" s="4"/>
      <c r="I219" s="4"/>
      <c r="J219" s="4"/>
      <c r="K219" s="4"/>
      <c r="L219" s="4"/>
      <c r="M219" s="4"/>
      <c r="N219" s="4"/>
      <c r="O219" s="4"/>
      <c r="P219" s="4"/>
      <c r="Q219" s="4"/>
      <c r="R219" s="4"/>
      <c r="S219" s="4"/>
      <c r="T219" s="4"/>
      <c r="U219" s="4"/>
      <c r="V219" s="4"/>
      <c r="W219" s="4"/>
      <c r="X219" s="4"/>
      <c r="Y219" s="4"/>
      <c r="Z219" s="4"/>
    </row>
    <row r="220" spans="1:26" ht="12.75">
      <c r="A220" s="4"/>
      <c r="B220" s="4"/>
      <c r="C220" s="15"/>
      <c r="D220" s="4"/>
      <c r="E220" s="4"/>
      <c r="F220" s="4"/>
      <c r="G220" s="4"/>
      <c r="H220" s="4"/>
      <c r="I220" s="4"/>
      <c r="J220" s="4"/>
      <c r="K220" s="4"/>
      <c r="L220" s="4"/>
      <c r="M220" s="4"/>
      <c r="N220" s="4"/>
      <c r="O220" s="4"/>
      <c r="P220" s="4"/>
      <c r="Q220" s="4"/>
      <c r="R220" s="4"/>
      <c r="S220" s="4"/>
      <c r="T220" s="4"/>
      <c r="U220" s="4"/>
      <c r="V220" s="4"/>
      <c r="W220" s="4"/>
      <c r="X220" s="4"/>
      <c r="Y220" s="4"/>
      <c r="Z220" s="4"/>
    </row>
    <row r="221" spans="1:26" ht="12.75">
      <c r="A221" s="4"/>
      <c r="B221" s="4"/>
      <c r="C221" s="15"/>
      <c r="D221" s="4"/>
      <c r="E221" s="4"/>
      <c r="F221" s="4"/>
      <c r="G221" s="4"/>
      <c r="H221" s="4"/>
      <c r="I221" s="4"/>
      <c r="J221" s="4"/>
      <c r="K221" s="4"/>
      <c r="L221" s="4"/>
      <c r="M221" s="4"/>
      <c r="N221" s="4"/>
      <c r="O221" s="4"/>
      <c r="P221" s="4"/>
      <c r="Q221" s="4"/>
      <c r="R221" s="4"/>
      <c r="S221" s="4"/>
      <c r="T221" s="4"/>
      <c r="U221" s="4"/>
      <c r="V221" s="4"/>
      <c r="W221" s="4"/>
      <c r="X221" s="4"/>
      <c r="Y221" s="4"/>
      <c r="Z221" s="4"/>
    </row>
    <row r="222" spans="1:26" ht="12.75">
      <c r="A222" s="4"/>
      <c r="B222" s="4"/>
      <c r="C222" s="15"/>
      <c r="D222" s="4"/>
      <c r="E222" s="4"/>
      <c r="F222" s="4"/>
      <c r="G222" s="4"/>
      <c r="H222" s="4"/>
      <c r="I222" s="4"/>
      <c r="J222" s="4"/>
      <c r="K222" s="4"/>
      <c r="L222" s="4"/>
      <c r="M222" s="4"/>
      <c r="N222" s="4"/>
      <c r="O222" s="4"/>
      <c r="P222" s="4"/>
      <c r="Q222" s="4"/>
      <c r="R222" s="4"/>
      <c r="S222" s="4"/>
      <c r="T222" s="4"/>
      <c r="U222" s="4"/>
      <c r="V222" s="4"/>
      <c r="W222" s="4"/>
      <c r="X222" s="4"/>
      <c r="Y222" s="4"/>
      <c r="Z222" s="4"/>
    </row>
    <row r="223" spans="1:26" ht="12.75">
      <c r="A223" s="4"/>
      <c r="B223" s="4"/>
      <c r="C223" s="15"/>
      <c r="D223" s="4"/>
      <c r="E223" s="4"/>
      <c r="F223" s="4"/>
      <c r="G223" s="4"/>
      <c r="H223" s="4"/>
      <c r="I223" s="4"/>
      <c r="J223" s="4"/>
      <c r="K223" s="4"/>
      <c r="L223" s="4"/>
      <c r="M223" s="4"/>
      <c r="N223" s="4"/>
      <c r="O223" s="4"/>
      <c r="P223" s="4"/>
      <c r="Q223" s="4"/>
      <c r="R223" s="4"/>
      <c r="S223" s="4"/>
      <c r="T223" s="4"/>
      <c r="U223" s="4"/>
      <c r="V223" s="4"/>
      <c r="W223" s="4"/>
      <c r="X223" s="4"/>
      <c r="Y223" s="4"/>
      <c r="Z223" s="4"/>
    </row>
    <row r="224" spans="1:26" ht="12.75">
      <c r="A224" s="4"/>
      <c r="B224" s="4"/>
      <c r="C224" s="15"/>
      <c r="D224" s="4"/>
      <c r="E224" s="4"/>
      <c r="F224" s="4"/>
      <c r="G224" s="4"/>
      <c r="H224" s="4"/>
      <c r="I224" s="4"/>
      <c r="J224" s="4"/>
      <c r="K224" s="4"/>
      <c r="L224" s="4"/>
      <c r="M224" s="4"/>
      <c r="N224" s="4"/>
      <c r="O224" s="4"/>
      <c r="P224" s="4"/>
      <c r="Q224" s="4"/>
      <c r="R224" s="4"/>
      <c r="S224" s="4"/>
      <c r="T224" s="4"/>
      <c r="U224" s="4"/>
      <c r="V224" s="4"/>
      <c r="W224" s="4"/>
      <c r="X224" s="4"/>
      <c r="Y224" s="4"/>
      <c r="Z224" s="4"/>
    </row>
    <row r="225" spans="1:26" ht="12.75">
      <c r="A225" s="4"/>
      <c r="B225" s="4"/>
      <c r="C225" s="15"/>
      <c r="D225" s="4"/>
      <c r="E225" s="4"/>
      <c r="F225" s="4"/>
      <c r="G225" s="4"/>
      <c r="H225" s="4"/>
      <c r="I225" s="4"/>
      <c r="J225" s="4"/>
      <c r="K225" s="4"/>
      <c r="L225" s="4"/>
      <c r="M225" s="4"/>
      <c r="N225" s="4"/>
      <c r="O225" s="4"/>
      <c r="P225" s="4"/>
      <c r="Q225" s="4"/>
      <c r="R225" s="4"/>
      <c r="S225" s="4"/>
      <c r="T225" s="4"/>
      <c r="U225" s="4"/>
      <c r="V225" s="4"/>
      <c r="W225" s="4"/>
      <c r="X225" s="4"/>
      <c r="Y225" s="4"/>
      <c r="Z225" s="4"/>
    </row>
    <row r="226" spans="1:26" ht="12.75">
      <c r="A226" s="4"/>
      <c r="B226" s="4"/>
      <c r="C226" s="15"/>
      <c r="D226" s="4"/>
      <c r="E226" s="4"/>
      <c r="F226" s="4"/>
      <c r="G226" s="4"/>
      <c r="H226" s="4"/>
      <c r="I226" s="4"/>
      <c r="J226" s="4"/>
      <c r="K226" s="4"/>
      <c r="L226" s="4"/>
      <c r="M226" s="4"/>
      <c r="N226" s="4"/>
      <c r="O226" s="4"/>
      <c r="P226" s="4"/>
      <c r="Q226" s="4"/>
      <c r="R226" s="4"/>
      <c r="S226" s="4"/>
      <c r="T226" s="4"/>
      <c r="U226" s="4"/>
      <c r="V226" s="4"/>
      <c r="W226" s="4"/>
      <c r="X226" s="4"/>
      <c r="Y226" s="4"/>
      <c r="Z226" s="4"/>
    </row>
    <row r="227" spans="1:26" ht="12.75">
      <c r="A227" s="4"/>
      <c r="B227" s="4"/>
      <c r="C227" s="15"/>
      <c r="D227" s="4"/>
      <c r="E227" s="4"/>
      <c r="F227" s="4"/>
      <c r="G227" s="4"/>
      <c r="H227" s="4"/>
      <c r="I227" s="4"/>
      <c r="J227" s="4"/>
      <c r="K227" s="4"/>
      <c r="L227" s="4"/>
      <c r="M227" s="4"/>
      <c r="N227" s="4"/>
      <c r="O227" s="4"/>
      <c r="P227" s="4"/>
      <c r="Q227" s="4"/>
      <c r="R227" s="4"/>
      <c r="S227" s="4"/>
      <c r="T227" s="4"/>
      <c r="U227" s="4"/>
      <c r="V227" s="4"/>
      <c r="W227" s="4"/>
      <c r="X227" s="4"/>
      <c r="Y227" s="4"/>
      <c r="Z227" s="4"/>
    </row>
    <row r="228" spans="1:26" ht="12.75">
      <c r="A228" s="4"/>
      <c r="B228" s="4"/>
      <c r="C228" s="15"/>
      <c r="D228" s="4"/>
      <c r="E228" s="4"/>
      <c r="F228" s="4"/>
      <c r="G228" s="4"/>
      <c r="H228" s="4"/>
      <c r="I228" s="4"/>
      <c r="J228" s="4"/>
      <c r="K228" s="4"/>
      <c r="L228" s="4"/>
      <c r="M228" s="4"/>
      <c r="N228" s="4"/>
      <c r="O228" s="4"/>
      <c r="P228" s="4"/>
      <c r="Q228" s="4"/>
      <c r="R228" s="4"/>
      <c r="S228" s="4"/>
      <c r="T228" s="4"/>
      <c r="U228" s="4"/>
      <c r="V228" s="4"/>
      <c r="W228" s="4"/>
      <c r="X228" s="4"/>
      <c r="Y228" s="4"/>
      <c r="Z228" s="4"/>
    </row>
    <row r="229" spans="1:26" ht="12.75">
      <c r="A229" s="4"/>
      <c r="B229" s="4"/>
      <c r="C229" s="15"/>
      <c r="D229" s="4"/>
      <c r="E229" s="4"/>
      <c r="F229" s="4"/>
      <c r="G229" s="4"/>
      <c r="H229" s="4"/>
      <c r="I229" s="4"/>
      <c r="J229" s="4"/>
      <c r="K229" s="4"/>
      <c r="L229" s="4"/>
      <c r="M229" s="4"/>
      <c r="N229" s="4"/>
      <c r="O229" s="4"/>
      <c r="P229" s="4"/>
      <c r="Q229" s="4"/>
      <c r="R229" s="4"/>
      <c r="S229" s="4"/>
      <c r="T229" s="4"/>
      <c r="U229" s="4"/>
      <c r="V229" s="4"/>
      <c r="W229" s="4"/>
      <c r="X229" s="4"/>
      <c r="Y229" s="4"/>
      <c r="Z229" s="4"/>
    </row>
    <row r="230" spans="1:26" ht="12.75">
      <c r="A230" s="4"/>
      <c r="B230" s="4"/>
      <c r="C230" s="15"/>
      <c r="D230" s="4"/>
      <c r="E230" s="4"/>
      <c r="F230" s="4"/>
      <c r="G230" s="4"/>
      <c r="H230" s="4"/>
      <c r="I230" s="4"/>
      <c r="J230" s="4"/>
      <c r="K230" s="4"/>
      <c r="L230" s="4"/>
      <c r="M230" s="4"/>
      <c r="N230" s="4"/>
      <c r="O230" s="4"/>
      <c r="P230" s="4"/>
      <c r="Q230" s="4"/>
      <c r="R230" s="4"/>
      <c r="S230" s="4"/>
      <c r="T230" s="4"/>
      <c r="U230" s="4"/>
      <c r="V230" s="4"/>
      <c r="W230" s="4"/>
      <c r="X230" s="4"/>
      <c r="Y230" s="4"/>
      <c r="Z230" s="4"/>
    </row>
    <row r="231" spans="1:26" ht="12.75">
      <c r="A231" s="4"/>
      <c r="B231" s="4"/>
      <c r="C231" s="15"/>
      <c r="D231" s="4"/>
      <c r="E231" s="4"/>
      <c r="F231" s="4"/>
      <c r="G231" s="4"/>
      <c r="H231" s="4"/>
      <c r="I231" s="4"/>
      <c r="J231" s="4"/>
      <c r="K231" s="4"/>
      <c r="L231" s="4"/>
      <c r="M231" s="4"/>
      <c r="N231" s="4"/>
      <c r="O231" s="4"/>
      <c r="P231" s="4"/>
      <c r="Q231" s="4"/>
      <c r="R231" s="4"/>
      <c r="S231" s="4"/>
      <c r="T231" s="4"/>
      <c r="U231" s="4"/>
      <c r="V231" s="4"/>
      <c r="W231" s="4"/>
      <c r="X231" s="4"/>
      <c r="Y231" s="4"/>
      <c r="Z231" s="4"/>
    </row>
    <row r="232" spans="1:26" ht="12.75">
      <c r="A232" s="4"/>
      <c r="B232" s="4"/>
      <c r="C232" s="15"/>
      <c r="D232" s="4"/>
      <c r="E232" s="4"/>
      <c r="F232" s="4"/>
      <c r="G232" s="4"/>
      <c r="H232" s="4"/>
      <c r="I232" s="4"/>
      <c r="J232" s="4"/>
      <c r="K232" s="4"/>
      <c r="L232" s="4"/>
      <c r="M232" s="4"/>
      <c r="N232" s="4"/>
      <c r="O232" s="4"/>
      <c r="P232" s="4"/>
      <c r="Q232" s="4"/>
      <c r="R232" s="4"/>
      <c r="S232" s="4"/>
      <c r="T232" s="4"/>
      <c r="U232" s="4"/>
      <c r="V232" s="4"/>
      <c r="W232" s="4"/>
      <c r="X232" s="4"/>
      <c r="Y232" s="4"/>
      <c r="Z232" s="4"/>
    </row>
    <row r="233" spans="1:26" ht="12.75">
      <c r="A233" s="4"/>
      <c r="B233" s="4"/>
      <c r="C233" s="15"/>
      <c r="D233" s="4"/>
      <c r="E233" s="4"/>
      <c r="F233" s="4"/>
      <c r="G233" s="4"/>
      <c r="H233" s="4"/>
      <c r="I233" s="4"/>
      <c r="J233" s="4"/>
      <c r="K233" s="4"/>
      <c r="L233" s="4"/>
      <c r="M233" s="4"/>
      <c r="N233" s="4"/>
      <c r="O233" s="4"/>
      <c r="P233" s="4"/>
      <c r="Q233" s="4"/>
      <c r="R233" s="4"/>
      <c r="S233" s="4"/>
      <c r="T233" s="4"/>
      <c r="U233" s="4"/>
      <c r="V233" s="4"/>
      <c r="W233" s="4"/>
      <c r="X233" s="4"/>
      <c r="Y233" s="4"/>
      <c r="Z233" s="4"/>
    </row>
    <row r="234" spans="1:26" ht="12.75">
      <c r="A234" s="4"/>
      <c r="B234" s="4"/>
      <c r="C234" s="15"/>
      <c r="D234" s="4"/>
      <c r="E234" s="4"/>
      <c r="F234" s="4"/>
      <c r="G234" s="4"/>
      <c r="H234" s="4"/>
      <c r="I234" s="4"/>
      <c r="J234" s="4"/>
      <c r="K234" s="4"/>
      <c r="L234" s="4"/>
      <c r="M234" s="4"/>
      <c r="N234" s="4"/>
      <c r="O234" s="4"/>
      <c r="P234" s="4"/>
      <c r="Q234" s="4"/>
      <c r="R234" s="4"/>
      <c r="S234" s="4"/>
      <c r="T234" s="4"/>
      <c r="U234" s="4"/>
      <c r="V234" s="4"/>
      <c r="W234" s="4"/>
      <c r="X234" s="4"/>
      <c r="Y234" s="4"/>
      <c r="Z234" s="4"/>
    </row>
    <row r="235" spans="1:26" ht="12.75">
      <c r="A235" s="4"/>
      <c r="B235" s="4"/>
      <c r="C235" s="15"/>
      <c r="D235" s="4"/>
      <c r="E235" s="4"/>
      <c r="F235" s="4"/>
      <c r="G235" s="4"/>
      <c r="H235" s="4"/>
      <c r="I235" s="4"/>
      <c r="J235" s="4"/>
      <c r="K235" s="4"/>
      <c r="L235" s="4"/>
      <c r="M235" s="4"/>
      <c r="N235" s="4"/>
      <c r="O235" s="4"/>
      <c r="P235" s="4"/>
      <c r="Q235" s="4"/>
      <c r="R235" s="4"/>
      <c r="S235" s="4"/>
      <c r="T235" s="4"/>
      <c r="U235" s="4"/>
      <c r="V235" s="4"/>
      <c r="W235" s="4"/>
      <c r="X235" s="4"/>
      <c r="Y235" s="4"/>
      <c r="Z235" s="4"/>
    </row>
    <row r="236" spans="1:26" ht="12.75">
      <c r="A236" s="4"/>
      <c r="B236" s="4"/>
      <c r="C236" s="15"/>
      <c r="D236" s="4"/>
      <c r="E236" s="4"/>
      <c r="F236" s="4"/>
      <c r="G236" s="4"/>
      <c r="H236" s="4"/>
      <c r="I236" s="4"/>
      <c r="J236" s="4"/>
      <c r="K236" s="4"/>
      <c r="L236" s="4"/>
      <c r="M236" s="4"/>
      <c r="N236" s="4"/>
      <c r="O236" s="4"/>
      <c r="P236" s="4"/>
      <c r="Q236" s="4"/>
      <c r="R236" s="4"/>
      <c r="S236" s="4"/>
      <c r="T236" s="4"/>
      <c r="U236" s="4"/>
      <c r="V236" s="4"/>
      <c r="W236" s="4"/>
      <c r="X236" s="4"/>
      <c r="Y236" s="4"/>
      <c r="Z236" s="4"/>
    </row>
    <row r="237" spans="1:26" ht="12.75">
      <c r="A237" s="4"/>
      <c r="B237" s="4"/>
      <c r="C237" s="15"/>
      <c r="D237" s="4"/>
      <c r="E237" s="4"/>
      <c r="F237" s="4"/>
      <c r="G237" s="4"/>
      <c r="H237" s="4"/>
      <c r="I237" s="4"/>
      <c r="J237" s="4"/>
      <c r="K237" s="4"/>
      <c r="L237" s="4"/>
      <c r="M237" s="4"/>
      <c r="N237" s="4"/>
      <c r="O237" s="4"/>
      <c r="P237" s="4"/>
      <c r="Q237" s="4"/>
      <c r="R237" s="4"/>
      <c r="S237" s="4"/>
      <c r="T237" s="4"/>
      <c r="U237" s="4"/>
      <c r="V237" s="4"/>
      <c r="W237" s="4"/>
      <c r="X237" s="4"/>
      <c r="Y237" s="4"/>
      <c r="Z237" s="4"/>
    </row>
    <row r="238" spans="1:26" ht="12.75">
      <c r="A238" s="4"/>
      <c r="B238" s="4"/>
      <c r="C238" s="15"/>
      <c r="D238" s="4"/>
      <c r="E238" s="4"/>
      <c r="F238" s="4"/>
      <c r="G238" s="4"/>
      <c r="H238" s="4"/>
      <c r="I238" s="4"/>
      <c r="J238" s="4"/>
      <c r="K238" s="4"/>
      <c r="L238" s="4"/>
      <c r="M238" s="4"/>
      <c r="N238" s="4"/>
      <c r="O238" s="4"/>
      <c r="P238" s="4"/>
      <c r="Q238" s="4"/>
      <c r="R238" s="4"/>
      <c r="S238" s="4"/>
      <c r="T238" s="4"/>
      <c r="U238" s="4"/>
      <c r="V238" s="4"/>
      <c r="W238" s="4"/>
      <c r="X238" s="4"/>
      <c r="Y238" s="4"/>
      <c r="Z238" s="4"/>
    </row>
    <row r="239" spans="1:26" ht="12.75">
      <c r="A239" s="4"/>
      <c r="B239" s="4"/>
      <c r="C239" s="15"/>
      <c r="D239" s="4"/>
      <c r="E239" s="4"/>
      <c r="F239" s="4"/>
      <c r="G239" s="4"/>
      <c r="H239" s="4"/>
      <c r="I239" s="4"/>
      <c r="J239" s="4"/>
      <c r="K239" s="4"/>
      <c r="L239" s="4"/>
      <c r="M239" s="4"/>
      <c r="N239" s="4"/>
      <c r="O239" s="4"/>
      <c r="P239" s="4"/>
      <c r="Q239" s="4"/>
      <c r="R239" s="4"/>
      <c r="S239" s="4"/>
      <c r="T239" s="4"/>
      <c r="U239" s="4"/>
      <c r="V239" s="4"/>
      <c r="W239" s="4"/>
      <c r="X239" s="4"/>
      <c r="Y239" s="4"/>
      <c r="Z239" s="4"/>
    </row>
    <row r="240" spans="1:26" ht="12.75">
      <c r="A240" s="4"/>
      <c r="B240" s="4"/>
      <c r="C240" s="15"/>
      <c r="D240" s="4"/>
      <c r="E240" s="4"/>
      <c r="F240" s="4"/>
      <c r="G240" s="4"/>
      <c r="H240" s="4"/>
      <c r="I240" s="4"/>
      <c r="J240" s="4"/>
      <c r="K240" s="4"/>
      <c r="L240" s="4"/>
      <c r="M240" s="4"/>
      <c r="N240" s="4"/>
      <c r="O240" s="4"/>
      <c r="P240" s="4"/>
      <c r="Q240" s="4"/>
      <c r="R240" s="4"/>
      <c r="S240" s="4"/>
      <c r="T240" s="4"/>
      <c r="U240" s="4"/>
      <c r="V240" s="4"/>
      <c r="W240" s="4"/>
      <c r="X240" s="4"/>
      <c r="Y240" s="4"/>
      <c r="Z240" s="4"/>
    </row>
    <row r="241" spans="1:26" ht="12.75">
      <c r="A241" s="4"/>
      <c r="B241" s="4"/>
      <c r="C241" s="15"/>
      <c r="D241" s="4"/>
      <c r="E241" s="4"/>
      <c r="F241" s="4"/>
      <c r="G241" s="4"/>
      <c r="H241" s="4"/>
      <c r="I241" s="4"/>
      <c r="J241" s="4"/>
      <c r="K241" s="4"/>
      <c r="L241" s="4"/>
      <c r="M241" s="4"/>
      <c r="N241" s="4"/>
      <c r="O241" s="4"/>
      <c r="P241" s="4"/>
      <c r="Q241" s="4"/>
      <c r="R241" s="4"/>
      <c r="S241" s="4"/>
      <c r="T241" s="4"/>
      <c r="U241" s="4"/>
      <c r="V241" s="4"/>
      <c r="W241" s="4"/>
      <c r="X241" s="4"/>
      <c r="Y241" s="4"/>
      <c r="Z241" s="4"/>
    </row>
    <row r="242" spans="1:26" ht="12.75">
      <c r="A242" s="4"/>
      <c r="B242" s="4"/>
      <c r="C242" s="15"/>
      <c r="D242" s="4"/>
      <c r="E242" s="4"/>
      <c r="F242" s="4"/>
      <c r="G242" s="4"/>
      <c r="H242" s="4"/>
      <c r="I242" s="4"/>
      <c r="J242" s="4"/>
      <c r="K242" s="4"/>
      <c r="L242" s="4"/>
      <c r="M242" s="4"/>
      <c r="N242" s="4"/>
      <c r="O242" s="4"/>
      <c r="P242" s="4"/>
      <c r="Q242" s="4"/>
      <c r="R242" s="4"/>
      <c r="S242" s="4"/>
      <c r="T242" s="4"/>
      <c r="U242" s="4"/>
      <c r="V242" s="4"/>
      <c r="W242" s="4"/>
      <c r="X242" s="4"/>
      <c r="Y242" s="4"/>
      <c r="Z242" s="4"/>
    </row>
    <row r="243" spans="1:26" ht="12.75">
      <c r="A243" s="4"/>
      <c r="B243" s="4"/>
      <c r="C243" s="15"/>
      <c r="D243" s="4"/>
      <c r="E243" s="4"/>
      <c r="F243" s="4"/>
      <c r="G243" s="4"/>
      <c r="H243" s="4"/>
      <c r="I243" s="4"/>
      <c r="J243" s="4"/>
      <c r="K243" s="4"/>
      <c r="L243" s="4"/>
      <c r="M243" s="4"/>
      <c r="N243" s="4"/>
      <c r="O243" s="4"/>
      <c r="P243" s="4"/>
      <c r="Q243" s="4"/>
      <c r="R243" s="4"/>
      <c r="S243" s="4"/>
      <c r="T243" s="4"/>
      <c r="U243" s="4"/>
      <c r="V243" s="4"/>
      <c r="W243" s="4"/>
      <c r="X243" s="4"/>
      <c r="Y243" s="4"/>
      <c r="Z243" s="4"/>
    </row>
    <row r="244" spans="1:26" ht="12.75">
      <c r="A244" s="4"/>
      <c r="B244" s="4"/>
      <c r="C244" s="15"/>
      <c r="D244" s="4"/>
      <c r="E244" s="4"/>
      <c r="F244" s="4"/>
      <c r="G244" s="4"/>
      <c r="H244" s="4"/>
      <c r="I244" s="4"/>
      <c r="J244" s="4"/>
      <c r="K244" s="4"/>
      <c r="L244" s="4"/>
      <c r="M244" s="4"/>
      <c r="N244" s="4"/>
      <c r="O244" s="4"/>
      <c r="P244" s="4"/>
      <c r="Q244" s="4"/>
      <c r="R244" s="4"/>
      <c r="S244" s="4"/>
      <c r="T244" s="4"/>
      <c r="U244" s="4"/>
      <c r="V244" s="4"/>
      <c r="W244" s="4"/>
      <c r="X244" s="4"/>
      <c r="Y244" s="4"/>
      <c r="Z244" s="4"/>
    </row>
    <row r="245" spans="1:26" ht="12.75">
      <c r="A245" s="4"/>
      <c r="B245" s="4"/>
      <c r="C245" s="15"/>
      <c r="D245" s="4"/>
      <c r="E245" s="4"/>
      <c r="F245" s="4"/>
      <c r="G245" s="4"/>
      <c r="H245" s="4"/>
      <c r="I245" s="4"/>
      <c r="J245" s="4"/>
      <c r="K245" s="4"/>
      <c r="L245" s="4"/>
      <c r="M245" s="4"/>
      <c r="N245" s="4"/>
      <c r="O245" s="4"/>
      <c r="P245" s="4"/>
      <c r="Q245" s="4"/>
      <c r="R245" s="4"/>
      <c r="S245" s="4"/>
      <c r="T245" s="4"/>
      <c r="U245" s="4"/>
      <c r="V245" s="4"/>
      <c r="W245" s="4"/>
      <c r="X245" s="4"/>
      <c r="Y245" s="4"/>
      <c r="Z245" s="4"/>
    </row>
    <row r="246" spans="1:26" ht="12.75">
      <c r="A246" s="4"/>
      <c r="B246" s="4"/>
      <c r="C246" s="15"/>
      <c r="D246" s="4"/>
      <c r="E246" s="4"/>
      <c r="F246" s="4"/>
      <c r="G246" s="4"/>
      <c r="H246" s="4"/>
      <c r="I246" s="4"/>
      <c r="J246" s="4"/>
      <c r="K246" s="4"/>
      <c r="L246" s="4"/>
      <c r="M246" s="4"/>
      <c r="N246" s="4"/>
      <c r="O246" s="4"/>
      <c r="P246" s="4"/>
      <c r="Q246" s="4"/>
      <c r="R246" s="4"/>
      <c r="S246" s="4"/>
      <c r="T246" s="4"/>
      <c r="U246" s="4"/>
      <c r="V246" s="4"/>
      <c r="W246" s="4"/>
      <c r="X246" s="4"/>
      <c r="Y246" s="4"/>
      <c r="Z246" s="4"/>
    </row>
    <row r="247" spans="1:26" ht="12.75">
      <c r="A247" s="4"/>
      <c r="B247" s="4"/>
      <c r="C247" s="15"/>
      <c r="D247" s="4"/>
      <c r="E247" s="4"/>
      <c r="F247" s="4"/>
      <c r="G247" s="4"/>
      <c r="H247" s="4"/>
      <c r="I247" s="4"/>
      <c r="J247" s="4"/>
      <c r="K247" s="4"/>
      <c r="L247" s="4"/>
      <c r="M247" s="4"/>
      <c r="N247" s="4"/>
      <c r="O247" s="4"/>
      <c r="P247" s="4"/>
      <c r="Q247" s="4"/>
      <c r="R247" s="4"/>
      <c r="S247" s="4"/>
      <c r="T247" s="4"/>
      <c r="U247" s="4"/>
      <c r="V247" s="4"/>
      <c r="W247" s="4"/>
      <c r="X247" s="4"/>
      <c r="Y247" s="4"/>
      <c r="Z247" s="4"/>
    </row>
    <row r="248" spans="1:26" ht="12.75">
      <c r="A248" s="4"/>
      <c r="B248" s="4"/>
      <c r="C248" s="15"/>
      <c r="D248" s="4"/>
      <c r="E248" s="4"/>
      <c r="F248" s="4"/>
      <c r="G248" s="4"/>
      <c r="H248" s="4"/>
      <c r="I248" s="4"/>
      <c r="J248" s="4"/>
      <c r="K248" s="4"/>
      <c r="L248" s="4"/>
      <c r="M248" s="4"/>
      <c r="N248" s="4"/>
      <c r="O248" s="4"/>
      <c r="P248" s="4"/>
      <c r="Q248" s="4"/>
      <c r="R248" s="4"/>
      <c r="S248" s="4"/>
      <c r="T248" s="4"/>
      <c r="U248" s="4"/>
      <c r="V248" s="4"/>
      <c r="W248" s="4"/>
      <c r="X248" s="4"/>
      <c r="Y248" s="4"/>
      <c r="Z248" s="4"/>
    </row>
    <row r="249" spans="1:26" ht="12.75">
      <c r="A249" s="4"/>
      <c r="B249" s="4"/>
      <c r="C249" s="15"/>
      <c r="D249" s="4"/>
      <c r="E249" s="4"/>
      <c r="F249" s="4"/>
      <c r="G249" s="4"/>
      <c r="H249" s="4"/>
      <c r="I249" s="4"/>
      <c r="J249" s="4"/>
      <c r="K249" s="4"/>
      <c r="L249" s="4"/>
      <c r="M249" s="4"/>
      <c r="N249" s="4"/>
      <c r="O249" s="4"/>
      <c r="P249" s="4"/>
      <c r="Q249" s="4"/>
      <c r="R249" s="4"/>
      <c r="S249" s="4"/>
      <c r="T249" s="4"/>
      <c r="U249" s="4"/>
      <c r="V249" s="4"/>
      <c r="W249" s="4"/>
      <c r="X249" s="4"/>
      <c r="Y249" s="4"/>
      <c r="Z249" s="4"/>
    </row>
    <row r="250" spans="1:26" ht="12.75">
      <c r="A250" s="4"/>
      <c r="B250" s="4"/>
      <c r="C250" s="15"/>
      <c r="D250" s="4"/>
      <c r="E250" s="4"/>
      <c r="F250" s="4"/>
      <c r="G250" s="4"/>
      <c r="H250" s="4"/>
      <c r="I250" s="4"/>
      <c r="J250" s="4"/>
      <c r="K250" s="4"/>
      <c r="L250" s="4"/>
      <c r="M250" s="4"/>
      <c r="N250" s="4"/>
      <c r="O250" s="4"/>
      <c r="P250" s="4"/>
      <c r="Q250" s="4"/>
      <c r="R250" s="4"/>
      <c r="S250" s="4"/>
      <c r="T250" s="4"/>
      <c r="U250" s="4"/>
      <c r="V250" s="4"/>
      <c r="W250" s="4"/>
      <c r="X250" s="4"/>
      <c r="Y250" s="4"/>
      <c r="Z250" s="4"/>
    </row>
    <row r="251" spans="1:26" ht="12.75">
      <c r="A251" s="4"/>
      <c r="B251" s="4"/>
      <c r="C251" s="15"/>
      <c r="D251" s="4"/>
      <c r="E251" s="4"/>
      <c r="F251" s="4"/>
      <c r="G251" s="4"/>
      <c r="H251" s="4"/>
      <c r="I251" s="4"/>
      <c r="J251" s="4"/>
      <c r="K251" s="4"/>
      <c r="L251" s="4"/>
      <c r="M251" s="4"/>
      <c r="N251" s="4"/>
      <c r="O251" s="4"/>
      <c r="P251" s="4"/>
      <c r="Q251" s="4"/>
      <c r="R251" s="4"/>
      <c r="S251" s="4"/>
      <c r="T251" s="4"/>
      <c r="U251" s="4"/>
      <c r="V251" s="4"/>
      <c r="W251" s="4"/>
      <c r="X251" s="4"/>
      <c r="Y251" s="4"/>
      <c r="Z251" s="4"/>
    </row>
    <row r="252" spans="1:26" ht="12.75">
      <c r="A252" s="4"/>
      <c r="B252" s="4"/>
      <c r="C252" s="15"/>
      <c r="D252" s="4"/>
      <c r="E252" s="4"/>
      <c r="F252" s="4"/>
      <c r="G252" s="4"/>
      <c r="H252" s="4"/>
      <c r="I252" s="4"/>
      <c r="J252" s="4"/>
      <c r="K252" s="4"/>
      <c r="L252" s="4"/>
      <c r="M252" s="4"/>
      <c r="N252" s="4"/>
      <c r="O252" s="4"/>
      <c r="P252" s="4"/>
      <c r="Q252" s="4"/>
      <c r="R252" s="4"/>
      <c r="S252" s="4"/>
      <c r="T252" s="4"/>
      <c r="U252" s="4"/>
      <c r="V252" s="4"/>
      <c r="W252" s="4"/>
      <c r="X252" s="4"/>
      <c r="Y252" s="4"/>
      <c r="Z252" s="4"/>
    </row>
    <row r="253" spans="1:26" ht="12.75">
      <c r="A253" s="4"/>
      <c r="B253" s="4"/>
      <c r="C253" s="15"/>
      <c r="D253" s="4"/>
      <c r="E253" s="4"/>
      <c r="F253" s="4"/>
      <c r="G253" s="4"/>
      <c r="H253" s="4"/>
      <c r="I253" s="4"/>
      <c r="J253" s="4"/>
      <c r="K253" s="4"/>
      <c r="L253" s="4"/>
      <c r="M253" s="4"/>
      <c r="N253" s="4"/>
      <c r="O253" s="4"/>
      <c r="P253" s="4"/>
      <c r="Q253" s="4"/>
      <c r="R253" s="4"/>
      <c r="S253" s="4"/>
      <c r="T253" s="4"/>
      <c r="U253" s="4"/>
      <c r="V253" s="4"/>
      <c r="W253" s="4"/>
      <c r="X253" s="4"/>
      <c r="Y253" s="4"/>
      <c r="Z253" s="4"/>
    </row>
    <row r="254" spans="1:26" ht="12.75">
      <c r="A254" s="4"/>
      <c r="B254" s="4"/>
      <c r="C254" s="15"/>
      <c r="D254" s="4"/>
      <c r="E254" s="4"/>
      <c r="F254" s="4"/>
      <c r="G254" s="4"/>
      <c r="H254" s="4"/>
      <c r="I254" s="4"/>
      <c r="J254" s="4"/>
      <c r="K254" s="4"/>
      <c r="L254" s="4"/>
      <c r="M254" s="4"/>
      <c r="N254" s="4"/>
      <c r="O254" s="4"/>
      <c r="P254" s="4"/>
      <c r="Q254" s="4"/>
      <c r="R254" s="4"/>
      <c r="S254" s="4"/>
      <c r="T254" s="4"/>
      <c r="U254" s="4"/>
      <c r="V254" s="4"/>
      <c r="W254" s="4"/>
      <c r="X254" s="4"/>
      <c r="Y254" s="4"/>
      <c r="Z254" s="4"/>
    </row>
    <row r="255" spans="1:26" ht="12.75">
      <c r="A255" s="4"/>
      <c r="B255" s="4"/>
      <c r="C255" s="15"/>
      <c r="D255" s="4"/>
      <c r="E255" s="4"/>
      <c r="F255" s="4"/>
      <c r="G255" s="4"/>
      <c r="H255" s="4"/>
      <c r="I255" s="4"/>
      <c r="J255" s="4"/>
      <c r="K255" s="4"/>
      <c r="L255" s="4"/>
      <c r="M255" s="4"/>
      <c r="N255" s="4"/>
      <c r="O255" s="4"/>
      <c r="P255" s="4"/>
      <c r="Q255" s="4"/>
      <c r="R255" s="4"/>
      <c r="S255" s="4"/>
      <c r="T255" s="4"/>
      <c r="U255" s="4"/>
      <c r="V255" s="4"/>
      <c r="W255" s="4"/>
      <c r="X255" s="4"/>
      <c r="Y255" s="4"/>
      <c r="Z255" s="4"/>
    </row>
    <row r="256" spans="1:26" ht="12.75">
      <c r="A256" s="4"/>
      <c r="B256" s="4"/>
      <c r="C256" s="15"/>
      <c r="D256" s="4"/>
      <c r="E256" s="4"/>
      <c r="F256" s="4"/>
      <c r="G256" s="4"/>
      <c r="H256" s="4"/>
      <c r="I256" s="4"/>
      <c r="J256" s="4"/>
      <c r="K256" s="4"/>
      <c r="L256" s="4"/>
      <c r="M256" s="4"/>
      <c r="N256" s="4"/>
      <c r="O256" s="4"/>
      <c r="P256" s="4"/>
      <c r="Q256" s="4"/>
      <c r="R256" s="4"/>
      <c r="S256" s="4"/>
      <c r="T256" s="4"/>
      <c r="U256" s="4"/>
      <c r="V256" s="4"/>
      <c r="W256" s="4"/>
      <c r="X256" s="4"/>
      <c r="Y256" s="4"/>
      <c r="Z256" s="4"/>
    </row>
    <row r="257" spans="1:26" ht="12.75">
      <c r="A257" s="4"/>
      <c r="B257" s="4"/>
      <c r="C257" s="15"/>
      <c r="D257" s="4"/>
      <c r="E257" s="4"/>
      <c r="F257" s="4"/>
      <c r="G257" s="4"/>
      <c r="H257" s="4"/>
      <c r="I257" s="4"/>
      <c r="J257" s="4"/>
      <c r="K257" s="4"/>
      <c r="L257" s="4"/>
      <c r="M257" s="4"/>
      <c r="N257" s="4"/>
      <c r="O257" s="4"/>
      <c r="P257" s="4"/>
      <c r="Q257" s="4"/>
      <c r="R257" s="4"/>
      <c r="S257" s="4"/>
      <c r="T257" s="4"/>
      <c r="U257" s="4"/>
      <c r="V257" s="4"/>
      <c r="W257" s="4"/>
      <c r="X257" s="4"/>
      <c r="Y257" s="4"/>
      <c r="Z257" s="4"/>
    </row>
    <row r="258" spans="1:26" ht="12.75">
      <c r="A258" s="4"/>
      <c r="B258" s="4"/>
      <c r="C258" s="15"/>
      <c r="D258" s="4"/>
      <c r="E258" s="4"/>
      <c r="F258" s="4"/>
      <c r="G258" s="4"/>
      <c r="H258" s="4"/>
      <c r="I258" s="4"/>
      <c r="J258" s="4"/>
      <c r="K258" s="4"/>
      <c r="L258" s="4"/>
      <c r="M258" s="4"/>
      <c r="N258" s="4"/>
      <c r="O258" s="4"/>
      <c r="P258" s="4"/>
      <c r="Q258" s="4"/>
      <c r="R258" s="4"/>
      <c r="S258" s="4"/>
      <c r="T258" s="4"/>
      <c r="U258" s="4"/>
      <c r="V258" s="4"/>
      <c r="W258" s="4"/>
      <c r="X258" s="4"/>
      <c r="Y258" s="4"/>
      <c r="Z258" s="4"/>
    </row>
    <row r="259" spans="1:26" ht="12.75">
      <c r="A259" s="4"/>
      <c r="B259" s="4"/>
      <c r="C259" s="15"/>
      <c r="D259" s="4"/>
      <c r="E259" s="4"/>
      <c r="F259" s="4"/>
      <c r="G259" s="4"/>
      <c r="H259" s="4"/>
      <c r="I259" s="4"/>
      <c r="J259" s="4"/>
      <c r="K259" s="4"/>
      <c r="L259" s="4"/>
      <c r="M259" s="4"/>
      <c r="N259" s="4"/>
      <c r="O259" s="4"/>
      <c r="P259" s="4"/>
      <c r="Q259" s="4"/>
      <c r="R259" s="4"/>
      <c r="S259" s="4"/>
      <c r="T259" s="4"/>
      <c r="U259" s="4"/>
      <c r="V259" s="4"/>
      <c r="W259" s="4"/>
      <c r="X259" s="4"/>
      <c r="Y259" s="4"/>
      <c r="Z259" s="4"/>
    </row>
    <row r="260" spans="1:26" ht="12.75">
      <c r="A260" s="4"/>
      <c r="B260" s="4"/>
      <c r="C260" s="15"/>
      <c r="D260" s="4"/>
      <c r="E260" s="4"/>
      <c r="F260" s="4"/>
      <c r="G260" s="4"/>
      <c r="H260" s="4"/>
      <c r="I260" s="4"/>
      <c r="J260" s="4"/>
      <c r="K260" s="4"/>
      <c r="L260" s="4"/>
      <c r="M260" s="4"/>
      <c r="N260" s="4"/>
      <c r="O260" s="4"/>
      <c r="P260" s="4"/>
      <c r="Q260" s="4"/>
      <c r="R260" s="4"/>
      <c r="S260" s="4"/>
      <c r="T260" s="4"/>
      <c r="U260" s="4"/>
      <c r="V260" s="4"/>
      <c r="W260" s="4"/>
      <c r="X260" s="4"/>
      <c r="Y260" s="4"/>
      <c r="Z260" s="4"/>
    </row>
    <row r="261" spans="1:26" ht="12.75">
      <c r="A261" s="4"/>
      <c r="B261" s="4"/>
      <c r="C261" s="15"/>
      <c r="D261" s="4"/>
      <c r="E261" s="4"/>
      <c r="F261" s="4"/>
      <c r="G261" s="4"/>
      <c r="H261" s="4"/>
      <c r="I261" s="4"/>
      <c r="J261" s="4"/>
      <c r="K261" s="4"/>
      <c r="L261" s="4"/>
      <c r="M261" s="4"/>
      <c r="N261" s="4"/>
      <c r="O261" s="4"/>
      <c r="P261" s="4"/>
      <c r="Q261" s="4"/>
      <c r="R261" s="4"/>
      <c r="S261" s="4"/>
      <c r="T261" s="4"/>
      <c r="U261" s="4"/>
      <c r="V261" s="4"/>
      <c r="W261" s="4"/>
      <c r="X261" s="4"/>
      <c r="Y261" s="4"/>
      <c r="Z261" s="4"/>
    </row>
    <row r="262" spans="1:26" ht="12.75">
      <c r="A262" s="4"/>
      <c r="B262" s="4"/>
      <c r="C262" s="15"/>
      <c r="D262" s="4"/>
      <c r="E262" s="4"/>
      <c r="F262" s="4"/>
      <c r="G262" s="4"/>
      <c r="H262" s="4"/>
      <c r="I262" s="4"/>
      <c r="J262" s="4"/>
      <c r="K262" s="4"/>
      <c r="L262" s="4"/>
      <c r="M262" s="4"/>
      <c r="N262" s="4"/>
      <c r="O262" s="4"/>
      <c r="P262" s="4"/>
      <c r="Q262" s="4"/>
      <c r="R262" s="4"/>
      <c r="S262" s="4"/>
      <c r="T262" s="4"/>
      <c r="U262" s="4"/>
      <c r="V262" s="4"/>
      <c r="W262" s="4"/>
      <c r="X262" s="4"/>
      <c r="Y262" s="4"/>
      <c r="Z262" s="4"/>
    </row>
    <row r="263" spans="1:26" ht="12.75">
      <c r="A263" s="4"/>
      <c r="B263" s="4"/>
      <c r="C263" s="15"/>
      <c r="D263" s="4"/>
      <c r="E263" s="4"/>
      <c r="F263" s="4"/>
      <c r="G263" s="4"/>
      <c r="H263" s="4"/>
      <c r="I263" s="4"/>
      <c r="J263" s="4"/>
      <c r="K263" s="4"/>
      <c r="L263" s="4"/>
      <c r="M263" s="4"/>
      <c r="N263" s="4"/>
      <c r="O263" s="4"/>
      <c r="P263" s="4"/>
      <c r="Q263" s="4"/>
      <c r="R263" s="4"/>
      <c r="S263" s="4"/>
      <c r="T263" s="4"/>
      <c r="U263" s="4"/>
      <c r="V263" s="4"/>
      <c r="W263" s="4"/>
      <c r="X263" s="4"/>
      <c r="Y263" s="4"/>
      <c r="Z263" s="4"/>
    </row>
    <row r="264" spans="1:26" ht="12.75">
      <c r="A264" s="4"/>
      <c r="B264" s="4"/>
      <c r="C264" s="15"/>
      <c r="D264" s="4"/>
      <c r="E264" s="4"/>
      <c r="F264" s="4"/>
      <c r="G264" s="4"/>
      <c r="H264" s="4"/>
      <c r="I264" s="4"/>
      <c r="J264" s="4"/>
      <c r="K264" s="4"/>
      <c r="L264" s="4"/>
      <c r="M264" s="4"/>
      <c r="N264" s="4"/>
      <c r="O264" s="4"/>
      <c r="P264" s="4"/>
      <c r="Q264" s="4"/>
      <c r="R264" s="4"/>
      <c r="S264" s="4"/>
      <c r="T264" s="4"/>
      <c r="U264" s="4"/>
      <c r="V264" s="4"/>
      <c r="W264" s="4"/>
      <c r="X264" s="4"/>
      <c r="Y264" s="4"/>
      <c r="Z264" s="4"/>
    </row>
    <row r="265" spans="1:26" ht="12.75">
      <c r="A265" s="4"/>
      <c r="B265" s="4"/>
      <c r="C265" s="15"/>
      <c r="D265" s="4"/>
      <c r="E265" s="4"/>
      <c r="F265" s="4"/>
      <c r="G265" s="4"/>
      <c r="H265" s="4"/>
      <c r="I265" s="4"/>
      <c r="J265" s="4"/>
      <c r="K265" s="4"/>
      <c r="L265" s="4"/>
      <c r="M265" s="4"/>
      <c r="N265" s="4"/>
      <c r="O265" s="4"/>
      <c r="P265" s="4"/>
      <c r="Q265" s="4"/>
      <c r="R265" s="4"/>
      <c r="S265" s="4"/>
      <c r="T265" s="4"/>
      <c r="U265" s="4"/>
      <c r="V265" s="4"/>
      <c r="W265" s="4"/>
      <c r="X265" s="4"/>
      <c r="Y265" s="4"/>
      <c r="Z265" s="4"/>
    </row>
    <row r="266" spans="1:26" ht="12.75">
      <c r="A266" s="4"/>
      <c r="B266" s="4"/>
      <c r="C266" s="15"/>
      <c r="D266" s="4"/>
      <c r="E266" s="4"/>
      <c r="F266" s="4"/>
      <c r="G266" s="4"/>
      <c r="H266" s="4"/>
      <c r="I266" s="4"/>
      <c r="J266" s="4"/>
      <c r="K266" s="4"/>
      <c r="L266" s="4"/>
      <c r="M266" s="4"/>
      <c r="N266" s="4"/>
      <c r="O266" s="4"/>
      <c r="P266" s="4"/>
      <c r="Q266" s="4"/>
      <c r="R266" s="4"/>
      <c r="S266" s="4"/>
      <c r="T266" s="4"/>
      <c r="U266" s="4"/>
      <c r="V266" s="4"/>
      <c r="W266" s="4"/>
      <c r="X266" s="4"/>
      <c r="Y266" s="4"/>
      <c r="Z266" s="4"/>
    </row>
    <row r="267" spans="1:26" ht="12.75">
      <c r="A267" s="4"/>
      <c r="B267" s="4"/>
      <c r="C267" s="15"/>
      <c r="D267" s="4"/>
      <c r="E267" s="4"/>
      <c r="F267" s="4"/>
      <c r="G267" s="4"/>
      <c r="H267" s="4"/>
      <c r="I267" s="4"/>
      <c r="J267" s="4"/>
      <c r="K267" s="4"/>
      <c r="L267" s="4"/>
      <c r="M267" s="4"/>
      <c r="N267" s="4"/>
      <c r="O267" s="4"/>
      <c r="P267" s="4"/>
      <c r="Q267" s="4"/>
      <c r="R267" s="4"/>
      <c r="S267" s="4"/>
      <c r="T267" s="4"/>
      <c r="U267" s="4"/>
      <c r="V267" s="4"/>
      <c r="W267" s="4"/>
      <c r="X267" s="4"/>
      <c r="Y267" s="4"/>
      <c r="Z267" s="4"/>
    </row>
    <row r="268" spans="1:26" ht="12.75">
      <c r="A268" s="4"/>
      <c r="B268" s="4"/>
      <c r="C268" s="15"/>
      <c r="D268" s="4"/>
      <c r="E268" s="4"/>
      <c r="F268" s="4"/>
      <c r="G268" s="4"/>
      <c r="H268" s="4"/>
      <c r="I268" s="4"/>
      <c r="J268" s="4"/>
      <c r="K268" s="4"/>
      <c r="L268" s="4"/>
      <c r="M268" s="4"/>
      <c r="N268" s="4"/>
      <c r="O268" s="4"/>
      <c r="P268" s="4"/>
      <c r="Q268" s="4"/>
      <c r="R268" s="4"/>
      <c r="S268" s="4"/>
      <c r="T268" s="4"/>
      <c r="U268" s="4"/>
      <c r="V268" s="4"/>
      <c r="W268" s="4"/>
      <c r="X268" s="4"/>
      <c r="Y268" s="4"/>
      <c r="Z268" s="4"/>
    </row>
    <row r="269" spans="1:26" ht="12.75">
      <c r="A269" s="4"/>
      <c r="B269" s="4"/>
      <c r="C269" s="15"/>
      <c r="D269" s="4"/>
      <c r="E269" s="4"/>
      <c r="F269" s="4"/>
      <c r="G269" s="4"/>
      <c r="H269" s="4"/>
      <c r="I269" s="4"/>
      <c r="J269" s="4"/>
      <c r="K269" s="4"/>
      <c r="L269" s="4"/>
      <c r="M269" s="4"/>
      <c r="N269" s="4"/>
      <c r="O269" s="4"/>
      <c r="P269" s="4"/>
      <c r="Q269" s="4"/>
      <c r="R269" s="4"/>
      <c r="S269" s="4"/>
      <c r="T269" s="4"/>
      <c r="U269" s="4"/>
      <c r="V269" s="4"/>
      <c r="W269" s="4"/>
      <c r="X269" s="4"/>
      <c r="Y269" s="4"/>
      <c r="Z269" s="4"/>
    </row>
    <row r="270" spans="1:26" ht="12.75">
      <c r="A270" s="4"/>
      <c r="B270" s="4"/>
      <c r="C270" s="15"/>
      <c r="D270" s="4"/>
      <c r="E270" s="4"/>
      <c r="F270" s="4"/>
      <c r="G270" s="4"/>
      <c r="H270" s="4"/>
      <c r="I270" s="4"/>
      <c r="J270" s="4"/>
      <c r="K270" s="4"/>
      <c r="L270" s="4"/>
      <c r="M270" s="4"/>
      <c r="N270" s="4"/>
      <c r="O270" s="4"/>
      <c r="P270" s="4"/>
      <c r="Q270" s="4"/>
      <c r="R270" s="4"/>
      <c r="S270" s="4"/>
      <c r="T270" s="4"/>
      <c r="U270" s="4"/>
      <c r="V270" s="4"/>
      <c r="W270" s="4"/>
      <c r="X270" s="4"/>
      <c r="Y270" s="4"/>
      <c r="Z270" s="4"/>
    </row>
    <row r="271" spans="1:26" ht="12.75">
      <c r="A271" s="4"/>
      <c r="B271" s="4"/>
      <c r="C271" s="15"/>
      <c r="D271" s="4"/>
      <c r="E271" s="4"/>
      <c r="F271" s="4"/>
      <c r="G271" s="4"/>
      <c r="H271" s="4"/>
      <c r="I271" s="4"/>
      <c r="J271" s="4"/>
      <c r="K271" s="4"/>
      <c r="L271" s="4"/>
      <c r="M271" s="4"/>
      <c r="N271" s="4"/>
      <c r="O271" s="4"/>
      <c r="P271" s="4"/>
      <c r="Q271" s="4"/>
      <c r="R271" s="4"/>
      <c r="S271" s="4"/>
      <c r="T271" s="4"/>
      <c r="U271" s="4"/>
      <c r="V271" s="4"/>
      <c r="W271" s="4"/>
      <c r="X271" s="4"/>
      <c r="Y271" s="4"/>
      <c r="Z271" s="4"/>
    </row>
    <row r="272" spans="1:26" ht="12.75">
      <c r="A272" s="4"/>
      <c r="B272" s="4"/>
      <c r="C272" s="15"/>
      <c r="D272" s="4"/>
      <c r="E272" s="4"/>
      <c r="F272" s="4"/>
      <c r="G272" s="4"/>
      <c r="H272" s="4"/>
      <c r="I272" s="4"/>
      <c r="J272" s="4"/>
      <c r="K272" s="4"/>
      <c r="L272" s="4"/>
      <c r="M272" s="4"/>
      <c r="N272" s="4"/>
      <c r="O272" s="4"/>
      <c r="P272" s="4"/>
      <c r="Q272" s="4"/>
      <c r="R272" s="4"/>
      <c r="S272" s="4"/>
      <c r="T272" s="4"/>
      <c r="U272" s="4"/>
      <c r="V272" s="4"/>
      <c r="W272" s="4"/>
      <c r="X272" s="4"/>
      <c r="Y272" s="4"/>
      <c r="Z272" s="4"/>
    </row>
    <row r="273" spans="1:26" ht="12.75">
      <c r="A273" s="4"/>
      <c r="B273" s="4"/>
      <c r="C273" s="15"/>
      <c r="D273" s="4"/>
      <c r="E273" s="4"/>
      <c r="F273" s="4"/>
      <c r="G273" s="4"/>
      <c r="H273" s="4"/>
      <c r="I273" s="4"/>
      <c r="J273" s="4"/>
      <c r="K273" s="4"/>
      <c r="L273" s="4"/>
      <c r="M273" s="4"/>
      <c r="N273" s="4"/>
      <c r="O273" s="4"/>
      <c r="P273" s="4"/>
      <c r="Q273" s="4"/>
      <c r="R273" s="4"/>
      <c r="S273" s="4"/>
      <c r="T273" s="4"/>
      <c r="U273" s="4"/>
      <c r="V273" s="4"/>
      <c r="W273" s="4"/>
      <c r="X273" s="4"/>
      <c r="Y273" s="4"/>
      <c r="Z273" s="4"/>
    </row>
    <row r="274" spans="1:26" ht="12.75">
      <c r="A274" s="4"/>
      <c r="B274" s="4"/>
      <c r="C274" s="15"/>
      <c r="D274" s="4"/>
      <c r="E274" s="4"/>
      <c r="F274" s="4"/>
      <c r="G274" s="4"/>
      <c r="H274" s="4"/>
      <c r="I274" s="4"/>
      <c r="J274" s="4"/>
      <c r="K274" s="4"/>
      <c r="L274" s="4"/>
      <c r="M274" s="4"/>
      <c r="N274" s="4"/>
      <c r="O274" s="4"/>
      <c r="P274" s="4"/>
      <c r="Q274" s="4"/>
      <c r="R274" s="4"/>
      <c r="S274" s="4"/>
      <c r="T274" s="4"/>
      <c r="U274" s="4"/>
      <c r="V274" s="4"/>
      <c r="W274" s="4"/>
      <c r="X274" s="4"/>
      <c r="Y274" s="4"/>
      <c r="Z274" s="4"/>
    </row>
    <row r="275" spans="1:26" ht="12.75">
      <c r="A275" s="4"/>
      <c r="B275" s="4"/>
      <c r="C275" s="15"/>
      <c r="D275" s="4"/>
      <c r="E275" s="4"/>
      <c r="F275" s="4"/>
      <c r="G275" s="4"/>
      <c r="H275" s="4"/>
      <c r="I275" s="4"/>
      <c r="J275" s="4"/>
      <c r="K275" s="4"/>
      <c r="L275" s="4"/>
      <c r="M275" s="4"/>
      <c r="N275" s="4"/>
      <c r="O275" s="4"/>
      <c r="P275" s="4"/>
      <c r="Q275" s="4"/>
      <c r="R275" s="4"/>
      <c r="S275" s="4"/>
      <c r="T275" s="4"/>
      <c r="U275" s="4"/>
      <c r="V275" s="4"/>
      <c r="W275" s="4"/>
      <c r="X275" s="4"/>
      <c r="Y275" s="4"/>
      <c r="Z275" s="4"/>
    </row>
    <row r="276" spans="1:26" ht="12.75">
      <c r="A276" s="4"/>
      <c r="B276" s="4"/>
      <c r="C276" s="15"/>
      <c r="D276" s="4"/>
      <c r="E276" s="4"/>
      <c r="F276" s="4"/>
      <c r="G276" s="4"/>
      <c r="H276" s="4"/>
      <c r="I276" s="4"/>
      <c r="J276" s="4"/>
      <c r="K276" s="4"/>
      <c r="L276" s="4"/>
      <c r="M276" s="4"/>
      <c r="N276" s="4"/>
      <c r="O276" s="4"/>
      <c r="P276" s="4"/>
      <c r="Q276" s="4"/>
      <c r="R276" s="4"/>
      <c r="S276" s="4"/>
      <c r="T276" s="4"/>
      <c r="U276" s="4"/>
      <c r="V276" s="4"/>
      <c r="W276" s="4"/>
      <c r="X276" s="4"/>
      <c r="Y276" s="4"/>
      <c r="Z276" s="4"/>
    </row>
    <row r="277" spans="1:26" ht="12.75">
      <c r="A277" s="4"/>
      <c r="B277" s="4"/>
      <c r="C277" s="15"/>
      <c r="D277" s="4"/>
      <c r="E277" s="4"/>
      <c r="F277" s="4"/>
      <c r="G277" s="4"/>
      <c r="H277" s="4"/>
      <c r="I277" s="4"/>
      <c r="J277" s="4"/>
      <c r="K277" s="4"/>
      <c r="L277" s="4"/>
      <c r="M277" s="4"/>
      <c r="N277" s="4"/>
      <c r="O277" s="4"/>
      <c r="P277" s="4"/>
      <c r="Q277" s="4"/>
      <c r="R277" s="4"/>
      <c r="S277" s="4"/>
      <c r="T277" s="4"/>
      <c r="U277" s="4"/>
      <c r="V277" s="4"/>
      <c r="W277" s="4"/>
      <c r="X277" s="4"/>
      <c r="Y277" s="4"/>
      <c r="Z277" s="4"/>
    </row>
    <row r="278" spans="1:26" ht="12.75">
      <c r="A278" s="4"/>
      <c r="B278" s="4"/>
      <c r="C278" s="15"/>
      <c r="D278" s="4"/>
      <c r="E278" s="4"/>
      <c r="F278" s="4"/>
      <c r="G278" s="4"/>
      <c r="H278" s="4"/>
      <c r="I278" s="4"/>
      <c r="J278" s="4"/>
      <c r="K278" s="4"/>
      <c r="L278" s="4"/>
      <c r="M278" s="4"/>
      <c r="N278" s="4"/>
      <c r="O278" s="4"/>
      <c r="P278" s="4"/>
      <c r="Q278" s="4"/>
      <c r="R278" s="4"/>
      <c r="S278" s="4"/>
      <c r="T278" s="4"/>
      <c r="U278" s="4"/>
      <c r="V278" s="4"/>
      <c r="W278" s="4"/>
      <c r="X278" s="4"/>
      <c r="Y278" s="4"/>
      <c r="Z278" s="4"/>
    </row>
    <row r="279" spans="1:26" ht="12.75">
      <c r="A279" s="4"/>
      <c r="B279" s="4"/>
      <c r="C279" s="15"/>
      <c r="D279" s="4"/>
      <c r="E279" s="4"/>
      <c r="F279" s="4"/>
      <c r="G279" s="4"/>
      <c r="H279" s="4"/>
      <c r="I279" s="4"/>
      <c r="J279" s="4"/>
      <c r="K279" s="4"/>
      <c r="L279" s="4"/>
      <c r="M279" s="4"/>
      <c r="N279" s="4"/>
      <c r="O279" s="4"/>
      <c r="P279" s="4"/>
      <c r="Q279" s="4"/>
      <c r="R279" s="4"/>
      <c r="S279" s="4"/>
      <c r="T279" s="4"/>
      <c r="U279" s="4"/>
      <c r="V279" s="4"/>
      <c r="W279" s="4"/>
      <c r="X279" s="4"/>
      <c r="Y279" s="4"/>
      <c r="Z279" s="4"/>
    </row>
    <row r="280" spans="1:26" ht="12.75">
      <c r="A280" s="4"/>
      <c r="B280" s="4"/>
      <c r="C280" s="15"/>
      <c r="D280" s="4"/>
      <c r="E280" s="4"/>
      <c r="F280" s="4"/>
      <c r="G280" s="4"/>
      <c r="H280" s="4"/>
      <c r="I280" s="4"/>
      <c r="J280" s="4"/>
      <c r="K280" s="4"/>
      <c r="L280" s="4"/>
      <c r="M280" s="4"/>
      <c r="N280" s="4"/>
      <c r="O280" s="4"/>
      <c r="P280" s="4"/>
      <c r="Q280" s="4"/>
      <c r="R280" s="4"/>
      <c r="S280" s="4"/>
      <c r="T280" s="4"/>
      <c r="U280" s="4"/>
      <c r="V280" s="4"/>
      <c r="W280" s="4"/>
      <c r="X280" s="4"/>
      <c r="Y280" s="4"/>
      <c r="Z280" s="4"/>
    </row>
    <row r="281" spans="1:26" ht="12.75">
      <c r="A281" s="4"/>
      <c r="B281" s="4"/>
      <c r="C281" s="15"/>
      <c r="D281" s="4"/>
      <c r="E281" s="4"/>
      <c r="F281" s="4"/>
      <c r="G281" s="4"/>
      <c r="H281" s="4"/>
      <c r="I281" s="4"/>
      <c r="J281" s="4"/>
      <c r="K281" s="4"/>
      <c r="L281" s="4"/>
      <c r="M281" s="4"/>
      <c r="N281" s="4"/>
      <c r="O281" s="4"/>
      <c r="P281" s="4"/>
      <c r="Q281" s="4"/>
      <c r="R281" s="4"/>
      <c r="S281" s="4"/>
      <c r="T281" s="4"/>
      <c r="U281" s="4"/>
      <c r="V281" s="4"/>
      <c r="W281" s="4"/>
      <c r="X281" s="4"/>
      <c r="Y281" s="4"/>
      <c r="Z281" s="4"/>
    </row>
    <row r="282" spans="1:26" ht="12.75">
      <c r="A282" s="4"/>
      <c r="B282" s="4"/>
      <c r="C282" s="15"/>
      <c r="D282" s="4"/>
      <c r="E282" s="4"/>
      <c r="F282" s="4"/>
      <c r="G282" s="4"/>
      <c r="H282" s="4"/>
      <c r="I282" s="4"/>
      <c r="J282" s="4"/>
      <c r="K282" s="4"/>
      <c r="L282" s="4"/>
      <c r="M282" s="4"/>
      <c r="N282" s="4"/>
      <c r="O282" s="4"/>
      <c r="P282" s="4"/>
      <c r="Q282" s="4"/>
      <c r="R282" s="4"/>
      <c r="S282" s="4"/>
      <c r="T282" s="4"/>
      <c r="U282" s="4"/>
      <c r="V282" s="4"/>
      <c r="W282" s="4"/>
      <c r="X282" s="4"/>
      <c r="Y282" s="4"/>
      <c r="Z282" s="4"/>
    </row>
    <row r="283" spans="1:26" ht="12.75">
      <c r="A283" s="4"/>
      <c r="B283" s="4"/>
      <c r="C283" s="15"/>
      <c r="D283" s="4"/>
      <c r="E283" s="4"/>
      <c r="F283" s="4"/>
      <c r="G283" s="4"/>
      <c r="H283" s="4"/>
      <c r="I283" s="4"/>
      <c r="J283" s="4"/>
      <c r="K283" s="4"/>
      <c r="L283" s="4"/>
      <c r="M283" s="4"/>
      <c r="N283" s="4"/>
      <c r="O283" s="4"/>
      <c r="P283" s="4"/>
      <c r="Q283" s="4"/>
      <c r="R283" s="4"/>
      <c r="S283" s="4"/>
      <c r="T283" s="4"/>
      <c r="U283" s="4"/>
      <c r="V283" s="4"/>
      <c r="W283" s="4"/>
      <c r="X283" s="4"/>
      <c r="Y283" s="4"/>
      <c r="Z283" s="4"/>
    </row>
    <row r="284" spans="1:26" ht="12.75">
      <c r="A284" s="4"/>
      <c r="B284" s="4"/>
      <c r="C284" s="15"/>
      <c r="D284" s="4"/>
      <c r="E284" s="4"/>
      <c r="F284" s="4"/>
      <c r="G284" s="4"/>
      <c r="H284" s="4"/>
      <c r="I284" s="4"/>
      <c r="J284" s="4"/>
      <c r="K284" s="4"/>
      <c r="L284" s="4"/>
      <c r="M284" s="4"/>
      <c r="N284" s="4"/>
      <c r="O284" s="4"/>
      <c r="P284" s="4"/>
      <c r="Q284" s="4"/>
      <c r="R284" s="4"/>
      <c r="S284" s="4"/>
      <c r="T284" s="4"/>
      <c r="U284" s="4"/>
      <c r="V284" s="4"/>
      <c r="W284" s="4"/>
      <c r="X284" s="4"/>
      <c r="Y284" s="4"/>
      <c r="Z284" s="4"/>
    </row>
    <row r="285" spans="1:26" ht="12.75">
      <c r="A285" s="4"/>
      <c r="B285" s="4"/>
      <c r="C285" s="15"/>
      <c r="D285" s="4"/>
      <c r="E285" s="4"/>
      <c r="F285" s="4"/>
      <c r="G285" s="4"/>
      <c r="H285" s="4"/>
      <c r="I285" s="4"/>
      <c r="J285" s="4"/>
      <c r="K285" s="4"/>
      <c r="L285" s="4"/>
      <c r="M285" s="4"/>
      <c r="N285" s="4"/>
      <c r="O285" s="4"/>
      <c r="P285" s="4"/>
      <c r="Q285" s="4"/>
      <c r="R285" s="4"/>
      <c r="S285" s="4"/>
      <c r="T285" s="4"/>
      <c r="U285" s="4"/>
      <c r="V285" s="4"/>
      <c r="W285" s="4"/>
      <c r="X285" s="4"/>
      <c r="Y285" s="4"/>
      <c r="Z285" s="4"/>
    </row>
    <row r="286" spans="1:26" ht="12.75">
      <c r="A286" s="4"/>
      <c r="B286" s="4"/>
      <c r="C286" s="15"/>
      <c r="D286" s="4"/>
      <c r="E286" s="4"/>
      <c r="F286" s="4"/>
      <c r="G286" s="4"/>
      <c r="H286" s="4"/>
      <c r="I286" s="4"/>
      <c r="J286" s="4"/>
      <c r="K286" s="4"/>
      <c r="L286" s="4"/>
      <c r="M286" s="4"/>
      <c r="N286" s="4"/>
      <c r="O286" s="4"/>
      <c r="P286" s="4"/>
      <c r="Q286" s="4"/>
      <c r="R286" s="4"/>
      <c r="S286" s="4"/>
      <c r="T286" s="4"/>
      <c r="U286" s="4"/>
      <c r="V286" s="4"/>
      <c r="W286" s="4"/>
      <c r="X286" s="4"/>
      <c r="Y286" s="4"/>
      <c r="Z286" s="4"/>
    </row>
    <row r="287" spans="1:26" ht="12.75">
      <c r="A287" s="4"/>
      <c r="B287" s="4"/>
      <c r="C287" s="15"/>
      <c r="D287" s="4"/>
      <c r="E287" s="4"/>
      <c r="F287" s="4"/>
      <c r="G287" s="4"/>
      <c r="H287" s="4"/>
      <c r="I287" s="4"/>
      <c r="J287" s="4"/>
      <c r="K287" s="4"/>
      <c r="L287" s="4"/>
      <c r="M287" s="4"/>
      <c r="N287" s="4"/>
      <c r="O287" s="4"/>
      <c r="P287" s="4"/>
      <c r="Q287" s="4"/>
      <c r="R287" s="4"/>
      <c r="S287" s="4"/>
      <c r="T287" s="4"/>
      <c r="U287" s="4"/>
      <c r="V287" s="4"/>
      <c r="W287" s="4"/>
      <c r="X287" s="4"/>
      <c r="Y287" s="4"/>
      <c r="Z287" s="4"/>
    </row>
    <row r="288" spans="1:26" ht="12.75">
      <c r="A288" s="4"/>
      <c r="B288" s="4"/>
      <c r="C288" s="15"/>
      <c r="D288" s="4"/>
      <c r="E288" s="4"/>
      <c r="F288" s="4"/>
      <c r="G288" s="4"/>
      <c r="H288" s="4"/>
      <c r="I288" s="4"/>
      <c r="J288" s="4"/>
      <c r="K288" s="4"/>
      <c r="L288" s="4"/>
      <c r="M288" s="4"/>
      <c r="N288" s="4"/>
      <c r="O288" s="4"/>
      <c r="P288" s="4"/>
      <c r="Q288" s="4"/>
      <c r="R288" s="4"/>
      <c r="S288" s="4"/>
      <c r="T288" s="4"/>
      <c r="U288" s="4"/>
      <c r="V288" s="4"/>
      <c r="W288" s="4"/>
      <c r="X288" s="4"/>
      <c r="Y288" s="4"/>
      <c r="Z288" s="4"/>
    </row>
    <row r="289" spans="1:26" ht="12.75">
      <c r="A289" s="4"/>
      <c r="B289" s="4"/>
      <c r="C289" s="15"/>
      <c r="D289" s="4"/>
      <c r="E289" s="4"/>
      <c r="F289" s="4"/>
      <c r="G289" s="4"/>
      <c r="H289" s="4"/>
      <c r="I289" s="4"/>
      <c r="J289" s="4"/>
      <c r="K289" s="4"/>
      <c r="L289" s="4"/>
      <c r="M289" s="4"/>
      <c r="N289" s="4"/>
      <c r="O289" s="4"/>
      <c r="P289" s="4"/>
      <c r="Q289" s="4"/>
      <c r="R289" s="4"/>
      <c r="S289" s="4"/>
      <c r="T289" s="4"/>
      <c r="U289" s="4"/>
      <c r="V289" s="4"/>
      <c r="W289" s="4"/>
      <c r="X289" s="4"/>
      <c r="Y289" s="4"/>
      <c r="Z289" s="4"/>
    </row>
    <row r="290" spans="1:26" ht="12.75">
      <c r="A290" s="4"/>
      <c r="B290" s="4"/>
      <c r="C290" s="15"/>
      <c r="D290" s="4"/>
      <c r="E290" s="4"/>
      <c r="F290" s="4"/>
      <c r="G290" s="4"/>
      <c r="H290" s="4"/>
      <c r="I290" s="4"/>
      <c r="J290" s="4"/>
      <c r="K290" s="4"/>
      <c r="L290" s="4"/>
      <c r="M290" s="4"/>
      <c r="N290" s="4"/>
      <c r="O290" s="4"/>
      <c r="P290" s="4"/>
      <c r="Q290" s="4"/>
      <c r="R290" s="4"/>
      <c r="S290" s="4"/>
      <c r="T290" s="4"/>
      <c r="U290" s="4"/>
      <c r="V290" s="4"/>
      <c r="W290" s="4"/>
      <c r="X290" s="4"/>
      <c r="Y290" s="4"/>
      <c r="Z290" s="4"/>
    </row>
    <row r="291" spans="1:26" ht="12.75">
      <c r="A291" s="4"/>
      <c r="B291" s="4"/>
      <c r="C291" s="15"/>
      <c r="D291" s="4"/>
      <c r="E291" s="4"/>
      <c r="F291" s="4"/>
      <c r="G291" s="4"/>
      <c r="H291" s="4"/>
      <c r="I291" s="4"/>
      <c r="J291" s="4"/>
      <c r="K291" s="4"/>
      <c r="L291" s="4"/>
      <c r="M291" s="4"/>
      <c r="N291" s="4"/>
      <c r="O291" s="4"/>
      <c r="P291" s="4"/>
      <c r="Q291" s="4"/>
      <c r="R291" s="4"/>
      <c r="S291" s="4"/>
      <c r="T291" s="4"/>
      <c r="U291" s="4"/>
      <c r="V291" s="4"/>
      <c r="W291" s="4"/>
      <c r="X291" s="4"/>
      <c r="Y291" s="4"/>
      <c r="Z291" s="4"/>
    </row>
    <row r="292" spans="1:26" ht="12.75">
      <c r="A292" s="4"/>
      <c r="B292" s="4"/>
      <c r="C292" s="15"/>
      <c r="D292" s="4"/>
      <c r="E292" s="4"/>
      <c r="F292" s="4"/>
      <c r="G292" s="4"/>
      <c r="H292" s="4"/>
      <c r="I292" s="4"/>
      <c r="J292" s="4"/>
      <c r="K292" s="4"/>
      <c r="L292" s="4"/>
      <c r="M292" s="4"/>
      <c r="N292" s="4"/>
      <c r="O292" s="4"/>
      <c r="P292" s="4"/>
      <c r="Q292" s="4"/>
      <c r="R292" s="4"/>
      <c r="S292" s="4"/>
      <c r="T292" s="4"/>
      <c r="U292" s="4"/>
      <c r="V292" s="4"/>
      <c r="W292" s="4"/>
      <c r="X292" s="4"/>
      <c r="Y292" s="4"/>
      <c r="Z292" s="4"/>
    </row>
    <row r="293" spans="1:26" ht="12.75">
      <c r="A293" s="4"/>
      <c r="B293" s="4"/>
      <c r="C293" s="15"/>
      <c r="D293" s="4"/>
      <c r="E293" s="4"/>
      <c r="F293" s="4"/>
      <c r="G293" s="4"/>
      <c r="H293" s="4"/>
      <c r="I293" s="4"/>
      <c r="J293" s="4"/>
      <c r="K293" s="4"/>
      <c r="L293" s="4"/>
      <c r="M293" s="4"/>
      <c r="N293" s="4"/>
      <c r="O293" s="4"/>
      <c r="P293" s="4"/>
      <c r="Q293" s="4"/>
      <c r="R293" s="4"/>
      <c r="S293" s="4"/>
      <c r="T293" s="4"/>
      <c r="U293" s="4"/>
      <c r="V293" s="4"/>
      <c r="W293" s="4"/>
      <c r="X293" s="4"/>
      <c r="Y293" s="4"/>
      <c r="Z293" s="4"/>
    </row>
    <row r="294" spans="1:26" ht="12.75">
      <c r="A294" s="4"/>
      <c r="B294" s="4"/>
      <c r="C294" s="15"/>
      <c r="D294" s="4"/>
      <c r="E294" s="4"/>
      <c r="F294" s="4"/>
      <c r="G294" s="4"/>
      <c r="H294" s="4"/>
      <c r="I294" s="4"/>
      <c r="J294" s="4"/>
      <c r="K294" s="4"/>
      <c r="L294" s="4"/>
      <c r="M294" s="4"/>
      <c r="N294" s="4"/>
      <c r="O294" s="4"/>
      <c r="P294" s="4"/>
      <c r="Q294" s="4"/>
      <c r="R294" s="4"/>
      <c r="S294" s="4"/>
      <c r="T294" s="4"/>
      <c r="U294" s="4"/>
      <c r="V294" s="4"/>
      <c r="W294" s="4"/>
      <c r="X294" s="4"/>
      <c r="Y294" s="4"/>
      <c r="Z294" s="4"/>
    </row>
    <row r="295" spans="1:26" ht="12.75">
      <c r="A295" s="4"/>
      <c r="B295" s="4"/>
      <c r="C295" s="15"/>
      <c r="D295" s="4"/>
      <c r="E295" s="4"/>
      <c r="F295" s="4"/>
      <c r="G295" s="4"/>
      <c r="H295" s="4"/>
      <c r="I295" s="4"/>
      <c r="J295" s="4"/>
      <c r="K295" s="4"/>
      <c r="L295" s="4"/>
      <c r="M295" s="4"/>
      <c r="N295" s="4"/>
      <c r="O295" s="4"/>
      <c r="P295" s="4"/>
      <c r="Q295" s="4"/>
      <c r="R295" s="4"/>
      <c r="S295" s="4"/>
      <c r="T295" s="4"/>
      <c r="U295" s="4"/>
      <c r="V295" s="4"/>
      <c r="W295" s="4"/>
      <c r="X295" s="4"/>
      <c r="Y295" s="4"/>
      <c r="Z295" s="4"/>
    </row>
    <row r="296" spans="1:26" ht="12.75">
      <c r="A296" s="4"/>
      <c r="B296" s="4"/>
      <c r="C296" s="15"/>
      <c r="D296" s="4"/>
      <c r="E296" s="4"/>
      <c r="F296" s="4"/>
      <c r="G296" s="4"/>
      <c r="H296" s="4"/>
      <c r="I296" s="4"/>
      <c r="J296" s="4"/>
      <c r="K296" s="4"/>
      <c r="L296" s="4"/>
      <c r="M296" s="4"/>
      <c r="N296" s="4"/>
      <c r="O296" s="4"/>
      <c r="P296" s="4"/>
      <c r="Q296" s="4"/>
      <c r="R296" s="4"/>
      <c r="S296" s="4"/>
      <c r="T296" s="4"/>
      <c r="U296" s="4"/>
      <c r="V296" s="4"/>
      <c r="W296" s="4"/>
      <c r="X296" s="4"/>
      <c r="Y296" s="4"/>
      <c r="Z296" s="4"/>
    </row>
    <row r="297" spans="1:26" ht="12.75">
      <c r="A297" s="4"/>
      <c r="B297" s="4"/>
      <c r="C297" s="15"/>
      <c r="D297" s="4"/>
      <c r="E297" s="4"/>
      <c r="F297" s="4"/>
      <c r="G297" s="4"/>
      <c r="H297" s="4"/>
      <c r="I297" s="4"/>
      <c r="J297" s="4"/>
      <c r="K297" s="4"/>
      <c r="L297" s="4"/>
      <c r="M297" s="4"/>
      <c r="N297" s="4"/>
      <c r="O297" s="4"/>
      <c r="P297" s="4"/>
      <c r="Q297" s="4"/>
      <c r="R297" s="4"/>
      <c r="S297" s="4"/>
      <c r="T297" s="4"/>
      <c r="U297" s="4"/>
      <c r="V297" s="4"/>
      <c r="W297" s="4"/>
      <c r="X297" s="4"/>
      <c r="Y297" s="4"/>
      <c r="Z297" s="4"/>
    </row>
    <row r="298" spans="1:26" ht="12.75">
      <c r="A298" s="4"/>
      <c r="B298" s="4"/>
      <c r="C298" s="15"/>
      <c r="D298" s="4"/>
      <c r="E298" s="4"/>
      <c r="F298" s="4"/>
      <c r="G298" s="4"/>
      <c r="H298" s="4"/>
      <c r="I298" s="4"/>
      <c r="J298" s="4"/>
      <c r="K298" s="4"/>
      <c r="L298" s="4"/>
      <c r="M298" s="4"/>
      <c r="N298" s="4"/>
      <c r="O298" s="4"/>
      <c r="P298" s="4"/>
      <c r="Q298" s="4"/>
      <c r="R298" s="4"/>
      <c r="S298" s="4"/>
      <c r="T298" s="4"/>
      <c r="U298" s="4"/>
      <c r="V298" s="4"/>
      <c r="W298" s="4"/>
      <c r="X298" s="4"/>
      <c r="Y298" s="4"/>
      <c r="Z298" s="4"/>
    </row>
    <row r="299" spans="1:26" ht="12.75">
      <c r="A299" s="4"/>
      <c r="B299" s="4"/>
      <c r="C299" s="15"/>
      <c r="D299" s="4"/>
      <c r="E299" s="4"/>
      <c r="F299" s="4"/>
      <c r="G299" s="4"/>
      <c r="H299" s="4"/>
      <c r="I299" s="4"/>
      <c r="J299" s="4"/>
      <c r="K299" s="4"/>
      <c r="L299" s="4"/>
      <c r="M299" s="4"/>
      <c r="N299" s="4"/>
      <c r="O299" s="4"/>
      <c r="P299" s="4"/>
      <c r="Q299" s="4"/>
      <c r="R299" s="4"/>
      <c r="S299" s="4"/>
      <c r="T299" s="4"/>
      <c r="U299" s="4"/>
      <c r="V299" s="4"/>
      <c r="W299" s="4"/>
      <c r="X299" s="4"/>
      <c r="Y299" s="4"/>
      <c r="Z299" s="4"/>
    </row>
    <row r="300" spans="1:26" ht="12.75">
      <c r="A300" s="4"/>
      <c r="B300" s="4"/>
      <c r="C300" s="15"/>
      <c r="D300" s="4"/>
      <c r="E300" s="4"/>
      <c r="F300" s="4"/>
      <c r="G300" s="4"/>
      <c r="H300" s="4"/>
      <c r="I300" s="4"/>
      <c r="J300" s="4"/>
      <c r="K300" s="4"/>
      <c r="L300" s="4"/>
      <c r="M300" s="4"/>
      <c r="N300" s="4"/>
      <c r="O300" s="4"/>
      <c r="P300" s="4"/>
      <c r="Q300" s="4"/>
      <c r="R300" s="4"/>
      <c r="S300" s="4"/>
      <c r="T300" s="4"/>
      <c r="U300" s="4"/>
      <c r="V300" s="4"/>
      <c r="W300" s="4"/>
      <c r="X300" s="4"/>
      <c r="Y300" s="4"/>
      <c r="Z300" s="4"/>
    </row>
    <row r="301" spans="1:26" ht="12.75">
      <c r="A301" s="4"/>
      <c r="B301" s="4"/>
      <c r="C301" s="15"/>
      <c r="D301" s="4"/>
      <c r="E301" s="4"/>
      <c r="F301" s="4"/>
      <c r="G301" s="4"/>
      <c r="H301" s="4"/>
      <c r="I301" s="4"/>
      <c r="J301" s="4"/>
      <c r="K301" s="4"/>
      <c r="L301" s="4"/>
      <c r="M301" s="4"/>
      <c r="N301" s="4"/>
      <c r="O301" s="4"/>
      <c r="P301" s="4"/>
      <c r="Q301" s="4"/>
      <c r="R301" s="4"/>
      <c r="S301" s="4"/>
      <c r="T301" s="4"/>
      <c r="U301" s="4"/>
      <c r="V301" s="4"/>
      <c r="W301" s="4"/>
      <c r="X301" s="4"/>
      <c r="Y301" s="4"/>
      <c r="Z301" s="4"/>
    </row>
    <row r="302" spans="1:26" ht="12.75">
      <c r="A302" s="4"/>
      <c r="B302" s="4"/>
      <c r="C302" s="15"/>
      <c r="D302" s="4"/>
      <c r="E302" s="4"/>
      <c r="F302" s="4"/>
      <c r="G302" s="4"/>
      <c r="H302" s="4"/>
      <c r="I302" s="4"/>
      <c r="J302" s="4"/>
      <c r="K302" s="4"/>
      <c r="L302" s="4"/>
      <c r="M302" s="4"/>
      <c r="N302" s="4"/>
      <c r="O302" s="4"/>
      <c r="P302" s="4"/>
      <c r="Q302" s="4"/>
      <c r="R302" s="4"/>
      <c r="S302" s="4"/>
      <c r="T302" s="4"/>
      <c r="U302" s="4"/>
      <c r="V302" s="4"/>
      <c r="W302" s="4"/>
      <c r="X302" s="4"/>
      <c r="Y302" s="4"/>
      <c r="Z302" s="4"/>
    </row>
    <row r="303" spans="1:26" ht="12.75">
      <c r="A303" s="4"/>
      <c r="B303" s="4"/>
      <c r="C303" s="15"/>
      <c r="D303" s="4"/>
      <c r="E303" s="4"/>
      <c r="F303" s="4"/>
      <c r="G303" s="4"/>
      <c r="H303" s="4"/>
      <c r="I303" s="4"/>
      <c r="J303" s="4"/>
      <c r="K303" s="4"/>
      <c r="L303" s="4"/>
      <c r="M303" s="4"/>
      <c r="N303" s="4"/>
      <c r="O303" s="4"/>
      <c r="P303" s="4"/>
      <c r="Q303" s="4"/>
      <c r="R303" s="4"/>
      <c r="S303" s="4"/>
      <c r="T303" s="4"/>
      <c r="U303" s="4"/>
      <c r="V303" s="4"/>
      <c r="W303" s="4"/>
      <c r="X303" s="4"/>
      <c r="Y303" s="4"/>
      <c r="Z303" s="4"/>
    </row>
    <row r="304" spans="1:26" ht="12.75">
      <c r="A304" s="4"/>
      <c r="B304" s="4"/>
      <c r="C304" s="15"/>
      <c r="D304" s="4"/>
      <c r="E304" s="4"/>
      <c r="F304" s="4"/>
      <c r="G304" s="4"/>
      <c r="H304" s="4"/>
      <c r="I304" s="4"/>
      <c r="J304" s="4"/>
      <c r="K304" s="4"/>
      <c r="L304" s="4"/>
      <c r="M304" s="4"/>
      <c r="N304" s="4"/>
      <c r="O304" s="4"/>
      <c r="P304" s="4"/>
      <c r="Q304" s="4"/>
      <c r="R304" s="4"/>
      <c r="S304" s="4"/>
      <c r="T304" s="4"/>
      <c r="U304" s="4"/>
      <c r="V304" s="4"/>
      <c r="W304" s="4"/>
      <c r="X304" s="4"/>
      <c r="Y304" s="4"/>
      <c r="Z304" s="4"/>
    </row>
    <row r="305" spans="1:26" ht="12.75">
      <c r="A305" s="4"/>
      <c r="B305" s="4"/>
      <c r="C305" s="15"/>
      <c r="D305" s="4"/>
      <c r="E305" s="4"/>
      <c r="F305" s="4"/>
      <c r="G305" s="4"/>
      <c r="H305" s="4"/>
      <c r="I305" s="4"/>
      <c r="J305" s="4"/>
      <c r="K305" s="4"/>
      <c r="L305" s="4"/>
      <c r="M305" s="4"/>
      <c r="N305" s="4"/>
      <c r="O305" s="4"/>
      <c r="P305" s="4"/>
      <c r="Q305" s="4"/>
      <c r="R305" s="4"/>
      <c r="S305" s="4"/>
      <c r="T305" s="4"/>
      <c r="U305" s="4"/>
      <c r="V305" s="4"/>
      <c r="W305" s="4"/>
      <c r="X305" s="4"/>
      <c r="Y305" s="4"/>
      <c r="Z305" s="4"/>
    </row>
    <row r="306" spans="1:26" ht="12.75">
      <c r="A306" s="4"/>
      <c r="B306" s="4"/>
      <c r="C306" s="15"/>
      <c r="D306" s="4"/>
      <c r="E306" s="4"/>
      <c r="F306" s="4"/>
      <c r="G306" s="4"/>
      <c r="H306" s="4"/>
      <c r="I306" s="4"/>
      <c r="J306" s="4"/>
      <c r="K306" s="4"/>
      <c r="L306" s="4"/>
      <c r="M306" s="4"/>
      <c r="N306" s="4"/>
      <c r="O306" s="4"/>
      <c r="P306" s="4"/>
      <c r="Q306" s="4"/>
      <c r="R306" s="4"/>
      <c r="S306" s="4"/>
      <c r="T306" s="4"/>
      <c r="U306" s="4"/>
      <c r="V306" s="4"/>
      <c r="W306" s="4"/>
      <c r="X306" s="4"/>
      <c r="Y306" s="4"/>
      <c r="Z306" s="4"/>
    </row>
    <row r="307" spans="1:26" ht="12.75">
      <c r="A307" s="4"/>
      <c r="B307" s="4"/>
      <c r="C307" s="15"/>
      <c r="D307" s="4"/>
      <c r="E307" s="4"/>
      <c r="F307" s="4"/>
      <c r="G307" s="4"/>
      <c r="H307" s="4"/>
      <c r="I307" s="4"/>
      <c r="J307" s="4"/>
      <c r="K307" s="4"/>
      <c r="L307" s="4"/>
      <c r="M307" s="4"/>
      <c r="N307" s="4"/>
      <c r="O307" s="4"/>
      <c r="P307" s="4"/>
      <c r="Q307" s="4"/>
      <c r="R307" s="4"/>
      <c r="S307" s="4"/>
      <c r="T307" s="4"/>
      <c r="U307" s="4"/>
      <c r="V307" s="4"/>
      <c r="W307" s="4"/>
      <c r="X307" s="4"/>
      <c r="Y307" s="4"/>
      <c r="Z307" s="4"/>
    </row>
    <row r="308" spans="1:26" ht="12.75">
      <c r="A308" s="4"/>
      <c r="B308" s="4"/>
      <c r="C308" s="15"/>
      <c r="D308" s="4"/>
      <c r="E308" s="4"/>
      <c r="F308" s="4"/>
      <c r="G308" s="4"/>
      <c r="H308" s="4"/>
      <c r="I308" s="4"/>
      <c r="J308" s="4"/>
      <c r="K308" s="4"/>
      <c r="L308" s="4"/>
      <c r="M308" s="4"/>
      <c r="N308" s="4"/>
      <c r="O308" s="4"/>
      <c r="P308" s="4"/>
      <c r="Q308" s="4"/>
      <c r="R308" s="4"/>
      <c r="S308" s="4"/>
      <c r="T308" s="4"/>
      <c r="U308" s="4"/>
      <c r="V308" s="4"/>
      <c r="W308" s="4"/>
      <c r="X308" s="4"/>
      <c r="Y308" s="4"/>
      <c r="Z308" s="4"/>
    </row>
    <row r="309" spans="1:26" ht="12.75">
      <c r="A309" s="4"/>
      <c r="B309" s="4"/>
      <c r="C309" s="15"/>
      <c r="D309" s="4"/>
      <c r="E309" s="4"/>
      <c r="F309" s="4"/>
      <c r="G309" s="4"/>
      <c r="H309" s="4"/>
      <c r="I309" s="4"/>
      <c r="J309" s="4"/>
      <c r="K309" s="4"/>
      <c r="L309" s="4"/>
      <c r="M309" s="4"/>
      <c r="N309" s="4"/>
      <c r="O309" s="4"/>
      <c r="P309" s="4"/>
      <c r="Q309" s="4"/>
      <c r="R309" s="4"/>
      <c r="S309" s="4"/>
      <c r="T309" s="4"/>
      <c r="U309" s="4"/>
      <c r="V309" s="4"/>
      <c r="W309" s="4"/>
      <c r="X309" s="4"/>
      <c r="Y309" s="4"/>
      <c r="Z309" s="4"/>
    </row>
    <row r="310" spans="1:26" ht="12.75">
      <c r="A310" s="4"/>
      <c r="B310" s="4"/>
      <c r="C310" s="15"/>
      <c r="D310" s="4"/>
      <c r="E310" s="4"/>
      <c r="F310" s="4"/>
      <c r="G310" s="4"/>
      <c r="H310" s="4"/>
      <c r="I310" s="4"/>
      <c r="J310" s="4"/>
      <c r="K310" s="4"/>
      <c r="L310" s="4"/>
      <c r="M310" s="4"/>
      <c r="N310" s="4"/>
      <c r="O310" s="4"/>
      <c r="P310" s="4"/>
      <c r="Q310" s="4"/>
      <c r="R310" s="4"/>
      <c r="S310" s="4"/>
      <c r="T310" s="4"/>
      <c r="U310" s="4"/>
      <c r="V310" s="4"/>
      <c r="W310" s="4"/>
      <c r="X310" s="4"/>
      <c r="Y310" s="4"/>
      <c r="Z310" s="4"/>
    </row>
    <row r="311" spans="1:26" ht="12.75">
      <c r="A311" s="4"/>
      <c r="B311" s="4"/>
      <c r="C311" s="15"/>
      <c r="D311" s="4"/>
      <c r="E311" s="4"/>
      <c r="F311" s="4"/>
      <c r="G311" s="4"/>
      <c r="H311" s="4"/>
      <c r="I311" s="4"/>
      <c r="J311" s="4"/>
      <c r="K311" s="4"/>
      <c r="L311" s="4"/>
      <c r="M311" s="4"/>
      <c r="N311" s="4"/>
      <c r="O311" s="4"/>
      <c r="P311" s="4"/>
      <c r="Q311" s="4"/>
      <c r="R311" s="4"/>
      <c r="S311" s="4"/>
      <c r="T311" s="4"/>
      <c r="U311" s="4"/>
      <c r="V311" s="4"/>
      <c r="W311" s="4"/>
      <c r="X311" s="4"/>
      <c r="Y311" s="4"/>
      <c r="Z311" s="4"/>
    </row>
    <row r="312" spans="1:26" ht="12.75">
      <c r="A312" s="4"/>
      <c r="B312" s="4"/>
      <c r="C312" s="15"/>
      <c r="D312" s="4"/>
      <c r="E312" s="4"/>
      <c r="F312" s="4"/>
      <c r="G312" s="4"/>
      <c r="H312" s="4"/>
      <c r="I312" s="4"/>
      <c r="J312" s="4"/>
      <c r="K312" s="4"/>
      <c r="L312" s="4"/>
      <c r="M312" s="4"/>
      <c r="N312" s="4"/>
      <c r="O312" s="4"/>
      <c r="P312" s="4"/>
      <c r="Q312" s="4"/>
      <c r="R312" s="4"/>
      <c r="S312" s="4"/>
      <c r="T312" s="4"/>
      <c r="U312" s="4"/>
      <c r="V312" s="4"/>
      <c r="W312" s="4"/>
      <c r="X312" s="4"/>
      <c r="Y312" s="4"/>
      <c r="Z312" s="4"/>
    </row>
    <row r="313" spans="1:26" ht="12.75">
      <c r="A313" s="4"/>
      <c r="B313" s="4"/>
      <c r="C313" s="15"/>
      <c r="D313" s="4"/>
      <c r="E313" s="4"/>
      <c r="F313" s="4"/>
      <c r="G313" s="4"/>
      <c r="H313" s="4"/>
      <c r="I313" s="4"/>
      <c r="J313" s="4"/>
      <c r="K313" s="4"/>
      <c r="L313" s="4"/>
      <c r="M313" s="4"/>
      <c r="N313" s="4"/>
      <c r="O313" s="4"/>
      <c r="P313" s="4"/>
      <c r="Q313" s="4"/>
      <c r="R313" s="4"/>
      <c r="S313" s="4"/>
      <c r="T313" s="4"/>
      <c r="U313" s="4"/>
      <c r="V313" s="4"/>
      <c r="W313" s="4"/>
      <c r="X313" s="4"/>
      <c r="Y313" s="4"/>
      <c r="Z313" s="4"/>
    </row>
    <row r="314" spans="1:26" ht="12.75">
      <c r="A314" s="4"/>
      <c r="B314" s="4"/>
      <c r="C314" s="15"/>
      <c r="D314" s="4"/>
      <c r="E314" s="4"/>
      <c r="F314" s="4"/>
      <c r="G314" s="4"/>
      <c r="H314" s="4"/>
      <c r="I314" s="4"/>
      <c r="J314" s="4"/>
      <c r="K314" s="4"/>
      <c r="L314" s="4"/>
      <c r="M314" s="4"/>
      <c r="N314" s="4"/>
      <c r="O314" s="4"/>
      <c r="P314" s="4"/>
      <c r="Q314" s="4"/>
      <c r="R314" s="4"/>
      <c r="S314" s="4"/>
      <c r="T314" s="4"/>
      <c r="U314" s="4"/>
      <c r="V314" s="4"/>
      <c r="W314" s="4"/>
      <c r="X314" s="4"/>
      <c r="Y314" s="4"/>
      <c r="Z314" s="4"/>
    </row>
    <row r="315" spans="1:26" ht="12.75">
      <c r="A315" s="4"/>
      <c r="B315" s="4"/>
      <c r="C315" s="15"/>
      <c r="D315" s="4"/>
      <c r="E315" s="4"/>
      <c r="F315" s="4"/>
      <c r="G315" s="4"/>
      <c r="H315" s="4"/>
      <c r="I315" s="4"/>
      <c r="J315" s="4"/>
      <c r="K315" s="4"/>
      <c r="L315" s="4"/>
      <c r="M315" s="4"/>
      <c r="N315" s="4"/>
      <c r="O315" s="4"/>
      <c r="P315" s="4"/>
      <c r="Q315" s="4"/>
      <c r="R315" s="4"/>
      <c r="S315" s="4"/>
      <c r="T315" s="4"/>
      <c r="U315" s="4"/>
      <c r="V315" s="4"/>
      <c r="W315" s="4"/>
      <c r="X315" s="4"/>
      <c r="Y315" s="4"/>
      <c r="Z315" s="4"/>
    </row>
    <row r="316" spans="1:26" ht="12.75">
      <c r="A316" s="4"/>
      <c r="B316" s="4"/>
      <c r="C316" s="15"/>
      <c r="D316" s="4"/>
      <c r="E316" s="4"/>
      <c r="F316" s="4"/>
      <c r="G316" s="4"/>
      <c r="H316" s="4"/>
      <c r="I316" s="4"/>
      <c r="J316" s="4"/>
      <c r="K316" s="4"/>
      <c r="L316" s="4"/>
      <c r="M316" s="4"/>
      <c r="N316" s="4"/>
      <c r="O316" s="4"/>
      <c r="P316" s="4"/>
      <c r="Q316" s="4"/>
      <c r="R316" s="4"/>
      <c r="S316" s="4"/>
      <c r="T316" s="4"/>
      <c r="U316" s="4"/>
      <c r="V316" s="4"/>
      <c r="W316" s="4"/>
      <c r="X316" s="4"/>
      <c r="Y316" s="4"/>
      <c r="Z316" s="4"/>
    </row>
    <row r="317" spans="1:26" ht="12.75">
      <c r="A317" s="4"/>
      <c r="B317" s="4"/>
      <c r="C317" s="15"/>
      <c r="D317" s="4"/>
      <c r="E317" s="4"/>
      <c r="F317" s="4"/>
      <c r="G317" s="4"/>
      <c r="H317" s="4"/>
      <c r="I317" s="4"/>
      <c r="J317" s="4"/>
      <c r="K317" s="4"/>
      <c r="L317" s="4"/>
      <c r="M317" s="4"/>
      <c r="N317" s="4"/>
      <c r="O317" s="4"/>
      <c r="P317" s="4"/>
      <c r="Q317" s="4"/>
      <c r="R317" s="4"/>
      <c r="S317" s="4"/>
      <c r="T317" s="4"/>
      <c r="U317" s="4"/>
      <c r="V317" s="4"/>
      <c r="W317" s="4"/>
      <c r="X317" s="4"/>
      <c r="Y317" s="4"/>
      <c r="Z317" s="4"/>
    </row>
    <row r="318" spans="1:26" ht="12.75">
      <c r="A318" s="4"/>
      <c r="B318" s="4"/>
      <c r="C318" s="15"/>
      <c r="D318" s="4"/>
      <c r="E318" s="4"/>
      <c r="F318" s="4"/>
      <c r="G318" s="4"/>
      <c r="H318" s="4"/>
      <c r="I318" s="4"/>
      <c r="J318" s="4"/>
      <c r="K318" s="4"/>
      <c r="L318" s="4"/>
      <c r="M318" s="4"/>
      <c r="N318" s="4"/>
      <c r="O318" s="4"/>
      <c r="P318" s="4"/>
      <c r="Q318" s="4"/>
      <c r="R318" s="4"/>
      <c r="S318" s="4"/>
      <c r="T318" s="4"/>
      <c r="U318" s="4"/>
      <c r="V318" s="4"/>
      <c r="W318" s="4"/>
      <c r="X318" s="4"/>
      <c r="Y318" s="4"/>
      <c r="Z318" s="4"/>
    </row>
    <row r="319" spans="1:26" ht="12.75">
      <c r="A319" s="4"/>
      <c r="B319" s="4"/>
      <c r="C319" s="15"/>
      <c r="D319" s="4"/>
      <c r="E319" s="4"/>
      <c r="F319" s="4"/>
      <c r="G319" s="4"/>
      <c r="H319" s="4"/>
      <c r="I319" s="4"/>
      <c r="J319" s="4"/>
      <c r="K319" s="4"/>
      <c r="L319" s="4"/>
      <c r="M319" s="4"/>
      <c r="N319" s="4"/>
      <c r="O319" s="4"/>
      <c r="P319" s="4"/>
      <c r="Q319" s="4"/>
      <c r="R319" s="4"/>
      <c r="S319" s="4"/>
      <c r="T319" s="4"/>
      <c r="U319" s="4"/>
      <c r="V319" s="4"/>
      <c r="W319" s="4"/>
      <c r="X319" s="4"/>
      <c r="Y319" s="4"/>
      <c r="Z319" s="4"/>
    </row>
    <row r="320" spans="1:26" ht="12.75">
      <c r="A320" s="4"/>
      <c r="B320" s="4"/>
      <c r="C320" s="15"/>
      <c r="D320" s="4"/>
      <c r="E320" s="4"/>
      <c r="F320" s="4"/>
      <c r="G320" s="4"/>
      <c r="H320" s="4"/>
      <c r="I320" s="4"/>
      <c r="J320" s="4"/>
      <c r="K320" s="4"/>
      <c r="L320" s="4"/>
      <c r="M320" s="4"/>
      <c r="N320" s="4"/>
      <c r="O320" s="4"/>
      <c r="P320" s="4"/>
      <c r="Q320" s="4"/>
      <c r="R320" s="4"/>
      <c r="S320" s="4"/>
      <c r="T320" s="4"/>
      <c r="U320" s="4"/>
      <c r="V320" s="4"/>
      <c r="W320" s="4"/>
      <c r="X320" s="4"/>
      <c r="Y320" s="4"/>
      <c r="Z320" s="4"/>
    </row>
    <row r="321" spans="1:26" ht="12.75">
      <c r="A321" s="4"/>
      <c r="B321" s="4"/>
      <c r="C321" s="15"/>
      <c r="D321" s="4"/>
      <c r="E321" s="4"/>
      <c r="F321" s="4"/>
      <c r="G321" s="4"/>
      <c r="H321" s="4"/>
      <c r="I321" s="4"/>
      <c r="J321" s="4"/>
      <c r="K321" s="4"/>
      <c r="L321" s="4"/>
      <c r="M321" s="4"/>
      <c r="N321" s="4"/>
      <c r="O321" s="4"/>
      <c r="P321" s="4"/>
      <c r="Q321" s="4"/>
      <c r="R321" s="4"/>
      <c r="S321" s="4"/>
      <c r="T321" s="4"/>
      <c r="U321" s="4"/>
      <c r="V321" s="4"/>
      <c r="W321" s="4"/>
      <c r="X321" s="4"/>
      <c r="Y321" s="4"/>
      <c r="Z321" s="4"/>
    </row>
    <row r="322" spans="1:26" ht="12.75">
      <c r="A322" s="4"/>
      <c r="B322" s="4"/>
      <c r="C322" s="15"/>
      <c r="D322" s="4"/>
      <c r="E322" s="4"/>
      <c r="F322" s="4"/>
      <c r="G322" s="4"/>
      <c r="H322" s="4"/>
      <c r="I322" s="4"/>
      <c r="J322" s="4"/>
      <c r="K322" s="4"/>
      <c r="L322" s="4"/>
      <c r="M322" s="4"/>
      <c r="N322" s="4"/>
      <c r="O322" s="4"/>
      <c r="P322" s="4"/>
      <c r="Q322" s="4"/>
      <c r="R322" s="4"/>
      <c r="S322" s="4"/>
      <c r="T322" s="4"/>
      <c r="U322" s="4"/>
      <c r="V322" s="4"/>
      <c r="W322" s="4"/>
      <c r="X322" s="4"/>
      <c r="Y322" s="4"/>
      <c r="Z322" s="4"/>
    </row>
    <row r="323" spans="1:26" ht="12.75">
      <c r="A323" s="4"/>
      <c r="B323" s="4"/>
      <c r="C323" s="15"/>
      <c r="D323" s="4"/>
      <c r="E323" s="4"/>
      <c r="F323" s="4"/>
      <c r="G323" s="4"/>
      <c r="H323" s="4"/>
      <c r="I323" s="4"/>
      <c r="J323" s="4"/>
      <c r="K323" s="4"/>
      <c r="L323" s="4"/>
      <c r="M323" s="4"/>
      <c r="N323" s="4"/>
      <c r="O323" s="4"/>
      <c r="P323" s="4"/>
      <c r="Q323" s="4"/>
      <c r="R323" s="4"/>
      <c r="S323" s="4"/>
      <c r="T323" s="4"/>
      <c r="U323" s="4"/>
      <c r="V323" s="4"/>
      <c r="W323" s="4"/>
      <c r="X323" s="4"/>
      <c r="Y323" s="4"/>
      <c r="Z323" s="4"/>
    </row>
    <row r="324" spans="1:26" ht="12.75">
      <c r="A324" s="4"/>
      <c r="B324" s="4"/>
      <c r="C324" s="15"/>
      <c r="D324" s="4"/>
      <c r="E324" s="4"/>
      <c r="F324" s="4"/>
      <c r="G324" s="4"/>
      <c r="H324" s="4"/>
      <c r="I324" s="4"/>
      <c r="J324" s="4"/>
      <c r="K324" s="4"/>
      <c r="L324" s="4"/>
      <c r="M324" s="4"/>
      <c r="N324" s="4"/>
      <c r="O324" s="4"/>
      <c r="P324" s="4"/>
      <c r="Q324" s="4"/>
      <c r="R324" s="4"/>
      <c r="S324" s="4"/>
      <c r="T324" s="4"/>
      <c r="U324" s="4"/>
      <c r="V324" s="4"/>
      <c r="W324" s="4"/>
      <c r="X324" s="4"/>
      <c r="Y324" s="4"/>
      <c r="Z324" s="4"/>
    </row>
    <row r="325" spans="1:26" ht="12.75">
      <c r="A325" s="4"/>
      <c r="B325" s="4"/>
      <c r="C325" s="15"/>
      <c r="D325" s="4"/>
      <c r="E325" s="4"/>
      <c r="F325" s="4"/>
      <c r="G325" s="4"/>
      <c r="H325" s="4"/>
      <c r="I325" s="4"/>
      <c r="J325" s="4"/>
      <c r="K325" s="4"/>
      <c r="L325" s="4"/>
      <c r="M325" s="4"/>
      <c r="N325" s="4"/>
      <c r="O325" s="4"/>
      <c r="P325" s="4"/>
      <c r="Q325" s="4"/>
      <c r="R325" s="4"/>
      <c r="S325" s="4"/>
      <c r="T325" s="4"/>
      <c r="U325" s="4"/>
      <c r="V325" s="4"/>
      <c r="W325" s="4"/>
      <c r="X325" s="4"/>
      <c r="Y325" s="4"/>
      <c r="Z325" s="4"/>
    </row>
    <row r="326" spans="1:26" ht="12.75">
      <c r="A326" s="4"/>
      <c r="B326" s="4"/>
      <c r="C326" s="15"/>
      <c r="D326" s="4"/>
      <c r="E326" s="4"/>
      <c r="F326" s="4"/>
      <c r="G326" s="4"/>
      <c r="H326" s="4"/>
      <c r="I326" s="4"/>
      <c r="J326" s="4"/>
      <c r="K326" s="4"/>
      <c r="L326" s="4"/>
      <c r="M326" s="4"/>
      <c r="N326" s="4"/>
      <c r="O326" s="4"/>
      <c r="P326" s="4"/>
      <c r="Q326" s="4"/>
      <c r="R326" s="4"/>
      <c r="S326" s="4"/>
      <c r="T326" s="4"/>
      <c r="U326" s="4"/>
      <c r="V326" s="4"/>
      <c r="W326" s="4"/>
      <c r="X326" s="4"/>
      <c r="Y326" s="4"/>
      <c r="Z326" s="4"/>
    </row>
    <row r="327" spans="1:26" ht="12.75">
      <c r="A327" s="4"/>
      <c r="B327" s="4"/>
      <c r="C327" s="15"/>
      <c r="D327" s="4"/>
      <c r="E327" s="4"/>
      <c r="F327" s="4"/>
      <c r="G327" s="4"/>
      <c r="H327" s="4"/>
      <c r="I327" s="4"/>
      <c r="J327" s="4"/>
      <c r="K327" s="4"/>
      <c r="L327" s="4"/>
      <c r="M327" s="4"/>
      <c r="N327" s="4"/>
      <c r="O327" s="4"/>
      <c r="P327" s="4"/>
      <c r="Q327" s="4"/>
      <c r="R327" s="4"/>
      <c r="S327" s="4"/>
      <c r="T327" s="4"/>
      <c r="U327" s="4"/>
      <c r="V327" s="4"/>
      <c r="W327" s="4"/>
      <c r="X327" s="4"/>
      <c r="Y327" s="4"/>
      <c r="Z327" s="4"/>
    </row>
    <row r="328" spans="1:26" ht="12.75">
      <c r="A328" s="4"/>
      <c r="B328" s="4"/>
      <c r="C328" s="15"/>
      <c r="D328" s="4"/>
      <c r="E328" s="4"/>
      <c r="F328" s="4"/>
      <c r="G328" s="4"/>
      <c r="H328" s="4"/>
      <c r="I328" s="4"/>
      <c r="J328" s="4"/>
      <c r="K328" s="4"/>
      <c r="L328" s="4"/>
      <c r="M328" s="4"/>
      <c r="N328" s="4"/>
      <c r="O328" s="4"/>
      <c r="P328" s="4"/>
      <c r="Q328" s="4"/>
      <c r="R328" s="4"/>
      <c r="S328" s="4"/>
      <c r="T328" s="4"/>
      <c r="U328" s="4"/>
      <c r="V328" s="4"/>
      <c r="W328" s="4"/>
      <c r="X328" s="4"/>
      <c r="Y328" s="4"/>
      <c r="Z328" s="4"/>
    </row>
    <row r="329" spans="1:26" ht="12.75">
      <c r="A329" s="4"/>
      <c r="B329" s="4"/>
      <c r="C329" s="15"/>
      <c r="D329" s="4"/>
      <c r="E329" s="4"/>
      <c r="F329" s="4"/>
      <c r="G329" s="4"/>
      <c r="H329" s="4"/>
      <c r="I329" s="4"/>
      <c r="J329" s="4"/>
      <c r="K329" s="4"/>
      <c r="L329" s="4"/>
      <c r="M329" s="4"/>
      <c r="N329" s="4"/>
      <c r="O329" s="4"/>
      <c r="P329" s="4"/>
      <c r="Q329" s="4"/>
      <c r="R329" s="4"/>
      <c r="S329" s="4"/>
      <c r="T329" s="4"/>
      <c r="U329" s="4"/>
      <c r="V329" s="4"/>
      <c r="W329" s="4"/>
      <c r="X329" s="4"/>
      <c r="Y329" s="4"/>
      <c r="Z329" s="4"/>
    </row>
    <row r="330" spans="1:26" ht="12.75">
      <c r="A330" s="4"/>
      <c r="B330" s="4"/>
      <c r="C330" s="15"/>
      <c r="D330" s="4"/>
      <c r="E330" s="4"/>
      <c r="F330" s="4"/>
      <c r="G330" s="4"/>
      <c r="H330" s="4"/>
      <c r="I330" s="4"/>
      <c r="J330" s="4"/>
      <c r="K330" s="4"/>
      <c r="L330" s="4"/>
      <c r="M330" s="4"/>
      <c r="N330" s="4"/>
      <c r="O330" s="4"/>
      <c r="P330" s="4"/>
      <c r="Q330" s="4"/>
      <c r="R330" s="4"/>
      <c r="S330" s="4"/>
      <c r="T330" s="4"/>
      <c r="U330" s="4"/>
      <c r="V330" s="4"/>
      <c r="W330" s="4"/>
      <c r="X330" s="4"/>
      <c r="Y330" s="4"/>
      <c r="Z330" s="4"/>
    </row>
    <row r="331" spans="1:26" ht="12.75">
      <c r="A331" s="4"/>
      <c r="B331" s="4"/>
      <c r="C331" s="15"/>
      <c r="D331" s="4"/>
      <c r="E331" s="4"/>
      <c r="F331" s="4"/>
      <c r="G331" s="4"/>
      <c r="H331" s="4"/>
      <c r="I331" s="4"/>
      <c r="J331" s="4"/>
      <c r="K331" s="4"/>
      <c r="L331" s="4"/>
      <c r="M331" s="4"/>
      <c r="N331" s="4"/>
      <c r="O331" s="4"/>
      <c r="P331" s="4"/>
      <c r="Q331" s="4"/>
      <c r="R331" s="4"/>
      <c r="S331" s="4"/>
      <c r="T331" s="4"/>
      <c r="U331" s="4"/>
      <c r="V331" s="4"/>
      <c r="W331" s="4"/>
      <c r="X331" s="4"/>
      <c r="Y331" s="4"/>
      <c r="Z331" s="4"/>
    </row>
    <row r="332" spans="1:26" ht="12.75">
      <c r="A332" s="4"/>
      <c r="B332" s="4"/>
      <c r="C332" s="15"/>
      <c r="D332" s="4"/>
      <c r="E332" s="4"/>
      <c r="F332" s="4"/>
      <c r="G332" s="4"/>
      <c r="H332" s="4"/>
      <c r="I332" s="4"/>
      <c r="J332" s="4"/>
      <c r="K332" s="4"/>
      <c r="L332" s="4"/>
      <c r="M332" s="4"/>
      <c r="N332" s="4"/>
      <c r="O332" s="4"/>
      <c r="P332" s="4"/>
      <c r="Q332" s="4"/>
      <c r="R332" s="4"/>
      <c r="S332" s="4"/>
      <c r="T332" s="4"/>
      <c r="U332" s="4"/>
      <c r="V332" s="4"/>
      <c r="W332" s="4"/>
      <c r="X332" s="4"/>
      <c r="Y332" s="4"/>
      <c r="Z332" s="4"/>
    </row>
    <row r="333" spans="1:26" ht="12.75">
      <c r="A333" s="4"/>
      <c r="B333" s="4"/>
      <c r="C333" s="15"/>
      <c r="D333" s="4"/>
      <c r="E333" s="4"/>
      <c r="F333" s="4"/>
      <c r="G333" s="4"/>
      <c r="H333" s="4"/>
      <c r="I333" s="4"/>
      <c r="J333" s="4"/>
      <c r="K333" s="4"/>
      <c r="L333" s="4"/>
      <c r="M333" s="4"/>
      <c r="N333" s="4"/>
      <c r="O333" s="4"/>
      <c r="P333" s="4"/>
      <c r="Q333" s="4"/>
      <c r="R333" s="4"/>
      <c r="S333" s="4"/>
      <c r="T333" s="4"/>
      <c r="U333" s="4"/>
      <c r="V333" s="4"/>
      <c r="W333" s="4"/>
      <c r="X333" s="4"/>
      <c r="Y333" s="4"/>
      <c r="Z333" s="4"/>
    </row>
    <row r="334" spans="1:26" ht="12.75">
      <c r="A334" s="4"/>
      <c r="B334" s="4"/>
      <c r="C334" s="15"/>
      <c r="D334" s="4"/>
      <c r="E334" s="4"/>
      <c r="F334" s="4"/>
      <c r="G334" s="4"/>
      <c r="H334" s="4"/>
      <c r="I334" s="4"/>
      <c r="J334" s="4"/>
      <c r="K334" s="4"/>
      <c r="L334" s="4"/>
      <c r="M334" s="4"/>
      <c r="N334" s="4"/>
      <c r="O334" s="4"/>
      <c r="P334" s="4"/>
      <c r="Q334" s="4"/>
      <c r="R334" s="4"/>
      <c r="S334" s="4"/>
      <c r="T334" s="4"/>
      <c r="U334" s="4"/>
      <c r="V334" s="4"/>
      <c r="W334" s="4"/>
      <c r="X334" s="4"/>
      <c r="Y334" s="4"/>
      <c r="Z334" s="4"/>
    </row>
    <row r="335" spans="1:26" ht="12.75">
      <c r="A335" s="4"/>
      <c r="B335" s="4"/>
      <c r="C335" s="15"/>
      <c r="D335" s="4"/>
      <c r="E335" s="4"/>
      <c r="F335" s="4"/>
      <c r="G335" s="4"/>
      <c r="H335" s="4"/>
      <c r="I335" s="4"/>
      <c r="J335" s="4"/>
      <c r="K335" s="4"/>
      <c r="L335" s="4"/>
      <c r="M335" s="4"/>
      <c r="N335" s="4"/>
      <c r="O335" s="4"/>
      <c r="P335" s="4"/>
      <c r="Q335" s="4"/>
      <c r="R335" s="4"/>
      <c r="S335" s="4"/>
      <c r="T335" s="4"/>
      <c r="U335" s="4"/>
      <c r="V335" s="4"/>
      <c r="W335" s="4"/>
      <c r="X335" s="4"/>
      <c r="Y335" s="4"/>
      <c r="Z335" s="4"/>
    </row>
    <row r="336" spans="1:26" ht="12.75">
      <c r="A336" s="4"/>
      <c r="B336" s="4"/>
      <c r="C336" s="15"/>
      <c r="D336" s="4"/>
      <c r="E336" s="4"/>
      <c r="F336" s="4"/>
      <c r="G336" s="4"/>
      <c r="H336" s="4"/>
      <c r="I336" s="4"/>
      <c r="J336" s="4"/>
      <c r="K336" s="4"/>
      <c r="L336" s="4"/>
      <c r="M336" s="4"/>
      <c r="N336" s="4"/>
      <c r="O336" s="4"/>
      <c r="P336" s="4"/>
      <c r="Q336" s="4"/>
      <c r="R336" s="4"/>
      <c r="S336" s="4"/>
      <c r="T336" s="4"/>
      <c r="U336" s="4"/>
      <c r="V336" s="4"/>
      <c r="W336" s="4"/>
      <c r="X336" s="4"/>
      <c r="Y336" s="4"/>
      <c r="Z336" s="4"/>
    </row>
    <row r="337" spans="1:26" ht="12.75">
      <c r="A337" s="4"/>
      <c r="B337" s="4"/>
      <c r="C337" s="15"/>
      <c r="D337" s="4"/>
      <c r="E337" s="4"/>
      <c r="F337" s="4"/>
      <c r="G337" s="4"/>
      <c r="H337" s="4"/>
      <c r="I337" s="4"/>
      <c r="J337" s="4"/>
      <c r="K337" s="4"/>
      <c r="L337" s="4"/>
      <c r="M337" s="4"/>
      <c r="N337" s="4"/>
      <c r="O337" s="4"/>
      <c r="P337" s="4"/>
      <c r="Q337" s="4"/>
      <c r="R337" s="4"/>
      <c r="S337" s="4"/>
      <c r="T337" s="4"/>
      <c r="U337" s="4"/>
      <c r="V337" s="4"/>
      <c r="W337" s="4"/>
      <c r="X337" s="4"/>
      <c r="Y337" s="4"/>
      <c r="Z337" s="4"/>
    </row>
    <row r="338" spans="1:26" ht="12.75">
      <c r="A338" s="4"/>
      <c r="B338" s="4"/>
      <c r="C338" s="15"/>
      <c r="D338" s="4"/>
      <c r="E338" s="4"/>
      <c r="F338" s="4"/>
      <c r="G338" s="4"/>
      <c r="H338" s="4"/>
      <c r="I338" s="4"/>
      <c r="J338" s="4"/>
      <c r="K338" s="4"/>
      <c r="L338" s="4"/>
      <c r="M338" s="4"/>
      <c r="N338" s="4"/>
      <c r="O338" s="4"/>
      <c r="P338" s="4"/>
      <c r="Q338" s="4"/>
      <c r="R338" s="4"/>
      <c r="S338" s="4"/>
      <c r="T338" s="4"/>
      <c r="U338" s="4"/>
      <c r="V338" s="4"/>
      <c r="W338" s="4"/>
      <c r="X338" s="4"/>
      <c r="Y338" s="4"/>
      <c r="Z338" s="4"/>
    </row>
    <row r="339" spans="1:26" ht="12.75">
      <c r="A339" s="4"/>
      <c r="B339" s="4"/>
      <c r="C339" s="15"/>
      <c r="D339" s="4"/>
      <c r="E339" s="4"/>
      <c r="F339" s="4"/>
      <c r="G339" s="4"/>
      <c r="H339" s="4"/>
      <c r="I339" s="4"/>
      <c r="J339" s="4"/>
      <c r="K339" s="4"/>
      <c r="L339" s="4"/>
      <c r="M339" s="4"/>
      <c r="N339" s="4"/>
      <c r="O339" s="4"/>
      <c r="P339" s="4"/>
      <c r="Q339" s="4"/>
      <c r="R339" s="4"/>
      <c r="S339" s="4"/>
      <c r="T339" s="4"/>
      <c r="U339" s="4"/>
      <c r="V339" s="4"/>
      <c r="W339" s="4"/>
      <c r="X339" s="4"/>
      <c r="Y339" s="4"/>
      <c r="Z339" s="4"/>
    </row>
    <row r="340" spans="1:26" ht="12.75">
      <c r="A340" s="4"/>
      <c r="B340" s="4"/>
      <c r="C340" s="15"/>
      <c r="D340" s="4"/>
      <c r="E340" s="4"/>
      <c r="F340" s="4"/>
      <c r="G340" s="4"/>
      <c r="H340" s="4"/>
      <c r="I340" s="4"/>
      <c r="J340" s="4"/>
      <c r="K340" s="4"/>
      <c r="L340" s="4"/>
      <c r="M340" s="4"/>
      <c r="N340" s="4"/>
      <c r="O340" s="4"/>
      <c r="P340" s="4"/>
      <c r="Q340" s="4"/>
      <c r="R340" s="4"/>
      <c r="S340" s="4"/>
      <c r="T340" s="4"/>
      <c r="U340" s="4"/>
      <c r="V340" s="4"/>
      <c r="W340" s="4"/>
      <c r="X340" s="4"/>
      <c r="Y340" s="4"/>
      <c r="Z340" s="4"/>
    </row>
    <row r="341" spans="1:26" ht="12.75">
      <c r="A341" s="4"/>
      <c r="B341" s="4"/>
      <c r="C341" s="15"/>
      <c r="D341" s="4"/>
      <c r="E341" s="4"/>
      <c r="F341" s="4"/>
      <c r="G341" s="4"/>
      <c r="H341" s="4"/>
      <c r="I341" s="4"/>
      <c r="J341" s="4"/>
      <c r="K341" s="4"/>
      <c r="L341" s="4"/>
      <c r="M341" s="4"/>
      <c r="N341" s="4"/>
      <c r="O341" s="4"/>
      <c r="P341" s="4"/>
      <c r="Q341" s="4"/>
      <c r="R341" s="4"/>
      <c r="S341" s="4"/>
      <c r="T341" s="4"/>
      <c r="U341" s="4"/>
      <c r="V341" s="4"/>
      <c r="W341" s="4"/>
      <c r="X341" s="4"/>
      <c r="Y341" s="4"/>
      <c r="Z341" s="4"/>
    </row>
    <row r="342" spans="1:26" ht="12.75">
      <c r="A342" s="4"/>
      <c r="B342" s="4"/>
      <c r="C342" s="15"/>
      <c r="D342" s="4"/>
      <c r="E342" s="4"/>
      <c r="F342" s="4"/>
      <c r="G342" s="4"/>
      <c r="H342" s="4"/>
      <c r="I342" s="4"/>
      <c r="J342" s="4"/>
      <c r="K342" s="4"/>
      <c r="L342" s="4"/>
      <c r="M342" s="4"/>
      <c r="N342" s="4"/>
      <c r="O342" s="4"/>
      <c r="P342" s="4"/>
      <c r="Q342" s="4"/>
      <c r="R342" s="4"/>
      <c r="S342" s="4"/>
      <c r="T342" s="4"/>
      <c r="U342" s="4"/>
      <c r="V342" s="4"/>
      <c r="W342" s="4"/>
      <c r="X342" s="4"/>
      <c r="Y342" s="4"/>
      <c r="Z342" s="4"/>
    </row>
    <row r="343" spans="1:26" ht="12.75">
      <c r="A343" s="4"/>
      <c r="B343" s="4"/>
      <c r="C343" s="15"/>
      <c r="D343" s="4"/>
      <c r="E343" s="4"/>
      <c r="F343" s="4"/>
      <c r="G343" s="4"/>
      <c r="H343" s="4"/>
      <c r="I343" s="4"/>
      <c r="J343" s="4"/>
      <c r="K343" s="4"/>
      <c r="L343" s="4"/>
      <c r="M343" s="4"/>
      <c r="N343" s="4"/>
      <c r="O343" s="4"/>
      <c r="P343" s="4"/>
      <c r="Q343" s="4"/>
      <c r="R343" s="4"/>
      <c r="S343" s="4"/>
      <c r="T343" s="4"/>
      <c r="U343" s="4"/>
      <c r="V343" s="4"/>
      <c r="W343" s="4"/>
      <c r="X343" s="4"/>
      <c r="Y343" s="4"/>
      <c r="Z343" s="4"/>
    </row>
    <row r="344" spans="1:26" ht="12.75">
      <c r="A344" s="4"/>
      <c r="B344" s="4"/>
      <c r="C344" s="15"/>
      <c r="D344" s="4"/>
      <c r="E344" s="4"/>
      <c r="F344" s="4"/>
      <c r="G344" s="4"/>
      <c r="H344" s="4"/>
      <c r="I344" s="4"/>
      <c r="J344" s="4"/>
      <c r="K344" s="4"/>
      <c r="L344" s="4"/>
      <c r="M344" s="4"/>
      <c r="N344" s="4"/>
      <c r="O344" s="4"/>
      <c r="P344" s="4"/>
      <c r="Q344" s="4"/>
      <c r="R344" s="4"/>
      <c r="S344" s="4"/>
      <c r="T344" s="4"/>
      <c r="U344" s="4"/>
      <c r="V344" s="4"/>
      <c r="W344" s="4"/>
      <c r="X344" s="4"/>
      <c r="Y344" s="4"/>
      <c r="Z344" s="4"/>
    </row>
    <row r="345" spans="1:26" ht="12.75">
      <c r="A345" s="4"/>
      <c r="B345" s="4"/>
      <c r="C345" s="15"/>
      <c r="D345" s="4"/>
      <c r="E345" s="4"/>
      <c r="F345" s="4"/>
      <c r="G345" s="4"/>
      <c r="H345" s="4"/>
      <c r="I345" s="4"/>
      <c r="J345" s="4"/>
      <c r="K345" s="4"/>
      <c r="L345" s="4"/>
      <c r="M345" s="4"/>
      <c r="N345" s="4"/>
      <c r="O345" s="4"/>
      <c r="P345" s="4"/>
      <c r="Q345" s="4"/>
      <c r="R345" s="4"/>
      <c r="S345" s="4"/>
      <c r="T345" s="4"/>
      <c r="U345" s="4"/>
      <c r="V345" s="4"/>
      <c r="W345" s="4"/>
      <c r="X345" s="4"/>
      <c r="Y345" s="4"/>
      <c r="Z345" s="4"/>
    </row>
    <row r="346" spans="1:26" ht="12.75">
      <c r="A346" s="4"/>
      <c r="B346" s="4"/>
      <c r="C346" s="15"/>
      <c r="D346" s="4"/>
      <c r="E346" s="4"/>
      <c r="F346" s="4"/>
      <c r="G346" s="4"/>
      <c r="H346" s="4"/>
      <c r="I346" s="4"/>
      <c r="J346" s="4"/>
      <c r="K346" s="4"/>
      <c r="L346" s="4"/>
      <c r="M346" s="4"/>
      <c r="N346" s="4"/>
      <c r="O346" s="4"/>
      <c r="P346" s="4"/>
      <c r="Q346" s="4"/>
      <c r="R346" s="4"/>
      <c r="S346" s="4"/>
      <c r="T346" s="4"/>
      <c r="U346" s="4"/>
      <c r="V346" s="4"/>
      <c r="W346" s="4"/>
      <c r="X346" s="4"/>
      <c r="Y346" s="4"/>
      <c r="Z346" s="4"/>
    </row>
    <row r="347" spans="1:26" ht="12.75">
      <c r="A347" s="4"/>
      <c r="B347" s="4"/>
      <c r="C347" s="15"/>
      <c r="D347" s="4"/>
      <c r="E347" s="4"/>
      <c r="F347" s="4"/>
      <c r="G347" s="4"/>
      <c r="H347" s="4"/>
      <c r="I347" s="4"/>
      <c r="J347" s="4"/>
      <c r="K347" s="4"/>
      <c r="L347" s="4"/>
      <c r="M347" s="4"/>
      <c r="N347" s="4"/>
      <c r="O347" s="4"/>
      <c r="P347" s="4"/>
      <c r="Q347" s="4"/>
      <c r="R347" s="4"/>
      <c r="S347" s="4"/>
      <c r="T347" s="4"/>
      <c r="U347" s="4"/>
      <c r="V347" s="4"/>
      <c r="W347" s="4"/>
      <c r="X347" s="4"/>
      <c r="Y347" s="4"/>
      <c r="Z347" s="4"/>
    </row>
    <row r="348" spans="1:26" ht="12.75">
      <c r="A348" s="4"/>
      <c r="B348" s="4"/>
      <c r="C348" s="15"/>
      <c r="D348" s="4"/>
      <c r="E348" s="4"/>
      <c r="F348" s="4"/>
      <c r="G348" s="4"/>
      <c r="H348" s="4"/>
      <c r="I348" s="4"/>
      <c r="J348" s="4"/>
      <c r="K348" s="4"/>
      <c r="L348" s="4"/>
      <c r="M348" s="4"/>
      <c r="N348" s="4"/>
      <c r="O348" s="4"/>
      <c r="P348" s="4"/>
      <c r="Q348" s="4"/>
      <c r="R348" s="4"/>
      <c r="S348" s="4"/>
      <c r="T348" s="4"/>
      <c r="U348" s="4"/>
      <c r="V348" s="4"/>
      <c r="W348" s="4"/>
      <c r="X348" s="4"/>
      <c r="Y348" s="4"/>
      <c r="Z348" s="4"/>
    </row>
    <row r="349" spans="1:26" ht="12.75">
      <c r="A349" s="4"/>
      <c r="B349" s="4"/>
      <c r="C349" s="15"/>
      <c r="D349" s="4"/>
      <c r="E349" s="4"/>
      <c r="F349" s="4"/>
      <c r="G349" s="4"/>
      <c r="H349" s="4"/>
      <c r="I349" s="4"/>
      <c r="J349" s="4"/>
      <c r="K349" s="4"/>
      <c r="L349" s="4"/>
      <c r="M349" s="4"/>
      <c r="N349" s="4"/>
      <c r="O349" s="4"/>
      <c r="P349" s="4"/>
      <c r="Q349" s="4"/>
      <c r="R349" s="4"/>
      <c r="S349" s="4"/>
      <c r="T349" s="4"/>
      <c r="U349" s="4"/>
      <c r="V349" s="4"/>
      <c r="W349" s="4"/>
      <c r="X349" s="4"/>
      <c r="Y349" s="4"/>
      <c r="Z349" s="4"/>
    </row>
    <row r="350" spans="1:26" ht="12.75">
      <c r="A350" s="4"/>
      <c r="B350" s="4"/>
      <c r="C350" s="15"/>
      <c r="D350" s="4"/>
      <c r="E350" s="4"/>
      <c r="F350" s="4"/>
      <c r="G350" s="4"/>
      <c r="H350" s="4"/>
      <c r="I350" s="4"/>
      <c r="J350" s="4"/>
      <c r="K350" s="4"/>
      <c r="L350" s="4"/>
      <c r="M350" s="4"/>
      <c r="N350" s="4"/>
      <c r="O350" s="4"/>
      <c r="P350" s="4"/>
      <c r="Q350" s="4"/>
      <c r="R350" s="4"/>
      <c r="S350" s="4"/>
      <c r="T350" s="4"/>
      <c r="U350" s="4"/>
      <c r="V350" s="4"/>
      <c r="W350" s="4"/>
      <c r="X350" s="4"/>
      <c r="Y350" s="4"/>
      <c r="Z350" s="4"/>
    </row>
    <row r="351" spans="1:26" ht="12.75">
      <c r="A351" s="4"/>
      <c r="B351" s="4"/>
      <c r="C351" s="15"/>
      <c r="D351" s="4"/>
      <c r="E351" s="4"/>
      <c r="F351" s="4"/>
      <c r="G351" s="4"/>
      <c r="H351" s="4"/>
      <c r="I351" s="4"/>
      <c r="J351" s="4"/>
      <c r="K351" s="4"/>
      <c r="L351" s="4"/>
      <c r="M351" s="4"/>
      <c r="N351" s="4"/>
      <c r="O351" s="4"/>
      <c r="P351" s="4"/>
      <c r="Q351" s="4"/>
      <c r="R351" s="4"/>
      <c r="S351" s="4"/>
      <c r="T351" s="4"/>
      <c r="U351" s="4"/>
      <c r="V351" s="4"/>
      <c r="W351" s="4"/>
      <c r="X351" s="4"/>
      <c r="Y351" s="4"/>
      <c r="Z351" s="4"/>
    </row>
    <row r="352" spans="1:26" ht="12.75">
      <c r="A352" s="4"/>
      <c r="B352" s="4"/>
      <c r="C352" s="15"/>
      <c r="D352" s="4"/>
      <c r="E352" s="4"/>
      <c r="F352" s="4"/>
      <c r="G352" s="4"/>
      <c r="H352" s="4"/>
      <c r="I352" s="4"/>
      <c r="J352" s="4"/>
      <c r="K352" s="4"/>
      <c r="L352" s="4"/>
      <c r="M352" s="4"/>
      <c r="N352" s="4"/>
      <c r="O352" s="4"/>
      <c r="P352" s="4"/>
      <c r="Q352" s="4"/>
      <c r="R352" s="4"/>
      <c r="S352" s="4"/>
      <c r="T352" s="4"/>
      <c r="U352" s="4"/>
      <c r="V352" s="4"/>
      <c r="W352" s="4"/>
      <c r="X352" s="4"/>
      <c r="Y352" s="4"/>
      <c r="Z352" s="4"/>
    </row>
    <row r="353" spans="1:26" ht="12.75">
      <c r="A353" s="4"/>
      <c r="B353" s="4"/>
      <c r="C353" s="15"/>
      <c r="D353" s="4"/>
      <c r="E353" s="4"/>
      <c r="F353" s="4"/>
      <c r="G353" s="4"/>
      <c r="H353" s="4"/>
      <c r="I353" s="4"/>
      <c r="J353" s="4"/>
      <c r="K353" s="4"/>
      <c r="L353" s="4"/>
      <c r="M353" s="4"/>
      <c r="N353" s="4"/>
      <c r="O353" s="4"/>
      <c r="P353" s="4"/>
      <c r="Q353" s="4"/>
      <c r="R353" s="4"/>
      <c r="S353" s="4"/>
      <c r="T353" s="4"/>
      <c r="U353" s="4"/>
      <c r="V353" s="4"/>
      <c r="W353" s="4"/>
      <c r="X353" s="4"/>
      <c r="Y353" s="4"/>
      <c r="Z353" s="4"/>
    </row>
    <row r="354" spans="1:26" ht="12.75">
      <c r="A354" s="4"/>
      <c r="B354" s="4"/>
      <c r="C354" s="15"/>
      <c r="D354" s="4"/>
      <c r="E354" s="4"/>
      <c r="F354" s="4"/>
      <c r="G354" s="4"/>
      <c r="H354" s="4"/>
      <c r="I354" s="4"/>
      <c r="J354" s="4"/>
      <c r="K354" s="4"/>
      <c r="L354" s="4"/>
      <c r="M354" s="4"/>
      <c r="N354" s="4"/>
      <c r="O354" s="4"/>
      <c r="P354" s="4"/>
      <c r="Q354" s="4"/>
      <c r="R354" s="4"/>
      <c r="S354" s="4"/>
      <c r="T354" s="4"/>
      <c r="U354" s="4"/>
      <c r="V354" s="4"/>
      <c r="W354" s="4"/>
      <c r="X354" s="4"/>
      <c r="Y354" s="4"/>
      <c r="Z354" s="4"/>
    </row>
    <row r="355" spans="1:26" ht="12.75">
      <c r="A355" s="4"/>
      <c r="B355" s="4"/>
      <c r="C355" s="15"/>
      <c r="D355" s="4"/>
      <c r="E355" s="4"/>
      <c r="F355" s="4"/>
      <c r="G355" s="4"/>
      <c r="H355" s="4"/>
      <c r="I355" s="4"/>
      <c r="J355" s="4"/>
      <c r="K355" s="4"/>
      <c r="L355" s="4"/>
      <c r="M355" s="4"/>
      <c r="N355" s="4"/>
      <c r="O355" s="4"/>
      <c r="P355" s="4"/>
      <c r="Q355" s="4"/>
      <c r="R355" s="4"/>
      <c r="S355" s="4"/>
      <c r="T355" s="4"/>
      <c r="U355" s="4"/>
      <c r="V355" s="4"/>
      <c r="W355" s="4"/>
      <c r="X355" s="4"/>
      <c r="Y355" s="4"/>
      <c r="Z355" s="4"/>
    </row>
    <row r="356" spans="1:26" ht="12.75">
      <c r="A356" s="4"/>
      <c r="B356" s="4"/>
      <c r="C356" s="15"/>
      <c r="D356" s="4"/>
      <c r="E356" s="4"/>
      <c r="F356" s="4"/>
      <c r="G356" s="4"/>
      <c r="H356" s="4"/>
      <c r="I356" s="4"/>
      <c r="J356" s="4"/>
      <c r="K356" s="4"/>
      <c r="L356" s="4"/>
      <c r="M356" s="4"/>
      <c r="N356" s="4"/>
      <c r="O356" s="4"/>
      <c r="P356" s="4"/>
      <c r="Q356" s="4"/>
      <c r="R356" s="4"/>
      <c r="S356" s="4"/>
      <c r="T356" s="4"/>
      <c r="U356" s="4"/>
      <c r="V356" s="4"/>
      <c r="W356" s="4"/>
      <c r="X356" s="4"/>
      <c r="Y356" s="4"/>
      <c r="Z356" s="4"/>
    </row>
    <row r="357" spans="1:26" ht="12.75">
      <c r="A357" s="4"/>
      <c r="B357" s="4"/>
      <c r="C357" s="15"/>
      <c r="D357" s="4"/>
      <c r="E357" s="4"/>
      <c r="F357" s="4"/>
      <c r="G357" s="4"/>
      <c r="H357" s="4"/>
      <c r="I357" s="4"/>
      <c r="J357" s="4"/>
      <c r="K357" s="4"/>
      <c r="L357" s="4"/>
      <c r="M357" s="4"/>
      <c r="N357" s="4"/>
      <c r="O357" s="4"/>
      <c r="P357" s="4"/>
      <c r="Q357" s="4"/>
      <c r="R357" s="4"/>
      <c r="S357" s="4"/>
      <c r="T357" s="4"/>
      <c r="U357" s="4"/>
      <c r="V357" s="4"/>
      <c r="W357" s="4"/>
      <c r="X357" s="4"/>
      <c r="Y357" s="4"/>
      <c r="Z357" s="4"/>
    </row>
    <row r="358" spans="1:26" ht="12.75">
      <c r="A358" s="4"/>
      <c r="B358" s="4"/>
      <c r="C358" s="15"/>
      <c r="D358" s="4"/>
      <c r="E358" s="4"/>
      <c r="F358" s="4"/>
      <c r="G358" s="4"/>
      <c r="H358" s="4"/>
      <c r="I358" s="4"/>
      <c r="J358" s="4"/>
      <c r="K358" s="4"/>
      <c r="L358" s="4"/>
      <c r="M358" s="4"/>
      <c r="N358" s="4"/>
      <c r="O358" s="4"/>
      <c r="P358" s="4"/>
      <c r="Q358" s="4"/>
      <c r="R358" s="4"/>
      <c r="S358" s="4"/>
      <c r="T358" s="4"/>
      <c r="U358" s="4"/>
      <c r="V358" s="4"/>
      <c r="W358" s="4"/>
      <c r="X358" s="4"/>
      <c r="Y358" s="4"/>
      <c r="Z358" s="4"/>
    </row>
    <row r="359" spans="1:26" ht="12.75">
      <c r="A359" s="4"/>
      <c r="B359" s="4"/>
      <c r="C359" s="15"/>
      <c r="D359" s="4"/>
      <c r="E359" s="4"/>
      <c r="F359" s="4"/>
      <c r="G359" s="4"/>
      <c r="H359" s="4"/>
      <c r="I359" s="4"/>
      <c r="J359" s="4"/>
      <c r="K359" s="4"/>
      <c r="L359" s="4"/>
      <c r="M359" s="4"/>
      <c r="N359" s="4"/>
      <c r="O359" s="4"/>
      <c r="P359" s="4"/>
      <c r="Q359" s="4"/>
      <c r="R359" s="4"/>
      <c r="S359" s="4"/>
      <c r="T359" s="4"/>
      <c r="U359" s="4"/>
      <c r="V359" s="4"/>
      <c r="W359" s="4"/>
      <c r="X359" s="4"/>
      <c r="Y359" s="4"/>
      <c r="Z359" s="4"/>
    </row>
    <row r="360" spans="1:26" ht="12.75">
      <c r="A360" s="4"/>
      <c r="B360" s="4"/>
      <c r="C360" s="15"/>
      <c r="D360" s="4"/>
      <c r="E360" s="4"/>
      <c r="F360" s="4"/>
      <c r="G360" s="4"/>
      <c r="H360" s="4"/>
      <c r="I360" s="4"/>
      <c r="J360" s="4"/>
      <c r="K360" s="4"/>
      <c r="L360" s="4"/>
      <c r="M360" s="4"/>
      <c r="N360" s="4"/>
      <c r="O360" s="4"/>
      <c r="P360" s="4"/>
      <c r="Q360" s="4"/>
      <c r="R360" s="4"/>
      <c r="S360" s="4"/>
      <c r="T360" s="4"/>
      <c r="U360" s="4"/>
      <c r="V360" s="4"/>
      <c r="W360" s="4"/>
      <c r="X360" s="4"/>
      <c r="Y360" s="4"/>
      <c r="Z360" s="4"/>
    </row>
    <row r="361" spans="1:26" ht="12.75">
      <c r="A361" s="4"/>
      <c r="B361" s="4"/>
      <c r="C361" s="15"/>
      <c r="D361" s="4"/>
      <c r="E361" s="4"/>
      <c r="F361" s="4"/>
      <c r="G361" s="4"/>
      <c r="H361" s="4"/>
      <c r="I361" s="4"/>
      <c r="J361" s="4"/>
      <c r="K361" s="4"/>
      <c r="L361" s="4"/>
      <c r="M361" s="4"/>
      <c r="N361" s="4"/>
      <c r="O361" s="4"/>
      <c r="P361" s="4"/>
      <c r="Q361" s="4"/>
      <c r="R361" s="4"/>
      <c r="S361" s="4"/>
      <c r="T361" s="4"/>
      <c r="U361" s="4"/>
      <c r="V361" s="4"/>
      <c r="W361" s="4"/>
      <c r="X361" s="4"/>
      <c r="Y361" s="4"/>
      <c r="Z361" s="4"/>
    </row>
    <row r="362" spans="1:26" ht="12.75">
      <c r="A362" s="4"/>
      <c r="B362" s="4"/>
      <c r="C362" s="15"/>
      <c r="D362" s="4"/>
      <c r="E362" s="4"/>
      <c r="F362" s="4"/>
      <c r="G362" s="4"/>
      <c r="H362" s="4"/>
      <c r="I362" s="4"/>
      <c r="J362" s="4"/>
      <c r="K362" s="4"/>
      <c r="L362" s="4"/>
      <c r="M362" s="4"/>
      <c r="N362" s="4"/>
      <c r="O362" s="4"/>
      <c r="P362" s="4"/>
      <c r="Q362" s="4"/>
      <c r="R362" s="4"/>
      <c r="S362" s="4"/>
      <c r="T362" s="4"/>
      <c r="U362" s="4"/>
      <c r="V362" s="4"/>
      <c r="W362" s="4"/>
      <c r="X362" s="4"/>
      <c r="Y362" s="4"/>
      <c r="Z362" s="4"/>
    </row>
    <row r="363" spans="1:26" ht="12.75">
      <c r="A363" s="4"/>
      <c r="B363" s="4"/>
      <c r="C363" s="15"/>
      <c r="D363" s="4"/>
      <c r="E363" s="4"/>
      <c r="F363" s="4"/>
      <c r="G363" s="4"/>
      <c r="H363" s="4"/>
      <c r="I363" s="4"/>
      <c r="J363" s="4"/>
      <c r="K363" s="4"/>
      <c r="L363" s="4"/>
      <c r="M363" s="4"/>
      <c r="N363" s="4"/>
      <c r="O363" s="4"/>
      <c r="P363" s="4"/>
      <c r="Q363" s="4"/>
      <c r="R363" s="4"/>
      <c r="S363" s="4"/>
      <c r="T363" s="4"/>
      <c r="U363" s="4"/>
      <c r="V363" s="4"/>
      <c r="W363" s="4"/>
      <c r="X363" s="4"/>
      <c r="Y363" s="4"/>
      <c r="Z363" s="4"/>
    </row>
    <row r="364" spans="1:26" ht="12.75">
      <c r="A364" s="4"/>
      <c r="B364" s="4"/>
      <c r="C364" s="15"/>
      <c r="D364" s="4"/>
      <c r="E364" s="4"/>
      <c r="F364" s="4"/>
      <c r="G364" s="4"/>
      <c r="H364" s="4"/>
      <c r="I364" s="4"/>
      <c r="J364" s="4"/>
      <c r="K364" s="4"/>
      <c r="L364" s="4"/>
      <c r="M364" s="4"/>
      <c r="N364" s="4"/>
      <c r="O364" s="4"/>
      <c r="P364" s="4"/>
      <c r="Q364" s="4"/>
      <c r="R364" s="4"/>
      <c r="S364" s="4"/>
      <c r="T364" s="4"/>
      <c r="U364" s="4"/>
      <c r="V364" s="4"/>
      <c r="W364" s="4"/>
      <c r="X364" s="4"/>
      <c r="Y364" s="4"/>
      <c r="Z364" s="4"/>
    </row>
    <row r="365" spans="1:26" ht="12.75">
      <c r="A365" s="4"/>
      <c r="B365" s="4"/>
      <c r="C365" s="15"/>
      <c r="D365" s="4"/>
      <c r="E365" s="4"/>
      <c r="F365" s="4"/>
      <c r="G365" s="4"/>
      <c r="H365" s="4"/>
      <c r="I365" s="4"/>
      <c r="J365" s="4"/>
      <c r="K365" s="4"/>
      <c r="L365" s="4"/>
      <c r="M365" s="4"/>
      <c r="N365" s="4"/>
      <c r="O365" s="4"/>
      <c r="P365" s="4"/>
      <c r="Q365" s="4"/>
      <c r="R365" s="4"/>
      <c r="S365" s="4"/>
      <c r="T365" s="4"/>
      <c r="U365" s="4"/>
      <c r="V365" s="4"/>
      <c r="W365" s="4"/>
      <c r="X365" s="4"/>
      <c r="Y365" s="4"/>
      <c r="Z365" s="4"/>
    </row>
    <row r="366" spans="1:26" ht="12.75">
      <c r="A366" s="4"/>
      <c r="B366" s="4"/>
      <c r="C366" s="15"/>
      <c r="D366" s="4"/>
      <c r="E366" s="4"/>
      <c r="F366" s="4"/>
      <c r="G366" s="4"/>
      <c r="H366" s="4"/>
      <c r="I366" s="4"/>
      <c r="J366" s="4"/>
      <c r="K366" s="4"/>
      <c r="L366" s="4"/>
      <c r="M366" s="4"/>
      <c r="N366" s="4"/>
      <c r="O366" s="4"/>
      <c r="P366" s="4"/>
      <c r="Q366" s="4"/>
      <c r="R366" s="4"/>
      <c r="S366" s="4"/>
      <c r="T366" s="4"/>
      <c r="U366" s="4"/>
      <c r="V366" s="4"/>
      <c r="W366" s="4"/>
      <c r="X366" s="4"/>
      <c r="Y366" s="4"/>
      <c r="Z366" s="4"/>
    </row>
    <row r="367" spans="1:26" ht="12.75">
      <c r="A367" s="4"/>
      <c r="B367" s="4"/>
      <c r="C367" s="15"/>
      <c r="D367" s="4"/>
      <c r="E367" s="4"/>
      <c r="F367" s="4"/>
      <c r="G367" s="4"/>
      <c r="H367" s="4"/>
      <c r="I367" s="4"/>
      <c r="J367" s="4"/>
      <c r="K367" s="4"/>
      <c r="L367" s="4"/>
      <c r="M367" s="4"/>
      <c r="N367" s="4"/>
      <c r="O367" s="4"/>
      <c r="P367" s="4"/>
      <c r="Q367" s="4"/>
      <c r="R367" s="4"/>
      <c r="S367" s="4"/>
      <c r="T367" s="4"/>
      <c r="U367" s="4"/>
      <c r="V367" s="4"/>
      <c r="W367" s="4"/>
      <c r="X367" s="4"/>
      <c r="Y367" s="4"/>
      <c r="Z367" s="4"/>
    </row>
    <row r="368" spans="1:26" ht="12.75">
      <c r="A368" s="4"/>
      <c r="B368" s="4"/>
      <c r="C368" s="15"/>
      <c r="D368" s="4"/>
      <c r="E368" s="4"/>
      <c r="F368" s="4"/>
      <c r="G368" s="4"/>
      <c r="H368" s="4"/>
      <c r="I368" s="4"/>
      <c r="J368" s="4"/>
      <c r="K368" s="4"/>
      <c r="L368" s="4"/>
      <c r="M368" s="4"/>
      <c r="N368" s="4"/>
      <c r="O368" s="4"/>
      <c r="P368" s="4"/>
      <c r="Q368" s="4"/>
      <c r="R368" s="4"/>
      <c r="S368" s="4"/>
      <c r="T368" s="4"/>
      <c r="U368" s="4"/>
      <c r="V368" s="4"/>
      <c r="W368" s="4"/>
      <c r="X368" s="4"/>
      <c r="Y368" s="4"/>
      <c r="Z368" s="4"/>
    </row>
    <row r="369" spans="1:26" ht="12.75">
      <c r="A369" s="4"/>
      <c r="B369" s="4"/>
      <c r="C369" s="15"/>
      <c r="D369" s="4"/>
      <c r="E369" s="4"/>
      <c r="F369" s="4"/>
      <c r="G369" s="4"/>
      <c r="H369" s="4"/>
      <c r="I369" s="4"/>
      <c r="J369" s="4"/>
      <c r="K369" s="4"/>
      <c r="L369" s="4"/>
      <c r="M369" s="4"/>
      <c r="N369" s="4"/>
      <c r="O369" s="4"/>
      <c r="P369" s="4"/>
      <c r="Q369" s="4"/>
      <c r="R369" s="4"/>
      <c r="S369" s="4"/>
      <c r="T369" s="4"/>
      <c r="U369" s="4"/>
      <c r="V369" s="4"/>
      <c r="W369" s="4"/>
      <c r="X369" s="4"/>
      <c r="Y369" s="4"/>
      <c r="Z369" s="4"/>
    </row>
    <row r="370" spans="1:26" ht="12.75">
      <c r="A370" s="4"/>
      <c r="B370" s="4"/>
      <c r="C370" s="15"/>
      <c r="D370" s="4"/>
      <c r="E370" s="4"/>
      <c r="F370" s="4"/>
      <c r="G370" s="4"/>
      <c r="H370" s="4"/>
      <c r="I370" s="4"/>
      <c r="J370" s="4"/>
      <c r="K370" s="4"/>
      <c r="L370" s="4"/>
      <c r="M370" s="4"/>
      <c r="N370" s="4"/>
      <c r="O370" s="4"/>
      <c r="P370" s="4"/>
      <c r="Q370" s="4"/>
      <c r="R370" s="4"/>
      <c r="S370" s="4"/>
      <c r="T370" s="4"/>
      <c r="U370" s="4"/>
      <c r="V370" s="4"/>
      <c r="W370" s="4"/>
      <c r="X370" s="4"/>
      <c r="Y370" s="4"/>
      <c r="Z370" s="4"/>
    </row>
    <row r="371" spans="1:26" ht="12.75">
      <c r="A371" s="4"/>
      <c r="B371" s="4"/>
      <c r="C371" s="15"/>
      <c r="D371" s="4"/>
      <c r="E371" s="4"/>
      <c r="F371" s="4"/>
      <c r="G371" s="4"/>
      <c r="H371" s="4"/>
      <c r="I371" s="4"/>
      <c r="J371" s="4"/>
      <c r="K371" s="4"/>
      <c r="L371" s="4"/>
      <c r="M371" s="4"/>
      <c r="N371" s="4"/>
      <c r="O371" s="4"/>
      <c r="P371" s="4"/>
      <c r="Q371" s="4"/>
      <c r="R371" s="4"/>
      <c r="S371" s="4"/>
      <c r="T371" s="4"/>
      <c r="U371" s="4"/>
      <c r="V371" s="4"/>
      <c r="W371" s="4"/>
      <c r="X371" s="4"/>
      <c r="Y371" s="4"/>
      <c r="Z371" s="4"/>
    </row>
    <row r="372" spans="1:26" ht="12.75">
      <c r="A372" s="4"/>
      <c r="B372" s="4"/>
      <c r="C372" s="15"/>
      <c r="D372" s="4"/>
      <c r="E372" s="4"/>
      <c r="F372" s="4"/>
      <c r="G372" s="4"/>
      <c r="H372" s="4"/>
      <c r="I372" s="4"/>
      <c r="J372" s="4"/>
      <c r="K372" s="4"/>
      <c r="L372" s="4"/>
      <c r="M372" s="4"/>
      <c r="N372" s="4"/>
      <c r="O372" s="4"/>
      <c r="P372" s="4"/>
      <c r="Q372" s="4"/>
      <c r="R372" s="4"/>
      <c r="S372" s="4"/>
      <c r="T372" s="4"/>
      <c r="U372" s="4"/>
      <c r="V372" s="4"/>
      <c r="W372" s="4"/>
      <c r="X372" s="4"/>
      <c r="Y372" s="4"/>
      <c r="Z372" s="4"/>
    </row>
    <row r="373" spans="1:26" ht="12.75">
      <c r="A373" s="4"/>
      <c r="B373" s="4"/>
      <c r="C373" s="15"/>
      <c r="D373" s="4"/>
      <c r="E373" s="4"/>
      <c r="F373" s="4"/>
      <c r="G373" s="4"/>
      <c r="H373" s="4"/>
      <c r="I373" s="4"/>
      <c r="J373" s="4"/>
      <c r="K373" s="4"/>
      <c r="L373" s="4"/>
      <c r="M373" s="4"/>
      <c r="N373" s="4"/>
      <c r="O373" s="4"/>
      <c r="P373" s="4"/>
      <c r="Q373" s="4"/>
      <c r="R373" s="4"/>
      <c r="S373" s="4"/>
      <c r="T373" s="4"/>
      <c r="U373" s="4"/>
      <c r="V373" s="4"/>
      <c r="W373" s="4"/>
      <c r="X373" s="4"/>
      <c r="Y373" s="4"/>
      <c r="Z373" s="4"/>
    </row>
    <row r="374" spans="1:26" ht="12.75">
      <c r="A374" s="4"/>
      <c r="B374" s="4"/>
      <c r="C374" s="15"/>
      <c r="D374" s="4"/>
      <c r="E374" s="4"/>
      <c r="F374" s="4"/>
      <c r="G374" s="4"/>
      <c r="H374" s="4"/>
      <c r="I374" s="4"/>
      <c r="J374" s="4"/>
      <c r="K374" s="4"/>
      <c r="L374" s="4"/>
      <c r="M374" s="4"/>
      <c r="N374" s="4"/>
      <c r="O374" s="4"/>
      <c r="P374" s="4"/>
      <c r="Q374" s="4"/>
      <c r="R374" s="4"/>
      <c r="S374" s="4"/>
      <c r="T374" s="4"/>
      <c r="U374" s="4"/>
      <c r="V374" s="4"/>
      <c r="W374" s="4"/>
      <c r="X374" s="4"/>
      <c r="Y374" s="4"/>
      <c r="Z374" s="4"/>
    </row>
    <row r="375" spans="1:26" ht="12.75">
      <c r="A375" s="4"/>
      <c r="B375" s="4"/>
      <c r="C375" s="15"/>
      <c r="D375" s="4"/>
      <c r="E375" s="4"/>
      <c r="F375" s="4"/>
      <c r="G375" s="4"/>
      <c r="H375" s="4"/>
      <c r="I375" s="4"/>
      <c r="J375" s="4"/>
      <c r="K375" s="4"/>
      <c r="L375" s="4"/>
      <c r="M375" s="4"/>
      <c r="N375" s="4"/>
      <c r="O375" s="4"/>
      <c r="P375" s="4"/>
      <c r="Q375" s="4"/>
      <c r="R375" s="4"/>
      <c r="S375" s="4"/>
      <c r="T375" s="4"/>
      <c r="U375" s="4"/>
      <c r="V375" s="4"/>
      <c r="W375" s="4"/>
      <c r="X375" s="4"/>
      <c r="Y375" s="4"/>
      <c r="Z375" s="4"/>
    </row>
    <row r="376" spans="1:26" ht="12.75">
      <c r="A376" s="4"/>
      <c r="B376" s="4"/>
      <c r="C376" s="15"/>
      <c r="D376" s="4"/>
      <c r="E376" s="4"/>
      <c r="F376" s="4"/>
      <c r="G376" s="4"/>
      <c r="H376" s="4"/>
      <c r="I376" s="4"/>
      <c r="J376" s="4"/>
      <c r="K376" s="4"/>
      <c r="L376" s="4"/>
      <c r="M376" s="4"/>
      <c r="N376" s="4"/>
      <c r="O376" s="4"/>
      <c r="P376" s="4"/>
      <c r="Q376" s="4"/>
      <c r="R376" s="4"/>
      <c r="S376" s="4"/>
      <c r="T376" s="4"/>
      <c r="U376" s="4"/>
      <c r="V376" s="4"/>
      <c r="W376" s="4"/>
      <c r="X376" s="4"/>
      <c r="Y376" s="4"/>
      <c r="Z376" s="4"/>
    </row>
    <row r="377" spans="1:26" ht="12.75">
      <c r="A377" s="4"/>
      <c r="B377" s="4"/>
      <c r="C377" s="15"/>
      <c r="D377" s="4"/>
      <c r="E377" s="4"/>
      <c r="F377" s="4"/>
      <c r="G377" s="4"/>
      <c r="H377" s="4"/>
      <c r="I377" s="4"/>
      <c r="J377" s="4"/>
      <c r="K377" s="4"/>
      <c r="L377" s="4"/>
      <c r="M377" s="4"/>
      <c r="N377" s="4"/>
      <c r="O377" s="4"/>
      <c r="P377" s="4"/>
      <c r="Q377" s="4"/>
      <c r="R377" s="4"/>
      <c r="S377" s="4"/>
      <c r="T377" s="4"/>
      <c r="U377" s="4"/>
      <c r="V377" s="4"/>
      <c r="W377" s="4"/>
      <c r="X377" s="4"/>
      <c r="Y377" s="4"/>
      <c r="Z377" s="4"/>
    </row>
    <row r="378" spans="1:26" ht="12.75">
      <c r="A378" s="4"/>
      <c r="B378" s="4"/>
      <c r="C378" s="15"/>
      <c r="D378" s="4"/>
      <c r="E378" s="4"/>
      <c r="F378" s="4"/>
      <c r="G378" s="4"/>
      <c r="H378" s="4"/>
      <c r="I378" s="4"/>
      <c r="J378" s="4"/>
      <c r="K378" s="4"/>
      <c r="L378" s="4"/>
      <c r="M378" s="4"/>
      <c r="N378" s="4"/>
      <c r="O378" s="4"/>
      <c r="P378" s="4"/>
      <c r="Q378" s="4"/>
      <c r="R378" s="4"/>
      <c r="S378" s="4"/>
      <c r="T378" s="4"/>
      <c r="U378" s="4"/>
      <c r="V378" s="4"/>
      <c r="W378" s="4"/>
      <c r="X378" s="4"/>
      <c r="Y378" s="4"/>
      <c r="Z378" s="4"/>
    </row>
    <row r="379" spans="1:26" ht="12.75">
      <c r="A379" s="4"/>
      <c r="B379" s="4"/>
      <c r="C379" s="15"/>
      <c r="D379" s="4"/>
      <c r="E379" s="4"/>
      <c r="F379" s="4"/>
      <c r="G379" s="4"/>
      <c r="H379" s="4"/>
      <c r="I379" s="4"/>
      <c r="J379" s="4"/>
      <c r="K379" s="4"/>
      <c r="L379" s="4"/>
      <c r="M379" s="4"/>
      <c r="N379" s="4"/>
      <c r="O379" s="4"/>
      <c r="P379" s="4"/>
      <c r="Q379" s="4"/>
      <c r="R379" s="4"/>
      <c r="S379" s="4"/>
      <c r="T379" s="4"/>
      <c r="U379" s="4"/>
      <c r="V379" s="4"/>
      <c r="W379" s="4"/>
      <c r="X379" s="4"/>
      <c r="Y379" s="4"/>
      <c r="Z379" s="4"/>
    </row>
    <row r="380" spans="1:26" ht="12.75">
      <c r="A380" s="4"/>
      <c r="B380" s="4"/>
      <c r="C380" s="15"/>
      <c r="D380" s="4"/>
      <c r="E380" s="4"/>
      <c r="F380" s="4"/>
      <c r="G380" s="4"/>
      <c r="H380" s="4"/>
      <c r="I380" s="4"/>
      <c r="J380" s="4"/>
      <c r="K380" s="4"/>
      <c r="L380" s="4"/>
      <c r="M380" s="4"/>
      <c r="N380" s="4"/>
      <c r="O380" s="4"/>
      <c r="P380" s="4"/>
      <c r="Q380" s="4"/>
      <c r="R380" s="4"/>
      <c r="S380" s="4"/>
      <c r="T380" s="4"/>
      <c r="U380" s="4"/>
      <c r="V380" s="4"/>
      <c r="W380" s="4"/>
      <c r="X380" s="4"/>
      <c r="Y380" s="4"/>
      <c r="Z380" s="4"/>
    </row>
    <row r="381" spans="1:26" ht="12.75">
      <c r="A381" s="4"/>
      <c r="B381" s="4"/>
      <c r="C381" s="15"/>
      <c r="D381" s="4"/>
      <c r="E381" s="4"/>
      <c r="F381" s="4"/>
      <c r="G381" s="4"/>
      <c r="H381" s="4"/>
      <c r="I381" s="4"/>
      <c r="J381" s="4"/>
      <c r="K381" s="4"/>
      <c r="L381" s="4"/>
      <c r="M381" s="4"/>
      <c r="N381" s="4"/>
      <c r="O381" s="4"/>
      <c r="P381" s="4"/>
      <c r="Q381" s="4"/>
      <c r="R381" s="4"/>
      <c r="S381" s="4"/>
      <c r="T381" s="4"/>
      <c r="U381" s="4"/>
      <c r="V381" s="4"/>
      <c r="W381" s="4"/>
      <c r="X381" s="4"/>
      <c r="Y381" s="4"/>
      <c r="Z381" s="4"/>
    </row>
    <row r="382" spans="1:26" ht="12.75">
      <c r="A382" s="4"/>
      <c r="B382" s="4"/>
      <c r="C382" s="15"/>
      <c r="D382" s="4"/>
      <c r="E382" s="4"/>
      <c r="F382" s="4"/>
      <c r="G382" s="4"/>
      <c r="H382" s="4"/>
      <c r="I382" s="4"/>
      <c r="J382" s="4"/>
      <c r="K382" s="4"/>
      <c r="L382" s="4"/>
      <c r="M382" s="4"/>
      <c r="N382" s="4"/>
      <c r="O382" s="4"/>
      <c r="P382" s="4"/>
      <c r="Q382" s="4"/>
      <c r="R382" s="4"/>
      <c r="S382" s="4"/>
      <c r="T382" s="4"/>
      <c r="U382" s="4"/>
      <c r="V382" s="4"/>
      <c r="W382" s="4"/>
      <c r="X382" s="4"/>
      <c r="Y382" s="4"/>
      <c r="Z382" s="4"/>
    </row>
    <row r="383" spans="1:26" ht="12.75">
      <c r="A383" s="4"/>
      <c r="B383" s="4"/>
      <c r="C383" s="15"/>
      <c r="D383" s="4"/>
      <c r="E383" s="4"/>
      <c r="F383" s="4"/>
      <c r="G383" s="4"/>
      <c r="H383" s="4"/>
      <c r="I383" s="4"/>
      <c r="J383" s="4"/>
      <c r="K383" s="4"/>
      <c r="L383" s="4"/>
      <c r="M383" s="4"/>
      <c r="N383" s="4"/>
      <c r="O383" s="4"/>
      <c r="P383" s="4"/>
      <c r="Q383" s="4"/>
      <c r="R383" s="4"/>
      <c r="S383" s="4"/>
      <c r="T383" s="4"/>
      <c r="U383" s="4"/>
      <c r="V383" s="4"/>
      <c r="W383" s="4"/>
      <c r="X383" s="4"/>
      <c r="Y383" s="4"/>
      <c r="Z383" s="4"/>
    </row>
    <row r="384" spans="1:26" ht="12.75">
      <c r="A384" s="4"/>
      <c r="B384" s="4"/>
      <c r="C384" s="15"/>
      <c r="D384" s="4"/>
      <c r="E384" s="4"/>
      <c r="F384" s="4"/>
      <c r="G384" s="4"/>
      <c r="H384" s="4"/>
      <c r="I384" s="4"/>
      <c r="J384" s="4"/>
      <c r="K384" s="4"/>
      <c r="L384" s="4"/>
      <c r="M384" s="4"/>
      <c r="N384" s="4"/>
      <c r="O384" s="4"/>
      <c r="P384" s="4"/>
      <c r="Q384" s="4"/>
      <c r="R384" s="4"/>
      <c r="S384" s="4"/>
      <c r="T384" s="4"/>
      <c r="U384" s="4"/>
      <c r="V384" s="4"/>
      <c r="W384" s="4"/>
      <c r="X384" s="4"/>
      <c r="Y384" s="4"/>
      <c r="Z384" s="4"/>
    </row>
    <row r="385" spans="1:26" ht="12.75">
      <c r="A385" s="4"/>
      <c r="B385" s="4"/>
      <c r="C385" s="15"/>
      <c r="D385" s="4"/>
      <c r="E385" s="4"/>
      <c r="F385" s="4"/>
      <c r="G385" s="4"/>
      <c r="H385" s="4"/>
      <c r="I385" s="4"/>
      <c r="J385" s="4"/>
      <c r="K385" s="4"/>
      <c r="L385" s="4"/>
      <c r="M385" s="4"/>
      <c r="N385" s="4"/>
      <c r="O385" s="4"/>
      <c r="P385" s="4"/>
      <c r="Q385" s="4"/>
      <c r="R385" s="4"/>
      <c r="S385" s="4"/>
      <c r="T385" s="4"/>
      <c r="U385" s="4"/>
      <c r="V385" s="4"/>
      <c r="W385" s="4"/>
      <c r="X385" s="4"/>
      <c r="Y385" s="4"/>
      <c r="Z385" s="4"/>
    </row>
    <row r="386" spans="1:26" ht="12.75">
      <c r="A386" s="4"/>
      <c r="B386" s="4"/>
      <c r="C386" s="15"/>
      <c r="D386" s="4"/>
      <c r="E386" s="4"/>
      <c r="F386" s="4"/>
      <c r="G386" s="4"/>
      <c r="H386" s="4"/>
      <c r="I386" s="4"/>
      <c r="J386" s="4"/>
      <c r="K386" s="4"/>
      <c r="L386" s="4"/>
      <c r="M386" s="4"/>
      <c r="N386" s="4"/>
      <c r="O386" s="4"/>
      <c r="P386" s="4"/>
      <c r="Q386" s="4"/>
      <c r="R386" s="4"/>
      <c r="S386" s="4"/>
      <c r="T386" s="4"/>
      <c r="U386" s="4"/>
      <c r="V386" s="4"/>
      <c r="W386" s="4"/>
      <c r="X386" s="4"/>
      <c r="Y386" s="4"/>
      <c r="Z386" s="4"/>
    </row>
    <row r="387" spans="1:26" ht="12.75">
      <c r="A387" s="4"/>
      <c r="B387" s="4"/>
      <c r="C387" s="15"/>
      <c r="D387" s="4"/>
      <c r="E387" s="4"/>
      <c r="F387" s="4"/>
      <c r="G387" s="4"/>
      <c r="H387" s="4"/>
      <c r="I387" s="4"/>
      <c r="J387" s="4"/>
      <c r="K387" s="4"/>
      <c r="L387" s="4"/>
      <c r="M387" s="4"/>
      <c r="N387" s="4"/>
      <c r="O387" s="4"/>
      <c r="P387" s="4"/>
      <c r="Q387" s="4"/>
      <c r="R387" s="4"/>
      <c r="S387" s="4"/>
      <c r="T387" s="4"/>
      <c r="U387" s="4"/>
      <c r="V387" s="4"/>
      <c r="W387" s="4"/>
      <c r="X387" s="4"/>
      <c r="Y387" s="4"/>
      <c r="Z387" s="4"/>
    </row>
    <row r="388" spans="1:26" ht="12.75">
      <c r="A388" s="4"/>
      <c r="B388" s="4"/>
      <c r="C388" s="15"/>
      <c r="D388" s="4"/>
      <c r="E388" s="4"/>
      <c r="F388" s="4"/>
      <c r="G388" s="4"/>
      <c r="H388" s="4"/>
      <c r="I388" s="4"/>
      <c r="J388" s="4"/>
      <c r="K388" s="4"/>
      <c r="L388" s="4"/>
      <c r="M388" s="4"/>
      <c r="N388" s="4"/>
      <c r="O388" s="4"/>
      <c r="P388" s="4"/>
      <c r="Q388" s="4"/>
      <c r="R388" s="4"/>
      <c r="S388" s="4"/>
      <c r="T388" s="4"/>
      <c r="U388" s="4"/>
      <c r="V388" s="4"/>
      <c r="W388" s="4"/>
      <c r="X388" s="4"/>
      <c r="Y388" s="4"/>
      <c r="Z388" s="4"/>
    </row>
    <row r="389" spans="1:26" ht="12.75">
      <c r="A389" s="4"/>
      <c r="B389" s="4"/>
      <c r="C389" s="15"/>
      <c r="D389" s="4"/>
      <c r="E389" s="4"/>
      <c r="F389" s="4"/>
      <c r="G389" s="4"/>
      <c r="H389" s="4"/>
      <c r="I389" s="4"/>
      <c r="J389" s="4"/>
      <c r="K389" s="4"/>
      <c r="L389" s="4"/>
      <c r="M389" s="4"/>
      <c r="N389" s="4"/>
      <c r="O389" s="4"/>
      <c r="P389" s="4"/>
      <c r="Q389" s="4"/>
      <c r="R389" s="4"/>
      <c r="S389" s="4"/>
      <c r="T389" s="4"/>
      <c r="U389" s="4"/>
      <c r="V389" s="4"/>
      <c r="W389" s="4"/>
      <c r="X389" s="4"/>
      <c r="Y389" s="4"/>
      <c r="Z389" s="4"/>
    </row>
    <row r="390" spans="1:26" ht="12.75">
      <c r="A390" s="4"/>
      <c r="B390" s="4"/>
      <c r="C390" s="15"/>
      <c r="D390" s="4"/>
      <c r="E390" s="4"/>
      <c r="F390" s="4"/>
      <c r="G390" s="4"/>
      <c r="H390" s="4"/>
      <c r="I390" s="4"/>
      <c r="J390" s="4"/>
      <c r="K390" s="4"/>
      <c r="L390" s="4"/>
      <c r="M390" s="4"/>
      <c r="N390" s="4"/>
      <c r="O390" s="4"/>
      <c r="P390" s="4"/>
      <c r="Q390" s="4"/>
      <c r="R390" s="4"/>
      <c r="S390" s="4"/>
      <c r="T390" s="4"/>
      <c r="U390" s="4"/>
      <c r="V390" s="4"/>
      <c r="W390" s="4"/>
      <c r="X390" s="4"/>
      <c r="Y390" s="4"/>
      <c r="Z390" s="4"/>
    </row>
    <row r="391" spans="1:26" ht="12.75">
      <c r="A391" s="4"/>
      <c r="B391" s="4"/>
      <c r="C391" s="15"/>
      <c r="D391" s="4"/>
      <c r="E391" s="4"/>
      <c r="F391" s="4"/>
      <c r="G391" s="4"/>
      <c r="H391" s="4"/>
      <c r="I391" s="4"/>
      <c r="J391" s="4"/>
      <c r="K391" s="4"/>
      <c r="L391" s="4"/>
      <c r="M391" s="4"/>
      <c r="N391" s="4"/>
      <c r="O391" s="4"/>
      <c r="P391" s="4"/>
      <c r="Q391" s="4"/>
      <c r="R391" s="4"/>
      <c r="S391" s="4"/>
      <c r="T391" s="4"/>
      <c r="U391" s="4"/>
      <c r="V391" s="4"/>
      <c r="W391" s="4"/>
      <c r="X391" s="4"/>
      <c r="Y391" s="4"/>
      <c r="Z391" s="4"/>
    </row>
    <row r="392" spans="1:26" ht="12.75">
      <c r="A392" s="4"/>
      <c r="B392" s="4"/>
      <c r="C392" s="15"/>
      <c r="D392" s="4"/>
      <c r="E392" s="4"/>
      <c r="F392" s="4"/>
      <c r="G392" s="4"/>
      <c r="H392" s="4"/>
      <c r="I392" s="4"/>
      <c r="J392" s="4"/>
      <c r="K392" s="4"/>
      <c r="L392" s="4"/>
      <c r="M392" s="4"/>
      <c r="N392" s="4"/>
      <c r="O392" s="4"/>
      <c r="P392" s="4"/>
      <c r="Q392" s="4"/>
      <c r="R392" s="4"/>
      <c r="S392" s="4"/>
      <c r="T392" s="4"/>
      <c r="U392" s="4"/>
      <c r="V392" s="4"/>
      <c r="W392" s="4"/>
      <c r="X392" s="4"/>
      <c r="Y392" s="4"/>
      <c r="Z392" s="4"/>
    </row>
    <row r="393" spans="1:26" ht="12.75">
      <c r="A393" s="4"/>
      <c r="B393" s="4"/>
      <c r="C393" s="15"/>
      <c r="D393" s="4"/>
      <c r="E393" s="4"/>
      <c r="F393" s="4"/>
      <c r="G393" s="4"/>
      <c r="H393" s="4"/>
      <c r="I393" s="4"/>
      <c r="J393" s="4"/>
      <c r="K393" s="4"/>
      <c r="L393" s="4"/>
      <c r="M393" s="4"/>
      <c r="N393" s="4"/>
      <c r="O393" s="4"/>
      <c r="P393" s="4"/>
      <c r="Q393" s="4"/>
      <c r="R393" s="4"/>
      <c r="S393" s="4"/>
      <c r="T393" s="4"/>
      <c r="U393" s="4"/>
      <c r="V393" s="4"/>
      <c r="W393" s="4"/>
      <c r="X393" s="4"/>
      <c r="Y393" s="4"/>
      <c r="Z393" s="4"/>
    </row>
    <row r="394" spans="1:26" ht="12.75">
      <c r="A394" s="4"/>
      <c r="B394" s="4"/>
      <c r="C394" s="15"/>
      <c r="D394" s="4"/>
      <c r="E394" s="4"/>
      <c r="F394" s="4"/>
      <c r="G394" s="4"/>
      <c r="H394" s="4"/>
      <c r="I394" s="4"/>
      <c r="J394" s="4"/>
      <c r="K394" s="4"/>
      <c r="L394" s="4"/>
      <c r="M394" s="4"/>
      <c r="N394" s="4"/>
      <c r="O394" s="4"/>
      <c r="P394" s="4"/>
      <c r="Q394" s="4"/>
      <c r="R394" s="4"/>
      <c r="S394" s="4"/>
      <c r="T394" s="4"/>
      <c r="U394" s="4"/>
      <c r="V394" s="4"/>
      <c r="W394" s="4"/>
      <c r="X394" s="4"/>
      <c r="Y394" s="4"/>
      <c r="Z394" s="4"/>
    </row>
    <row r="395" spans="1:26" ht="12.75">
      <c r="A395" s="4"/>
      <c r="B395" s="4"/>
      <c r="C395" s="15"/>
      <c r="D395" s="4"/>
      <c r="E395" s="4"/>
      <c r="F395" s="4"/>
      <c r="G395" s="4"/>
      <c r="H395" s="4"/>
      <c r="I395" s="4"/>
      <c r="J395" s="4"/>
      <c r="K395" s="4"/>
      <c r="L395" s="4"/>
      <c r="M395" s="4"/>
      <c r="N395" s="4"/>
      <c r="O395" s="4"/>
      <c r="P395" s="4"/>
      <c r="Q395" s="4"/>
      <c r="R395" s="4"/>
      <c r="S395" s="4"/>
      <c r="T395" s="4"/>
      <c r="U395" s="4"/>
      <c r="V395" s="4"/>
      <c r="W395" s="4"/>
      <c r="X395" s="4"/>
      <c r="Y395" s="4"/>
      <c r="Z395" s="4"/>
    </row>
    <row r="396" spans="1:26" ht="12.75">
      <c r="A396" s="4"/>
      <c r="B396" s="4"/>
      <c r="C396" s="15"/>
      <c r="D396" s="4"/>
      <c r="E396" s="4"/>
      <c r="F396" s="4"/>
      <c r="G396" s="4"/>
      <c r="H396" s="4"/>
      <c r="I396" s="4"/>
      <c r="J396" s="4"/>
      <c r="K396" s="4"/>
      <c r="L396" s="4"/>
      <c r="M396" s="4"/>
      <c r="N396" s="4"/>
      <c r="O396" s="4"/>
      <c r="P396" s="4"/>
      <c r="Q396" s="4"/>
      <c r="R396" s="4"/>
      <c r="S396" s="4"/>
      <c r="T396" s="4"/>
      <c r="U396" s="4"/>
      <c r="V396" s="4"/>
      <c r="W396" s="4"/>
      <c r="X396" s="4"/>
      <c r="Y396" s="4"/>
      <c r="Z396" s="4"/>
    </row>
    <row r="397" spans="1:26" ht="12.75">
      <c r="A397" s="4"/>
      <c r="B397" s="4"/>
      <c r="C397" s="15"/>
      <c r="D397" s="4"/>
      <c r="E397" s="4"/>
      <c r="F397" s="4"/>
      <c r="G397" s="4"/>
      <c r="H397" s="4"/>
      <c r="I397" s="4"/>
      <c r="J397" s="4"/>
      <c r="K397" s="4"/>
      <c r="L397" s="4"/>
      <c r="M397" s="4"/>
      <c r="N397" s="4"/>
      <c r="O397" s="4"/>
      <c r="P397" s="4"/>
      <c r="Q397" s="4"/>
      <c r="R397" s="4"/>
      <c r="S397" s="4"/>
      <c r="T397" s="4"/>
      <c r="U397" s="4"/>
      <c r="V397" s="4"/>
      <c r="W397" s="4"/>
      <c r="X397" s="4"/>
      <c r="Y397" s="4"/>
      <c r="Z397" s="4"/>
    </row>
    <row r="398" spans="1:26" ht="12.75">
      <c r="A398" s="4"/>
      <c r="B398" s="4"/>
      <c r="C398" s="15"/>
      <c r="D398" s="4"/>
      <c r="E398" s="4"/>
      <c r="F398" s="4"/>
      <c r="G398" s="4"/>
      <c r="H398" s="4"/>
      <c r="I398" s="4"/>
      <c r="J398" s="4"/>
      <c r="K398" s="4"/>
      <c r="L398" s="4"/>
      <c r="M398" s="4"/>
      <c r="N398" s="4"/>
      <c r="O398" s="4"/>
      <c r="P398" s="4"/>
      <c r="Q398" s="4"/>
      <c r="R398" s="4"/>
      <c r="S398" s="4"/>
      <c r="T398" s="4"/>
      <c r="U398" s="4"/>
      <c r="V398" s="4"/>
      <c r="W398" s="4"/>
      <c r="X398" s="4"/>
      <c r="Y398" s="4"/>
      <c r="Z398" s="4"/>
    </row>
    <row r="399" spans="1:26" ht="12.75">
      <c r="A399" s="4"/>
      <c r="B399" s="4"/>
      <c r="C399" s="15"/>
      <c r="D399" s="4"/>
      <c r="E399" s="4"/>
      <c r="F399" s="4"/>
      <c r="G399" s="4"/>
      <c r="H399" s="4"/>
      <c r="I399" s="4"/>
      <c r="J399" s="4"/>
      <c r="K399" s="4"/>
      <c r="L399" s="4"/>
      <c r="M399" s="4"/>
      <c r="N399" s="4"/>
      <c r="O399" s="4"/>
      <c r="P399" s="4"/>
      <c r="Q399" s="4"/>
      <c r="R399" s="4"/>
      <c r="S399" s="4"/>
      <c r="T399" s="4"/>
      <c r="U399" s="4"/>
      <c r="V399" s="4"/>
      <c r="W399" s="4"/>
      <c r="X399" s="4"/>
      <c r="Y399" s="4"/>
      <c r="Z399" s="4"/>
    </row>
    <row r="400" spans="1:26" ht="12.75">
      <c r="A400" s="4"/>
      <c r="B400" s="4"/>
      <c r="C400" s="15"/>
      <c r="D400" s="4"/>
      <c r="E400" s="4"/>
      <c r="F400" s="4"/>
      <c r="G400" s="4"/>
      <c r="H400" s="4"/>
      <c r="I400" s="4"/>
      <c r="J400" s="4"/>
      <c r="K400" s="4"/>
      <c r="L400" s="4"/>
      <c r="M400" s="4"/>
      <c r="N400" s="4"/>
      <c r="O400" s="4"/>
      <c r="P400" s="4"/>
      <c r="Q400" s="4"/>
      <c r="R400" s="4"/>
      <c r="S400" s="4"/>
      <c r="T400" s="4"/>
      <c r="U400" s="4"/>
      <c r="V400" s="4"/>
      <c r="W400" s="4"/>
      <c r="X400" s="4"/>
      <c r="Y400" s="4"/>
      <c r="Z400" s="4"/>
    </row>
    <row r="401" spans="1:26" ht="12.75">
      <c r="A401" s="4"/>
      <c r="B401" s="4"/>
      <c r="C401" s="15"/>
      <c r="D401" s="4"/>
      <c r="E401" s="4"/>
      <c r="F401" s="4"/>
      <c r="G401" s="4"/>
      <c r="H401" s="4"/>
      <c r="I401" s="4"/>
      <c r="J401" s="4"/>
      <c r="K401" s="4"/>
      <c r="L401" s="4"/>
      <c r="M401" s="4"/>
      <c r="N401" s="4"/>
      <c r="O401" s="4"/>
      <c r="P401" s="4"/>
      <c r="Q401" s="4"/>
      <c r="R401" s="4"/>
      <c r="S401" s="4"/>
      <c r="T401" s="4"/>
      <c r="U401" s="4"/>
      <c r="V401" s="4"/>
      <c r="W401" s="4"/>
      <c r="X401" s="4"/>
      <c r="Y401" s="4"/>
      <c r="Z401" s="4"/>
    </row>
    <row r="402" spans="1:26" ht="12.75">
      <c r="A402" s="4"/>
      <c r="B402" s="4"/>
      <c r="C402" s="15"/>
      <c r="D402" s="4"/>
      <c r="E402" s="4"/>
      <c r="F402" s="4"/>
      <c r="G402" s="4"/>
      <c r="H402" s="4"/>
      <c r="I402" s="4"/>
      <c r="J402" s="4"/>
      <c r="K402" s="4"/>
      <c r="L402" s="4"/>
      <c r="M402" s="4"/>
      <c r="N402" s="4"/>
      <c r="O402" s="4"/>
      <c r="P402" s="4"/>
      <c r="Q402" s="4"/>
      <c r="R402" s="4"/>
      <c r="S402" s="4"/>
      <c r="T402" s="4"/>
      <c r="U402" s="4"/>
      <c r="V402" s="4"/>
      <c r="W402" s="4"/>
      <c r="X402" s="4"/>
      <c r="Y402" s="4"/>
      <c r="Z402" s="4"/>
    </row>
    <row r="403" spans="1:26" ht="12.75">
      <c r="A403" s="4"/>
      <c r="B403" s="4"/>
      <c r="C403" s="15"/>
      <c r="D403" s="4"/>
      <c r="E403" s="4"/>
      <c r="F403" s="4"/>
      <c r="G403" s="4"/>
      <c r="H403" s="4"/>
      <c r="I403" s="4"/>
      <c r="J403" s="4"/>
      <c r="K403" s="4"/>
      <c r="L403" s="4"/>
      <c r="M403" s="4"/>
      <c r="N403" s="4"/>
      <c r="O403" s="4"/>
      <c r="P403" s="4"/>
      <c r="Q403" s="4"/>
      <c r="R403" s="4"/>
      <c r="S403" s="4"/>
      <c r="T403" s="4"/>
      <c r="U403" s="4"/>
      <c r="V403" s="4"/>
      <c r="W403" s="4"/>
      <c r="X403" s="4"/>
      <c r="Y403" s="4"/>
      <c r="Z403" s="4"/>
    </row>
    <row r="404" spans="1:26" ht="12.75">
      <c r="A404" s="4"/>
      <c r="B404" s="4"/>
      <c r="C404" s="15"/>
      <c r="D404" s="4"/>
      <c r="E404" s="4"/>
      <c r="F404" s="4"/>
      <c r="G404" s="4"/>
      <c r="H404" s="4"/>
      <c r="I404" s="4"/>
      <c r="J404" s="4"/>
      <c r="K404" s="4"/>
      <c r="L404" s="4"/>
      <c r="M404" s="4"/>
      <c r="N404" s="4"/>
      <c r="O404" s="4"/>
      <c r="P404" s="4"/>
      <c r="Q404" s="4"/>
      <c r="R404" s="4"/>
      <c r="S404" s="4"/>
      <c r="T404" s="4"/>
      <c r="U404" s="4"/>
      <c r="V404" s="4"/>
      <c r="W404" s="4"/>
      <c r="X404" s="4"/>
      <c r="Y404" s="4"/>
      <c r="Z404" s="4"/>
    </row>
    <row r="405" spans="1:26" ht="12.75">
      <c r="A405" s="4"/>
      <c r="B405" s="4"/>
      <c r="C405" s="15"/>
      <c r="D405" s="4"/>
      <c r="E405" s="4"/>
      <c r="F405" s="4"/>
      <c r="G405" s="4"/>
      <c r="H405" s="4"/>
      <c r="I405" s="4"/>
      <c r="J405" s="4"/>
      <c r="K405" s="4"/>
      <c r="L405" s="4"/>
      <c r="M405" s="4"/>
      <c r="N405" s="4"/>
      <c r="O405" s="4"/>
      <c r="P405" s="4"/>
      <c r="Q405" s="4"/>
      <c r="R405" s="4"/>
      <c r="S405" s="4"/>
      <c r="T405" s="4"/>
      <c r="U405" s="4"/>
      <c r="V405" s="4"/>
      <c r="W405" s="4"/>
      <c r="X405" s="4"/>
      <c r="Y405" s="4"/>
      <c r="Z405" s="4"/>
    </row>
    <row r="406" spans="1:26" ht="12.75">
      <c r="A406" s="4"/>
      <c r="B406" s="4"/>
      <c r="C406" s="15"/>
      <c r="D406" s="4"/>
      <c r="E406" s="4"/>
      <c r="F406" s="4"/>
      <c r="G406" s="4"/>
      <c r="H406" s="4"/>
      <c r="I406" s="4"/>
      <c r="J406" s="4"/>
      <c r="K406" s="4"/>
      <c r="L406" s="4"/>
      <c r="M406" s="4"/>
      <c r="N406" s="4"/>
      <c r="O406" s="4"/>
      <c r="P406" s="4"/>
      <c r="Q406" s="4"/>
      <c r="R406" s="4"/>
      <c r="S406" s="4"/>
      <c r="T406" s="4"/>
      <c r="U406" s="4"/>
      <c r="V406" s="4"/>
      <c r="W406" s="4"/>
      <c r="X406" s="4"/>
      <c r="Y406" s="4"/>
      <c r="Z406" s="4"/>
    </row>
    <row r="407" spans="1:26" ht="12.75">
      <c r="A407" s="4"/>
      <c r="B407" s="4"/>
      <c r="C407" s="15"/>
      <c r="D407" s="4"/>
      <c r="E407" s="4"/>
      <c r="F407" s="4"/>
      <c r="G407" s="4"/>
      <c r="H407" s="4"/>
      <c r="I407" s="4"/>
      <c r="J407" s="4"/>
      <c r="K407" s="4"/>
      <c r="L407" s="4"/>
      <c r="M407" s="4"/>
      <c r="N407" s="4"/>
      <c r="O407" s="4"/>
      <c r="P407" s="4"/>
      <c r="Q407" s="4"/>
      <c r="R407" s="4"/>
      <c r="S407" s="4"/>
      <c r="T407" s="4"/>
      <c r="U407" s="4"/>
      <c r="V407" s="4"/>
      <c r="W407" s="4"/>
      <c r="X407" s="4"/>
      <c r="Y407" s="4"/>
      <c r="Z407" s="4"/>
    </row>
    <row r="408" spans="1:26" ht="12.75">
      <c r="A408" s="4"/>
      <c r="B408" s="4"/>
      <c r="C408" s="15"/>
      <c r="D408" s="4"/>
      <c r="E408" s="4"/>
      <c r="F408" s="4"/>
      <c r="G408" s="4"/>
      <c r="H408" s="4"/>
      <c r="I408" s="4"/>
      <c r="J408" s="4"/>
      <c r="K408" s="4"/>
      <c r="L408" s="4"/>
      <c r="M408" s="4"/>
      <c r="N408" s="4"/>
      <c r="O408" s="4"/>
      <c r="P408" s="4"/>
      <c r="Q408" s="4"/>
      <c r="R408" s="4"/>
      <c r="S408" s="4"/>
      <c r="T408" s="4"/>
      <c r="U408" s="4"/>
      <c r="V408" s="4"/>
      <c r="W408" s="4"/>
      <c r="X408" s="4"/>
      <c r="Y408" s="4"/>
      <c r="Z408" s="4"/>
    </row>
    <row r="409" spans="1:26" ht="12.75">
      <c r="A409" s="4"/>
      <c r="B409" s="4"/>
      <c r="C409" s="15"/>
      <c r="D409" s="4"/>
      <c r="E409" s="4"/>
      <c r="F409" s="4"/>
      <c r="G409" s="4"/>
      <c r="H409" s="4"/>
      <c r="I409" s="4"/>
      <c r="J409" s="4"/>
      <c r="K409" s="4"/>
      <c r="L409" s="4"/>
      <c r="M409" s="4"/>
      <c r="N409" s="4"/>
      <c r="O409" s="4"/>
      <c r="P409" s="4"/>
      <c r="Q409" s="4"/>
      <c r="R409" s="4"/>
      <c r="S409" s="4"/>
      <c r="T409" s="4"/>
      <c r="U409" s="4"/>
      <c r="V409" s="4"/>
      <c r="W409" s="4"/>
      <c r="X409" s="4"/>
      <c r="Y409" s="4"/>
      <c r="Z409" s="4"/>
    </row>
    <row r="410" spans="1:26" ht="12.75">
      <c r="A410" s="4"/>
      <c r="B410" s="4"/>
      <c r="C410" s="15"/>
      <c r="D410" s="4"/>
      <c r="E410" s="4"/>
      <c r="F410" s="4"/>
      <c r="G410" s="4"/>
      <c r="H410" s="4"/>
      <c r="I410" s="4"/>
      <c r="J410" s="4"/>
      <c r="K410" s="4"/>
      <c r="L410" s="4"/>
      <c r="M410" s="4"/>
      <c r="N410" s="4"/>
      <c r="O410" s="4"/>
      <c r="P410" s="4"/>
      <c r="Q410" s="4"/>
      <c r="R410" s="4"/>
      <c r="S410" s="4"/>
      <c r="T410" s="4"/>
      <c r="U410" s="4"/>
      <c r="V410" s="4"/>
      <c r="W410" s="4"/>
      <c r="X410" s="4"/>
      <c r="Y410" s="4"/>
      <c r="Z410" s="4"/>
    </row>
    <row r="411" spans="1:26" ht="12.75">
      <c r="A411" s="4"/>
      <c r="B411" s="4"/>
      <c r="C411" s="15"/>
      <c r="D411" s="4"/>
      <c r="E411" s="4"/>
      <c r="F411" s="4"/>
      <c r="G411" s="4"/>
      <c r="H411" s="4"/>
      <c r="I411" s="4"/>
      <c r="J411" s="4"/>
      <c r="K411" s="4"/>
      <c r="L411" s="4"/>
      <c r="M411" s="4"/>
      <c r="N411" s="4"/>
      <c r="O411" s="4"/>
      <c r="P411" s="4"/>
      <c r="Q411" s="4"/>
      <c r="R411" s="4"/>
      <c r="S411" s="4"/>
      <c r="T411" s="4"/>
      <c r="U411" s="4"/>
      <c r="V411" s="4"/>
      <c r="W411" s="4"/>
      <c r="X411" s="4"/>
      <c r="Y411" s="4"/>
      <c r="Z411" s="4"/>
    </row>
    <row r="412" spans="1:26" ht="12.75">
      <c r="A412" s="4"/>
      <c r="B412" s="4"/>
      <c r="C412" s="15"/>
      <c r="D412" s="4"/>
      <c r="E412" s="4"/>
      <c r="F412" s="4"/>
      <c r="G412" s="4"/>
      <c r="H412" s="4"/>
      <c r="I412" s="4"/>
      <c r="J412" s="4"/>
      <c r="K412" s="4"/>
      <c r="L412" s="4"/>
      <c r="M412" s="4"/>
      <c r="N412" s="4"/>
      <c r="O412" s="4"/>
      <c r="P412" s="4"/>
      <c r="Q412" s="4"/>
      <c r="R412" s="4"/>
      <c r="S412" s="4"/>
      <c r="T412" s="4"/>
      <c r="U412" s="4"/>
      <c r="V412" s="4"/>
      <c r="W412" s="4"/>
      <c r="X412" s="4"/>
      <c r="Y412" s="4"/>
      <c r="Z412" s="4"/>
    </row>
    <row r="413" spans="1:26" ht="12.75">
      <c r="A413" s="4"/>
      <c r="B413" s="4"/>
      <c r="C413" s="15"/>
      <c r="D413" s="4"/>
      <c r="E413" s="4"/>
      <c r="F413" s="4"/>
      <c r="G413" s="4"/>
      <c r="H413" s="4"/>
      <c r="I413" s="4"/>
      <c r="J413" s="4"/>
      <c r="K413" s="4"/>
      <c r="L413" s="4"/>
      <c r="M413" s="4"/>
      <c r="N413" s="4"/>
      <c r="O413" s="4"/>
      <c r="P413" s="4"/>
      <c r="Q413" s="4"/>
      <c r="R413" s="4"/>
      <c r="S413" s="4"/>
      <c r="T413" s="4"/>
      <c r="U413" s="4"/>
      <c r="V413" s="4"/>
      <c r="W413" s="4"/>
      <c r="X413" s="4"/>
      <c r="Y413" s="4"/>
      <c r="Z413" s="4"/>
    </row>
    <row r="414" spans="1:26" ht="12.75">
      <c r="A414" s="4"/>
      <c r="B414" s="4"/>
      <c r="C414" s="15"/>
      <c r="D414" s="4"/>
      <c r="E414" s="4"/>
      <c r="F414" s="4"/>
      <c r="G414" s="4"/>
      <c r="H414" s="4"/>
      <c r="I414" s="4"/>
      <c r="J414" s="4"/>
      <c r="K414" s="4"/>
      <c r="L414" s="4"/>
      <c r="M414" s="4"/>
      <c r="N414" s="4"/>
      <c r="O414" s="4"/>
      <c r="P414" s="4"/>
      <c r="Q414" s="4"/>
      <c r="R414" s="4"/>
      <c r="S414" s="4"/>
      <c r="T414" s="4"/>
      <c r="U414" s="4"/>
      <c r="V414" s="4"/>
      <c r="W414" s="4"/>
      <c r="X414" s="4"/>
      <c r="Y414" s="4"/>
      <c r="Z414" s="4"/>
    </row>
    <row r="415" spans="1:26" ht="12.75">
      <c r="A415" s="4"/>
      <c r="B415" s="4"/>
      <c r="C415" s="15"/>
      <c r="D415" s="4"/>
      <c r="E415" s="4"/>
      <c r="F415" s="4"/>
      <c r="G415" s="4"/>
      <c r="H415" s="4"/>
      <c r="I415" s="4"/>
      <c r="J415" s="4"/>
      <c r="K415" s="4"/>
      <c r="L415" s="4"/>
      <c r="M415" s="4"/>
      <c r="N415" s="4"/>
      <c r="O415" s="4"/>
      <c r="P415" s="4"/>
      <c r="Q415" s="4"/>
      <c r="R415" s="4"/>
      <c r="S415" s="4"/>
      <c r="T415" s="4"/>
      <c r="U415" s="4"/>
      <c r="V415" s="4"/>
      <c r="W415" s="4"/>
      <c r="X415" s="4"/>
      <c r="Y415" s="4"/>
      <c r="Z415" s="4"/>
    </row>
    <row r="416" spans="1:26" ht="12.75">
      <c r="A416" s="4"/>
      <c r="B416" s="4"/>
      <c r="C416" s="15"/>
      <c r="D416" s="4"/>
      <c r="E416" s="4"/>
      <c r="F416" s="4"/>
      <c r="G416" s="4"/>
      <c r="H416" s="4"/>
      <c r="I416" s="4"/>
      <c r="J416" s="4"/>
      <c r="K416" s="4"/>
      <c r="L416" s="4"/>
      <c r="M416" s="4"/>
      <c r="N416" s="4"/>
      <c r="O416" s="4"/>
      <c r="P416" s="4"/>
      <c r="Q416" s="4"/>
      <c r="R416" s="4"/>
      <c r="S416" s="4"/>
      <c r="T416" s="4"/>
      <c r="U416" s="4"/>
      <c r="V416" s="4"/>
      <c r="W416" s="4"/>
      <c r="X416" s="4"/>
      <c r="Y416" s="4"/>
      <c r="Z416" s="4"/>
    </row>
    <row r="417" spans="1:26" ht="12.75">
      <c r="A417" s="4"/>
      <c r="B417" s="4"/>
      <c r="C417" s="15"/>
      <c r="D417" s="4"/>
      <c r="E417" s="4"/>
      <c r="F417" s="4"/>
      <c r="G417" s="4"/>
      <c r="H417" s="4"/>
      <c r="I417" s="4"/>
      <c r="J417" s="4"/>
      <c r="K417" s="4"/>
      <c r="L417" s="4"/>
      <c r="M417" s="4"/>
      <c r="N417" s="4"/>
      <c r="O417" s="4"/>
      <c r="P417" s="4"/>
      <c r="Q417" s="4"/>
      <c r="R417" s="4"/>
      <c r="S417" s="4"/>
      <c r="T417" s="4"/>
      <c r="U417" s="4"/>
      <c r="V417" s="4"/>
      <c r="W417" s="4"/>
      <c r="X417" s="4"/>
      <c r="Y417" s="4"/>
      <c r="Z417" s="4"/>
    </row>
    <row r="418" spans="1:26" ht="12.75">
      <c r="A418" s="4"/>
      <c r="B418" s="4"/>
      <c r="C418" s="15"/>
      <c r="D418" s="4"/>
      <c r="E418" s="4"/>
      <c r="F418" s="4"/>
      <c r="G418" s="4"/>
      <c r="H418" s="4"/>
      <c r="I418" s="4"/>
      <c r="J418" s="4"/>
      <c r="K418" s="4"/>
      <c r="L418" s="4"/>
      <c r="M418" s="4"/>
      <c r="N418" s="4"/>
      <c r="O418" s="4"/>
      <c r="P418" s="4"/>
      <c r="Q418" s="4"/>
      <c r="R418" s="4"/>
      <c r="S418" s="4"/>
      <c r="T418" s="4"/>
      <c r="U418" s="4"/>
      <c r="V418" s="4"/>
      <c r="W418" s="4"/>
      <c r="X418" s="4"/>
      <c r="Y418" s="4"/>
      <c r="Z418" s="4"/>
    </row>
    <row r="419" spans="1:26" ht="12.75">
      <c r="A419" s="4"/>
      <c r="B419" s="4"/>
      <c r="C419" s="15"/>
      <c r="D419" s="4"/>
      <c r="E419" s="4"/>
      <c r="F419" s="4"/>
      <c r="G419" s="4"/>
      <c r="H419" s="4"/>
      <c r="I419" s="4"/>
      <c r="J419" s="4"/>
      <c r="K419" s="4"/>
      <c r="L419" s="4"/>
      <c r="M419" s="4"/>
      <c r="N419" s="4"/>
      <c r="O419" s="4"/>
      <c r="P419" s="4"/>
      <c r="Q419" s="4"/>
      <c r="R419" s="4"/>
      <c r="S419" s="4"/>
      <c r="T419" s="4"/>
      <c r="U419" s="4"/>
      <c r="V419" s="4"/>
      <c r="W419" s="4"/>
      <c r="X419" s="4"/>
      <c r="Y419" s="4"/>
      <c r="Z419" s="4"/>
    </row>
    <row r="420" spans="1:26" ht="12.75">
      <c r="A420" s="4"/>
      <c r="B420" s="4"/>
      <c r="C420" s="15"/>
      <c r="D420" s="4"/>
      <c r="E420" s="4"/>
      <c r="F420" s="4"/>
      <c r="G420" s="4"/>
      <c r="H420" s="4"/>
      <c r="I420" s="4"/>
      <c r="J420" s="4"/>
      <c r="K420" s="4"/>
      <c r="L420" s="4"/>
      <c r="M420" s="4"/>
      <c r="N420" s="4"/>
      <c r="O420" s="4"/>
      <c r="P420" s="4"/>
      <c r="Q420" s="4"/>
      <c r="R420" s="4"/>
      <c r="S420" s="4"/>
      <c r="T420" s="4"/>
      <c r="U420" s="4"/>
      <c r="V420" s="4"/>
      <c r="W420" s="4"/>
      <c r="X420" s="4"/>
      <c r="Y420" s="4"/>
      <c r="Z420" s="4"/>
    </row>
    <row r="421" spans="1:26" ht="12.75">
      <c r="A421" s="4"/>
      <c r="B421" s="4"/>
      <c r="C421" s="15"/>
      <c r="D421" s="4"/>
      <c r="E421" s="4"/>
      <c r="F421" s="4"/>
      <c r="G421" s="4"/>
      <c r="H421" s="4"/>
      <c r="I421" s="4"/>
      <c r="J421" s="4"/>
      <c r="K421" s="4"/>
      <c r="L421" s="4"/>
      <c r="M421" s="4"/>
      <c r="N421" s="4"/>
      <c r="O421" s="4"/>
      <c r="P421" s="4"/>
      <c r="Q421" s="4"/>
      <c r="R421" s="4"/>
      <c r="S421" s="4"/>
      <c r="T421" s="4"/>
      <c r="U421" s="4"/>
      <c r="V421" s="4"/>
      <c r="W421" s="4"/>
      <c r="X421" s="4"/>
      <c r="Y421" s="4"/>
      <c r="Z421" s="4"/>
    </row>
    <row r="422" spans="1:26" ht="12.75">
      <c r="A422" s="4"/>
      <c r="B422" s="4"/>
      <c r="C422" s="15"/>
      <c r="D422" s="4"/>
      <c r="E422" s="4"/>
      <c r="F422" s="4"/>
      <c r="G422" s="4"/>
      <c r="H422" s="4"/>
      <c r="I422" s="4"/>
      <c r="J422" s="4"/>
      <c r="K422" s="4"/>
      <c r="L422" s="4"/>
      <c r="M422" s="4"/>
      <c r="N422" s="4"/>
      <c r="O422" s="4"/>
      <c r="P422" s="4"/>
      <c r="Q422" s="4"/>
      <c r="R422" s="4"/>
      <c r="S422" s="4"/>
      <c r="T422" s="4"/>
      <c r="U422" s="4"/>
      <c r="V422" s="4"/>
      <c r="W422" s="4"/>
      <c r="X422" s="4"/>
      <c r="Y422" s="4"/>
      <c r="Z422" s="4"/>
    </row>
    <row r="423" spans="1:26" ht="12.75">
      <c r="A423" s="4"/>
      <c r="B423" s="4"/>
      <c r="C423" s="15"/>
      <c r="D423" s="4"/>
      <c r="E423" s="4"/>
      <c r="F423" s="4"/>
      <c r="G423" s="4"/>
      <c r="H423" s="4"/>
      <c r="I423" s="4"/>
      <c r="J423" s="4"/>
      <c r="K423" s="4"/>
      <c r="L423" s="4"/>
      <c r="M423" s="4"/>
      <c r="N423" s="4"/>
      <c r="O423" s="4"/>
      <c r="P423" s="4"/>
      <c r="Q423" s="4"/>
      <c r="R423" s="4"/>
      <c r="S423" s="4"/>
      <c r="T423" s="4"/>
      <c r="U423" s="4"/>
      <c r="V423" s="4"/>
      <c r="W423" s="4"/>
      <c r="X423" s="4"/>
      <c r="Y423" s="4"/>
      <c r="Z423" s="4"/>
    </row>
    <row r="424" spans="1:26" ht="12.75">
      <c r="A424" s="4"/>
      <c r="B424" s="4"/>
      <c r="C424" s="15"/>
      <c r="D424" s="4"/>
      <c r="E424" s="4"/>
      <c r="F424" s="4"/>
      <c r="G424" s="4"/>
      <c r="H424" s="4"/>
      <c r="I424" s="4"/>
      <c r="J424" s="4"/>
      <c r="K424" s="4"/>
      <c r="L424" s="4"/>
      <c r="M424" s="4"/>
      <c r="N424" s="4"/>
      <c r="O424" s="4"/>
      <c r="P424" s="4"/>
      <c r="Q424" s="4"/>
      <c r="R424" s="4"/>
      <c r="S424" s="4"/>
      <c r="T424" s="4"/>
      <c r="U424" s="4"/>
      <c r="V424" s="4"/>
      <c r="W424" s="4"/>
      <c r="X424" s="4"/>
      <c r="Y424" s="4"/>
      <c r="Z424" s="4"/>
    </row>
    <row r="425" spans="1:26" ht="12.75">
      <c r="A425" s="4"/>
      <c r="B425" s="4"/>
      <c r="C425" s="15"/>
      <c r="D425" s="4"/>
      <c r="E425" s="4"/>
      <c r="F425" s="4"/>
      <c r="G425" s="4"/>
      <c r="H425" s="4"/>
      <c r="I425" s="4"/>
      <c r="J425" s="4"/>
      <c r="K425" s="4"/>
      <c r="L425" s="4"/>
      <c r="M425" s="4"/>
      <c r="N425" s="4"/>
      <c r="O425" s="4"/>
      <c r="P425" s="4"/>
      <c r="Q425" s="4"/>
      <c r="R425" s="4"/>
      <c r="S425" s="4"/>
      <c r="T425" s="4"/>
      <c r="U425" s="4"/>
      <c r="V425" s="4"/>
      <c r="W425" s="4"/>
      <c r="X425" s="4"/>
      <c r="Y425" s="4"/>
      <c r="Z425" s="4"/>
    </row>
    <row r="426" spans="1:26" ht="12.75">
      <c r="A426" s="4"/>
      <c r="B426" s="4"/>
      <c r="C426" s="15"/>
      <c r="D426" s="4"/>
      <c r="E426" s="4"/>
      <c r="F426" s="4"/>
      <c r="G426" s="4"/>
      <c r="H426" s="4"/>
      <c r="I426" s="4"/>
      <c r="J426" s="4"/>
      <c r="K426" s="4"/>
      <c r="L426" s="4"/>
      <c r="M426" s="4"/>
      <c r="N426" s="4"/>
      <c r="O426" s="4"/>
      <c r="P426" s="4"/>
      <c r="Q426" s="4"/>
      <c r="R426" s="4"/>
      <c r="S426" s="4"/>
      <c r="T426" s="4"/>
      <c r="U426" s="4"/>
      <c r="V426" s="4"/>
      <c r="W426" s="4"/>
      <c r="X426" s="4"/>
      <c r="Y426" s="4"/>
      <c r="Z426" s="4"/>
    </row>
    <row r="427" spans="1:26" ht="12.75">
      <c r="A427" s="4"/>
      <c r="B427" s="4"/>
      <c r="C427" s="15"/>
      <c r="D427" s="4"/>
      <c r="E427" s="4"/>
      <c r="F427" s="4"/>
      <c r="G427" s="4"/>
      <c r="H427" s="4"/>
      <c r="I427" s="4"/>
      <c r="J427" s="4"/>
      <c r="K427" s="4"/>
      <c r="L427" s="4"/>
      <c r="M427" s="4"/>
      <c r="N427" s="4"/>
      <c r="O427" s="4"/>
      <c r="P427" s="4"/>
      <c r="Q427" s="4"/>
      <c r="R427" s="4"/>
      <c r="S427" s="4"/>
      <c r="T427" s="4"/>
      <c r="U427" s="4"/>
      <c r="V427" s="4"/>
      <c r="W427" s="4"/>
      <c r="X427" s="4"/>
      <c r="Y427" s="4"/>
      <c r="Z427" s="4"/>
    </row>
    <row r="428" spans="1:26" ht="12.75">
      <c r="A428" s="4"/>
      <c r="B428" s="4"/>
      <c r="C428" s="15"/>
      <c r="D428" s="4"/>
      <c r="E428" s="4"/>
      <c r="F428" s="4"/>
      <c r="G428" s="4"/>
      <c r="H428" s="4"/>
      <c r="I428" s="4"/>
      <c r="J428" s="4"/>
      <c r="K428" s="4"/>
      <c r="L428" s="4"/>
      <c r="M428" s="4"/>
      <c r="N428" s="4"/>
      <c r="O428" s="4"/>
      <c r="P428" s="4"/>
      <c r="Q428" s="4"/>
      <c r="R428" s="4"/>
      <c r="S428" s="4"/>
      <c r="T428" s="4"/>
      <c r="U428" s="4"/>
      <c r="V428" s="4"/>
      <c r="W428" s="4"/>
      <c r="X428" s="4"/>
      <c r="Y428" s="4"/>
      <c r="Z428" s="4"/>
    </row>
    <row r="429" spans="1:26" ht="12.75">
      <c r="A429" s="4"/>
      <c r="B429" s="4"/>
      <c r="C429" s="15"/>
      <c r="D429" s="4"/>
      <c r="E429" s="4"/>
      <c r="F429" s="4"/>
      <c r="G429" s="4"/>
      <c r="H429" s="4"/>
      <c r="I429" s="4"/>
      <c r="J429" s="4"/>
      <c r="K429" s="4"/>
      <c r="L429" s="4"/>
      <c r="M429" s="4"/>
      <c r="N429" s="4"/>
      <c r="O429" s="4"/>
      <c r="P429" s="4"/>
      <c r="Q429" s="4"/>
      <c r="R429" s="4"/>
      <c r="S429" s="4"/>
      <c r="T429" s="4"/>
      <c r="U429" s="4"/>
      <c r="V429" s="4"/>
      <c r="W429" s="4"/>
      <c r="X429" s="4"/>
      <c r="Y429" s="4"/>
      <c r="Z429" s="4"/>
    </row>
    <row r="430" spans="1:26" ht="12.75">
      <c r="A430" s="4"/>
      <c r="B430" s="4"/>
      <c r="C430" s="15"/>
      <c r="D430" s="4"/>
      <c r="E430" s="4"/>
      <c r="F430" s="4"/>
      <c r="G430" s="4"/>
      <c r="H430" s="4"/>
      <c r="I430" s="4"/>
      <c r="J430" s="4"/>
      <c r="K430" s="4"/>
      <c r="L430" s="4"/>
      <c r="M430" s="4"/>
      <c r="N430" s="4"/>
      <c r="O430" s="4"/>
      <c r="P430" s="4"/>
      <c r="Q430" s="4"/>
      <c r="R430" s="4"/>
      <c r="S430" s="4"/>
      <c r="T430" s="4"/>
      <c r="U430" s="4"/>
      <c r="V430" s="4"/>
      <c r="W430" s="4"/>
      <c r="X430" s="4"/>
      <c r="Y430" s="4"/>
      <c r="Z430" s="4"/>
    </row>
    <row r="431" spans="1:26" ht="12.75">
      <c r="A431" s="4"/>
      <c r="B431" s="4"/>
      <c r="C431" s="15"/>
      <c r="D431" s="4"/>
      <c r="E431" s="4"/>
      <c r="F431" s="4"/>
      <c r="G431" s="4"/>
      <c r="H431" s="4"/>
      <c r="I431" s="4"/>
      <c r="J431" s="4"/>
      <c r="K431" s="4"/>
      <c r="L431" s="4"/>
      <c r="M431" s="4"/>
      <c r="N431" s="4"/>
      <c r="O431" s="4"/>
      <c r="P431" s="4"/>
      <c r="Q431" s="4"/>
      <c r="R431" s="4"/>
      <c r="S431" s="4"/>
      <c r="T431" s="4"/>
      <c r="U431" s="4"/>
      <c r="V431" s="4"/>
      <c r="W431" s="4"/>
      <c r="X431" s="4"/>
      <c r="Y431" s="4"/>
      <c r="Z431" s="4"/>
    </row>
    <row r="432" spans="1:26" ht="12.75">
      <c r="A432" s="4"/>
      <c r="B432" s="4"/>
      <c r="C432" s="15"/>
      <c r="D432" s="4"/>
      <c r="E432" s="4"/>
      <c r="F432" s="4"/>
      <c r="G432" s="4"/>
      <c r="H432" s="4"/>
      <c r="I432" s="4"/>
      <c r="J432" s="4"/>
      <c r="K432" s="4"/>
      <c r="L432" s="4"/>
      <c r="M432" s="4"/>
      <c r="N432" s="4"/>
      <c r="O432" s="4"/>
      <c r="P432" s="4"/>
      <c r="Q432" s="4"/>
      <c r="R432" s="4"/>
      <c r="S432" s="4"/>
      <c r="T432" s="4"/>
      <c r="U432" s="4"/>
      <c r="V432" s="4"/>
      <c r="W432" s="4"/>
      <c r="X432" s="4"/>
      <c r="Y432" s="4"/>
      <c r="Z432" s="4"/>
    </row>
    <row r="433" spans="1:26" ht="12.75">
      <c r="A433" s="4"/>
      <c r="B433" s="4"/>
      <c r="C433" s="15"/>
      <c r="D433" s="4"/>
      <c r="E433" s="4"/>
      <c r="F433" s="4"/>
      <c r="G433" s="4"/>
      <c r="H433" s="4"/>
      <c r="I433" s="4"/>
      <c r="J433" s="4"/>
      <c r="K433" s="4"/>
      <c r="L433" s="4"/>
      <c r="M433" s="4"/>
      <c r="N433" s="4"/>
      <c r="O433" s="4"/>
      <c r="P433" s="4"/>
      <c r="Q433" s="4"/>
      <c r="R433" s="4"/>
      <c r="S433" s="4"/>
      <c r="T433" s="4"/>
      <c r="U433" s="4"/>
      <c r="V433" s="4"/>
      <c r="W433" s="4"/>
      <c r="X433" s="4"/>
      <c r="Y433" s="4"/>
      <c r="Z433" s="4"/>
    </row>
    <row r="434" spans="1:26" ht="12.75">
      <c r="A434" s="4"/>
      <c r="B434" s="4"/>
      <c r="C434" s="15"/>
      <c r="D434" s="4"/>
      <c r="E434" s="4"/>
      <c r="F434" s="4"/>
      <c r="G434" s="4"/>
      <c r="H434" s="4"/>
      <c r="I434" s="4"/>
      <c r="J434" s="4"/>
      <c r="K434" s="4"/>
      <c r="L434" s="4"/>
      <c r="M434" s="4"/>
      <c r="N434" s="4"/>
      <c r="O434" s="4"/>
      <c r="P434" s="4"/>
      <c r="Q434" s="4"/>
      <c r="R434" s="4"/>
      <c r="S434" s="4"/>
      <c r="T434" s="4"/>
      <c r="U434" s="4"/>
      <c r="V434" s="4"/>
      <c r="W434" s="4"/>
      <c r="X434" s="4"/>
      <c r="Y434" s="4"/>
      <c r="Z434" s="4"/>
    </row>
    <row r="435" spans="1:26" ht="12.75">
      <c r="A435" s="4"/>
      <c r="B435" s="4"/>
      <c r="C435" s="15"/>
      <c r="D435" s="4"/>
      <c r="E435" s="4"/>
      <c r="F435" s="4"/>
      <c r="G435" s="4"/>
      <c r="H435" s="4"/>
      <c r="I435" s="4"/>
      <c r="J435" s="4"/>
      <c r="K435" s="4"/>
      <c r="L435" s="4"/>
      <c r="M435" s="4"/>
      <c r="N435" s="4"/>
      <c r="O435" s="4"/>
      <c r="P435" s="4"/>
      <c r="Q435" s="4"/>
      <c r="R435" s="4"/>
      <c r="S435" s="4"/>
      <c r="T435" s="4"/>
      <c r="U435" s="4"/>
      <c r="V435" s="4"/>
      <c r="W435" s="4"/>
      <c r="X435" s="4"/>
      <c r="Y435" s="4"/>
      <c r="Z435" s="4"/>
    </row>
    <row r="436" spans="1:26" ht="12.75">
      <c r="A436" s="4"/>
      <c r="B436" s="4"/>
      <c r="C436" s="15"/>
      <c r="D436" s="4"/>
      <c r="E436" s="4"/>
      <c r="F436" s="4"/>
      <c r="G436" s="4"/>
      <c r="H436" s="4"/>
      <c r="I436" s="4"/>
      <c r="J436" s="4"/>
      <c r="K436" s="4"/>
      <c r="L436" s="4"/>
      <c r="M436" s="4"/>
      <c r="N436" s="4"/>
      <c r="O436" s="4"/>
      <c r="P436" s="4"/>
      <c r="Q436" s="4"/>
      <c r="R436" s="4"/>
      <c r="S436" s="4"/>
      <c r="T436" s="4"/>
      <c r="U436" s="4"/>
      <c r="V436" s="4"/>
      <c r="W436" s="4"/>
      <c r="X436" s="4"/>
      <c r="Y436" s="4"/>
      <c r="Z436" s="4"/>
    </row>
    <row r="437" spans="1:26" ht="12.75">
      <c r="A437" s="4"/>
      <c r="B437" s="4"/>
      <c r="C437" s="15"/>
      <c r="D437" s="4"/>
      <c r="E437" s="4"/>
      <c r="F437" s="4"/>
      <c r="G437" s="4"/>
      <c r="H437" s="4"/>
      <c r="I437" s="4"/>
      <c r="J437" s="4"/>
      <c r="K437" s="4"/>
      <c r="L437" s="4"/>
      <c r="M437" s="4"/>
      <c r="N437" s="4"/>
      <c r="O437" s="4"/>
      <c r="P437" s="4"/>
      <c r="Q437" s="4"/>
      <c r="R437" s="4"/>
      <c r="S437" s="4"/>
      <c r="T437" s="4"/>
      <c r="U437" s="4"/>
      <c r="V437" s="4"/>
      <c r="W437" s="4"/>
      <c r="X437" s="4"/>
      <c r="Y437" s="4"/>
      <c r="Z437" s="4"/>
    </row>
    <row r="438" spans="1:26" ht="12.75">
      <c r="A438" s="4"/>
      <c r="B438" s="4"/>
      <c r="C438" s="15"/>
      <c r="D438" s="4"/>
      <c r="E438" s="4"/>
      <c r="F438" s="4"/>
      <c r="G438" s="4"/>
      <c r="H438" s="4"/>
      <c r="I438" s="4"/>
      <c r="J438" s="4"/>
      <c r="K438" s="4"/>
      <c r="L438" s="4"/>
      <c r="M438" s="4"/>
      <c r="N438" s="4"/>
      <c r="O438" s="4"/>
      <c r="P438" s="4"/>
      <c r="Q438" s="4"/>
      <c r="R438" s="4"/>
      <c r="S438" s="4"/>
      <c r="T438" s="4"/>
      <c r="U438" s="4"/>
      <c r="V438" s="4"/>
      <c r="W438" s="4"/>
      <c r="X438" s="4"/>
      <c r="Y438" s="4"/>
      <c r="Z438" s="4"/>
    </row>
    <row r="439" spans="1:26" ht="12.75">
      <c r="A439" s="4"/>
      <c r="B439" s="4"/>
      <c r="C439" s="15"/>
      <c r="D439" s="4"/>
      <c r="E439" s="4"/>
      <c r="F439" s="4"/>
      <c r="G439" s="4"/>
      <c r="H439" s="4"/>
      <c r="I439" s="4"/>
      <c r="J439" s="4"/>
      <c r="K439" s="4"/>
      <c r="L439" s="4"/>
      <c r="M439" s="4"/>
      <c r="N439" s="4"/>
      <c r="O439" s="4"/>
      <c r="P439" s="4"/>
      <c r="Q439" s="4"/>
      <c r="R439" s="4"/>
      <c r="S439" s="4"/>
      <c r="T439" s="4"/>
      <c r="U439" s="4"/>
      <c r="V439" s="4"/>
      <c r="W439" s="4"/>
      <c r="X439" s="4"/>
      <c r="Y439" s="4"/>
      <c r="Z439" s="4"/>
    </row>
    <row r="440" spans="1:26" ht="12.75">
      <c r="A440" s="4"/>
      <c r="B440" s="4"/>
      <c r="C440" s="15"/>
      <c r="D440" s="4"/>
      <c r="E440" s="4"/>
      <c r="F440" s="4"/>
      <c r="G440" s="4"/>
      <c r="H440" s="4"/>
      <c r="I440" s="4"/>
      <c r="J440" s="4"/>
      <c r="K440" s="4"/>
      <c r="L440" s="4"/>
      <c r="M440" s="4"/>
      <c r="N440" s="4"/>
      <c r="O440" s="4"/>
      <c r="P440" s="4"/>
      <c r="Q440" s="4"/>
      <c r="R440" s="4"/>
      <c r="S440" s="4"/>
      <c r="T440" s="4"/>
      <c r="U440" s="4"/>
      <c r="V440" s="4"/>
      <c r="W440" s="4"/>
      <c r="X440" s="4"/>
      <c r="Y440" s="4"/>
      <c r="Z440" s="4"/>
    </row>
    <row r="441" spans="1:26" ht="12.75">
      <c r="A441" s="4"/>
      <c r="B441" s="4"/>
      <c r="C441" s="15"/>
      <c r="D441" s="4"/>
      <c r="E441" s="4"/>
      <c r="F441" s="4"/>
      <c r="G441" s="4"/>
      <c r="H441" s="4"/>
      <c r="I441" s="4"/>
      <c r="J441" s="4"/>
      <c r="K441" s="4"/>
      <c r="L441" s="4"/>
      <c r="M441" s="4"/>
      <c r="N441" s="4"/>
      <c r="O441" s="4"/>
      <c r="P441" s="4"/>
      <c r="Q441" s="4"/>
      <c r="R441" s="4"/>
      <c r="S441" s="4"/>
      <c r="T441" s="4"/>
      <c r="U441" s="4"/>
      <c r="V441" s="4"/>
      <c r="W441" s="4"/>
      <c r="X441" s="4"/>
      <c r="Y441" s="4"/>
      <c r="Z441" s="4"/>
    </row>
    <row r="442" spans="1:26" ht="12.75">
      <c r="A442" s="4"/>
      <c r="B442" s="4"/>
      <c r="C442" s="15"/>
      <c r="D442" s="4"/>
      <c r="E442" s="4"/>
      <c r="F442" s="4"/>
      <c r="G442" s="4"/>
      <c r="H442" s="4"/>
      <c r="I442" s="4"/>
      <c r="J442" s="4"/>
      <c r="K442" s="4"/>
      <c r="L442" s="4"/>
      <c r="M442" s="4"/>
      <c r="N442" s="4"/>
      <c r="O442" s="4"/>
      <c r="P442" s="4"/>
      <c r="Q442" s="4"/>
      <c r="R442" s="4"/>
      <c r="S442" s="4"/>
      <c r="T442" s="4"/>
      <c r="U442" s="4"/>
      <c r="V442" s="4"/>
      <c r="W442" s="4"/>
      <c r="X442" s="4"/>
      <c r="Y442" s="4"/>
      <c r="Z442" s="4"/>
    </row>
    <row r="443" spans="1:26" ht="12.75">
      <c r="A443" s="4"/>
      <c r="B443" s="4"/>
      <c r="C443" s="15"/>
      <c r="D443" s="4"/>
      <c r="E443" s="4"/>
      <c r="F443" s="4"/>
      <c r="G443" s="4"/>
      <c r="H443" s="4"/>
      <c r="I443" s="4"/>
      <c r="J443" s="4"/>
      <c r="K443" s="4"/>
      <c r="L443" s="4"/>
      <c r="M443" s="4"/>
      <c r="N443" s="4"/>
      <c r="O443" s="4"/>
      <c r="P443" s="4"/>
      <c r="Q443" s="4"/>
      <c r="R443" s="4"/>
      <c r="S443" s="4"/>
      <c r="T443" s="4"/>
      <c r="U443" s="4"/>
      <c r="V443" s="4"/>
      <c r="W443" s="4"/>
      <c r="X443" s="4"/>
      <c r="Y443" s="4"/>
      <c r="Z443" s="4"/>
    </row>
    <row r="444" spans="1:26" ht="12.75">
      <c r="A444" s="4"/>
      <c r="B444" s="4"/>
      <c r="C444" s="15"/>
      <c r="D444" s="4"/>
      <c r="E444" s="4"/>
      <c r="F444" s="4"/>
      <c r="G444" s="4"/>
      <c r="H444" s="4"/>
      <c r="I444" s="4"/>
      <c r="J444" s="4"/>
      <c r="K444" s="4"/>
      <c r="L444" s="4"/>
      <c r="M444" s="4"/>
      <c r="N444" s="4"/>
      <c r="O444" s="4"/>
      <c r="P444" s="4"/>
      <c r="Q444" s="4"/>
      <c r="R444" s="4"/>
      <c r="S444" s="4"/>
      <c r="T444" s="4"/>
      <c r="U444" s="4"/>
      <c r="V444" s="4"/>
      <c r="W444" s="4"/>
      <c r="X444" s="4"/>
      <c r="Y444" s="4"/>
      <c r="Z444" s="4"/>
    </row>
    <row r="445" spans="1:26" ht="12.75">
      <c r="A445" s="4"/>
      <c r="B445" s="4"/>
      <c r="C445" s="15"/>
      <c r="D445" s="4"/>
      <c r="E445" s="4"/>
      <c r="F445" s="4"/>
      <c r="G445" s="4"/>
      <c r="H445" s="4"/>
      <c r="I445" s="4"/>
      <c r="J445" s="4"/>
      <c r="K445" s="4"/>
      <c r="L445" s="4"/>
      <c r="M445" s="4"/>
      <c r="N445" s="4"/>
      <c r="O445" s="4"/>
      <c r="P445" s="4"/>
      <c r="Q445" s="4"/>
      <c r="R445" s="4"/>
      <c r="S445" s="4"/>
      <c r="T445" s="4"/>
      <c r="U445" s="4"/>
      <c r="V445" s="4"/>
      <c r="W445" s="4"/>
      <c r="X445" s="4"/>
      <c r="Y445" s="4"/>
      <c r="Z445" s="4"/>
    </row>
    <row r="446" spans="1:26" ht="12.75">
      <c r="A446" s="4"/>
      <c r="B446" s="4"/>
      <c r="C446" s="15"/>
      <c r="D446" s="4"/>
      <c r="E446" s="4"/>
      <c r="F446" s="4"/>
      <c r="G446" s="4"/>
      <c r="H446" s="4"/>
      <c r="I446" s="4"/>
      <c r="J446" s="4"/>
      <c r="K446" s="4"/>
      <c r="L446" s="4"/>
      <c r="M446" s="4"/>
      <c r="N446" s="4"/>
      <c r="O446" s="4"/>
      <c r="P446" s="4"/>
      <c r="Q446" s="4"/>
      <c r="R446" s="4"/>
      <c r="S446" s="4"/>
      <c r="T446" s="4"/>
      <c r="U446" s="4"/>
      <c r="V446" s="4"/>
      <c r="W446" s="4"/>
      <c r="X446" s="4"/>
      <c r="Y446" s="4"/>
      <c r="Z446" s="4"/>
    </row>
    <row r="447" spans="1:26" ht="12.75">
      <c r="A447" s="4"/>
      <c r="B447" s="4"/>
      <c r="C447" s="15"/>
      <c r="D447" s="4"/>
      <c r="E447" s="4"/>
      <c r="F447" s="4"/>
      <c r="G447" s="4"/>
      <c r="H447" s="4"/>
      <c r="I447" s="4"/>
      <c r="J447" s="4"/>
      <c r="K447" s="4"/>
      <c r="L447" s="4"/>
      <c r="M447" s="4"/>
      <c r="N447" s="4"/>
      <c r="O447" s="4"/>
      <c r="P447" s="4"/>
      <c r="Q447" s="4"/>
      <c r="R447" s="4"/>
      <c r="S447" s="4"/>
      <c r="T447" s="4"/>
      <c r="U447" s="4"/>
      <c r="V447" s="4"/>
      <c r="W447" s="4"/>
      <c r="X447" s="4"/>
      <c r="Y447" s="4"/>
      <c r="Z447" s="4"/>
    </row>
    <row r="448" spans="1:26" ht="12.75">
      <c r="A448" s="4"/>
      <c r="B448" s="4"/>
      <c r="C448" s="15"/>
      <c r="D448" s="4"/>
      <c r="E448" s="4"/>
      <c r="F448" s="4"/>
      <c r="G448" s="4"/>
      <c r="H448" s="4"/>
      <c r="I448" s="4"/>
      <c r="J448" s="4"/>
      <c r="K448" s="4"/>
      <c r="L448" s="4"/>
      <c r="M448" s="4"/>
      <c r="N448" s="4"/>
      <c r="O448" s="4"/>
      <c r="P448" s="4"/>
      <c r="Q448" s="4"/>
      <c r="R448" s="4"/>
      <c r="S448" s="4"/>
      <c r="T448" s="4"/>
      <c r="U448" s="4"/>
      <c r="V448" s="4"/>
      <c r="W448" s="4"/>
      <c r="X448" s="4"/>
      <c r="Y448" s="4"/>
      <c r="Z448" s="4"/>
    </row>
    <row r="449" spans="1:26" ht="12.75">
      <c r="A449" s="4"/>
      <c r="B449" s="4"/>
      <c r="C449" s="15"/>
      <c r="D449" s="4"/>
      <c r="E449" s="4"/>
      <c r="F449" s="4"/>
      <c r="G449" s="4"/>
      <c r="H449" s="4"/>
      <c r="I449" s="4"/>
      <c r="J449" s="4"/>
      <c r="K449" s="4"/>
      <c r="L449" s="4"/>
      <c r="M449" s="4"/>
      <c r="N449" s="4"/>
      <c r="O449" s="4"/>
      <c r="P449" s="4"/>
      <c r="Q449" s="4"/>
      <c r="R449" s="4"/>
      <c r="S449" s="4"/>
      <c r="T449" s="4"/>
      <c r="U449" s="4"/>
      <c r="V449" s="4"/>
      <c r="W449" s="4"/>
      <c r="X449" s="4"/>
      <c r="Y449" s="4"/>
      <c r="Z449" s="4"/>
    </row>
    <row r="450" spans="1:26" ht="12.75">
      <c r="A450" s="4"/>
      <c r="B450" s="4"/>
      <c r="C450" s="15"/>
      <c r="D450" s="4"/>
      <c r="E450" s="4"/>
      <c r="F450" s="4"/>
      <c r="G450" s="4"/>
      <c r="H450" s="4"/>
      <c r="I450" s="4"/>
      <c r="J450" s="4"/>
      <c r="K450" s="4"/>
      <c r="L450" s="4"/>
      <c r="M450" s="4"/>
      <c r="N450" s="4"/>
      <c r="O450" s="4"/>
      <c r="P450" s="4"/>
      <c r="Q450" s="4"/>
      <c r="R450" s="4"/>
      <c r="S450" s="4"/>
      <c r="T450" s="4"/>
      <c r="U450" s="4"/>
      <c r="V450" s="4"/>
      <c r="W450" s="4"/>
      <c r="X450" s="4"/>
      <c r="Y450" s="4"/>
      <c r="Z450" s="4"/>
    </row>
    <row r="451" spans="1:26" ht="12.75">
      <c r="A451" s="4"/>
      <c r="B451" s="4"/>
      <c r="C451" s="15"/>
      <c r="D451" s="4"/>
      <c r="E451" s="4"/>
      <c r="F451" s="4"/>
      <c r="G451" s="4"/>
      <c r="H451" s="4"/>
      <c r="I451" s="4"/>
      <c r="J451" s="4"/>
      <c r="K451" s="4"/>
      <c r="L451" s="4"/>
      <c r="M451" s="4"/>
      <c r="N451" s="4"/>
      <c r="O451" s="4"/>
      <c r="P451" s="4"/>
      <c r="Q451" s="4"/>
      <c r="R451" s="4"/>
      <c r="S451" s="4"/>
      <c r="T451" s="4"/>
      <c r="U451" s="4"/>
      <c r="V451" s="4"/>
      <c r="W451" s="4"/>
      <c r="X451" s="4"/>
      <c r="Y451" s="4"/>
      <c r="Z451" s="4"/>
    </row>
    <row r="452" spans="1:26" ht="12.75">
      <c r="A452" s="4"/>
      <c r="B452" s="4"/>
      <c r="C452" s="15"/>
      <c r="D452" s="4"/>
      <c r="E452" s="4"/>
      <c r="F452" s="4"/>
      <c r="G452" s="4"/>
      <c r="H452" s="4"/>
      <c r="I452" s="4"/>
      <c r="J452" s="4"/>
      <c r="K452" s="4"/>
      <c r="L452" s="4"/>
      <c r="M452" s="4"/>
      <c r="N452" s="4"/>
      <c r="O452" s="4"/>
      <c r="P452" s="4"/>
      <c r="Q452" s="4"/>
      <c r="R452" s="4"/>
      <c r="S452" s="4"/>
      <c r="T452" s="4"/>
      <c r="U452" s="4"/>
      <c r="V452" s="4"/>
      <c r="W452" s="4"/>
      <c r="X452" s="4"/>
      <c r="Y452" s="4"/>
      <c r="Z452" s="4"/>
    </row>
    <row r="453" spans="1:26" ht="12.75">
      <c r="A453" s="4"/>
      <c r="B453" s="4"/>
      <c r="C453" s="15"/>
      <c r="D453" s="4"/>
      <c r="E453" s="4"/>
      <c r="F453" s="4"/>
      <c r="G453" s="4"/>
      <c r="H453" s="4"/>
      <c r="I453" s="4"/>
      <c r="J453" s="4"/>
      <c r="K453" s="4"/>
      <c r="L453" s="4"/>
      <c r="M453" s="4"/>
      <c r="N453" s="4"/>
      <c r="O453" s="4"/>
      <c r="P453" s="4"/>
      <c r="Q453" s="4"/>
      <c r="R453" s="4"/>
      <c r="S453" s="4"/>
      <c r="T453" s="4"/>
      <c r="U453" s="4"/>
      <c r="V453" s="4"/>
      <c r="W453" s="4"/>
      <c r="X453" s="4"/>
      <c r="Y453" s="4"/>
      <c r="Z453" s="4"/>
    </row>
    <row r="454" spans="1:26" ht="12.75">
      <c r="A454" s="4"/>
      <c r="B454" s="4"/>
      <c r="C454" s="15"/>
      <c r="D454" s="4"/>
      <c r="E454" s="4"/>
      <c r="F454" s="4"/>
      <c r="G454" s="4"/>
      <c r="H454" s="4"/>
      <c r="I454" s="4"/>
      <c r="J454" s="4"/>
      <c r="K454" s="4"/>
      <c r="L454" s="4"/>
      <c r="M454" s="4"/>
      <c r="N454" s="4"/>
      <c r="O454" s="4"/>
      <c r="P454" s="4"/>
      <c r="Q454" s="4"/>
      <c r="R454" s="4"/>
      <c r="S454" s="4"/>
      <c r="T454" s="4"/>
      <c r="U454" s="4"/>
      <c r="V454" s="4"/>
      <c r="W454" s="4"/>
      <c r="X454" s="4"/>
      <c r="Y454" s="4"/>
      <c r="Z454" s="4"/>
    </row>
    <row r="455" spans="1:26" ht="12.75">
      <c r="A455" s="4"/>
      <c r="B455" s="4"/>
      <c r="C455" s="15"/>
      <c r="D455" s="4"/>
      <c r="E455" s="4"/>
      <c r="F455" s="4"/>
      <c r="G455" s="4"/>
      <c r="H455" s="4"/>
      <c r="I455" s="4"/>
      <c r="J455" s="4"/>
      <c r="K455" s="4"/>
      <c r="L455" s="4"/>
      <c r="M455" s="4"/>
      <c r="N455" s="4"/>
      <c r="O455" s="4"/>
      <c r="P455" s="4"/>
      <c r="Q455" s="4"/>
      <c r="R455" s="4"/>
      <c r="S455" s="4"/>
      <c r="T455" s="4"/>
      <c r="U455" s="4"/>
      <c r="V455" s="4"/>
      <c r="W455" s="4"/>
      <c r="X455" s="4"/>
      <c r="Y455" s="4"/>
      <c r="Z455" s="4"/>
    </row>
    <row r="456" spans="1:26" ht="12.75">
      <c r="A456" s="4"/>
      <c r="B456" s="4"/>
      <c r="C456" s="15"/>
      <c r="D456" s="4"/>
      <c r="E456" s="4"/>
      <c r="F456" s="4"/>
      <c r="G456" s="4"/>
      <c r="H456" s="4"/>
      <c r="I456" s="4"/>
      <c r="J456" s="4"/>
      <c r="K456" s="4"/>
      <c r="L456" s="4"/>
      <c r="M456" s="4"/>
      <c r="N456" s="4"/>
      <c r="O456" s="4"/>
      <c r="P456" s="4"/>
      <c r="Q456" s="4"/>
      <c r="R456" s="4"/>
      <c r="S456" s="4"/>
      <c r="T456" s="4"/>
      <c r="U456" s="4"/>
      <c r="V456" s="4"/>
      <c r="W456" s="4"/>
      <c r="X456" s="4"/>
      <c r="Y456" s="4"/>
      <c r="Z456" s="4"/>
    </row>
    <row r="457" spans="1:26" ht="12.75">
      <c r="A457" s="4"/>
      <c r="B457" s="4"/>
      <c r="C457" s="15"/>
      <c r="D457" s="4"/>
      <c r="E457" s="4"/>
      <c r="F457" s="4"/>
      <c r="G457" s="4"/>
      <c r="H457" s="4"/>
      <c r="I457" s="4"/>
      <c r="J457" s="4"/>
      <c r="K457" s="4"/>
      <c r="L457" s="4"/>
      <c r="M457" s="4"/>
      <c r="N457" s="4"/>
      <c r="O457" s="4"/>
      <c r="P457" s="4"/>
      <c r="Q457" s="4"/>
      <c r="R457" s="4"/>
      <c r="S457" s="4"/>
      <c r="T457" s="4"/>
      <c r="U457" s="4"/>
      <c r="V457" s="4"/>
      <c r="W457" s="4"/>
      <c r="X457" s="4"/>
      <c r="Y457" s="4"/>
      <c r="Z457" s="4"/>
    </row>
    <row r="458" spans="1:26" ht="12.75">
      <c r="A458" s="4"/>
      <c r="B458" s="4"/>
      <c r="C458" s="15"/>
      <c r="D458" s="4"/>
      <c r="E458" s="4"/>
      <c r="F458" s="4"/>
      <c r="G458" s="4"/>
      <c r="H458" s="4"/>
      <c r="I458" s="4"/>
      <c r="J458" s="4"/>
      <c r="K458" s="4"/>
      <c r="L458" s="4"/>
      <c r="M458" s="4"/>
      <c r="N458" s="4"/>
      <c r="O458" s="4"/>
      <c r="P458" s="4"/>
      <c r="Q458" s="4"/>
      <c r="R458" s="4"/>
      <c r="S458" s="4"/>
      <c r="T458" s="4"/>
      <c r="U458" s="4"/>
      <c r="V458" s="4"/>
      <c r="W458" s="4"/>
      <c r="X458" s="4"/>
      <c r="Y458" s="4"/>
      <c r="Z458" s="4"/>
    </row>
    <row r="459" spans="1:26" ht="12.75">
      <c r="A459" s="4"/>
      <c r="B459" s="4"/>
      <c r="C459" s="15"/>
      <c r="D459" s="4"/>
      <c r="E459" s="4"/>
      <c r="F459" s="4"/>
      <c r="G459" s="4"/>
      <c r="H459" s="4"/>
      <c r="I459" s="4"/>
      <c r="J459" s="4"/>
      <c r="K459" s="4"/>
      <c r="L459" s="4"/>
      <c r="M459" s="4"/>
      <c r="N459" s="4"/>
      <c r="O459" s="4"/>
      <c r="P459" s="4"/>
      <c r="Q459" s="4"/>
      <c r="R459" s="4"/>
      <c r="S459" s="4"/>
      <c r="T459" s="4"/>
      <c r="U459" s="4"/>
      <c r="V459" s="4"/>
      <c r="W459" s="4"/>
      <c r="X459" s="4"/>
      <c r="Y459" s="4"/>
      <c r="Z459" s="4"/>
    </row>
    <row r="460" spans="1:26" ht="12.75">
      <c r="A460" s="4"/>
      <c r="B460" s="4"/>
      <c r="C460" s="15"/>
      <c r="D460" s="4"/>
      <c r="E460" s="4"/>
      <c r="F460" s="4"/>
      <c r="G460" s="4"/>
      <c r="H460" s="4"/>
      <c r="I460" s="4"/>
      <c r="J460" s="4"/>
      <c r="K460" s="4"/>
      <c r="L460" s="4"/>
      <c r="M460" s="4"/>
      <c r="N460" s="4"/>
      <c r="O460" s="4"/>
      <c r="P460" s="4"/>
      <c r="Q460" s="4"/>
      <c r="R460" s="4"/>
      <c r="S460" s="4"/>
      <c r="T460" s="4"/>
      <c r="U460" s="4"/>
      <c r="V460" s="4"/>
      <c r="W460" s="4"/>
      <c r="X460" s="4"/>
      <c r="Y460" s="4"/>
      <c r="Z460" s="4"/>
    </row>
    <row r="461" spans="1:26" ht="12.75">
      <c r="A461" s="4"/>
      <c r="B461" s="4"/>
      <c r="C461" s="15"/>
      <c r="D461" s="4"/>
      <c r="E461" s="4"/>
      <c r="F461" s="4"/>
      <c r="G461" s="4"/>
      <c r="H461" s="4"/>
      <c r="I461" s="4"/>
      <c r="J461" s="4"/>
      <c r="K461" s="4"/>
      <c r="L461" s="4"/>
      <c r="M461" s="4"/>
      <c r="N461" s="4"/>
      <c r="O461" s="4"/>
      <c r="P461" s="4"/>
      <c r="Q461" s="4"/>
      <c r="R461" s="4"/>
      <c r="S461" s="4"/>
      <c r="T461" s="4"/>
      <c r="U461" s="4"/>
      <c r="V461" s="4"/>
      <c r="W461" s="4"/>
      <c r="X461" s="4"/>
      <c r="Y461" s="4"/>
      <c r="Z461" s="4"/>
    </row>
    <row r="462" spans="1:26" ht="12.75">
      <c r="A462" s="4"/>
      <c r="B462" s="4"/>
      <c r="C462" s="15"/>
      <c r="D462" s="4"/>
      <c r="E462" s="4"/>
      <c r="F462" s="4"/>
      <c r="G462" s="4"/>
      <c r="H462" s="4"/>
      <c r="I462" s="4"/>
      <c r="J462" s="4"/>
      <c r="K462" s="4"/>
      <c r="L462" s="4"/>
      <c r="M462" s="4"/>
      <c r="N462" s="4"/>
      <c r="O462" s="4"/>
      <c r="P462" s="4"/>
      <c r="Q462" s="4"/>
      <c r="R462" s="4"/>
      <c r="S462" s="4"/>
      <c r="T462" s="4"/>
      <c r="U462" s="4"/>
      <c r="V462" s="4"/>
      <c r="W462" s="4"/>
      <c r="X462" s="4"/>
      <c r="Y462" s="4"/>
      <c r="Z462" s="4"/>
    </row>
    <row r="463" spans="1:26" ht="12.75">
      <c r="A463" s="4"/>
      <c r="B463" s="4"/>
      <c r="C463" s="15"/>
      <c r="D463" s="4"/>
      <c r="E463" s="4"/>
      <c r="F463" s="4"/>
      <c r="G463" s="4"/>
      <c r="H463" s="4"/>
      <c r="I463" s="4"/>
      <c r="J463" s="4"/>
      <c r="K463" s="4"/>
      <c r="L463" s="4"/>
      <c r="M463" s="4"/>
      <c r="N463" s="4"/>
      <c r="O463" s="4"/>
      <c r="P463" s="4"/>
      <c r="Q463" s="4"/>
      <c r="R463" s="4"/>
      <c r="S463" s="4"/>
      <c r="T463" s="4"/>
      <c r="U463" s="4"/>
      <c r="V463" s="4"/>
      <c r="W463" s="4"/>
      <c r="X463" s="4"/>
      <c r="Y463" s="4"/>
      <c r="Z463" s="4"/>
    </row>
    <row r="464" spans="1:26" ht="12.75">
      <c r="A464" s="4"/>
      <c r="B464" s="4"/>
      <c r="C464" s="15"/>
      <c r="D464" s="4"/>
      <c r="E464" s="4"/>
      <c r="F464" s="4"/>
      <c r="G464" s="4"/>
      <c r="H464" s="4"/>
      <c r="I464" s="4"/>
      <c r="J464" s="4"/>
      <c r="K464" s="4"/>
      <c r="L464" s="4"/>
      <c r="M464" s="4"/>
      <c r="N464" s="4"/>
      <c r="O464" s="4"/>
      <c r="P464" s="4"/>
      <c r="Q464" s="4"/>
      <c r="R464" s="4"/>
      <c r="S464" s="4"/>
      <c r="T464" s="4"/>
      <c r="U464" s="4"/>
      <c r="V464" s="4"/>
      <c r="W464" s="4"/>
      <c r="X464" s="4"/>
      <c r="Y464" s="4"/>
      <c r="Z464" s="4"/>
    </row>
    <row r="465" spans="1:26" ht="12.75">
      <c r="A465" s="4"/>
      <c r="B465" s="4"/>
      <c r="C465" s="15"/>
      <c r="D465" s="4"/>
      <c r="E465" s="4"/>
      <c r="F465" s="4"/>
      <c r="G465" s="4"/>
      <c r="H465" s="4"/>
      <c r="I465" s="4"/>
      <c r="J465" s="4"/>
      <c r="K465" s="4"/>
      <c r="L465" s="4"/>
      <c r="M465" s="4"/>
      <c r="N465" s="4"/>
      <c r="O465" s="4"/>
      <c r="P465" s="4"/>
      <c r="Q465" s="4"/>
      <c r="R465" s="4"/>
      <c r="S465" s="4"/>
      <c r="T465" s="4"/>
      <c r="U465" s="4"/>
      <c r="V465" s="4"/>
      <c r="W465" s="4"/>
      <c r="X465" s="4"/>
      <c r="Y465" s="4"/>
      <c r="Z465" s="4"/>
    </row>
    <row r="466" spans="1:26" ht="12.75">
      <c r="A466" s="4"/>
      <c r="B466" s="4"/>
      <c r="C466" s="15"/>
      <c r="D466" s="4"/>
      <c r="E466" s="4"/>
      <c r="F466" s="4"/>
      <c r="G466" s="4"/>
      <c r="H466" s="4"/>
      <c r="I466" s="4"/>
      <c r="J466" s="4"/>
      <c r="K466" s="4"/>
      <c r="L466" s="4"/>
      <c r="M466" s="4"/>
      <c r="N466" s="4"/>
      <c r="O466" s="4"/>
      <c r="P466" s="4"/>
      <c r="Q466" s="4"/>
      <c r="R466" s="4"/>
      <c r="S466" s="4"/>
      <c r="T466" s="4"/>
      <c r="U466" s="4"/>
      <c r="V466" s="4"/>
      <c r="W466" s="4"/>
      <c r="X466" s="4"/>
      <c r="Y466" s="4"/>
      <c r="Z466" s="4"/>
    </row>
    <row r="467" spans="1:26" ht="12.75">
      <c r="A467" s="4"/>
      <c r="B467" s="4"/>
      <c r="C467" s="15"/>
      <c r="D467" s="4"/>
      <c r="E467" s="4"/>
      <c r="F467" s="4"/>
      <c r="G467" s="4"/>
      <c r="H467" s="4"/>
      <c r="I467" s="4"/>
      <c r="J467" s="4"/>
      <c r="K467" s="4"/>
      <c r="L467" s="4"/>
      <c r="M467" s="4"/>
      <c r="N467" s="4"/>
      <c r="O467" s="4"/>
      <c r="P467" s="4"/>
      <c r="Q467" s="4"/>
      <c r="R467" s="4"/>
      <c r="S467" s="4"/>
      <c r="T467" s="4"/>
      <c r="U467" s="4"/>
      <c r="V467" s="4"/>
      <c r="W467" s="4"/>
      <c r="X467" s="4"/>
      <c r="Y467" s="4"/>
      <c r="Z467" s="4"/>
    </row>
    <row r="468" spans="1:26" ht="12.75">
      <c r="A468" s="4"/>
      <c r="B468" s="4"/>
      <c r="C468" s="15"/>
      <c r="D468" s="4"/>
      <c r="E468" s="4"/>
      <c r="F468" s="4"/>
      <c r="G468" s="4"/>
      <c r="H468" s="4"/>
      <c r="I468" s="4"/>
      <c r="J468" s="4"/>
      <c r="K468" s="4"/>
      <c r="L468" s="4"/>
      <c r="M468" s="4"/>
      <c r="N468" s="4"/>
      <c r="O468" s="4"/>
      <c r="P468" s="4"/>
      <c r="Q468" s="4"/>
      <c r="R468" s="4"/>
      <c r="S468" s="4"/>
      <c r="T468" s="4"/>
      <c r="U468" s="4"/>
      <c r="V468" s="4"/>
      <c r="W468" s="4"/>
      <c r="X468" s="4"/>
      <c r="Y468" s="4"/>
      <c r="Z468" s="4"/>
    </row>
    <row r="469" spans="1:26" ht="12.75">
      <c r="A469" s="4"/>
      <c r="B469" s="4"/>
      <c r="C469" s="15"/>
      <c r="D469" s="4"/>
      <c r="E469" s="4"/>
      <c r="F469" s="4"/>
      <c r="G469" s="4"/>
      <c r="H469" s="4"/>
      <c r="I469" s="4"/>
      <c r="J469" s="4"/>
      <c r="K469" s="4"/>
      <c r="L469" s="4"/>
      <c r="M469" s="4"/>
      <c r="N469" s="4"/>
      <c r="O469" s="4"/>
      <c r="P469" s="4"/>
      <c r="Q469" s="4"/>
      <c r="R469" s="4"/>
      <c r="S469" s="4"/>
      <c r="T469" s="4"/>
      <c r="U469" s="4"/>
      <c r="V469" s="4"/>
      <c r="W469" s="4"/>
      <c r="X469" s="4"/>
      <c r="Y469" s="4"/>
      <c r="Z469" s="4"/>
    </row>
    <row r="470" spans="1:26" ht="12.75">
      <c r="A470" s="4"/>
      <c r="B470" s="4"/>
      <c r="C470" s="15"/>
      <c r="D470" s="4"/>
      <c r="E470" s="4"/>
      <c r="F470" s="4"/>
      <c r="G470" s="4"/>
      <c r="H470" s="4"/>
      <c r="I470" s="4"/>
      <c r="J470" s="4"/>
      <c r="K470" s="4"/>
      <c r="L470" s="4"/>
      <c r="M470" s="4"/>
      <c r="N470" s="4"/>
      <c r="O470" s="4"/>
      <c r="P470" s="4"/>
      <c r="Q470" s="4"/>
      <c r="R470" s="4"/>
      <c r="S470" s="4"/>
      <c r="T470" s="4"/>
      <c r="U470" s="4"/>
      <c r="V470" s="4"/>
      <c r="W470" s="4"/>
      <c r="X470" s="4"/>
      <c r="Y470" s="4"/>
      <c r="Z470" s="4"/>
    </row>
    <row r="471" spans="1:26" ht="12.75">
      <c r="A471" s="4"/>
      <c r="B471" s="4"/>
      <c r="C471" s="15"/>
      <c r="D471" s="4"/>
      <c r="E471" s="4"/>
      <c r="F471" s="4"/>
      <c r="G471" s="4"/>
      <c r="H471" s="4"/>
      <c r="I471" s="4"/>
      <c r="J471" s="4"/>
      <c r="K471" s="4"/>
      <c r="L471" s="4"/>
      <c r="M471" s="4"/>
      <c r="N471" s="4"/>
      <c r="O471" s="4"/>
      <c r="P471" s="4"/>
      <c r="Q471" s="4"/>
      <c r="R471" s="4"/>
      <c r="S471" s="4"/>
      <c r="T471" s="4"/>
      <c r="U471" s="4"/>
      <c r="V471" s="4"/>
      <c r="W471" s="4"/>
      <c r="X471" s="4"/>
      <c r="Y471" s="4"/>
      <c r="Z471" s="4"/>
    </row>
    <row r="472" spans="1:26" ht="12.75">
      <c r="A472" s="4"/>
      <c r="B472" s="4"/>
      <c r="C472" s="15"/>
      <c r="D472" s="4"/>
      <c r="E472" s="4"/>
      <c r="F472" s="4"/>
      <c r="G472" s="4"/>
      <c r="H472" s="4"/>
      <c r="I472" s="4"/>
      <c r="J472" s="4"/>
      <c r="K472" s="4"/>
      <c r="L472" s="4"/>
      <c r="M472" s="4"/>
      <c r="N472" s="4"/>
      <c r="O472" s="4"/>
      <c r="P472" s="4"/>
      <c r="Q472" s="4"/>
      <c r="R472" s="4"/>
      <c r="S472" s="4"/>
      <c r="T472" s="4"/>
      <c r="U472" s="4"/>
      <c r="V472" s="4"/>
      <c r="W472" s="4"/>
      <c r="X472" s="4"/>
      <c r="Y472" s="4"/>
      <c r="Z472" s="4"/>
    </row>
    <row r="473" spans="1:26" ht="12.75">
      <c r="A473" s="4"/>
      <c r="B473" s="4"/>
      <c r="C473" s="15"/>
      <c r="D473" s="4"/>
      <c r="E473" s="4"/>
      <c r="F473" s="4"/>
      <c r="G473" s="4"/>
      <c r="H473" s="4"/>
      <c r="I473" s="4"/>
      <c r="J473" s="4"/>
      <c r="K473" s="4"/>
      <c r="L473" s="4"/>
      <c r="M473" s="4"/>
      <c r="N473" s="4"/>
      <c r="O473" s="4"/>
      <c r="P473" s="4"/>
      <c r="Q473" s="4"/>
      <c r="R473" s="4"/>
      <c r="S473" s="4"/>
      <c r="T473" s="4"/>
      <c r="U473" s="4"/>
      <c r="V473" s="4"/>
      <c r="W473" s="4"/>
      <c r="X473" s="4"/>
      <c r="Y473" s="4"/>
      <c r="Z473" s="4"/>
    </row>
    <row r="474" spans="1:26" ht="12.75">
      <c r="A474" s="4"/>
      <c r="B474" s="4"/>
      <c r="C474" s="15"/>
      <c r="D474" s="4"/>
      <c r="E474" s="4"/>
      <c r="F474" s="4"/>
      <c r="G474" s="4"/>
      <c r="H474" s="4"/>
      <c r="I474" s="4"/>
      <c r="J474" s="4"/>
      <c r="K474" s="4"/>
      <c r="L474" s="4"/>
      <c r="M474" s="4"/>
      <c r="N474" s="4"/>
      <c r="O474" s="4"/>
      <c r="P474" s="4"/>
      <c r="Q474" s="4"/>
      <c r="R474" s="4"/>
      <c r="S474" s="4"/>
      <c r="T474" s="4"/>
      <c r="U474" s="4"/>
      <c r="V474" s="4"/>
      <c r="W474" s="4"/>
      <c r="X474" s="4"/>
      <c r="Y474" s="4"/>
      <c r="Z474" s="4"/>
    </row>
    <row r="475" spans="1:26" ht="12.75">
      <c r="A475" s="4"/>
      <c r="B475" s="4"/>
      <c r="C475" s="15"/>
      <c r="D475" s="4"/>
      <c r="E475" s="4"/>
      <c r="F475" s="4"/>
      <c r="G475" s="4"/>
      <c r="H475" s="4"/>
      <c r="I475" s="4"/>
      <c r="J475" s="4"/>
      <c r="K475" s="4"/>
      <c r="L475" s="4"/>
      <c r="M475" s="4"/>
      <c r="N475" s="4"/>
      <c r="O475" s="4"/>
      <c r="P475" s="4"/>
      <c r="Q475" s="4"/>
      <c r="R475" s="4"/>
      <c r="S475" s="4"/>
      <c r="T475" s="4"/>
      <c r="U475" s="4"/>
      <c r="V475" s="4"/>
      <c r="W475" s="4"/>
      <c r="X475" s="4"/>
      <c r="Y475" s="4"/>
      <c r="Z475" s="4"/>
    </row>
    <row r="476" spans="1:26" ht="12.75">
      <c r="A476" s="4"/>
      <c r="B476" s="4"/>
      <c r="C476" s="15"/>
      <c r="D476" s="4"/>
      <c r="E476" s="4"/>
      <c r="F476" s="4"/>
      <c r="G476" s="4"/>
      <c r="H476" s="4"/>
      <c r="I476" s="4"/>
      <c r="J476" s="4"/>
      <c r="K476" s="4"/>
      <c r="L476" s="4"/>
      <c r="M476" s="4"/>
      <c r="N476" s="4"/>
      <c r="O476" s="4"/>
      <c r="P476" s="4"/>
      <c r="Q476" s="4"/>
      <c r="R476" s="4"/>
      <c r="S476" s="4"/>
      <c r="T476" s="4"/>
      <c r="U476" s="4"/>
      <c r="V476" s="4"/>
      <c r="W476" s="4"/>
      <c r="X476" s="4"/>
      <c r="Y476" s="4"/>
      <c r="Z476" s="4"/>
    </row>
    <row r="477" spans="1:26" ht="12.75">
      <c r="A477" s="4"/>
      <c r="B477" s="4"/>
      <c r="C477" s="15"/>
      <c r="D477" s="4"/>
      <c r="E477" s="4"/>
      <c r="F477" s="4"/>
      <c r="G477" s="4"/>
      <c r="H477" s="4"/>
      <c r="I477" s="4"/>
      <c r="J477" s="4"/>
      <c r="K477" s="4"/>
      <c r="L477" s="4"/>
      <c r="M477" s="4"/>
      <c r="N477" s="4"/>
      <c r="O477" s="4"/>
      <c r="P477" s="4"/>
      <c r="Q477" s="4"/>
      <c r="R477" s="4"/>
      <c r="S477" s="4"/>
      <c r="T477" s="4"/>
      <c r="U477" s="4"/>
      <c r="V477" s="4"/>
      <c r="W477" s="4"/>
      <c r="X477" s="4"/>
      <c r="Y477" s="4"/>
      <c r="Z477" s="4"/>
    </row>
    <row r="478" spans="1:26" ht="12.75">
      <c r="A478" s="4"/>
      <c r="B478" s="4"/>
      <c r="C478" s="15"/>
      <c r="D478" s="4"/>
      <c r="E478" s="4"/>
      <c r="F478" s="4"/>
      <c r="G478" s="4"/>
      <c r="H478" s="4"/>
      <c r="I478" s="4"/>
      <c r="J478" s="4"/>
      <c r="K478" s="4"/>
      <c r="L478" s="4"/>
      <c r="M478" s="4"/>
      <c r="N478" s="4"/>
      <c r="O478" s="4"/>
      <c r="P478" s="4"/>
      <c r="Q478" s="4"/>
      <c r="R478" s="4"/>
      <c r="S478" s="4"/>
      <c r="T478" s="4"/>
      <c r="U478" s="4"/>
      <c r="V478" s="4"/>
      <c r="W478" s="4"/>
      <c r="X478" s="4"/>
      <c r="Y478" s="4"/>
      <c r="Z478" s="4"/>
    </row>
    <row r="479" spans="1:26" ht="12.75">
      <c r="A479" s="4"/>
      <c r="B479" s="4"/>
      <c r="C479" s="15"/>
      <c r="D479" s="4"/>
      <c r="E479" s="4"/>
      <c r="F479" s="4"/>
      <c r="G479" s="4"/>
      <c r="H479" s="4"/>
      <c r="I479" s="4"/>
      <c r="J479" s="4"/>
      <c r="K479" s="4"/>
      <c r="L479" s="4"/>
      <c r="M479" s="4"/>
      <c r="N479" s="4"/>
      <c r="O479" s="4"/>
      <c r="P479" s="4"/>
      <c r="Q479" s="4"/>
      <c r="R479" s="4"/>
      <c r="S479" s="4"/>
      <c r="T479" s="4"/>
      <c r="U479" s="4"/>
      <c r="V479" s="4"/>
      <c r="W479" s="4"/>
      <c r="X479" s="4"/>
      <c r="Y479" s="4"/>
      <c r="Z479" s="4"/>
    </row>
    <row r="480" spans="1:26" ht="12.75">
      <c r="A480" s="4"/>
      <c r="B480" s="4"/>
      <c r="C480" s="15"/>
      <c r="D480" s="4"/>
      <c r="E480" s="4"/>
      <c r="F480" s="4"/>
      <c r="G480" s="4"/>
      <c r="H480" s="4"/>
      <c r="I480" s="4"/>
      <c r="J480" s="4"/>
      <c r="K480" s="4"/>
      <c r="L480" s="4"/>
      <c r="M480" s="4"/>
      <c r="N480" s="4"/>
      <c r="O480" s="4"/>
      <c r="P480" s="4"/>
      <c r="Q480" s="4"/>
      <c r="R480" s="4"/>
      <c r="S480" s="4"/>
      <c r="T480" s="4"/>
      <c r="U480" s="4"/>
      <c r="V480" s="4"/>
      <c r="W480" s="4"/>
      <c r="X480" s="4"/>
      <c r="Y480" s="4"/>
      <c r="Z480" s="4"/>
    </row>
    <row r="481" spans="1:26" ht="12.75">
      <c r="A481" s="4"/>
      <c r="B481" s="4"/>
      <c r="C481" s="15"/>
      <c r="D481" s="4"/>
      <c r="E481" s="4"/>
      <c r="F481" s="4"/>
      <c r="G481" s="4"/>
      <c r="H481" s="4"/>
      <c r="I481" s="4"/>
      <c r="J481" s="4"/>
      <c r="K481" s="4"/>
      <c r="L481" s="4"/>
      <c r="M481" s="4"/>
      <c r="N481" s="4"/>
      <c r="O481" s="4"/>
      <c r="P481" s="4"/>
      <c r="Q481" s="4"/>
      <c r="R481" s="4"/>
      <c r="S481" s="4"/>
      <c r="T481" s="4"/>
      <c r="U481" s="4"/>
      <c r="V481" s="4"/>
      <c r="W481" s="4"/>
      <c r="X481" s="4"/>
      <c r="Y481" s="4"/>
      <c r="Z481" s="4"/>
    </row>
    <row r="482" spans="1:26" ht="12.75">
      <c r="A482" s="4"/>
      <c r="B482" s="4"/>
      <c r="C482" s="15"/>
      <c r="D482" s="4"/>
      <c r="E482" s="4"/>
      <c r="F482" s="4"/>
      <c r="G482" s="4"/>
      <c r="H482" s="4"/>
      <c r="I482" s="4"/>
      <c r="J482" s="4"/>
      <c r="K482" s="4"/>
      <c r="L482" s="4"/>
      <c r="M482" s="4"/>
      <c r="N482" s="4"/>
      <c r="O482" s="4"/>
      <c r="P482" s="4"/>
      <c r="Q482" s="4"/>
      <c r="R482" s="4"/>
      <c r="S482" s="4"/>
      <c r="T482" s="4"/>
      <c r="U482" s="4"/>
      <c r="V482" s="4"/>
      <c r="W482" s="4"/>
      <c r="X482" s="4"/>
      <c r="Y482" s="4"/>
      <c r="Z482" s="4"/>
    </row>
    <row r="483" spans="1:26" ht="12.75">
      <c r="A483" s="4"/>
      <c r="B483" s="4"/>
      <c r="C483" s="15"/>
      <c r="D483" s="4"/>
      <c r="E483" s="4"/>
      <c r="F483" s="4"/>
      <c r="G483" s="4"/>
      <c r="H483" s="4"/>
      <c r="I483" s="4"/>
      <c r="J483" s="4"/>
      <c r="K483" s="4"/>
      <c r="L483" s="4"/>
      <c r="M483" s="4"/>
      <c r="N483" s="4"/>
      <c r="O483" s="4"/>
      <c r="P483" s="4"/>
      <c r="Q483" s="4"/>
      <c r="R483" s="4"/>
      <c r="S483" s="4"/>
      <c r="T483" s="4"/>
      <c r="U483" s="4"/>
      <c r="V483" s="4"/>
      <c r="W483" s="4"/>
      <c r="X483" s="4"/>
      <c r="Y483" s="4"/>
      <c r="Z483" s="4"/>
    </row>
    <row r="484" spans="1:26" ht="12.75">
      <c r="A484" s="4"/>
      <c r="B484" s="4"/>
      <c r="C484" s="15"/>
      <c r="D484" s="4"/>
      <c r="E484" s="4"/>
      <c r="F484" s="4"/>
      <c r="G484" s="4"/>
      <c r="H484" s="4"/>
      <c r="I484" s="4"/>
      <c r="J484" s="4"/>
      <c r="K484" s="4"/>
      <c r="L484" s="4"/>
      <c r="M484" s="4"/>
      <c r="N484" s="4"/>
      <c r="O484" s="4"/>
      <c r="P484" s="4"/>
      <c r="Q484" s="4"/>
      <c r="R484" s="4"/>
      <c r="S484" s="4"/>
      <c r="T484" s="4"/>
      <c r="U484" s="4"/>
      <c r="V484" s="4"/>
      <c r="W484" s="4"/>
      <c r="X484" s="4"/>
      <c r="Y484" s="4"/>
      <c r="Z484" s="4"/>
    </row>
    <row r="485" spans="1:26" ht="12.75">
      <c r="A485" s="4"/>
      <c r="B485" s="4"/>
      <c r="C485" s="15"/>
      <c r="D485" s="4"/>
      <c r="E485" s="4"/>
      <c r="F485" s="4"/>
      <c r="G485" s="4"/>
      <c r="H485" s="4"/>
      <c r="I485" s="4"/>
      <c r="J485" s="4"/>
      <c r="K485" s="4"/>
      <c r="L485" s="4"/>
      <c r="M485" s="4"/>
      <c r="N485" s="4"/>
      <c r="O485" s="4"/>
      <c r="P485" s="4"/>
      <c r="Q485" s="4"/>
      <c r="R485" s="4"/>
      <c r="S485" s="4"/>
      <c r="T485" s="4"/>
      <c r="U485" s="4"/>
      <c r="V485" s="4"/>
      <c r="W485" s="4"/>
      <c r="X485" s="4"/>
      <c r="Y485" s="4"/>
      <c r="Z485" s="4"/>
    </row>
    <row r="486" spans="1:26" ht="12.75">
      <c r="A486" s="4"/>
      <c r="B486" s="4"/>
      <c r="C486" s="15"/>
      <c r="D486" s="4"/>
      <c r="E486" s="4"/>
      <c r="F486" s="4"/>
      <c r="G486" s="4"/>
      <c r="H486" s="4"/>
      <c r="I486" s="4"/>
      <c r="J486" s="4"/>
      <c r="K486" s="4"/>
      <c r="L486" s="4"/>
      <c r="M486" s="4"/>
      <c r="N486" s="4"/>
      <c r="O486" s="4"/>
      <c r="P486" s="4"/>
      <c r="Q486" s="4"/>
      <c r="R486" s="4"/>
      <c r="S486" s="4"/>
      <c r="T486" s="4"/>
      <c r="U486" s="4"/>
      <c r="V486" s="4"/>
      <c r="W486" s="4"/>
      <c r="X486" s="4"/>
      <c r="Y486" s="4"/>
      <c r="Z486" s="4"/>
    </row>
    <row r="487" spans="1:26" ht="12.75">
      <c r="A487" s="4"/>
      <c r="B487" s="4"/>
      <c r="C487" s="15"/>
      <c r="D487" s="4"/>
      <c r="E487" s="4"/>
      <c r="F487" s="4"/>
      <c r="G487" s="4"/>
      <c r="H487" s="4"/>
      <c r="I487" s="4"/>
      <c r="J487" s="4"/>
      <c r="K487" s="4"/>
      <c r="L487" s="4"/>
      <c r="M487" s="4"/>
      <c r="N487" s="4"/>
      <c r="O487" s="4"/>
      <c r="P487" s="4"/>
      <c r="Q487" s="4"/>
      <c r="R487" s="4"/>
      <c r="S487" s="4"/>
      <c r="T487" s="4"/>
      <c r="U487" s="4"/>
      <c r="V487" s="4"/>
      <c r="W487" s="4"/>
      <c r="X487" s="4"/>
      <c r="Y487" s="4"/>
      <c r="Z487" s="4"/>
    </row>
    <row r="488" spans="1:26" ht="12.75">
      <c r="A488" s="4"/>
      <c r="B488" s="4"/>
      <c r="C488" s="15"/>
      <c r="D488" s="4"/>
      <c r="E488" s="4"/>
      <c r="F488" s="4"/>
      <c r="G488" s="4"/>
      <c r="H488" s="4"/>
      <c r="I488" s="4"/>
      <c r="J488" s="4"/>
      <c r="K488" s="4"/>
      <c r="L488" s="4"/>
      <c r="M488" s="4"/>
      <c r="N488" s="4"/>
      <c r="O488" s="4"/>
      <c r="P488" s="4"/>
      <c r="Q488" s="4"/>
      <c r="R488" s="4"/>
      <c r="S488" s="4"/>
      <c r="T488" s="4"/>
      <c r="U488" s="4"/>
      <c r="V488" s="4"/>
      <c r="W488" s="4"/>
      <c r="X488" s="4"/>
      <c r="Y488" s="4"/>
      <c r="Z488" s="4"/>
    </row>
    <row r="489" spans="1:26" ht="12.75">
      <c r="A489" s="4"/>
      <c r="B489" s="4"/>
      <c r="C489" s="15"/>
      <c r="D489" s="4"/>
      <c r="E489" s="4"/>
      <c r="F489" s="4"/>
      <c r="G489" s="4"/>
      <c r="H489" s="4"/>
      <c r="I489" s="4"/>
      <c r="J489" s="4"/>
      <c r="K489" s="4"/>
      <c r="L489" s="4"/>
      <c r="M489" s="4"/>
      <c r="N489" s="4"/>
      <c r="O489" s="4"/>
      <c r="P489" s="4"/>
      <c r="Q489" s="4"/>
      <c r="R489" s="4"/>
      <c r="S489" s="4"/>
      <c r="T489" s="4"/>
      <c r="U489" s="4"/>
      <c r="V489" s="4"/>
      <c r="W489" s="4"/>
      <c r="X489" s="4"/>
      <c r="Y489" s="4"/>
      <c r="Z489" s="4"/>
    </row>
    <row r="490" spans="1:26" ht="12.75">
      <c r="A490" s="4"/>
      <c r="B490" s="4"/>
      <c r="C490" s="15"/>
      <c r="D490" s="4"/>
      <c r="E490" s="4"/>
      <c r="F490" s="4"/>
      <c r="G490" s="4"/>
      <c r="H490" s="4"/>
      <c r="I490" s="4"/>
      <c r="J490" s="4"/>
      <c r="K490" s="4"/>
      <c r="L490" s="4"/>
      <c r="M490" s="4"/>
      <c r="N490" s="4"/>
      <c r="O490" s="4"/>
      <c r="P490" s="4"/>
      <c r="Q490" s="4"/>
      <c r="R490" s="4"/>
      <c r="S490" s="4"/>
      <c r="T490" s="4"/>
      <c r="U490" s="4"/>
      <c r="V490" s="4"/>
      <c r="W490" s="4"/>
      <c r="X490" s="4"/>
      <c r="Y490" s="4"/>
      <c r="Z490" s="4"/>
    </row>
    <row r="491" spans="1:26" ht="12.75">
      <c r="A491" s="4"/>
      <c r="B491" s="4"/>
      <c r="C491" s="15"/>
      <c r="D491" s="4"/>
      <c r="E491" s="4"/>
      <c r="F491" s="4"/>
      <c r="G491" s="4"/>
      <c r="H491" s="4"/>
      <c r="I491" s="4"/>
      <c r="J491" s="4"/>
      <c r="K491" s="4"/>
      <c r="L491" s="4"/>
      <c r="M491" s="4"/>
      <c r="N491" s="4"/>
      <c r="O491" s="4"/>
      <c r="P491" s="4"/>
      <c r="Q491" s="4"/>
      <c r="R491" s="4"/>
      <c r="S491" s="4"/>
      <c r="T491" s="4"/>
      <c r="U491" s="4"/>
      <c r="V491" s="4"/>
      <c r="W491" s="4"/>
      <c r="X491" s="4"/>
      <c r="Y491" s="4"/>
      <c r="Z491" s="4"/>
    </row>
    <row r="492" spans="1:26" ht="12.75">
      <c r="A492" s="4"/>
      <c r="B492" s="4"/>
      <c r="C492" s="15"/>
      <c r="D492" s="4"/>
      <c r="E492" s="4"/>
      <c r="F492" s="4"/>
      <c r="G492" s="4"/>
      <c r="H492" s="4"/>
      <c r="I492" s="4"/>
      <c r="J492" s="4"/>
      <c r="K492" s="4"/>
      <c r="L492" s="4"/>
      <c r="M492" s="4"/>
      <c r="N492" s="4"/>
      <c r="O492" s="4"/>
      <c r="P492" s="4"/>
      <c r="Q492" s="4"/>
      <c r="R492" s="4"/>
      <c r="S492" s="4"/>
      <c r="T492" s="4"/>
      <c r="U492" s="4"/>
      <c r="V492" s="4"/>
      <c r="W492" s="4"/>
      <c r="X492" s="4"/>
      <c r="Y492" s="4"/>
      <c r="Z492" s="4"/>
    </row>
    <row r="493" spans="1:26" ht="12.75">
      <c r="A493" s="4"/>
      <c r="B493" s="4"/>
      <c r="C493" s="15"/>
      <c r="D493" s="4"/>
      <c r="E493" s="4"/>
      <c r="F493" s="4"/>
      <c r="G493" s="4"/>
      <c r="H493" s="4"/>
      <c r="I493" s="4"/>
      <c r="J493" s="4"/>
      <c r="K493" s="4"/>
      <c r="L493" s="4"/>
      <c r="M493" s="4"/>
      <c r="N493" s="4"/>
      <c r="O493" s="4"/>
      <c r="P493" s="4"/>
      <c r="Q493" s="4"/>
      <c r="R493" s="4"/>
      <c r="S493" s="4"/>
      <c r="T493" s="4"/>
      <c r="U493" s="4"/>
      <c r="V493" s="4"/>
      <c r="W493" s="4"/>
      <c r="X493" s="4"/>
      <c r="Y493" s="4"/>
      <c r="Z493" s="4"/>
    </row>
    <row r="494" spans="1:26" ht="12.75">
      <c r="A494" s="4"/>
      <c r="B494" s="4"/>
      <c r="C494" s="15"/>
      <c r="D494" s="4"/>
      <c r="E494" s="4"/>
      <c r="F494" s="4"/>
      <c r="G494" s="4"/>
      <c r="H494" s="4"/>
      <c r="I494" s="4"/>
      <c r="J494" s="4"/>
      <c r="K494" s="4"/>
      <c r="L494" s="4"/>
      <c r="M494" s="4"/>
      <c r="N494" s="4"/>
      <c r="O494" s="4"/>
      <c r="P494" s="4"/>
      <c r="Q494" s="4"/>
      <c r="R494" s="4"/>
      <c r="S494" s="4"/>
      <c r="T494" s="4"/>
      <c r="U494" s="4"/>
      <c r="V494" s="4"/>
      <c r="W494" s="4"/>
      <c r="X494" s="4"/>
      <c r="Y494" s="4"/>
      <c r="Z494" s="4"/>
    </row>
    <row r="495" spans="1:26" ht="12.75">
      <c r="A495" s="4"/>
      <c r="B495" s="4"/>
      <c r="C495" s="15"/>
      <c r="D495" s="4"/>
      <c r="E495" s="4"/>
      <c r="F495" s="4"/>
      <c r="G495" s="4"/>
      <c r="H495" s="4"/>
      <c r="I495" s="4"/>
      <c r="J495" s="4"/>
      <c r="K495" s="4"/>
      <c r="L495" s="4"/>
      <c r="M495" s="4"/>
      <c r="N495" s="4"/>
      <c r="O495" s="4"/>
      <c r="P495" s="4"/>
      <c r="Q495" s="4"/>
      <c r="R495" s="4"/>
      <c r="S495" s="4"/>
      <c r="T495" s="4"/>
      <c r="U495" s="4"/>
      <c r="V495" s="4"/>
      <c r="W495" s="4"/>
      <c r="X495" s="4"/>
      <c r="Y495" s="4"/>
      <c r="Z495" s="4"/>
    </row>
    <row r="496" spans="1:26" ht="12.75">
      <c r="A496" s="4"/>
      <c r="B496" s="4"/>
      <c r="C496" s="15"/>
      <c r="D496" s="4"/>
      <c r="E496" s="4"/>
      <c r="F496" s="4"/>
      <c r="G496" s="4"/>
      <c r="H496" s="4"/>
      <c r="I496" s="4"/>
      <c r="J496" s="4"/>
      <c r="K496" s="4"/>
      <c r="L496" s="4"/>
      <c r="M496" s="4"/>
      <c r="N496" s="4"/>
      <c r="O496" s="4"/>
      <c r="P496" s="4"/>
      <c r="Q496" s="4"/>
      <c r="R496" s="4"/>
      <c r="S496" s="4"/>
      <c r="T496" s="4"/>
      <c r="U496" s="4"/>
      <c r="V496" s="4"/>
      <c r="W496" s="4"/>
      <c r="X496" s="4"/>
      <c r="Y496" s="4"/>
      <c r="Z496" s="4"/>
    </row>
    <row r="497" spans="1:26" ht="12.75">
      <c r="A497" s="4"/>
      <c r="B497" s="4"/>
      <c r="C497" s="15"/>
      <c r="D497" s="4"/>
      <c r="E497" s="4"/>
      <c r="F497" s="4"/>
      <c r="G497" s="4"/>
      <c r="H497" s="4"/>
      <c r="I497" s="4"/>
      <c r="J497" s="4"/>
      <c r="K497" s="4"/>
      <c r="L497" s="4"/>
      <c r="M497" s="4"/>
      <c r="N497" s="4"/>
      <c r="O497" s="4"/>
      <c r="P497" s="4"/>
      <c r="Q497" s="4"/>
      <c r="R497" s="4"/>
      <c r="S497" s="4"/>
      <c r="T497" s="4"/>
      <c r="U497" s="4"/>
      <c r="V497" s="4"/>
      <c r="W497" s="4"/>
      <c r="X497" s="4"/>
      <c r="Y497" s="4"/>
      <c r="Z497" s="4"/>
    </row>
    <row r="498" spans="1:26" ht="12.75">
      <c r="A498" s="4"/>
      <c r="B498" s="4"/>
      <c r="C498" s="15"/>
      <c r="D498" s="4"/>
      <c r="E498" s="4"/>
      <c r="F498" s="4"/>
      <c r="G498" s="4"/>
      <c r="H498" s="4"/>
      <c r="I498" s="4"/>
      <c r="J498" s="4"/>
      <c r="K498" s="4"/>
      <c r="L498" s="4"/>
      <c r="M498" s="4"/>
      <c r="N498" s="4"/>
      <c r="O498" s="4"/>
      <c r="P498" s="4"/>
      <c r="Q498" s="4"/>
      <c r="R498" s="4"/>
      <c r="S498" s="4"/>
      <c r="T498" s="4"/>
      <c r="U498" s="4"/>
      <c r="V498" s="4"/>
      <c r="W498" s="4"/>
      <c r="X498" s="4"/>
      <c r="Y498" s="4"/>
      <c r="Z498" s="4"/>
    </row>
    <row r="499" spans="1:26" ht="12.75">
      <c r="A499" s="4"/>
      <c r="B499" s="4"/>
      <c r="C499" s="15"/>
      <c r="D499" s="4"/>
      <c r="E499" s="4"/>
      <c r="F499" s="4"/>
      <c r="G499" s="4"/>
      <c r="H499" s="4"/>
      <c r="I499" s="4"/>
      <c r="J499" s="4"/>
      <c r="K499" s="4"/>
      <c r="L499" s="4"/>
      <c r="M499" s="4"/>
      <c r="N499" s="4"/>
      <c r="O499" s="4"/>
      <c r="P499" s="4"/>
      <c r="Q499" s="4"/>
      <c r="R499" s="4"/>
      <c r="S499" s="4"/>
      <c r="T499" s="4"/>
      <c r="U499" s="4"/>
      <c r="V499" s="4"/>
      <c r="W499" s="4"/>
      <c r="X499" s="4"/>
      <c r="Y499" s="4"/>
      <c r="Z499" s="4"/>
    </row>
    <row r="500" spans="1:26" ht="12.75">
      <c r="A500" s="4"/>
      <c r="B500" s="4"/>
      <c r="C500" s="15"/>
      <c r="D500" s="4"/>
      <c r="E500" s="4"/>
      <c r="F500" s="4"/>
      <c r="G500" s="4"/>
      <c r="H500" s="4"/>
      <c r="I500" s="4"/>
      <c r="J500" s="4"/>
      <c r="K500" s="4"/>
      <c r="L500" s="4"/>
      <c r="M500" s="4"/>
      <c r="N500" s="4"/>
      <c r="O500" s="4"/>
      <c r="P500" s="4"/>
      <c r="Q500" s="4"/>
      <c r="R500" s="4"/>
      <c r="S500" s="4"/>
      <c r="T500" s="4"/>
      <c r="U500" s="4"/>
      <c r="V500" s="4"/>
      <c r="W500" s="4"/>
      <c r="X500" s="4"/>
      <c r="Y500" s="4"/>
      <c r="Z500" s="4"/>
    </row>
    <row r="501" spans="1:26" ht="12.75">
      <c r="A501" s="4"/>
      <c r="B501" s="4"/>
      <c r="C501" s="15"/>
      <c r="D501" s="4"/>
      <c r="E501" s="4"/>
      <c r="F501" s="4"/>
      <c r="G501" s="4"/>
      <c r="H501" s="4"/>
      <c r="I501" s="4"/>
      <c r="J501" s="4"/>
      <c r="K501" s="4"/>
      <c r="L501" s="4"/>
      <c r="M501" s="4"/>
      <c r="N501" s="4"/>
      <c r="O501" s="4"/>
      <c r="P501" s="4"/>
      <c r="Q501" s="4"/>
      <c r="R501" s="4"/>
      <c r="S501" s="4"/>
      <c r="T501" s="4"/>
      <c r="U501" s="4"/>
      <c r="V501" s="4"/>
      <c r="W501" s="4"/>
      <c r="X501" s="4"/>
      <c r="Y501" s="4"/>
      <c r="Z501" s="4"/>
    </row>
    <row r="502" spans="1:26" ht="12.75">
      <c r="A502" s="4"/>
      <c r="B502" s="4"/>
      <c r="C502" s="15"/>
      <c r="D502" s="4"/>
      <c r="E502" s="4"/>
      <c r="F502" s="4"/>
      <c r="G502" s="4"/>
      <c r="H502" s="4"/>
      <c r="I502" s="4"/>
      <c r="J502" s="4"/>
      <c r="K502" s="4"/>
      <c r="L502" s="4"/>
      <c r="M502" s="4"/>
      <c r="N502" s="4"/>
      <c r="O502" s="4"/>
      <c r="P502" s="4"/>
      <c r="Q502" s="4"/>
      <c r="R502" s="4"/>
      <c r="S502" s="4"/>
      <c r="T502" s="4"/>
      <c r="U502" s="4"/>
      <c r="V502" s="4"/>
      <c r="W502" s="4"/>
      <c r="X502" s="4"/>
      <c r="Y502" s="4"/>
      <c r="Z502" s="4"/>
    </row>
    <row r="503" spans="1:26" ht="12.75">
      <c r="A503" s="4"/>
      <c r="B503" s="4"/>
      <c r="C503" s="15"/>
      <c r="D503" s="4"/>
      <c r="E503" s="4"/>
      <c r="F503" s="4"/>
      <c r="G503" s="4"/>
      <c r="H503" s="4"/>
      <c r="I503" s="4"/>
      <c r="J503" s="4"/>
      <c r="K503" s="4"/>
      <c r="L503" s="4"/>
      <c r="M503" s="4"/>
      <c r="N503" s="4"/>
      <c r="O503" s="4"/>
      <c r="P503" s="4"/>
      <c r="Q503" s="4"/>
      <c r="R503" s="4"/>
      <c r="S503" s="4"/>
      <c r="T503" s="4"/>
      <c r="U503" s="4"/>
      <c r="V503" s="4"/>
      <c r="W503" s="4"/>
      <c r="X503" s="4"/>
      <c r="Y503" s="4"/>
      <c r="Z503" s="4"/>
    </row>
    <row r="504" spans="1:26" ht="12.75">
      <c r="A504" s="4"/>
      <c r="B504" s="4"/>
      <c r="C504" s="15"/>
      <c r="D504" s="4"/>
      <c r="E504" s="4"/>
      <c r="F504" s="4"/>
      <c r="G504" s="4"/>
      <c r="H504" s="4"/>
      <c r="I504" s="4"/>
      <c r="J504" s="4"/>
      <c r="K504" s="4"/>
      <c r="L504" s="4"/>
      <c r="M504" s="4"/>
      <c r="N504" s="4"/>
      <c r="O504" s="4"/>
      <c r="P504" s="4"/>
      <c r="Q504" s="4"/>
      <c r="R504" s="4"/>
      <c r="S504" s="4"/>
      <c r="T504" s="4"/>
      <c r="U504" s="4"/>
      <c r="V504" s="4"/>
      <c r="W504" s="4"/>
      <c r="X504" s="4"/>
      <c r="Y504" s="4"/>
      <c r="Z504" s="4"/>
    </row>
    <row r="505" spans="1:26" ht="12.75">
      <c r="A505" s="4"/>
      <c r="B505" s="4"/>
      <c r="C505" s="15"/>
      <c r="D505" s="4"/>
      <c r="E505" s="4"/>
      <c r="F505" s="4"/>
      <c r="G505" s="4"/>
      <c r="H505" s="4"/>
      <c r="I505" s="4"/>
      <c r="J505" s="4"/>
      <c r="K505" s="4"/>
      <c r="L505" s="4"/>
      <c r="M505" s="4"/>
      <c r="N505" s="4"/>
      <c r="O505" s="4"/>
      <c r="P505" s="4"/>
      <c r="Q505" s="4"/>
      <c r="R505" s="4"/>
      <c r="S505" s="4"/>
      <c r="T505" s="4"/>
      <c r="U505" s="4"/>
      <c r="V505" s="4"/>
      <c r="W505" s="4"/>
      <c r="X505" s="4"/>
      <c r="Y505" s="4"/>
      <c r="Z505" s="4"/>
    </row>
    <row r="506" spans="1:26" ht="12.75">
      <c r="A506" s="4"/>
      <c r="B506" s="4"/>
      <c r="C506" s="15"/>
      <c r="D506" s="4"/>
      <c r="E506" s="4"/>
      <c r="F506" s="4"/>
      <c r="G506" s="4"/>
      <c r="H506" s="4"/>
      <c r="I506" s="4"/>
      <c r="J506" s="4"/>
      <c r="K506" s="4"/>
      <c r="L506" s="4"/>
      <c r="M506" s="4"/>
      <c r="N506" s="4"/>
      <c r="O506" s="4"/>
      <c r="P506" s="4"/>
      <c r="Q506" s="4"/>
      <c r="R506" s="4"/>
      <c r="S506" s="4"/>
      <c r="T506" s="4"/>
      <c r="U506" s="4"/>
      <c r="V506" s="4"/>
      <c r="W506" s="4"/>
      <c r="X506" s="4"/>
      <c r="Y506" s="4"/>
      <c r="Z506" s="4"/>
    </row>
    <row r="507" spans="1:26" ht="12.75">
      <c r="A507" s="4"/>
      <c r="B507" s="4"/>
      <c r="C507" s="15"/>
      <c r="D507" s="4"/>
      <c r="E507" s="4"/>
      <c r="F507" s="4"/>
      <c r="G507" s="4"/>
      <c r="H507" s="4"/>
      <c r="I507" s="4"/>
      <c r="J507" s="4"/>
      <c r="K507" s="4"/>
      <c r="L507" s="4"/>
      <c r="M507" s="4"/>
      <c r="N507" s="4"/>
      <c r="O507" s="4"/>
      <c r="P507" s="4"/>
      <c r="Q507" s="4"/>
      <c r="R507" s="4"/>
      <c r="S507" s="4"/>
      <c r="T507" s="4"/>
      <c r="U507" s="4"/>
      <c r="V507" s="4"/>
      <c r="W507" s="4"/>
      <c r="X507" s="4"/>
      <c r="Y507" s="4"/>
      <c r="Z507" s="4"/>
    </row>
    <row r="508" spans="1:26" ht="12.75">
      <c r="A508" s="4"/>
      <c r="B508" s="4"/>
      <c r="C508" s="15"/>
      <c r="D508" s="4"/>
      <c r="E508" s="4"/>
      <c r="F508" s="4"/>
      <c r="G508" s="4"/>
      <c r="H508" s="4"/>
      <c r="I508" s="4"/>
      <c r="J508" s="4"/>
      <c r="K508" s="4"/>
      <c r="L508" s="4"/>
      <c r="M508" s="4"/>
      <c r="N508" s="4"/>
      <c r="O508" s="4"/>
      <c r="P508" s="4"/>
      <c r="Q508" s="4"/>
      <c r="R508" s="4"/>
      <c r="S508" s="4"/>
      <c r="T508" s="4"/>
      <c r="U508" s="4"/>
      <c r="V508" s="4"/>
      <c r="W508" s="4"/>
      <c r="X508" s="4"/>
      <c r="Y508" s="4"/>
      <c r="Z508" s="4"/>
    </row>
    <row r="509" spans="1:26" ht="12.75">
      <c r="A509" s="4"/>
      <c r="B509" s="4"/>
      <c r="C509" s="15"/>
      <c r="D509" s="4"/>
      <c r="E509" s="4"/>
      <c r="F509" s="4"/>
      <c r="G509" s="4"/>
      <c r="H509" s="4"/>
      <c r="I509" s="4"/>
      <c r="J509" s="4"/>
      <c r="K509" s="4"/>
      <c r="L509" s="4"/>
      <c r="M509" s="4"/>
      <c r="N509" s="4"/>
      <c r="O509" s="4"/>
      <c r="P509" s="4"/>
      <c r="Q509" s="4"/>
      <c r="R509" s="4"/>
      <c r="S509" s="4"/>
      <c r="T509" s="4"/>
      <c r="U509" s="4"/>
      <c r="V509" s="4"/>
      <c r="W509" s="4"/>
      <c r="X509" s="4"/>
      <c r="Y509" s="4"/>
      <c r="Z509" s="4"/>
    </row>
    <row r="510" spans="1:26" ht="12.75">
      <c r="A510" s="4"/>
      <c r="B510" s="4"/>
      <c r="C510" s="15"/>
      <c r="D510" s="4"/>
      <c r="E510" s="4"/>
      <c r="F510" s="4"/>
      <c r="G510" s="4"/>
      <c r="H510" s="4"/>
      <c r="I510" s="4"/>
      <c r="J510" s="4"/>
      <c r="K510" s="4"/>
      <c r="L510" s="4"/>
      <c r="M510" s="4"/>
      <c r="N510" s="4"/>
      <c r="O510" s="4"/>
      <c r="P510" s="4"/>
      <c r="Q510" s="4"/>
      <c r="R510" s="4"/>
      <c r="S510" s="4"/>
      <c r="T510" s="4"/>
      <c r="U510" s="4"/>
      <c r="V510" s="4"/>
      <c r="W510" s="4"/>
      <c r="X510" s="4"/>
      <c r="Y510" s="4"/>
      <c r="Z510" s="4"/>
    </row>
    <row r="511" spans="1:26" ht="12.75">
      <c r="A511" s="4"/>
      <c r="B511" s="4"/>
      <c r="C511" s="15"/>
      <c r="D511" s="4"/>
      <c r="E511" s="4"/>
      <c r="F511" s="4"/>
      <c r="G511" s="4"/>
      <c r="H511" s="4"/>
      <c r="I511" s="4"/>
      <c r="J511" s="4"/>
      <c r="K511" s="4"/>
      <c r="L511" s="4"/>
      <c r="M511" s="4"/>
      <c r="N511" s="4"/>
      <c r="O511" s="4"/>
      <c r="P511" s="4"/>
      <c r="Q511" s="4"/>
      <c r="R511" s="4"/>
      <c r="S511" s="4"/>
      <c r="T511" s="4"/>
      <c r="U511" s="4"/>
      <c r="V511" s="4"/>
      <c r="W511" s="4"/>
      <c r="X511" s="4"/>
      <c r="Y511" s="4"/>
      <c r="Z511" s="4"/>
    </row>
    <row r="512" spans="1:26" ht="12.75">
      <c r="A512" s="4"/>
      <c r="B512" s="4"/>
      <c r="C512" s="15"/>
      <c r="D512" s="4"/>
      <c r="E512" s="4"/>
      <c r="F512" s="4"/>
      <c r="G512" s="4"/>
      <c r="H512" s="4"/>
      <c r="I512" s="4"/>
      <c r="J512" s="4"/>
      <c r="K512" s="4"/>
      <c r="L512" s="4"/>
      <c r="M512" s="4"/>
      <c r="N512" s="4"/>
      <c r="O512" s="4"/>
      <c r="P512" s="4"/>
      <c r="Q512" s="4"/>
      <c r="R512" s="4"/>
      <c r="S512" s="4"/>
      <c r="T512" s="4"/>
      <c r="U512" s="4"/>
      <c r="V512" s="4"/>
      <c r="W512" s="4"/>
      <c r="X512" s="4"/>
      <c r="Y512" s="4"/>
      <c r="Z512" s="4"/>
    </row>
    <row r="513" spans="1:26" ht="12.75">
      <c r="A513" s="4"/>
      <c r="B513" s="4"/>
      <c r="C513" s="15"/>
      <c r="D513" s="4"/>
      <c r="E513" s="4"/>
      <c r="F513" s="4"/>
      <c r="G513" s="4"/>
      <c r="H513" s="4"/>
      <c r="I513" s="4"/>
      <c r="J513" s="4"/>
      <c r="K513" s="4"/>
      <c r="L513" s="4"/>
      <c r="M513" s="4"/>
      <c r="N513" s="4"/>
      <c r="O513" s="4"/>
      <c r="P513" s="4"/>
      <c r="Q513" s="4"/>
      <c r="R513" s="4"/>
      <c r="S513" s="4"/>
      <c r="T513" s="4"/>
      <c r="U513" s="4"/>
      <c r="V513" s="4"/>
      <c r="W513" s="4"/>
      <c r="X513" s="4"/>
      <c r="Y513" s="4"/>
      <c r="Z513" s="4"/>
    </row>
    <row r="514" spans="1:26" ht="12.75">
      <c r="A514" s="4"/>
      <c r="B514" s="4"/>
      <c r="C514" s="15"/>
      <c r="D514" s="4"/>
      <c r="E514" s="4"/>
      <c r="F514" s="4"/>
      <c r="G514" s="4"/>
      <c r="H514" s="4"/>
      <c r="I514" s="4"/>
      <c r="J514" s="4"/>
      <c r="K514" s="4"/>
      <c r="L514" s="4"/>
      <c r="M514" s="4"/>
      <c r="N514" s="4"/>
      <c r="O514" s="4"/>
      <c r="P514" s="4"/>
      <c r="Q514" s="4"/>
      <c r="R514" s="4"/>
      <c r="S514" s="4"/>
      <c r="T514" s="4"/>
      <c r="U514" s="4"/>
      <c r="V514" s="4"/>
      <c r="W514" s="4"/>
      <c r="X514" s="4"/>
      <c r="Y514" s="4"/>
      <c r="Z514" s="4"/>
    </row>
    <row r="515" spans="1:26" ht="12.75">
      <c r="A515" s="4"/>
      <c r="B515" s="4"/>
      <c r="C515" s="15"/>
      <c r="D515" s="4"/>
      <c r="E515" s="4"/>
      <c r="F515" s="4"/>
      <c r="G515" s="4"/>
      <c r="H515" s="4"/>
      <c r="I515" s="4"/>
      <c r="J515" s="4"/>
      <c r="K515" s="4"/>
      <c r="L515" s="4"/>
      <c r="M515" s="4"/>
      <c r="N515" s="4"/>
      <c r="O515" s="4"/>
      <c r="P515" s="4"/>
      <c r="Q515" s="4"/>
      <c r="R515" s="4"/>
      <c r="S515" s="4"/>
      <c r="T515" s="4"/>
      <c r="U515" s="4"/>
      <c r="V515" s="4"/>
      <c r="W515" s="4"/>
      <c r="X515" s="4"/>
      <c r="Y515" s="4"/>
      <c r="Z515" s="4"/>
    </row>
    <row r="516" spans="1:26" ht="12.75">
      <c r="A516" s="4"/>
      <c r="B516" s="4"/>
      <c r="C516" s="15"/>
      <c r="D516" s="4"/>
      <c r="E516" s="4"/>
      <c r="F516" s="4"/>
      <c r="G516" s="4"/>
      <c r="H516" s="4"/>
      <c r="I516" s="4"/>
      <c r="J516" s="4"/>
      <c r="K516" s="4"/>
      <c r="L516" s="4"/>
      <c r="M516" s="4"/>
      <c r="N516" s="4"/>
      <c r="O516" s="4"/>
      <c r="P516" s="4"/>
      <c r="Q516" s="4"/>
      <c r="R516" s="4"/>
      <c r="S516" s="4"/>
      <c r="T516" s="4"/>
      <c r="U516" s="4"/>
      <c r="V516" s="4"/>
      <c r="W516" s="4"/>
      <c r="X516" s="4"/>
      <c r="Y516" s="4"/>
      <c r="Z516" s="4"/>
    </row>
    <row r="517" spans="1:26" ht="12.75">
      <c r="A517" s="4"/>
      <c r="B517" s="4"/>
      <c r="C517" s="15"/>
      <c r="D517" s="4"/>
      <c r="E517" s="4"/>
      <c r="F517" s="4"/>
      <c r="G517" s="4"/>
      <c r="H517" s="4"/>
      <c r="I517" s="4"/>
      <c r="J517" s="4"/>
      <c r="K517" s="4"/>
      <c r="L517" s="4"/>
      <c r="M517" s="4"/>
      <c r="N517" s="4"/>
      <c r="O517" s="4"/>
      <c r="P517" s="4"/>
      <c r="Q517" s="4"/>
      <c r="R517" s="4"/>
      <c r="S517" s="4"/>
      <c r="T517" s="4"/>
      <c r="U517" s="4"/>
      <c r="V517" s="4"/>
      <c r="W517" s="4"/>
      <c r="X517" s="4"/>
      <c r="Y517" s="4"/>
      <c r="Z517" s="4"/>
    </row>
    <row r="518" spans="1:26" ht="12.75">
      <c r="A518" s="4"/>
      <c r="B518" s="4"/>
      <c r="C518" s="15"/>
      <c r="D518" s="4"/>
      <c r="E518" s="4"/>
      <c r="F518" s="4"/>
      <c r="G518" s="4"/>
      <c r="H518" s="4"/>
      <c r="I518" s="4"/>
      <c r="J518" s="4"/>
      <c r="K518" s="4"/>
      <c r="L518" s="4"/>
      <c r="M518" s="4"/>
      <c r="N518" s="4"/>
      <c r="O518" s="4"/>
      <c r="P518" s="4"/>
      <c r="Q518" s="4"/>
      <c r="R518" s="4"/>
      <c r="S518" s="4"/>
      <c r="T518" s="4"/>
      <c r="U518" s="4"/>
      <c r="V518" s="4"/>
      <c r="W518" s="4"/>
      <c r="X518" s="4"/>
      <c r="Y518" s="4"/>
      <c r="Z518" s="4"/>
    </row>
    <row r="519" spans="1:26" ht="12.75">
      <c r="A519" s="4"/>
      <c r="B519" s="4"/>
      <c r="C519" s="15"/>
      <c r="D519" s="4"/>
      <c r="E519" s="4"/>
      <c r="F519" s="4"/>
      <c r="G519" s="4"/>
      <c r="H519" s="4"/>
      <c r="I519" s="4"/>
      <c r="J519" s="4"/>
      <c r="K519" s="4"/>
      <c r="L519" s="4"/>
      <c r="M519" s="4"/>
      <c r="N519" s="4"/>
      <c r="O519" s="4"/>
      <c r="P519" s="4"/>
      <c r="Q519" s="4"/>
      <c r="R519" s="4"/>
      <c r="S519" s="4"/>
      <c r="T519" s="4"/>
      <c r="U519" s="4"/>
      <c r="V519" s="4"/>
      <c r="W519" s="4"/>
      <c r="X519" s="4"/>
      <c r="Y519" s="4"/>
      <c r="Z519" s="4"/>
    </row>
    <row r="520" spans="1:26" ht="12.75">
      <c r="A520" s="4"/>
      <c r="B520" s="4"/>
      <c r="C520" s="15"/>
      <c r="D520" s="4"/>
      <c r="E520" s="4"/>
      <c r="F520" s="4"/>
      <c r="G520" s="4"/>
      <c r="H520" s="4"/>
      <c r="I520" s="4"/>
      <c r="J520" s="4"/>
      <c r="K520" s="4"/>
      <c r="L520" s="4"/>
      <c r="M520" s="4"/>
      <c r="N520" s="4"/>
      <c r="O520" s="4"/>
      <c r="P520" s="4"/>
      <c r="Q520" s="4"/>
      <c r="R520" s="4"/>
      <c r="S520" s="4"/>
      <c r="T520" s="4"/>
      <c r="U520" s="4"/>
      <c r="V520" s="4"/>
      <c r="W520" s="4"/>
      <c r="X520" s="4"/>
      <c r="Y520" s="4"/>
      <c r="Z520" s="4"/>
    </row>
    <row r="521" spans="1:26" ht="12.75">
      <c r="A521" s="4"/>
      <c r="B521" s="4"/>
      <c r="C521" s="15"/>
      <c r="D521" s="4"/>
      <c r="E521" s="4"/>
      <c r="F521" s="4"/>
      <c r="G521" s="4"/>
      <c r="H521" s="4"/>
      <c r="I521" s="4"/>
      <c r="J521" s="4"/>
      <c r="K521" s="4"/>
      <c r="L521" s="4"/>
      <c r="M521" s="4"/>
      <c r="N521" s="4"/>
      <c r="O521" s="4"/>
      <c r="P521" s="4"/>
      <c r="Q521" s="4"/>
      <c r="R521" s="4"/>
      <c r="S521" s="4"/>
      <c r="T521" s="4"/>
      <c r="U521" s="4"/>
      <c r="V521" s="4"/>
      <c r="W521" s="4"/>
      <c r="X521" s="4"/>
      <c r="Y521" s="4"/>
      <c r="Z521" s="4"/>
    </row>
    <row r="522" spans="1:26" ht="12.75">
      <c r="A522" s="4"/>
      <c r="B522" s="4"/>
      <c r="C522" s="15"/>
      <c r="D522" s="4"/>
      <c r="E522" s="4"/>
      <c r="F522" s="4"/>
      <c r="G522" s="4"/>
      <c r="H522" s="4"/>
      <c r="I522" s="4"/>
      <c r="J522" s="4"/>
      <c r="K522" s="4"/>
      <c r="L522" s="4"/>
      <c r="M522" s="4"/>
      <c r="N522" s="4"/>
      <c r="O522" s="4"/>
      <c r="P522" s="4"/>
      <c r="Q522" s="4"/>
      <c r="R522" s="4"/>
      <c r="S522" s="4"/>
      <c r="T522" s="4"/>
      <c r="U522" s="4"/>
      <c r="V522" s="4"/>
      <c r="W522" s="4"/>
      <c r="X522" s="4"/>
      <c r="Y522" s="4"/>
      <c r="Z522" s="4"/>
    </row>
    <row r="523" spans="1:26" ht="12.75">
      <c r="A523" s="4"/>
      <c r="B523" s="4"/>
      <c r="C523" s="15"/>
      <c r="D523" s="4"/>
      <c r="E523" s="4"/>
      <c r="F523" s="4"/>
      <c r="G523" s="4"/>
      <c r="H523" s="4"/>
      <c r="I523" s="4"/>
      <c r="J523" s="4"/>
      <c r="K523" s="4"/>
      <c r="L523" s="4"/>
      <c r="M523" s="4"/>
      <c r="N523" s="4"/>
      <c r="O523" s="4"/>
      <c r="P523" s="4"/>
      <c r="Q523" s="4"/>
      <c r="R523" s="4"/>
      <c r="S523" s="4"/>
      <c r="T523" s="4"/>
      <c r="U523" s="4"/>
      <c r="V523" s="4"/>
      <c r="W523" s="4"/>
      <c r="X523" s="4"/>
      <c r="Y523" s="4"/>
      <c r="Z523" s="4"/>
    </row>
    <row r="524" spans="1:26" ht="12.75">
      <c r="A524" s="4"/>
      <c r="B524" s="4"/>
      <c r="C524" s="15"/>
      <c r="D524" s="4"/>
      <c r="E524" s="4"/>
      <c r="F524" s="4"/>
      <c r="G524" s="4"/>
      <c r="H524" s="4"/>
      <c r="I524" s="4"/>
      <c r="J524" s="4"/>
      <c r="K524" s="4"/>
      <c r="L524" s="4"/>
      <c r="M524" s="4"/>
      <c r="N524" s="4"/>
      <c r="O524" s="4"/>
      <c r="P524" s="4"/>
      <c r="Q524" s="4"/>
      <c r="R524" s="4"/>
      <c r="S524" s="4"/>
      <c r="T524" s="4"/>
      <c r="U524" s="4"/>
      <c r="V524" s="4"/>
      <c r="W524" s="4"/>
      <c r="X524" s="4"/>
      <c r="Y524" s="4"/>
      <c r="Z524" s="4"/>
    </row>
    <row r="525" spans="1:26" ht="12.75">
      <c r="A525" s="4"/>
      <c r="B525" s="4"/>
      <c r="C525" s="15"/>
      <c r="D525" s="4"/>
      <c r="E525" s="4"/>
      <c r="F525" s="4"/>
      <c r="G525" s="4"/>
      <c r="H525" s="4"/>
      <c r="I525" s="4"/>
      <c r="J525" s="4"/>
      <c r="K525" s="4"/>
      <c r="L525" s="4"/>
      <c r="M525" s="4"/>
      <c r="N525" s="4"/>
      <c r="O525" s="4"/>
      <c r="P525" s="4"/>
      <c r="Q525" s="4"/>
      <c r="R525" s="4"/>
      <c r="S525" s="4"/>
      <c r="T525" s="4"/>
      <c r="U525" s="4"/>
      <c r="V525" s="4"/>
      <c r="W525" s="4"/>
      <c r="X525" s="4"/>
      <c r="Y525" s="4"/>
      <c r="Z525" s="4"/>
    </row>
    <row r="526" spans="1:26" ht="12.75">
      <c r="A526" s="4"/>
      <c r="B526" s="4"/>
      <c r="C526" s="15"/>
      <c r="D526" s="4"/>
      <c r="E526" s="4"/>
      <c r="F526" s="4"/>
      <c r="G526" s="4"/>
      <c r="H526" s="4"/>
      <c r="I526" s="4"/>
      <c r="J526" s="4"/>
      <c r="K526" s="4"/>
      <c r="L526" s="4"/>
      <c r="M526" s="4"/>
      <c r="N526" s="4"/>
      <c r="O526" s="4"/>
      <c r="P526" s="4"/>
      <c r="Q526" s="4"/>
      <c r="R526" s="4"/>
      <c r="S526" s="4"/>
      <c r="T526" s="4"/>
      <c r="U526" s="4"/>
      <c r="V526" s="4"/>
      <c r="W526" s="4"/>
      <c r="X526" s="4"/>
      <c r="Y526" s="4"/>
      <c r="Z526" s="4"/>
    </row>
    <row r="527" spans="1:26" ht="12.75">
      <c r="A527" s="4"/>
      <c r="B527" s="4"/>
      <c r="C527" s="15"/>
      <c r="D527" s="4"/>
      <c r="E527" s="4"/>
      <c r="F527" s="4"/>
      <c r="G527" s="4"/>
      <c r="H527" s="4"/>
      <c r="I527" s="4"/>
      <c r="J527" s="4"/>
      <c r="K527" s="4"/>
      <c r="L527" s="4"/>
      <c r="M527" s="4"/>
      <c r="N527" s="4"/>
      <c r="O527" s="4"/>
      <c r="P527" s="4"/>
      <c r="Q527" s="4"/>
      <c r="R527" s="4"/>
      <c r="S527" s="4"/>
      <c r="T527" s="4"/>
      <c r="U527" s="4"/>
      <c r="V527" s="4"/>
      <c r="W527" s="4"/>
      <c r="X527" s="4"/>
      <c r="Y527" s="4"/>
      <c r="Z527" s="4"/>
    </row>
    <row r="528" spans="1:26" ht="12.75">
      <c r="A528" s="4"/>
      <c r="B528" s="4"/>
      <c r="C528" s="15"/>
      <c r="D528" s="4"/>
      <c r="E528" s="4"/>
      <c r="F528" s="4"/>
      <c r="G528" s="4"/>
      <c r="H528" s="4"/>
      <c r="I528" s="4"/>
      <c r="J528" s="4"/>
      <c r="K528" s="4"/>
      <c r="L528" s="4"/>
      <c r="M528" s="4"/>
      <c r="N528" s="4"/>
      <c r="O528" s="4"/>
      <c r="P528" s="4"/>
      <c r="Q528" s="4"/>
      <c r="R528" s="4"/>
      <c r="S528" s="4"/>
      <c r="T528" s="4"/>
      <c r="U528" s="4"/>
      <c r="V528" s="4"/>
      <c r="W528" s="4"/>
      <c r="X528" s="4"/>
      <c r="Y528" s="4"/>
      <c r="Z528" s="4"/>
    </row>
    <row r="529" spans="1:26" ht="12.75">
      <c r="A529" s="4"/>
      <c r="B529" s="4"/>
      <c r="C529" s="15"/>
      <c r="D529" s="4"/>
      <c r="E529" s="4"/>
      <c r="F529" s="4"/>
      <c r="G529" s="4"/>
      <c r="H529" s="4"/>
      <c r="I529" s="4"/>
      <c r="J529" s="4"/>
      <c r="K529" s="4"/>
      <c r="L529" s="4"/>
      <c r="M529" s="4"/>
      <c r="N529" s="4"/>
      <c r="O529" s="4"/>
      <c r="P529" s="4"/>
      <c r="Q529" s="4"/>
      <c r="R529" s="4"/>
      <c r="S529" s="4"/>
      <c r="T529" s="4"/>
      <c r="U529" s="4"/>
      <c r="V529" s="4"/>
      <c r="W529" s="4"/>
      <c r="X529" s="4"/>
      <c r="Y529" s="4"/>
      <c r="Z529" s="4"/>
    </row>
    <row r="530" spans="1:26" ht="12.75">
      <c r="A530" s="4"/>
      <c r="B530" s="4"/>
      <c r="C530" s="15"/>
      <c r="D530" s="4"/>
      <c r="E530" s="4"/>
      <c r="F530" s="4"/>
      <c r="G530" s="4"/>
      <c r="H530" s="4"/>
      <c r="I530" s="4"/>
      <c r="J530" s="4"/>
      <c r="K530" s="4"/>
      <c r="L530" s="4"/>
      <c r="M530" s="4"/>
      <c r="N530" s="4"/>
      <c r="O530" s="4"/>
      <c r="P530" s="4"/>
      <c r="Q530" s="4"/>
      <c r="R530" s="4"/>
      <c r="S530" s="4"/>
      <c r="T530" s="4"/>
      <c r="U530" s="4"/>
      <c r="V530" s="4"/>
      <c r="W530" s="4"/>
      <c r="X530" s="4"/>
      <c r="Y530" s="4"/>
      <c r="Z530" s="4"/>
    </row>
    <row r="531" spans="1:26" ht="12.75">
      <c r="A531" s="4"/>
      <c r="B531" s="4"/>
      <c r="C531" s="15"/>
      <c r="D531" s="4"/>
      <c r="E531" s="4"/>
      <c r="F531" s="4"/>
      <c r="G531" s="4"/>
      <c r="H531" s="4"/>
      <c r="I531" s="4"/>
      <c r="J531" s="4"/>
      <c r="K531" s="4"/>
      <c r="L531" s="4"/>
      <c r="M531" s="4"/>
      <c r="N531" s="4"/>
      <c r="O531" s="4"/>
      <c r="P531" s="4"/>
      <c r="Q531" s="4"/>
      <c r="R531" s="4"/>
      <c r="S531" s="4"/>
      <c r="T531" s="4"/>
      <c r="U531" s="4"/>
      <c r="V531" s="4"/>
      <c r="W531" s="4"/>
      <c r="X531" s="4"/>
      <c r="Y531" s="4"/>
      <c r="Z531" s="4"/>
    </row>
    <row r="532" spans="1:26" ht="12.75">
      <c r="A532" s="4"/>
      <c r="B532" s="4"/>
      <c r="C532" s="15"/>
      <c r="D532" s="4"/>
      <c r="E532" s="4"/>
      <c r="F532" s="4"/>
      <c r="G532" s="4"/>
      <c r="H532" s="4"/>
      <c r="I532" s="4"/>
      <c r="J532" s="4"/>
      <c r="K532" s="4"/>
      <c r="L532" s="4"/>
      <c r="M532" s="4"/>
      <c r="N532" s="4"/>
      <c r="O532" s="4"/>
      <c r="P532" s="4"/>
      <c r="Q532" s="4"/>
      <c r="R532" s="4"/>
      <c r="S532" s="4"/>
      <c r="T532" s="4"/>
      <c r="U532" s="4"/>
      <c r="V532" s="4"/>
      <c r="W532" s="4"/>
      <c r="X532" s="4"/>
      <c r="Y532" s="4"/>
      <c r="Z532" s="4"/>
    </row>
    <row r="533" spans="1:26" ht="12.75">
      <c r="A533" s="4"/>
      <c r="B533" s="4"/>
      <c r="C533" s="15"/>
      <c r="D533" s="4"/>
      <c r="E533" s="4"/>
      <c r="F533" s="4"/>
      <c r="G533" s="4"/>
      <c r="H533" s="4"/>
      <c r="I533" s="4"/>
      <c r="J533" s="4"/>
      <c r="K533" s="4"/>
      <c r="L533" s="4"/>
      <c r="M533" s="4"/>
      <c r="N533" s="4"/>
      <c r="O533" s="4"/>
      <c r="P533" s="4"/>
      <c r="Q533" s="4"/>
      <c r="R533" s="4"/>
      <c r="S533" s="4"/>
      <c r="T533" s="4"/>
      <c r="U533" s="4"/>
      <c r="V533" s="4"/>
      <c r="W533" s="4"/>
      <c r="X533" s="4"/>
      <c r="Y533" s="4"/>
      <c r="Z533" s="4"/>
    </row>
    <row r="534" spans="1:26" ht="12.75">
      <c r="A534" s="4"/>
      <c r="B534" s="4"/>
      <c r="C534" s="15"/>
      <c r="D534" s="4"/>
      <c r="E534" s="4"/>
      <c r="F534" s="4"/>
      <c r="G534" s="4"/>
      <c r="H534" s="4"/>
      <c r="I534" s="4"/>
      <c r="J534" s="4"/>
      <c r="K534" s="4"/>
      <c r="L534" s="4"/>
      <c r="M534" s="4"/>
      <c r="N534" s="4"/>
      <c r="O534" s="4"/>
      <c r="P534" s="4"/>
      <c r="Q534" s="4"/>
      <c r="R534" s="4"/>
      <c r="S534" s="4"/>
      <c r="T534" s="4"/>
      <c r="U534" s="4"/>
      <c r="V534" s="4"/>
      <c r="W534" s="4"/>
      <c r="X534" s="4"/>
      <c r="Y534" s="4"/>
      <c r="Z534" s="4"/>
    </row>
    <row r="535" spans="1:26" ht="12.75">
      <c r="A535" s="4"/>
      <c r="B535" s="4"/>
      <c r="C535" s="15"/>
      <c r="D535" s="4"/>
      <c r="E535" s="4"/>
      <c r="F535" s="4"/>
      <c r="G535" s="4"/>
      <c r="H535" s="4"/>
      <c r="I535" s="4"/>
      <c r="J535" s="4"/>
      <c r="K535" s="4"/>
      <c r="L535" s="4"/>
      <c r="M535" s="4"/>
      <c r="N535" s="4"/>
      <c r="O535" s="4"/>
      <c r="P535" s="4"/>
      <c r="Q535" s="4"/>
      <c r="R535" s="4"/>
      <c r="S535" s="4"/>
      <c r="T535" s="4"/>
      <c r="U535" s="4"/>
      <c r="V535" s="4"/>
      <c r="W535" s="4"/>
      <c r="X535" s="4"/>
      <c r="Y535" s="4"/>
      <c r="Z535" s="4"/>
    </row>
    <row r="536" spans="1:26" ht="12.75">
      <c r="A536" s="4"/>
      <c r="B536" s="4"/>
      <c r="C536" s="15"/>
      <c r="D536" s="4"/>
      <c r="E536" s="4"/>
      <c r="F536" s="4"/>
      <c r="G536" s="4"/>
      <c r="H536" s="4"/>
      <c r="I536" s="4"/>
      <c r="J536" s="4"/>
      <c r="K536" s="4"/>
      <c r="L536" s="4"/>
      <c r="M536" s="4"/>
      <c r="N536" s="4"/>
      <c r="O536" s="4"/>
      <c r="P536" s="4"/>
      <c r="Q536" s="4"/>
      <c r="R536" s="4"/>
      <c r="S536" s="4"/>
      <c r="T536" s="4"/>
      <c r="U536" s="4"/>
      <c r="V536" s="4"/>
      <c r="W536" s="4"/>
      <c r="X536" s="4"/>
      <c r="Y536" s="4"/>
      <c r="Z536" s="4"/>
    </row>
    <row r="537" spans="1:26" ht="12.75">
      <c r="A537" s="4"/>
      <c r="B537" s="4"/>
      <c r="C537" s="15"/>
      <c r="D537" s="4"/>
      <c r="E537" s="4"/>
      <c r="F537" s="4"/>
      <c r="G537" s="4"/>
      <c r="H537" s="4"/>
      <c r="I537" s="4"/>
      <c r="J537" s="4"/>
      <c r="K537" s="4"/>
      <c r="L537" s="4"/>
      <c r="M537" s="4"/>
      <c r="N537" s="4"/>
      <c r="O537" s="4"/>
      <c r="P537" s="4"/>
      <c r="Q537" s="4"/>
      <c r="R537" s="4"/>
      <c r="S537" s="4"/>
      <c r="T537" s="4"/>
      <c r="U537" s="4"/>
      <c r="V537" s="4"/>
      <c r="W537" s="4"/>
      <c r="X537" s="4"/>
      <c r="Y537" s="4"/>
      <c r="Z537" s="4"/>
    </row>
    <row r="538" spans="1:26" ht="12.75">
      <c r="A538" s="4"/>
      <c r="B538" s="4"/>
      <c r="C538" s="15"/>
      <c r="D538" s="4"/>
      <c r="E538" s="4"/>
      <c r="F538" s="4"/>
      <c r="G538" s="4"/>
      <c r="H538" s="4"/>
      <c r="I538" s="4"/>
      <c r="J538" s="4"/>
      <c r="K538" s="4"/>
      <c r="L538" s="4"/>
      <c r="M538" s="4"/>
      <c r="N538" s="4"/>
      <c r="O538" s="4"/>
      <c r="P538" s="4"/>
      <c r="Q538" s="4"/>
      <c r="R538" s="4"/>
      <c r="S538" s="4"/>
      <c r="T538" s="4"/>
      <c r="U538" s="4"/>
      <c r="V538" s="4"/>
      <c r="W538" s="4"/>
      <c r="X538" s="4"/>
      <c r="Y538" s="4"/>
      <c r="Z538" s="4"/>
    </row>
    <row r="539" spans="1:26" ht="12.75">
      <c r="A539" s="4"/>
      <c r="B539" s="4"/>
      <c r="C539" s="15"/>
      <c r="D539" s="4"/>
      <c r="E539" s="4"/>
      <c r="F539" s="4"/>
      <c r="G539" s="4"/>
      <c r="H539" s="4"/>
      <c r="I539" s="4"/>
      <c r="J539" s="4"/>
      <c r="K539" s="4"/>
      <c r="L539" s="4"/>
      <c r="M539" s="4"/>
      <c r="N539" s="4"/>
      <c r="O539" s="4"/>
      <c r="P539" s="4"/>
      <c r="Q539" s="4"/>
      <c r="R539" s="4"/>
      <c r="S539" s="4"/>
      <c r="T539" s="4"/>
      <c r="U539" s="4"/>
      <c r="V539" s="4"/>
      <c r="W539" s="4"/>
      <c r="X539" s="4"/>
      <c r="Y539" s="4"/>
      <c r="Z539" s="4"/>
    </row>
    <row r="540" spans="1:26" ht="12.75">
      <c r="A540" s="4"/>
      <c r="B540" s="4"/>
      <c r="C540" s="15"/>
      <c r="D540" s="4"/>
      <c r="E540" s="4"/>
      <c r="F540" s="4"/>
      <c r="G540" s="4"/>
      <c r="H540" s="4"/>
      <c r="I540" s="4"/>
      <c r="J540" s="4"/>
      <c r="K540" s="4"/>
      <c r="L540" s="4"/>
      <c r="M540" s="4"/>
      <c r="N540" s="4"/>
      <c r="O540" s="4"/>
      <c r="P540" s="4"/>
      <c r="Q540" s="4"/>
      <c r="R540" s="4"/>
      <c r="S540" s="4"/>
      <c r="T540" s="4"/>
      <c r="U540" s="4"/>
      <c r="V540" s="4"/>
      <c r="W540" s="4"/>
      <c r="X540" s="4"/>
      <c r="Y540" s="4"/>
      <c r="Z540" s="4"/>
    </row>
    <row r="541" spans="1:26" ht="12.75">
      <c r="A541" s="4"/>
      <c r="B541" s="4"/>
      <c r="C541" s="15"/>
      <c r="D541" s="4"/>
      <c r="E541" s="4"/>
      <c r="F541" s="4"/>
      <c r="G541" s="4"/>
      <c r="H541" s="4"/>
      <c r="I541" s="4"/>
      <c r="J541" s="4"/>
      <c r="K541" s="4"/>
      <c r="L541" s="4"/>
      <c r="M541" s="4"/>
      <c r="N541" s="4"/>
      <c r="O541" s="4"/>
      <c r="P541" s="4"/>
      <c r="Q541" s="4"/>
      <c r="R541" s="4"/>
      <c r="S541" s="4"/>
      <c r="T541" s="4"/>
      <c r="U541" s="4"/>
      <c r="V541" s="4"/>
      <c r="W541" s="4"/>
      <c r="X541" s="4"/>
      <c r="Y541" s="4"/>
      <c r="Z541" s="4"/>
    </row>
    <row r="542" spans="1:26" ht="12.75">
      <c r="A542" s="4"/>
      <c r="B542" s="4"/>
      <c r="C542" s="15"/>
      <c r="D542" s="4"/>
      <c r="E542" s="4"/>
      <c r="F542" s="4"/>
      <c r="G542" s="4"/>
      <c r="H542" s="4"/>
      <c r="I542" s="4"/>
      <c r="J542" s="4"/>
      <c r="K542" s="4"/>
      <c r="L542" s="4"/>
      <c r="M542" s="4"/>
      <c r="N542" s="4"/>
      <c r="O542" s="4"/>
      <c r="P542" s="4"/>
      <c r="Q542" s="4"/>
      <c r="R542" s="4"/>
      <c r="S542" s="4"/>
      <c r="T542" s="4"/>
      <c r="U542" s="4"/>
      <c r="V542" s="4"/>
      <c r="W542" s="4"/>
      <c r="X542" s="4"/>
      <c r="Y542" s="4"/>
      <c r="Z542" s="4"/>
    </row>
    <row r="543" spans="1:26" ht="12.75">
      <c r="A543" s="4"/>
      <c r="B543" s="4"/>
      <c r="C543" s="15"/>
      <c r="D543" s="4"/>
      <c r="E543" s="4"/>
      <c r="F543" s="4"/>
      <c r="G543" s="4"/>
      <c r="H543" s="4"/>
      <c r="I543" s="4"/>
      <c r="J543" s="4"/>
      <c r="K543" s="4"/>
      <c r="L543" s="4"/>
      <c r="M543" s="4"/>
      <c r="N543" s="4"/>
      <c r="O543" s="4"/>
      <c r="P543" s="4"/>
      <c r="Q543" s="4"/>
      <c r="R543" s="4"/>
      <c r="S543" s="4"/>
      <c r="T543" s="4"/>
      <c r="U543" s="4"/>
      <c r="V543" s="4"/>
      <c r="W543" s="4"/>
      <c r="X543" s="4"/>
      <c r="Y543" s="4"/>
      <c r="Z543" s="4"/>
    </row>
    <row r="544" spans="1:26" ht="12.75">
      <c r="A544" s="4"/>
      <c r="B544" s="4"/>
      <c r="C544" s="15"/>
      <c r="D544" s="4"/>
      <c r="E544" s="4"/>
      <c r="F544" s="4"/>
      <c r="G544" s="4"/>
      <c r="H544" s="4"/>
      <c r="I544" s="4"/>
      <c r="J544" s="4"/>
      <c r="K544" s="4"/>
      <c r="L544" s="4"/>
      <c r="M544" s="4"/>
      <c r="N544" s="4"/>
      <c r="O544" s="4"/>
      <c r="P544" s="4"/>
      <c r="Q544" s="4"/>
      <c r="R544" s="4"/>
      <c r="S544" s="4"/>
      <c r="T544" s="4"/>
      <c r="U544" s="4"/>
      <c r="V544" s="4"/>
      <c r="W544" s="4"/>
      <c r="X544" s="4"/>
      <c r="Y544" s="4"/>
      <c r="Z544" s="4"/>
    </row>
    <row r="545" spans="1:26" ht="12.75">
      <c r="A545" s="4"/>
      <c r="B545" s="4"/>
      <c r="C545" s="15"/>
      <c r="D545" s="4"/>
      <c r="E545" s="4"/>
      <c r="F545" s="4"/>
      <c r="G545" s="4"/>
      <c r="H545" s="4"/>
      <c r="I545" s="4"/>
      <c r="J545" s="4"/>
      <c r="K545" s="4"/>
      <c r="L545" s="4"/>
      <c r="M545" s="4"/>
      <c r="N545" s="4"/>
      <c r="O545" s="4"/>
      <c r="P545" s="4"/>
      <c r="Q545" s="4"/>
      <c r="R545" s="4"/>
      <c r="S545" s="4"/>
      <c r="T545" s="4"/>
      <c r="U545" s="4"/>
      <c r="V545" s="4"/>
      <c r="W545" s="4"/>
      <c r="X545" s="4"/>
      <c r="Y545" s="4"/>
      <c r="Z545" s="4"/>
    </row>
    <row r="546" spans="1:26" ht="12.75">
      <c r="A546" s="4"/>
      <c r="B546" s="4"/>
      <c r="C546" s="15"/>
      <c r="D546" s="4"/>
      <c r="E546" s="4"/>
      <c r="F546" s="4"/>
      <c r="G546" s="4"/>
      <c r="H546" s="4"/>
      <c r="I546" s="4"/>
      <c r="J546" s="4"/>
      <c r="K546" s="4"/>
      <c r="L546" s="4"/>
      <c r="M546" s="4"/>
      <c r="N546" s="4"/>
      <c r="O546" s="4"/>
      <c r="P546" s="4"/>
      <c r="Q546" s="4"/>
      <c r="R546" s="4"/>
      <c r="S546" s="4"/>
      <c r="T546" s="4"/>
      <c r="U546" s="4"/>
      <c r="V546" s="4"/>
      <c r="W546" s="4"/>
      <c r="X546" s="4"/>
      <c r="Y546" s="4"/>
      <c r="Z546" s="4"/>
    </row>
    <row r="547" spans="1:26" ht="12.75">
      <c r="A547" s="4"/>
      <c r="B547" s="4"/>
      <c r="C547" s="15"/>
      <c r="D547" s="4"/>
      <c r="E547" s="4"/>
      <c r="F547" s="4"/>
      <c r="G547" s="4"/>
      <c r="H547" s="4"/>
      <c r="I547" s="4"/>
      <c r="J547" s="4"/>
      <c r="K547" s="4"/>
      <c r="L547" s="4"/>
      <c r="M547" s="4"/>
      <c r="N547" s="4"/>
      <c r="O547" s="4"/>
      <c r="P547" s="4"/>
      <c r="Q547" s="4"/>
      <c r="R547" s="4"/>
      <c r="S547" s="4"/>
      <c r="T547" s="4"/>
      <c r="U547" s="4"/>
      <c r="V547" s="4"/>
      <c r="W547" s="4"/>
      <c r="X547" s="4"/>
      <c r="Y547" s="4"/>
      <c r="Z547" s="4"/>
    </row>
    <row r="548" spans="1:26" ht="12.75">
      <c r="A548" s="4"/>
      <c r="B548" s="4"/>
      <c r="C548" s="15"/>
      <c r="D548" s="4"/>
      <c r="E548" s="4"/>
      <c r="F548" s="4"/>
      <c r="G548" s="4"/>
      <c r="H548" s="4"/>
      <c r="I548" s="4"/>
      <c r="J548" s="4"/>
      <c r="K548" s="4"/>
      <c r="L548" s="4"/>
      <c r="M548" s="4"/>
      <c r="N548" s="4"/>
      <c r="O548" s="4"/>
      <c r="P548" s="4"/>
      <c r="Q548" s="4"/>
      <c r="R548" s="4"/>
      <c r="S548" s="4"/>
      <c r="T548" s="4"/>
      <c r="U548" s="4"/>
      <c r="V548" s="4"/>
      <c r="W548" s="4"/>
      <c r="X548" s="4"/>
      <c r="Y548" s="4"/>
      <c r="Z548" s="4"/>
    </row>
    <row r="549" spans="1:26" ht="12.75">
      <c r="A549" s="4"/>
      <c r="B549" s="4"/>
      <c r="C549" s="15"/>
      <c r="D549" s="4"/>
      <c r="E549" s="4"/>
      <c r="F549" s="4"/>
      <c r="G549" s="4"/>
      <c r="H549" s="4"/>
      <c r="I549" s="4"/>
      <c r="J549" s="4"/>
      <c r="K549" s="4"/>
      <c r="L549" s="4"/>
      <c r="M549" s="4"/>
      <c r="N549" s="4"/>
      <c r="O549" s="4"/>
      <c r="P549" s="4"/>
      <c r="Q549" s="4"/>
      <c r="R549" s="4"/>
      <c r="S549" s="4"/>
      <c r="T549" s="4"/>
      <c r="U549" s="4"/>
      <c r="V549" s="4"/>
      <c r="W549" s="4"/>
      <c r="X549" s="4"/>
      <c r="Y549" s="4"/>
      <c r="Z549" s="4"/>
    </row>
    <row r="550" spans="1:26" ht="12.75">
      <c r="A550" s="4"/>
      <c r="B550" s="4"/>
      <c r="C550" s="15"/>
      <c r="D550" s="4"/>
      <c r="E550" s="4"/>
      <c r="F550" s="4"/>
      <c r="G550" s="4"/>
      <c r="H550" s="4"/>
      <c r="I550" s="4"/>
      <c r="J550" s="4"/>
      <c r="K550" s="4"/>
      <c r="L550" s="4"/>
      <c r="M550" s="4"/>
      <c r="N550" s="4"/>
      <c r="O550" s="4"/>
      <c r="P550" s="4"/>
      <c r="Q550" s="4"/>
      <c r="R550" s="4"/>
      <c r="S550" s="4"/>
      <c r="T550" s="4"/>
      <c r="U550" s="4"/>
      <c r="V550" s="4"/>
      <c r="W550" s="4"/>
      <c r="X550" s="4"/>
      <c r="Y550" s="4"/>
      <c r="Z550" s="4"/>
    </row>
    <row r="551" spans="1:26" ht="12.75">
      <c r="A551" s="4"/>
      <c r="B551" s="4"/>
      <c r="C551" s="15"/>
      <c r="D551" s="4"/>
      <c r="E551" s="4"/>
      <c r="F551" s="4"/>
      <c r="G551" s="4"/>
      <c r="H551" s="4"/>
      <c r="I551" s="4"/>
      <c r="J551" s="4"/>
      <c r="K551" s="4"/>
      <c r="L551" s="4"/>
      <c r="M551" s="4"/>
      <c r="N551" s="4"/>
      <c r="O551" s="4"/>
      <c r="P551" s="4"/>
      <c r="Q551" s="4"/>
      <c r="R551" s="4"/>
      <c r="S551" s="4"/>
      <c r="T551" s="4"/>
      <c r="U551" s="4"/>
      <c r="V551" s="4"/>
      <c r="W551" s="4"/>
      <c r="X551" s="4"/>
      <c r="Y551" s="4"/>
      <c r="Z551" s="4"/>
    </row>
    <row r="552" spans="1:26" ht="12.75">
      <c r="A552" s="4"/>
      <c r="B552" s="4"/>
      <c r="C552" s="15"/>
      <c r="D552" s="4"/>
      <c r="E552" s="4"/>
      <c r="F552" s="4"/>
      <c r="G552" s="4"/>
      <c r="H552" s="4"/>
      <c r="I552" s="4"/>
      <c r="J552" s="4"/>
      <c r="K552" s="4"/>
      <c r="L552" s="4"/>
      <c r="M552" s="4"/>
      <c r="N552" s="4"/>
      <c r="O552" s="4"/>
      <c r="P552" s="4"/>
      <c r="Q552" s="4"/>
      <c r="R552" s="4"/>
      <c r="S552" s="4"/>
      <c r="T552" s="4"/>
      <c r="U552" s="4"/>
      <c r="V552" s="4"/>
      <c r="W552" s="4"/>
      <c r="X552" s="4"/>
      <c r="Y552" s="4"/>
      <c r="Z552" s="4"/>
    </row>
    <row r="553" spans="1:26" ht="12.75">
      <c r="A553" s="4"/>
      <c r="B553" s="4"/>
      <c r="C553" s="15"/>
      <c r="D553" s="4"/>
      <c r="E553" s="4"/>
      <c r="F553" s="4"/>
      <c r="G553" s="4"/>
      <c r="H553" s="4"/>
      <c r="I553" s="4"/>
      <c r="J553" s="4"/>
      <c r="K553" s="4"/>
      <c r="L553" s="4"/>
      <c r="M553" s="4"/>
      <c r="N553" s="4"/>
      <c r="O553" s="4"/>
      <c r="P553" s="4"/>
      <c r="Q553" s="4"/>
      <c r="R553" s="4"/>
      <c r="S553" s="4"/>
      <c r="T553" s="4"/>
      <c r="U553" s="4"/>
      <c r="V553" s="4"/>
      <c r="W553" s="4"/>
      <c r="X553" s="4"/>
      <c r="Y553" s="4"/>
      <c r="Z553" s="4"/>
    </row>
    <row r="554" spans="1:26" ht="12.75">
      <c r="A554" s="4"/>
      <c r="B554" s="4"/>
      <c r="C554" s="15"/>
      <c r="D554" s="4"/>
      <c r="E554" s="4"/>
      <c r="F554" s="4"/>
      <c r="G554" s="4"/>
      <c r="H554" s="4"/>
      <c r="I554" s="4"/>
      <c r="J554" s="4"/>
      <c r="K554" s="4"/>
      <c r="L554" s="4"/>
      <c r="M554" s="4"/>
      <c r="N554" s="4"/>
      <c r="O554" s="4"/>
      <c r="P554" s="4"/>
      <c r="Q554" s="4"/>
      <c r="R554" s="4"/>
      <c r="S554" s="4"/>
      <c r="T554" s="4"/>
      <c r="U554" s="4"/>
      <c r="V554" s="4"/>
      <c r="W554" s="4"/>
      <c r="X554" s="4"/>
      <c r="Y554" s="4"/>
      <c r="Z554" s="4"/>
    </row>
    <row r="555" spans="1:26" ht="12.75">
      <c r="A555" s="4"/>
      <c r="B555" s="4"/>
      <c r="C555" s="15"/>
      <c r="D555" s="4"/>
      <c r="E555" s="4"/>
      <c r="F555" s="4"/>
      <c r="G555" s="4"/>
      <c r="H555" s="4"/>
      <c r="I555" s="4"/>
      <c r="J555" s="4"/>
      <c r="K555" s="4"/>
      <c r="L555" s="4"/>
      <c r="M555" s="4"/>
      <c r="N555" s="4"/>
      <c r="O555" s="4"/>
      <c r="P555" s="4"/>
      <c r="Q555" s="4"/>
      <c r="R555" s="4"/>
      <c r="S555" s="4"/>
      <c r="T555" s="4"/>
      <c r="U555" s="4"/>
      <c r="V555" s="4"/>
      <c r="W555" s="4"/>
      <c r="X555" s="4"/>
      <c r="Y555" s="4"/>
      <c r="Z555" s="4"/>
    </row>
    <row r="556" spans="1:26" ht="12.75">
      <c r="A556" s="4"/>
      <c r="B556" s="4"/>
      <c r="C556" s="15"/>
      <c r="D556" s="4"/>
      <c r="E556" s="4"/>
      <c r="F556" s="4"/>
      <c r="G556" s="4"/>
      <c r="H556" s="4"/>
      <c r="I556" s="4"/>
      <c r="J556" s="4"/>
      <c r="K556" s="4"/>
      <c r="L556" s="4"/>
      <c r="M556" s="4"/>
      <c r="N556" s="4"/>
      <c r="O556" s="4"/>
      <c r="P556" s="4"/>
      <c r="Q556" s="4"/>
      <c r="R556" s="4"/>
      <c r="S556" s="4"/>
      <c r="T556" s="4"/>
      <c r="U556" s="4"/>
      <c r="V556" s="4"/>
      <c r="W556" s="4"/>
      <c r="X556" s="4"/>
      <c r="Y556" s="4"/>
      <c r="Z556" s="4"/>
    </row>
    <row r="557" spans="1:26" ht="12.75">
      <c r="A557" s="4"/>
      <c r="B557" s="4"/>
      <c r="C557" s="15"/>
      <c r="D557" s="4"/>
      <c r="E557" s="4"/>
      <c r="F557" s="4"/>
      <c r="G557" s="4"/>
      <c r="H557" s="4"/>
      <c r="I557" s="4"/>
      <c r="J557" s="4"/>
      <c r="K557" s="4"/>
      <c r="L557" s="4"/>
      <c r="M557" s="4"/>
      <c r="N557" s="4"/>
      <c r="O557" s="4"/>
      <c r="P557" s="4"/>
      <c r="Q557" s="4"/>
      <c r="R557" s="4"/>
      <c r="S557" s="4"/>
      <c r="T557" s="4"/>
      <c r="U557" s="4"/>
      <c r="V557" s="4"/>
      <c r="W557" s="4"/>
      <c r="X557" s="4"/>
      <c r="Y557" s="4"/>
      <c r="Z557" s="4"/>
    </row>
    <row r="558" spans="1:26" ht="12.75">
      <c r="A558" s="4"/>
      <c r="B558" s="4"/>
      <c r="C558" s="15"/>
      <c r="D558" s="4"/>
      <c r="E558" s="4"/>
      <c r="F558" s="4"/>
      <c r="G558" s="4"/>
      <c r="H558" s="4"/>
      <c r="I558" s="4"/>
      <c r="J558" s="4"/>
      <c r="K558" s="4"/>
      <c r="L558" s="4"/>
      <c r="M558" s="4"/>
      <c r="N558" s="4"/>
      <c r="O558" s="4"/>
      <c r="P558" s="4"/>
      <c r="Q558" s="4"/>
      <c r="R558" s="4"/>
      <c r="S558" s="4"/>
      <c r="T558" s="4"/>
      <c r="U558" s="4"/>
      <c r="V558" s="4"/>
      <c r="W558" s="4"/>
      <c r="X558" s="4"/>
      <c r="Y558" s="4"/>
      <c r="Z558" s="4"/>
    </row>
    <row r="559" spans="1:26" ht="12.75">
      <c r="A559" s="4"/>
      <c r="B559" s="4"/>
      <c r="C559" s="15"/>
      <c r="D559" s="4"/>
      <c r="E559" s="4"/>
      <c r="F559" s="4"/>
      <c r="G559" s="4"/>
      <c r="H559" s="4"/>
      <c r="I559" s="4"/>
      <c r="J559" s="4"/>
      <c r="K559" s="4"/>
      <c r="L559" s="4"/>
      <c r="M559" s="4"/>
      <c r="N559" s="4"/>
      <c r="O559" s="4"/>
      <c r="P559" s="4"/>
      <c r="Q559" s="4"/>
      <c r="R559" s="4"/>
      <c r="S559" s="4"/>
      <c r="T559" s="4"/>
      <c r="U559" s="4"/>
      <c r="V559" s="4"/>
      <c r="W559" s="4"/>
      <c r="X559" s="4"/>
      <c r="Y559" s="4"/>
      <c r="Z559" s="4"/>
    </row>
    <row r="560" spans="1:26" ht="12.75">
      <c r="A560" s="4"/>
      <c r="B560" s="4"/>
      <c r="C560" s="15"/>
      <c r="D560" s="4"/>
      <c r="E560" s="4"/>
      <c r="F560" s="4"/>
      <c r="G560" s="4"/>
      <c r="H560" s="4"/>
      <c r="I560" s="4"/>
      <c r="J560" s="4"/>
      <c r="K560" s="4"/>
      <c r="L560" s="4"/>
      <c r="M560" s="4"/>
      <c r="N560" s="4"/>
      <c r="O560" s="4"/>
      <c r="P560" s="4"/>
      <c r="Q560" s="4"/>
      <c r="R560" s="4"/>
      <c r="S560" s="4"/>
      <c r="T560" s="4"/>
      <c r="U560" s="4"/>
      <c r="V560" s="4"/>
      <c r="W560" s="4"/>
      <c r="X560" s="4"/>
      <c r="Y560" s="4"/>
      <c r="Z560" s="4"/>
    </row>
    <row r="561" spans="1:26" ht="12.75">
      <c r="A561" s="4"/>
      <c r="B561" s="4"/>
      <c r="C561" s="15"/>
      <c r="D561" s="4"/>
      <c r="E561" s="4"/>
      <c r="F561" s="4"/>
      <c r="G561" s="4"/>
      <c r="H561" s="4"/>
      <c r="I561" s="4"/>
      <c r="J561" s="4"/>
      <c r="K561" s="4"/>
      <c r="L561" s="4"/>
      <c r="M561" s="4"/>
      <c r="N561" s="4"/>
      <c r="O561" s="4"/>
      <c r="P561" s="4"/>
      <c r="Q561" s="4"/>
      <c r="R561" s="4"/>
      <c r="S561" s="4"/>
      <c r="T561" s="4"/>
      <c r="U561" s="4"/>
      <c r="V561" s="4"/>
      <c r="W561" s="4"/>
      <c r="X561" s="4"/>
      <c r="Y561" s="4"/>
      <c r="Z561" s="4"/>
    </row>
    <row r="562" spans="1:26" ht="12.75">
      <c r="A562" s="4"/>
      <c r="B562" s="4"/>
      <c r="C562" s="15"/>
      <c r="D562" s="4"/>
      <c r="E562" s="4"/>
      <c r="F562" s="4"/>
      <c r="G562" s="4"/>
      <c r="H562" s="4"/>
      <c r="I562" s="4"/>
      <c r="J562" s="4"/>
      <c r="K562" s="4"/>
      <c r="L562" s="4"/>
      <c r="M562" s="4"/>
      <c r="N562" s="4"/>
      <c r="O562" s="4"/>
      <c r="P562" s="4"/>
      <c r="Q562" s="4"/>
      <c r="R562" s="4"/>
      <c r="S562" s="4"/>
      <c r="T562" s="4"/>
      <c r="U562" s="4"/>
      <c r="V562" s="4"/>
      <c r="W562" s="4"/>
      <c r="X562" s="4"/>
      <c r="Y562" s="4"/>
      <c r="Z562" s="4"/>
    </row>
    <row r="563" spans="1:26" ht="12.75">
      <c r="A563" s="4"/>
      <c r="B563" s="4"/>
      <c r="C563" s="15"/>
      <c r="D563" s="4"/>
      <c r="E563" s="4"/>
      <c r="F563" s="4"/>
      <c r="G563" s="4"/>
      <c r="H563" s="4"/>
      <c r="I563" s="4"/>
      <c r="J563" s="4"/>
      <c r="K563" s="4"/>
      <c r="L563" s="4"/>
      <c r="M563" s="4"/>
      <c r="N563" s="4"/>
      <c r="O563" s="4"/>
      <c r="P563" s="4"/>
      <c r="Q563" s="4"/>
      <c r="R563" s="4"/>
      <c r="S563" s="4"/>
      <c r="T563" s="4"/>
      <c r="U563" s="4"/>
      <c r="V563" s="4"/>
      <c r="W563" s="4"/>
      <c r="X563" s="4"/>
      <c r="Y563" s="4"/>
      <c r="Z563" s="4"/>
    </row>
    <row r="564" spans="1:26" ht="12.75">
      <c r="A564" s="4"/>
      <c r="B564" s="4"/>
      <c r="C564" s="15"/>
      <c r="D564" s="4"/>
      <c r="E564" s="4"/>
      <c r="F564" s="4"/>
      <c r="G564" s="4"/>
      <c r="H564" s="4"/>
      <c r="I564" s="4"/>
      <c r="J564" s="4"/>
      <c r="K564" s="4"/>
      <c r="L564" s="4"/>
      <c r="M564" s="4"/>
      <c r="N564" s="4"/>
      <c r="O564" s="4"/>
      <c r="P564" s="4"/>
      <c r="Q564" s="4"/>
      <c r="R564" s="4"/>
      <c r="S564" s="4"/>
      <c r="T564" s="4"/>
      <c r="U564" s="4"/>
      <c r="V564" s="4"/>
      <c r="W564" s="4"/>
      <c r="X564" s="4"/>
      <c r="Y564" s="4"/>
      <c r="Z564" s="4"/>
    </row>
    <row r="565" spans="1:26" ht="12.75">
      <c r="A565" s="4"/>
      <c r="B565" s="4"/>
      <c r="C565" s="15"/>
      <c r="D565" s="4"/>
      <c r="E565" s="4"/>
      <c r="F565" s="4"/>
      <c r="G565" s="4"/>
      <c r="H565" s="4"/>
      <c r="I565" s="4"/>
      <c r="J565" s="4"/>
      <c r="K565" s="4"/>
      <c r="L565" s="4"/>
      <c r="M565" s="4"/>
      <c r="N565" s="4"/>
      <c r="O565" s="4"/>
      <c r="P565" s="4"/>
      <c r="Q565" s="4"/>
      <c r="R565" s="4"/>
      <c r="S565" s="4"/>
      <c r="T565" s="4"/>
      <c r="U565" s="4"/>
      <c r="V565" s="4"/>
      <c r="W565" s="4"/>
      <c r="X565" s="4"/>
      <c r="Y565" s="4"/>
      <c r="Z565" s="4"/>
    </row>
    <row r="566" spans="1:26" ht="12.75">
      <c r="A566" s="4"/>
      <c r="B566" s="4"/>
      <c r="C566" s="15"/>
      <c r="D566" s="4"/>
      <c r="E566" s="4"/>
      <c r="F566" s="4"/>
      <c r="G566" s="4"/>
      <c r="H566" s="4"/>
      <c r="I566" s="4"/>
      <c r="J566" s="4"/>
      <c r="K566" s="4"/>
      <c r="L566" s="4"/>
      <c r="M566" s="4"/>
      <c r="N566" s="4"/>
      <c r="O566" s="4"/>
      <c r="P566" s="4"/>
      <c r="Q566" s="4"/>
      <c r="R566" s="4"/>
      <c r="S566" s="4"/>
      <c r="T566" s="4"/>
      <c r="U566" s="4"/>
      <c r="V566" s="4"/>
      <c r="W566" s="4"/>
      <c r="X566" s="4"/>
      <c r="Y566" s="4"/>
      <c r="Z566" s="4"/>
    </row>
    <row r="567" spans="1:26" ht="12.75">
      <c r="A567" s="4"/>
      <c r="B567" s="4"/>
      <c r="C567" s="15"/>
      <c r="D567" s="4"/>
      <c r="E567" s="4"/>
      <c r="F567" s="4"/>
      <c r="G567" s="4"/>
      <c r="H567" s="4"/>
      <c r="I567" s="4"/>
      <c r="J567" s="4"/>
      <c r="K567" s="4"/>
      <c r="L567" s="4"/>
      <c r="M567" s="4"/>
      <c r="N567" s="4"/>
      <c r="O567" s="4"/>
      <c r="P567" s="4"/>
      <c r="Q567" s="4"/>
      <c r="R567" s="4"/>
      <c r="S567" s="4"/>
      <c r="T567" s="4"/>
      <c r="U567" s="4"/>
      <c r="V567" s="4"/>
      <c r="W567" s="4"/>
      <c r="X567" s="4"/>
      <c r="Y567" s="4"/>
      <c r="Z567" s="4"/>
    </row>
    <row r="568" spans="1:26" ht="12.75">
      <c r="A568" s="4"/>
      <c r="B568" s="4"/>
      <c r="C568" s="15"/>
      <c r="D568" s="4"/>
      <c r="E568" s="4"/>
      <c r="F568" s="4"/>
      <c r="G568" s="4"/>
      <c r="H568" s="4"/>
      <c r="I568" s="4"/>
      <c r="J568" s="4"/>
      <c r="K568" s="4"/>
      <c r="L568" s="4"/>
      <c r="M568" s="4"/>
      <c r="N568" s="4"/>
      <c r="O568" s="4"/>
      <c r="P568" s="4"/>
      <c r="Q568" s="4"/>
      <c r="R568" s="4"/>
      <c r="S568" s="4"/>
      <c r="T568" s="4"/>
      <c r="U568" s="4"/>
      <c r="V568" s="4"/>
      <c r="W568" s="4"/>
      <c r="X568" s="4"/>
      <c r="Y568" s="4"/>
      <c r="Z568" s="4"/>
    </row>
    <row r="569" spans="1:26" ht="12.75">
      <c r="A569" s="4"/>
      <c r="B569" s="4"/>
      <c r="C569" s="15"/>
      <c r="D569" s="4"/>
      <c r="E569" s="4"/>
      <c r="F569" s="4"/>
      <c r="G569" s="4"/>
      <c r="H569" s="4"/>
      <c r="I569" s="4"/>
      <c r="J569" s="4"/>
      <c r="K569" s="4"/>
      <c r="L569" s="4"/>
      <c r="M569" s="4"/>
      <c r="N569" s="4"/>
      <c r="O569" s="4"/>
      <c r="P569" s="4"/>
      <c r="Q569" s="4"/>
      <c r="R569" s="4"/>
      <c r="S569" s="4"/>
      <c r="T569" s="4"/>
      <c r="U569" s="4"/>
      <c r="V569" s="4"/>
      <c r="W569" s="4"/>
      <c r="X569" s="4"/>
      <c r="Y569" s="4"/>
      <c r="Z569" s="4"/>
    </row>
    <row r="570" spans="1:26" ht="12.75">
      <c r="A570" s="4"/>
      <c r="B570" s="4"/>
      <c r="C570" s="15"/>
      <c r="D570" s="4"/>
      <c r="E570" s="4"/>
      <c r="F570" s="4"/>
      <c r="G570" s="4"/>
      <c r="H570" s="4"/>
      <c r="I570" s="4"/>
      <c r="J570" s="4"/>
      <c r="K570" s="4"/>
      <c r="L570" s="4"/>
      <c r="M570" s="4"/>
      <c r="N570" s="4"/>
      <c r="O570" s="4"/>
      <c r="P570" s="4"/>
      <c r="Q570" s="4"/>
      <c r="R570" s="4"/>
      <c r="S570" s="4"/>
      <c r="T570" s="4"/>
      <c r="U570" s="4"/>
      <c r="V570" s="4"/>
      <c r="W570" s="4"/>
      <c r="X570" s="4"/>
      <c r="Y570" s="4"/>
      <c r="Z570" s="4"/>
    </row>
    <row r="571" spans="1:26" ht="12.75">
      <c r="A571" s="4"/>
      <c r="B571" s="4"/>
      <c r="C571" s="15"/>
      <c r="D571" s="4"/>
      <c r="E571" s="4"/>
      <c r="F571" s="4"/>
      <c r="G571" s="4"/>
      <c r="H571" s="4"/>
      <c r="I571" s="4"/>
      <c r="J571" s="4"/>
      <c r="K571" s="4"/>
      <c r="L571" s="4"/>
      <c r="M571" s="4"/>
      <c r="N571" s="4"/>
      <c r="O571" s="4"/>
      <c r="P571" s="4"/>
      <c r="Q571" s="4"/>
      <c r="R571" s="4"/>
      <c r="S571" s="4"/>
      <c r="T571" s="4"/>
      <c r="U571" s="4"/>
      <c r="V571" s="4"/>
      <c r="W571" s="4"/>
      <c r="X571" s="4"/>
      <c r="Y571" s="4"/>
      <c r="Z571" s="4"/>
    </row>
    <row r="572" spans="1:26" ht="12.75">
      <c r="A572" s="4"/>
      <c r="B572" s="4"/>
      <c r="C572" s="15"/>
      <c r="D572" s="4"/>
      <c r="E572" s="4"/>
      <c r="F572" s="4"/>
      <c r="G572" s="4"/>
      <c r="H572" s="4"/>
      <c r="I572" s="4"/>
      <c r="J572" s="4"/>
      <c r="K572" s="4"/>
      <c r="L572" s="4"/>
      <c r="M572" s="4"/>
      <c r="N572" s="4"/>
      <c r="O572" s="4"/>
      <c r="P572" s="4"/>
      <c r="Q572" s="4"/>
      <c r="R572" s="4"/>
      <c r="S572" s="4"/>
      <c r="T572" s="4"/>
      <c r="U572" s="4"/>
      <c r="V572" s="4"/>
      <c r="W572" s="4"/>
      <c r="X572" s="4"/>
      <c r="Y572" s="4"/>
      <c r="Z572" s="4"/>
    </row>
    <row r="573" spans="1:26" ht="12.75">
      <c r="A573" s="4"/>
      <c r="B573" s="4"/>
      <c r="C573" s="15"/>
      <c r="D573" s="4"/>
      <c r="E573" s="4"/>
      <c r="F573" s="4"/>
      <c r="G573" s="4"/>
      <c r="H573" s="4"/>
      <c r="I573" s="4"/>
      <c r="J573" s="4"/>
      <c r="K573" s="4"/>
      <c r="L573" s="4"/>
      <c r="M573" s="4"/>
      <c r="N573" s="4"/>
      <c r="O573" s="4"/>
      <c r="P573" s="4"/>
      <c r="Q573" s="4"/>
      <c r="R573" s="4"/>
      <c r="S573" s="4"/>
      <c r="T573" s="4"/>
      <c r="U573" s="4"/>
      <c r="V573" s="4"/>
      <c r="W573" s="4"/>
      <c r="X573" s="4"/>
      <c r="Y573" s="4"/>
      <c r="Z573" s="4"/>
    </row>
    <row r="574" spans="1:26" ht="12.75">
      <c r="A574" s="4"/>
      <c r="B574" s="4"/>
      <c r="C574" s="15"/>
      <c r="D574" s="4"/>
      <c r="E574" s="4"/>
      <c r="F574" s="4"/>
      <c r="G574" s="4"/>
      <c r="H574" s="4"/>
      <c r="I574" s="4"/>
      <c r="J574" s="4"/>
      <c r="K574" s="4"/>
      <c r="L574" s="4"/>
      <c r="M574" s="4"/>
      <c r="N574" s="4"/>
      <c r="O574" s="4"/>
      <c r="P574" s="4"/>
      <c r="Q574" s="4"/>
      <c r="R574" s="4"/>
      <c r="S574" s="4"/>
      <c r="T574" s="4"/>
      <c r="U574" s="4"/>
      <c r="V574" s="4"/>
      <c r="W574" s="4"/>
      <c r="X574" s="4"/>
      <c r="Y574" s="4"/>
      <c r="Z574" s="4"/>
    </row>
    <row r="575" spans="1:26" ht="12.75">
      <c r="A575" s="4"/>
      <c r="B575" s="4"/>
      <c r="C575" s="15"/>
      <c r="D575" s="4"/>
      <c r="E575" s="4"/>
      <c r="F575" s="4"/>
      <c r="G575" s="4"/>
      <c r="H575" s="4"/>
      <c r="I575" s="4"/>
      <c r="J575" s="4"/>
      <c r="K575" s="4"/>
      <c r="L575" s="4"/>
      <c r="M575" s="4"/>
      <c r="N575" s="4"/>
      <c r="O575" s="4"/>
      <c r="P575" s="4"/>
      <c r="Q575" s="4"/>
      <c r="R575" s="4"/>
      <c r="S575" s="4"/>
      <c r="T575" s="4"/>
      <c r="U575" s="4"/>
      <c r="V575" s="4"/>
      <c r="W575" s="4"/>
      <c r="X575" s="4"/>
      <c r="Y575" s="4"/>
      <c r="Z575" s="4"/>
    </row>
    <row r="576" spans="1:26" ht="12.75">
      <c r="A576" s="4"/>
      <c r="B576" s="4"/>
      <c r="C576" s="15"/>
      <c r="D576" s="4"/>
      <c r="E576" s="4"/>
      <c r="F576" s="4"/>
      <c r="G576" s="4"/>
      <c r="H576" s="4"/>
      <c r="I576" s="4"/>
      <c r="J576" s="4"/>
      <c r="K576" s="4"/>
      <c r="L576" s="4"/>
      <c r="M576" s="4"/>
      <c r="N576" s="4"/>
      <c r="O576" s="4"/>
      <c r="P576" s="4"/>
      <c r="Q576" s="4"/>
      <c r="R576" s="4"/>
      <c r="S576" s="4"/>
      <c r="T576" s="4"/>
      <c r="U576" s="4"/>
      <c r="V576" s="4"/>
      <c r="W576" s="4"/>
      <c r="X576" s="4"/>
      <c r="Y576" s="4"/>
      <c r="Z576" s="4"/>
    </row>
    <row r="577" spans="1:26" ht="12.75">
      <c r="A577" s="4"/>
      <c r="B577" s="4"/>
      <c r="C577" s="15"/>
      <c r="D577" s="4"/>
      <c r="E577" s="4"/>
      <c r="F577" s="4"/>
      <c r="G577" s="4"/>
      <c r="H577" s="4"/>
      <c r="I577" s="4"/>
      <c r="J577" s="4"/>
      <c r="K577" s="4"/>
      <c r="L577" s="4"/>
      <c r="M577" s="4"/>
      <c r="N577" s="4"/>
      <c r="O577" s="4"/>
      <c r="P577" s="4"/>
      <c r="Q577" s="4"/>
      <c r="R577" s="4"/>
      <c r="S577" s="4"/>
      <c r="T577" s="4"/>
      <c r="U577" s="4"/>
      <c r="V577" s="4"/>
      <c r="W577" s="4"/>
      <c r="X577" s="4"/>
      <c r="Y577" s="4"/>
      <c r="Z577" s="4"/>
    </row>
    <row r="578" spans="1:26" ht="12.75">
      <c r="A578" s="4"/>
      <c r="B578" s="4"/>
      <c r="C578" s="15"/>
      <c r="D578" s="4"/>
      <c r="E578" s="4"/>
      <c r="F578" s="4"/>
      <c r="G578" s="4"/>
      <c r="H578" s="4"/>
      <c r="I578" s="4"/>
      <c r="J578" s="4"/>
      <c r="K578" s="4"/>
      <c r="L578" s="4"/>
      <c r="M578" s="4"/>
      <c r="N578" s="4"/>
      <c r="O578" s="4"/>
      <c r="P578" s="4"/>
      <c r="Q578" s="4"/>
      <c r="R578" s="4"/>
      <c r="S578" s="4"/>
      <c r="T578" s="4"/>
      <c r="U578" s="4"/>
      <c r="V578" s="4"/>
      <c r="W578" s="4"/>
      <c r="X578" s="4"/>
      <c r="Y578" s="4"/>
      <c r="Z578" s="4"/>
    </row>
    <row r="579" spans="1:26" ht="12.75">
      <c r="A579" s="4"/>
      <c r="B579" s="4"/>
      <c r="C579" s="15"/>
      <c r="D579" s="4"/>
      <c r="E579" s="4"/>
      <c r="F579" s="4"/>
      <c r="G579" s="4"/>
      <c r="H579" s="4"/>
      <c r="I579" s="4"/>
      <c r="J579" s="4"/>
      <c r="K579" s="4"/>
      <c r="L579" s="4"/>
      <c r="M579" s="4"/>
      <c r="N579" s="4"/>
      <c r="O579" s="4"/>
      <c r="P579" s="4"/>
      <c r="Q579" s="4"/>
      <c r="R579" s="4"/>
      <c r="S579" s="4"/>
      <c r="T579" s="4"/>
      <c r="U579" s="4"/>
      <c r="V579" s="4"/>
      <c r="W579" s="4"/>
      <c r="X579" s="4"/>
      <c r="Y579" s="4"/>
      <c r="Z579" s="4"/>
    </row>
    <row r="580" spans="1:26" ht="12.75">
      <c r="A580" s="4"/>
      <c r="B580" s="4"/>
      <c r="C580" s="15"/>
      <c r="D580" s="4"/>
      <c r="E580" s="4"/>
      <c r="F580" s="4"/>
      <c r="G580" s="4"/>
      <c r="H580" s="4"/>
      <c r="I580" s="4"/>
      <c r="J580" s="4"/>
      <c r="K580" s="4"/>
      <c r="L580" s="4"/>
      <c r="M580" s="4"/>
      <c r="N580" s="4"/>
      <c r="O580" s="4"/>
      <c r="P580" s="4"/>
      <c r="Q580" s="4"/>
      <c r="R580" s="4"/>
      <c r="S580" s="4"/>
      <c r="T580" s="4"/>
      <c r="U580" s="4"/>
      <c r="V580" s="4"/>
      <c r="W580" s="4"/>
      <c r="X580" s="4"/>
      <c r="Y580" s="4"/>
      <c r="Z580" s="4"/>
    </row>
    <row r="581" spans="1:26" ht="12.75">
      <c r="A581" s="4"/>
      <c r="B581" s="4"/>
      <c r="C581" s="15"/>
      <c r="D581" s="4"/>
      <c r="E581" s="4"/>
      <c r="F581" s="4"/>
      <c r="G581" s="4"/>
      <c r="H581" s="4"/>
      <c r="I581" s="4"/>
      <c r="J581" s="4"/>
      <c r="K581" s="4"/>
      <c r="L581" s="4"/>
      <c r="M581" s="4"/>
      <c r="N581" s="4"/>
      <c r="O581" s="4"/>
      <c r="P581" s="4"/>
      <c r="Q581" s="4"/>
      <c r="R581" s="4"/>
      <c r="S581" s="4"/>
      <c r="T581" s="4"/>
      <c r="U581" s="4"/>
      <c r="V581" s="4"/>
      <c r="W581" s="4"/>
      <c r="X581" s="4"/>
      <c r="Y581" s="4"/>
      <c r="Z581" s="4"/>
    </row>
    <row r="582" spans="1:26" ht="12.75">
      <c r="A582" s="4"/>
      <c r="B582" s="4"/>
      <c r="C582" s="15"/>
      <c r="D582" s="4"/>
      <c r="E582" s="4"/>
      <c r="F582" s="4"/>
      <c r="G582" s="4"/>
      <c r="H582" s="4"/>
      <c r="I582" s="4"/>
      <c r="J582" s="4"/>
      <c r="K582" s="4"/>
      <c r="L582" s="4"/>
      <c r="M582" s="4"/>
      <c r="N582" s="4"/>
      <c r="O582" s="4"/>
      <c r="P582" s="4"/>
      <c r="Q582" s="4"/>
      <c r="R582" s="4"/>
      <c r="S582" s="4"/>
      <c r="T582" s="4"/>
      <c r="U582" s="4"/>
      <c r="V582" s="4"/>
      <c r="W582" s="4"/>
      <c r="X582" s="4"/>
      <c r="Y582" s="4"/>
      <c r="Z582" s="4"/>
    </row>
    <row r="583" spans="1:26" ht="12.75">
      <c r="A583" s="4"/>
      <c r="B583" s="4"/>
      <c r="C583" s="15"/>
      <c r="D583" s="4"/>
      <c r="E583" s="4"/>
      <c r="F583" s="4"/>
      <c r="G583" s="4"/>
      <c r="H583" s="4"/>
      <c r="I583" s="4"/>
      <c r="J583" s="4"/>
      <c r="K583" s="4"/>
      <c r="L583" s="4"/>
      <c r="M583" s="4"/>
      <c r="N583" s="4"/>
      <c r="O583" s="4"/>
      <c r="P583" s="4"/>
      <c r="Q583" s="4"/>
      <c r="R583" s="4"/>
      <c r="S583" s="4"/>
      <c r="T583" s="4"/>
      <c r="U583" s="4"/>
      <c r="V583" s="4"/>
      <c r="W583" s="4"/>
      <c r="X583" s="4"/>
      <c r="Y583" s="4"/>
      <c r="Z583" s="4"/>
    </row>
    <row r="584" spans="1:26" ht="12.75">
      <c r="A584" s="4"/>
      <c r="B584" s="4"/>
      <c r="C584" s="15"/>
      <c r="D584" s="4"/>
      <c r="E584" s="4"/>
      <c r="F584" s="4"/>
      <c r="G584" s="4"/>
      <c r="H584" s="4"/>
      <c r="I584" s="4"/>
      <c r="J584" s="4"/>
      <c r="K584" s="4"/>
      <c r="L584" s="4"/>
      <c r="M584" s="4"/>
      <c r="N584" s="4"/>
      <c r="O584" s="4"/>
      <c r="P584" s="4"/>
      <c r="Q584" s="4"/>
      <c r="R584" s="4"/>
      <c r="S584" s="4"/>
      <c r="T584" s="4"/>
      <c r="U584" s="4"/>
      <c r="V584" s="4"/>
      <c r="W584" s="4"/>
      <c r="X584" s="4"/>
      <c r="Y584" s="4"/>
      <c r="Z584" s="4"/>
    </row>
    <row r="585" spans="1:26" ht="12.75">
      <c r="A585" s="4"/>
      <c r="B585" s="4"/>
      <c r="C585" s="15"/>
      <c r="D585" s="4"/>
      <c r="E585" s="4"/>
      <c r="F585" s="4"/>
      <c r="G585" s="4"/>
      <c r="H585" s="4"/>
      <c r="I585" s="4"/>
      <c r="J585" s="4"/>
      <c r="K585" s="4"/>
      <c r="L585" s="4"/>
      <c r="M585" s="4"/>
      <c r="N585" s="4"/>
      <c r="O585" s="4"/>
      <c r="P585" s="4"/>
      <c r="Q585" s="4"/>
      <c r="R585" s="4"/>
      <c r="S585" s="4"/>
      <c r="T585" s="4"/>
      <c r="U585" s="4"/>
      <c r="V585" s="4"/>
      <c r="W585" s="4"/>
      <c r="X585" s="4"/>
      <c r="Y585" s="4"/>
      <c r="Z585" s="4"/>
    </row>
    <row r="586" spans="1:26" ht="12.75">
      <c r="A586" s="4"/>
      <c r="B586" s="4"/>
      <c r="C586" s="15"/>
      <c r="D586" s="4"/>
      <c r="E586" s="4"/>
      <c r="F586" s="4"/>
      <c r="G586" s="4"/>
      <c r="H586" s="4"/>
      <c r="I586" s="4"/>
      <c r="J586" s="4"/>
      <c r="K586" s="4"/>
      <c r="L586" s="4"/>
      <c r="M586" s="4"/>
      <c r="N586" s="4"/>
      <c r="O586" s="4"/>
      <c r="P586" s="4"/>
      <c r="Q586" s="4"/>
      <c r="R586" s="4"/>
      <c r="S586" s="4"/>
      <c r="T586" s="4"/>
      <c r="U586" s="4"/>
      <c r="V586" s="4"/>
      <c r="W586" s="4"/>
      <c r="X586" s="4"/>
      <c r="Y586" s="4"/>
      <c r="Z586" s="4"/>
    </row>
    <row r="587" spans="1:26" ht="12.75">
      <c r="A587" s="4"/>
      <c r="B587" s="4"/>
      <c r="C587" s="15"/>
      <c r="D587" s="4"/>
      <c r="E587" s="4"/>
      <c r="F587" s="4"/>
      <c r="G587" s="4"/>
      <c r="H587" s="4"/>
      <c r="I587" s="4"/>
      <c r="J587" s="4"/>
      <c r="K587" s="4"/>
      <c r="L587" s="4"/>
      <c r="M587" s="4"/>
      <c r="N587" s="4"/>
      <c r="O587" s="4"/>
      <c r="P587" s="4"/>
      <c r="Q587" s="4"/>
      <c r="R587" s="4"/>
      <c r="S587" s="4"/>
      <c r="T587" s="4"/>
      <c r="U587" s="4"/>
      <c r="V587" s="4"/>
      <c r="W587" s="4"/>
      <c r="X587" s="4"/>
      <c r="Y587" s="4"/>
      <c r="Z587" s="4"/>
    </row>
    <row r="588" spans="1:26" ht="12.75">
      <c r="A588" s="4"/>
      <c r="B588" s="4"/>
      <c r="C588" s="15"/>
      <c r="D588" s="4"/>
      <c r="E588" s="4"/>
      <c r="F588" s="4"/>
      <c r="G588" s="4"/>
      <c r="H588" s="4"/>
      <c r="I588" s="4"/>
      <c r="J588" s="4"/>
      <c r="K588" s="4"/>
      <c r="L588" s="4"/>
      <c r="M588" s="4"/>
      <c r="N588" s="4"/>
      <c r="O588" s="4"/>
      <c r="P588" s="4"/>
      <c r="Q588" s="4"/>
      <c r="R588" s="4"/>
      <c r="S588" s="4"/>
      <c r="T588" s="4"/>
      <c r="U588" s="4"/>
      <c r="V588" s="4"/>
      <c r="W588" s="4"/>
      <c r="X588" s="4"/>
      <c r="Y588" s="4"/>
      <c r="Z588" s="4"/>
    </row>
    <row r="589" spans="1:26" ht="12.75">
      <c r="A589" s="4"/>
      <c r="B589" s="4"/>
      <c r="C589" s="15"/>
      <c r="D589" s="4"/>
      <c r="E589" s="4"/>
      <c r="F589" s="4"/>
      <c r="G589" s="4"/>
      <c r="H589" s="4"/>
      <c r="I589" s="4"/>
      <c r="J589" s="4"/>
      <c r="K589" s="4"/>
      <c r="L589" s="4"/>
      <c r="M589" s="4"/>
      <c r="N589" s="4"/>
      <c r="O589" s="4"/>
      <c r="P589" s="4"/>
      <c r="Q589" s="4"/>
      <c r="R589" s="4"/>
      <c r="S589" s="4"/>
      <c r="T589" s="4"/>
      <c r="U589" s="4"/>
      <c r="V589" s="4"/>
      <c r="W589" s="4"/>
      <c r="X589" s="4"/>
      <c r="Y589" s="4"/>
      <c r="Z589" s="4"/>
    </row>
    <row r="590" spans="1:26" ht="12.75">
      <c r="A590" s="4"/>
      <c r="B590" s="4"/>
      <c r="C590" s="15"/>
      <c r="D590" s="4"/>
      <c r="E590" s="4"/>
      <c r="F590" s="4"/>
      <c r="G590" s="4"/>
      <c r="H590" s="4"/>
      <c r="I590" s="4"/>
      <c r="J590" s="4"/>
      <c r="K590" s="4"/>
      <c r="L590" s="4"/>
      <c r="M590" s="4"/>
      <c r="N590" s="4"/>
      <c r="O590" s="4"/>
      <c r="P590" s="4"/>
      <c r="Q590" s="4"/>
      <c r="R590" s="4"/>
      <c r="S590" s="4"/>
      <c r="T590" s="4"/>
      <c r="U590" s="4"/>
      <c r="V590" s="4"/>
      <c r="W590" s="4"/>
      <c r="X590" s="4"/>
      <c r="Y590" s="4"/>
      <c r="Z590" s="4"/>
    </row>
    <row r="591" spans="1:26" ht="12.75">
      <c r="A591" s="4"/>
      <c r="B591" s="4"/>
      <c r="C591" s="15"/>
      <c r="D591" s="4"/>
      <c r="E591" s="4"/>
      <c r="F591" s="4"/>
      <c r="G591" s="4"/>
      <c r="H591" s="4"/>
      <c r="I591" s="4"/>
      <c r="J591" s="4"/>
      <c r="K591" s="4"/>
      <c r="L591" s="4"/>
      <c r="M591" s="4"/>
      <c r="N591" s="4"/>
      <c r="O591" s="4"/>
      <c r="P591" s="4"/>
      <c r="Q591" s="4"/>
      <c r="R591" s="4"/>
      <c r="S591" s="4"/>
      <c r="T591" s="4"/>
      <c r="U591" s="4"/>
      <c r="V591" s="4"/>
      <c r="W591" s="4"/>
      <c r="X591" s="4"/>
      <c r="Y591" s="4"/>
      <c r="Z591" s="4"/>
    </row>
    <row r="592" spans="1:26" ht="12.75">
      <c r="A592" s="4"/>
      <c r="B592" s="4"/>
      <c r="C592" s="15"/>
      <c r="D592" s="4"/>
      <c r="E592" s="4"/>
      <c r="F592" s="4"/>
      <c r="G592" s="4"/>
      <c r="H592" s="4"/>
      <c r="I592" s="4"/>
      <c r="J592" s="4"/>
      <c r="K592" s="4"/>
      <c r="L592" s="4"/>
      <c r="M592" s="4"/>
      <c r="N592" s="4"/>
      <c r="O592" s="4"/>
      <c r="P592" s="4"/>
      <c r="Q592" s="4"/>
      <c r="R592" s="4"/>
      <c r="S592" s="4"/>
      <c r="T592" s="4"/>
      <c r="U592" s="4"/>
      <c r="V592" s="4"/>
      <c r="W592" s="4"/>
      <c r="X592" s="4"/>
      <c r="Y592" s="4"/>
      <c r="Z592" s="4"/>
    </row>
    <row r="593" spans="1:26" ht="12.75">
      <c r="A593" s="4"/>
      <c r="B593" s="4"/>
      <c r="C593" s="15"/>
      <c r="D593" s="4"/>
      <c r="E593" s="4"/>
      <c r="F593" s="4"/>
      <c r="G593" s="4"/>
      <c r="H593" s="4"/>
      <c r="I593" s="4"/>
      <c r="J593" s="4"/>
      <c r="K593" s="4"/>
      <c r="L593" s="4"/>
      <c r="M593" s="4"/>
      <c r="N593" s="4"/>
      <c r="O593" s="4"/>
      <c r="P593" s="4"/>
      <c r="Q593" s="4"/>
      <c r="R593" s="4"/>
      <c r="S593" s="4"/>
      <c r="T593" s="4"/>
      <c r="U593" s="4"/>
      <c r="V593" s="4"/>
      <c r="W593" s="4"/>
      <c r="X593" s="4"/>
      <c r="Y593" s="4"/>
      <c r="Z593" s="4"/>
    </row>
    <row r="594" spans="1:26" ht="12.75">
      <c r="A594" s="4"/>
      <c r="B594" s="4"/>
      <c r="C594" s="15"/>
      <c r="D594" s="4"/>
      <c r="E594" s="4"/>
      <c r="F594" s="4"/>
      <c r="G594" s="4"/>
      <c r="H594" s="4"/>
      <c r="I594" s="4"/>
      <c r="J594" s="4"/>
      <c r="K594" s="4"/>
      <c r="L594" s="4"/>
      <c r="M594" s="4"/>
      <c r="N594" s="4"/>
      <c r="O594" s="4"/>
      <c r="P594" s="4"/>
      <c r="Q594" s="4"/>
      <c r="R594" s="4"/>
      <c r="S594" s="4"/>
      <c r="T594" s="4"/>
      <c r="U594" s="4"/>
      <c r="V594" s="4"/>
      <c r="W594" s="4"/>
      <c r="X594" s="4"/>
      <c r="Y594" s="4"/>
      <c r="Z594" s="4"/>
    </row>
    <row r="595" spans="1:26" ht="12.75">
      <c r="A595" s="4"/>
      <c r="B595" s="4"/>
      <c r="C595" s="15"/>
      <c r="D595" s="4"/>
      <c r="E595" s="4"/>
      <c r="F595" s="4"/>
      <c r="G595" s="4"/>
      <c r="H595" s="4"/>
      <c r="I595" s="4"/>
      <c r="J595" s="4"/>
      <c r="K595" s="4"/>
      <c r="L595" s="4"/>
      <c r="M595" s="4"/>
      <c r="N595" s="4"/>
      <c r="O595" s="4"/>
      <c r="P595" s="4"/>
      <c r="Q595" s="4"/>
      <c r="R595" s="4"/>
      <c r="S595" s="4"/>
      <c r="T595" s="4"/>
      <c r="U595" s="4"/>
      <c r="V595" s="4"/>
      <c r="W595" s="4"/>
      <c r="X595" s="4"/>
      <c r="Y595" s="4"/>
      <c r="Z595" s="4"/>
    </row>
    <row r="596" spans="1:26" ht="12.75">
      <c r="A596" s="4"/>
      <c r="B596" s="4"/>
      <c r="C596" s="15"/>
      <c r="D596" s="4"/>
      <c r="E596" s="4"/>
      <c r="F596" s="4"/>
      <c r="G596" s="4"/>
      <c r="H596" s="4"/>
      <c r="I596" s="4"/>
      <c r="J596" s="4"/>
      <c r="K596" s="4"/>
      <c r="L596" s="4"/>
      <c r="M596" s="4"/>
      <c r="N596" s="4"/>
      <c r="O596" s="4"/>
      <c r="P596" s="4"/>
      <c r="Q596" s="4"/>
      <c r="R596" s="4"/>
      <c r="S596" s="4"/>
      <c r="T596" s="4"/>
      <c r="U596" s="4"/>
      <c r="V596" s="4"/>
      <c r="W596" s="4"/>
      <c r="X596" s="4"/>
      <c r="Y596" s="4"/>
      <c r="Z596" s="4"/>
    </row>
    <row r="597" spans="1:26" ht="12.75">
      <c r="A597" s="4"/>
      <c r="B597" s="4"/>
      <c r="C597" s="15"/>
      <c r="D597" s="4"/>
      <c r="E597" s="4"/>
      <c r="F597" s="4"/>
      <c r="G597" s="4"/>
      <c r="H597" s="4"/>
      <c r="I597" s="4"/>
      <c r="J597" s="4"/>
      <c r="K597" s="4"/>
      <c r="L597" s="4"/>
      <c r="M597" s="4"/>
      <c r="N597" s="4"/>
      <c r="O597" s="4"/>
      <c r="P597" s="4"/>
      <c r="Q597" s="4"/>
      <c r="R597" s="4"/>
      <c r="S597" s="4"/>
      <c r="T597" s="4"/>
      <c r="U597" s="4"/>
      <c r="V597" s="4"/>
      <c r="W597" s="4"/>
      <c r="X597" s="4"/>
      <c r="Y597" s="4"/>
      <c r="Z597" s="4"/>
    </row>
    <row r="598" spans="1:26" ht="12.75">
      <c r="A598" s="4"/>
      <c r="B598" s="4"/>
      <c r="C598" s="15"/>
      <c r="D598" s="4"/>
      <c r="E598" s="4"/>
      <c r="F598" s="4"/>
      <c r="G598" s="4"/>
      <c r="H598" s="4"/>
      <c r="I598" s="4"/>
      <c r="J598" s="4"/>
      <c r="K598" s="4"/>
      <c r="L598" s="4"/>
      <c r="M598" s="4"/>
      <c r="N598" s="4"/>
      <c r="O598" s="4"/>
      <c r="P598" s="4"/>
      <c r="Q598" s="4"/>
      <c r="R598" s="4"/>
      <c r="S598" s="4"/>
      <c r="T598" s="4"/>
      <c r="U598" s="4"/>
      <c r="V598" s="4"/>
      <c r="W598" s="4"/>
      <c r="X598" s="4"/>
      <c r="Y598" s="4"/>
      <c r="Z598" s="4"/>
    </row>
    <row r="599" spans="1:26" ht="12.75">
      <c r="A599" s="4"/>
      <c r="B599" s="4"/>
      <c r="C599" s="15"/>
      <c r="D599" s="4"/>
      <c r="E599" s="4"/>
      <c r="F599" s="4"/>
      <c r="G599" s="4"/>
      <c r="H599" s="4"/>
      <c r="I599" s="4"/>
      <c r="J599" s="4"/>
      <c r="K599" s="4"/>
      <c r="L599" s="4"/>
      <c r="M599" s="4"/>
      <c r="N599" s="4"/>
      <c r="O599" s="4"/>
      <c r="P599" s="4"/>
      <c r="Q599" s="4"/>
      <c r="R599" s="4"/>
      <c r="S599" s="4"/>
      <c r="T599" s="4"/>
      <c r="U599" s="4"/>
      <c r="V599" s="4"/>
      <c r="W599" s="4"/>
      <c r="X599" s="4"/>
      <c r="Y599" s="4"/>
      <c r="Z599" s="4"/>
    </row>
    <row r="600" spans="1:26" ht="12.75">
      <c r="A600" s="4"/>
      <c r="B600" s="4"/>
      <c r="C600" s="15"/>
      <c r="D600" s="4"/>
      <c r="E600" s="4"/>
      <c r="F600" s="4"/>
      <c r="G600" s="4"/>
      <c r="H600" s="4"/>
      <c r="I600" s="4"/>
      <c r="J600" s="4"/>
      <c r="K600" s="4"/>
      <c r="L600" s="4"/>
      <c r="M600" s="4"/>
      <c r="N600" s="4"/>
      <c r="O600" s="4"/>
      <c r="P600" s="4"/>
      <c r="Q600" s="4"/>
      <c r="R600" s="4"/>
      <c r="S600" s="4"/>
      <c r="T600" s="4"/>
      <c r="U600" s="4"/>
      <c r="V600" s="4"/>
      <c r="W600" s="4"/>
      <c r="X600" s="4"/>
      <c r="Y600" s="4"/>
      <c r="Z600" s="4"/>
    </row>
    <row r="601" spans="1:26" ht="12.75">
      <c r="A601" s="4"/>
      <c r="B601" s="4"/>
      <c r="C601" s="15"/>
      <c r="D601" s="4"/>
      <c r="E601" s="4"/>
      <c r="F601" s="4"/>
      <c r="G601" s="4"/>
      <c r="H601" s="4"/>
      <c r="I601" s="4"/>
      <c r="J601" s="4"/>
      <c r="K601" s="4"/>
      <c r="L601" s="4"/>
      <c r="M601" s="4"/>
      <c r="N601" s="4"/>
      <c r="O601" s="4"/>
      <c r="P601" s="4"/>
      <c r="Q601" s="4"/>
      <c r="R601" s="4"/>
      <c r="S601" s="4"/>
      <c r="T601" s="4"/>
      <c r="U601" s="4"/>
      <c r="V601" s="4"/>
      <c r="W601" s="4"/>
      <c r="X601" s="4"/>
      <c r="Y601" s="4"/>
      <c r="Z601" s="4"/>
    </row>
    <row r="602" spans="1:26" ht="12.75">
      <c r="A602" s="4"/>
      <c r="B602" s="4"/>
      <c r="C602" s="15"/>
      <c r="D602" s="4"/>
      <c r="E602" s="4"/>
      <c r="F602" s="4"/>
      <c r="G602" s="4"/>
      <c r="H602" s="4"/>
      <c r="I602" s="4"/>
      <c r="J602" s="4"/>
      <c r="K602" s="4"/>
      <c r="L602" s="4"/>
      <c r="M602" s="4"/>
      <c r="N602" s="4"/>
      <c r="O602" s="4"/>
      <c r="P602" s="4"/>
      <c r="Q602" s="4"/>
      <c r="R602" s="4"/>
      <c r="S602" s="4"/>
      <c r="T602" s="4"/>
      <c r="U602" s="4"/>
      <c r="V602" s="4"/>
      <c r="W602" s="4"/>
      <c r="X602" s="4"/>
      <c r="Y602" s="4"/>
      <c r="Z602" s="4"/>
    </row>
    <row r="603" spans="1:26" ht="12.75">
      <c r="A603" s="4"/>
      <c r="B603" s="4"/>
      <c r="C603" s="15"/>
      <c r="D603" s="4"/>
      <c r="E603" s="4"/>
      <c r="F603" s="4"/>
      <c r="G603" s="4"/>
      <c r="H603" s="4"/>
      <c r="I603" s="4"/>
      <c r="J603" s="4"/>
      <c r="K603" s="4"/>
      <c r="L603" s="4"/>
      <c r="M603" s="4"/>
      <c r="N603" s="4"/>
      <c r="O603" s="4"/>
      <c r="P603" s="4"/>
      <c r="Q603" s="4"/>
      <c r="R603" s="4"/>
      <c r="S603" s="4"/>
      <c r="T603" s="4"/>
      <c r="U603" s="4"/>
      <c r="V603" s="4"/>
      <c r="W603" s="4"/>
      <c r="X603" s="4"/>
      <c r="Y603" s="4"/>
      <c r="Z603" s="4"/>
    </row>
    <row r="604" spans="1:26" ht="12.75">
      <c r="A604" s="4"/>
      <c r="B604" s="4"/>
      <c r="C604" s="15"/>
      <c r="D604" s="4"/>
      <c r="E604" s="4"/>
      <c r="F604" s="4"/>
      <c r="G604" s="4"/>
      <c r="H604" s="4"/>
      <c r="I604" s="4"/>
      <c r="J604" s="4"/>
      <c r="K604" s="4"/>
      <c r="L604" s="4"/>
      <c r="M604" s="4"/>
      <c r="N604" s="4"/>
      <c r="O604" s="4"/>
      <c r="P604" s="4"/>
      <c r="Q604" s="4"/>
      <c r="R604" s="4"/>
      <c r="S604" s="4"/>
      <c r="T604" s="4"/>
      <c r="U604" s="4"/>
      <c r="V604" s="4"/>
      <c r="W604" s="4"/>
      <c r="X604" s="4"/>
      <c r="Y604" s="4"/>
      <c r="Z604" s="4"/>
    </row>
    <row r="605" spans="1:26" ht="12.75">
      <c r="A605" s="4"/>
      <c r="B605" s="4"/>
      <c r="C605" s="15"/>
      <c r="D605" s="4"/>
      <c r="E605" s="4"/>
      <c r="F605" s="4"/>
      <c r="G605" s="4"/>
      <c r="H605" s="4"/>
      <c r="I605" s="4"/>
      <c r="J605" s="4"/>
      <c r="K605" s="4"/>
      <c r="L605" s="4"/>
      <c r="M605" s="4"/>
      <c r="N605" s="4"/>
      <c r="O605" s="4"/>
      <c r="P605" s="4"/>
      <c r="Q605" s="4"/>
      <c r="R605" s="4"/>
      <c r="S605" s="4"/>
      <c r="T605" s="4"/>
      <c r="U605" s="4"/>
      <c r="V605" s="4"/>
      <c r="W605" s="4"/>
      <c r="X605" s="4"/>
      <c r="Y605" s="4"/>
      <c r="Z605" s="4"/>
    </row>
    <row r="606" spans="1:26" ht="12.75">
      <c r="A606" s="4"/>
      <c r="B606" s="4"/>
      <c r="C606" s="15"/>
      <c r="D606" s="4"/>
      <c r="E606" s="4"/>
      <c r="F606" s="4"/>
      <c r="G606" s="4"/>
      <c r="H606" s="4"/>
      <c r="I606" s="4"/>
      <c r="J606" s="4"/>
      <c r="K606" s="4"/>
      <c r="L606" s="4"/>
      <c r="M606" s="4"/>
      <c r="N606" s="4"/>
      <c r="O606" s="4"/>
      <c r="P606" s="4"/>
      <c r="Q606" s="4"/>
      <c r="R606" s="4"/>
      <c r="S606" s="4"/>
      <c r="T606" s="4"/>
      <c r="U606" s="4"/>
      <c r="V606" s="4"/>
      <c r="W606" s="4"/>
      <c r="X606" s="4"/>
      <c r="Y606" s="4"/>
      <c r="Z606" s="4"/>
    </row>
    <row r="607" spans="1:26" ht="12.75">
      <c r="A607" s="4"/>
      <c r="B607" s="4"/>
      <c r="C607" s="15"/>
      <c r="D607" s="4"/>
      <c r="E607" s="4"/>
      <c r="F607" s="4"/>
      <c r="G607" s="4"/>
      <c r="H607" s="4"/>
      <c r="I607" s="4"/>
      <c r="J607" s="4"/>
      <c r="K607" s="4"/>
      <c r="L607" s="4"/>
      <c r="M607" s="4"/>
      <c r="N607" s="4"/>
      <c r="O607" s="4"/>
      <c r="P607" s="4"/>
      <c r="Q607" s="4"/>
      <c r="R607" s="4"/>
      <c r="S607" s="4"/>
      <c r="T607" s="4"/>
      <c r="U607" s="4"/>
      <c r="V607" s="4"/>
      <c r="W607" s="4"/>
      <c r="X607" s="4"/>
      <c r="Y607" s="4"/>
      <c r="Z607" s="4"/>
    </row>
    <row r="608" spans="1:26" ht="12.75">
      <c r="A608" s="4"/>
      <c r="B608" s="4"/>
      <c r="C608" s="15"/>
      <c r="D608" s="4"/>
      <c r="E608" s="4"/>
      <c r="F608" s="4"/>
      <c r="G608" s="4"/>
      <c r="H608" s="4"/>
      <c r="I608" s="4"/>
      <c r="J608" s="4"/>
      <c r="K608" s="4"/>
      <c r="L608" s="4"/>
      <c r="M608" s="4"/>
      <c r="N608" s="4"/>
      <c r="O608" s="4"/>
      <c r="P608" s="4"/>
      <c r="Q608" s="4"/>
      <c r="R608" s="4"/>
      <c r="S608" s="4"/>
      <c r="T608" s="4"/>
      <c r="U608" s="4"/>
      <c r="V608" s="4"/>
      <c r="W608" s="4"/>
      <c r="X608" s="4"/>
      <c r="Y608" s="4"/>
      <c r="Z608" s="4"/>
    </row>
    <row r="609" spans="1:26" ht="12.75">
      <c r="A609" s="4"/>
      <c r="B609" s="4"/>
      <c r="C609" s="15"/>
      <c r="D609" s="4"/>
      <c r="E609" s="4"/>
      <c r="F609" s="4"/>
      <c r="G609" s="4"/>
      <c r="H609" s="4"/>
      <c r="I609" s="4"/>
      <c r="J609" s="4"/>
      <c r="K609" s="4"/>
      <c r="L609" s="4"/>
      <c r="M609" s="4"/>
      <c r="N609" s="4"/>
      <c r="O609" s="4"/>
      <c r="P609" s="4"/>
      <c r="Q609" s="4"/>
      <c r="R609" s="4"/>
      <c r="S609" s="4"/>
      <c r="T609" s="4"/>
      <c r="U609" s="4"/>
      <c r="V609" s="4"/>
      <c r="W609" s="4"/>
      <c r="X609" s="4"/>
      <c r="Y609" s="4"/>
      <c r="Z609" s="4"/>
    </row>
    <row r="610" spans="1:26" ht="12.75">
      <c r="A610" s="4"/>
      <c r="B610" s="4"/>
      <c r="C610" s="15"/>
      <c r="D610" s="4"/>
      <c r="E610" s="4"/>
      <c r="F610" s="4"/>
      <c r="G610" s="4"/>
      <c r="H610" s="4"/>
      <c r="I610" s="4"/>
      <c r="J610" s="4"/>
      <c r="K610" s="4"/>
      <c r="L610" s="4"/>
      <c r="M610" s="4"/>
      <c r="N610" s="4"/>
      <c r="O610" s="4"/>
      <c r="P610" s="4"/>
      <c r="Q610" s="4"/>
      <c r="R610" s="4"/>
      <c r="S610" s="4"/>
      <c r="T610" s="4"/>
      <c r="U610" s="4"/>
      <c r="V610" s="4"/>
      <c r="W610" s="4"/>
      <c r="X610" s="4"/>
      <c r="Y610" s="4"/>
      <c r="Z610" s="4"/>
    </row>
    <row r="611" spans="1:26" ht="12.75">
      <c r="A611" s="4"/>
      <c r="B611" s="4"/>
      <c r="C611" s="15"/>
      <c r="D611" s="4"/>
      <c r="E611" s="4"/>
      <c r="F611" s="4"/>
      <c r="G611" s="4"/>
      <c r="H611" s="4"/>
      <c r="I611" s="4"/>
      <c r="J611" s="4"/>
      <c r="K611" s="4"/>
      <c r="L611" s="4"/>
      <c r="M611" s="4"/>
      <c r="N611" s="4"/>
      <c r="O611" s="4"/>
      <c r="P611" s="4"/>
      <c r="Q611" s="4"/>
      <c r="R611" s="4"/>
      <c r="S611" s="4"/>
      <c r="T611" s="4"/>
      <c r="U611" s="4"/>
      <c r="V611" s="4"/>
      <c r="W611" s="4"/>
      <c r="X611" s="4"/>
      <c r="Y611" s="4"/>
      <c r="Z611" s="4"/>
    </row>
    <row r="612" spans="1:26" ht="12.75">
      <c r="A612" s="4"/>
      <c r="B612" s="4"/>
      <c r="C612" s="15"/>
      <c r="D612" s="4"/>
      <c r="E612" s="4"/>
      <c r="F612" s="4"/>
      <c r="G612" s="4"/>
      <c r="H612" s="4"/>
      <c r="I612" s="4"/>
      <c r="J612" s="4"/>
      <c r="K612" s="4"/>
      <c r="L612" s="4"/>
      <c r="M612" s="4"/>
      <c r="N612" s="4"/>
      <c r="O612" s="4"/>
      <c r="P612" s="4"/>
      <c r="Q612" s="4"/>
      <c r="R612" s="4"/>
      <c r="S612" s="4"/>
      <c r="T612" s="4"/>
      <c r="U612" s="4"/>
      <c r="V612" s="4"/>
      <c r="W612" s="4"/>
      <c r="X612" s="4"/>
      <c r="Y612" s="4"/>
      <c r="Z612" s="4"/>
    </row>
    <row r="613" spans="1:26" ht="12.75">
      <c r="A613" s="4"/>
      <c r="B613" s="4"/>
      <c r="C613" s="15"/>
      <c r="D613" s="4"/>
      <c r="E613" s="4"/>
      <c r="F613" s="4"/>
      <c r="G613" s="4"/>
      <c r="H613" s="4"/>
      <c r="I613" s="4"/>
      <c r="J613" s="4"/>
      <c r="K613" s="4"/>
      <c r="L613" s="4"/>
      <c r="M613" s="4"/>
      <c r="N613" s="4"/>
      <c r="O613" s="4"/>
      <c r="P613" s="4"/>
      <c r="Q613" s="4"/>
      <c r="R613" s="4"/>
      <c r="S613" s="4"/>
      <c r="T613" s="4"/>
      <c r="U613" s="4"/>
      <c r="V613" s="4"/>
      <c r="W613" s="4"/>
      <c r="X613" s="4"/>
      <c r="Y613" s="4"/>
      <c r="Z613" s="4"/>
    </row>
    <row r="614" spans="1:26" ht="12.75">
      <c r="A614" s="4"/>
      <c r="B614" s="4"/>
      <c r="C614" s="15"/>
      <c r="D614" s="4"/>
      <c r="E614" s="4"/>
      <c r="F614" s="4"/>
      <c r="G614" s="4"/>
      <c r="H614" s="4"/>
      <c r="I614" s="4"/>
      <c r="J614" s="4"/>
      <c r="K614" s="4"/>
      <c r="L614" s="4"/>
      <c r="M614" s="4"/>
      <c r="N614" s="4"/>
      <c r="O614" s="4"/>
      <c r="P614" s="4"/>
      <c r="Q614" s="4"/>
      <c r="R614" s="4"/>
      <c r="S614" s="4"/>
      <c r="T614" s="4"/>
      <c r="U614" s="4"/>
      <c r="V614" s="4"/>
      <c r="W614" s="4"/>
      <c r="X614" s="4"/>
      <c r="Y614" s="4"/>
      <c r="Z614" s="4"/>
    </row>
    <row r="615" spans="1:26" ht="12.75">
      <c r="A615" s="4"/>
      <c r="B615" s="4"/>
      <c r="C615" s="15"/>
      <c r="D615" s="4"/>
      <c r="E615" s="4"/>
      <c r="F615" s="4"/>
      <c r="G615" s="4"/>
      <c r="H615" s="4"/>
      <c r="I615" s="4"/>
      <c r="J615" s="4"/>
      <c r="K615" s="4"/>
      <c r="L615" s="4"/>
      <c r="M615" s="4"/>
      <c r="N615" s="4"/>
      <c r="O615" s="4"/>
      <c r="P615" s="4"/>
      <c r="Q615" s="4"/>
      <c r="R615" s="4"/>
      <c r="S615" s="4"/>
      <c r="T615" s="4"/>
      <c r="U615" s="4"/>
      <c r="V615" s="4"/>
      <c r="W615" s="4"/>
      <c r="X615" s="4"/>
      <c r="Y615" s="4"/>
      <c r="Z615" s="4"/>
    </row>
    <row r="616" spans="1:26" ht="12.75">
      <c r="A616" s="4"/>
      <c r="B616" s="4"/>
      <c r="C616" s="15"/>
      <c r="D616" s="4"/>
      <c r="E616" s="4"/>
      <c r="F616" s="4"/>
      <c r="G616" s="4"/>
      <c r="H616" s="4"/>
      <c r="I616" s="4"/>
      <c r="J616" s="4"/>
      <c r="K616" s="4"/>
      <c r="L616" s="4"/>
      <c r="M616" s="4"/>
      <c r="N616" s="4"/>
      <c r="O616" s="4"/>
      <c r="P616" s="4"/>
      <c r="Q616" s="4"/>
      <c r="R616" s="4"/>
      <c r="S616" s="4"/>
      <c r="T616" s="4"/>
      <c r="U616" s="4"/>
      <c r="V616" s="4"/>
      <c r="W616" s="4"/>
      <c r="X616" s="4"/>
      <c r="Y616" s="4"/>
      <c r="Z616" s="4"/>
    </row>
    <row r="617" spans="1:26" ht="12.75">
      <c r="A617" s="4"/>
      <c r="B617" s="4"/>
      <c r="C617" s="15"/>
      <c r="D617" s="4"/>
      <c r="E617" s="4"/>
      <c r="F617" s="4"/>
      <c r="G617" s="4"/>
      <c r="H617" s="4"/>
      <c r="I617" s="4"/>
      <c r="J617" s="4"/>
      <c r="K617" s="4"/>
      <c r="L617" s="4"/>
      <c r="M617" s="4"/>
      <c r="N617" s="4"/>
      <c r="O617" s="4"/>
      <c r="P617" s="4"/>
      <c r="Q617" s="4"/>
      <c r="R617" s="4"/>
      <c r="S617" s="4"/>
      <c r="T617" s="4"/>
      <c r="U617" s="4"/>
      <c r="V617" s="4"/>
      <c r="W617" s="4"/>
      <c r="X617" s="4"/>
      <c r="Y617" s="4"/>
      <c r="Z617" s="4"/>
    </row>
    <row r="618" spans="1:26" ht="12.75">
      <c r="A618" s="4"/>
      <c r="B618" s="4"/>
      <c r="C618" s="15"/>
      <c r="D618" s="4"/>
      <c r="E618" s="4"/>
      <c r="F618" s="4"/>
      <c r="G618" s="4"/>
      <c r="H618" s="4"/>
      <c r="I618" s="4"/>
      <c r="J618" s="4"/>
      <c r="K618" s="4"/>
      <c r="L618" s="4"/>
      <c r="M618" s="4"/>
      <c r="N618" s="4"/>
      <c r="O618" s="4"/>
      <c r="P618" s="4"/>
      <c r="Q618" s="4"/>
      <c r="R618" s="4"/>
      <c r="S618" s="4"/>
      <c r="T618" s="4"/>
      <c r="U618" s="4"/>
      <c r="V618" s="4"/>
      <c r="W618" s="4"/>
      <c r="X618" s="4"/>
      <c r="Y618" s="4"/>
      <c r="Z618" s="4"/>
    </row>
    <row r="619" spans="1:26" ht="12.75">
      <c r="A619" s="4"/>
      <c r="B619" s="4"/>
      <c r="C619" s="15"/>
      <c r="D619" s="4"/>
      <c r="E619" s="4"/>
      <c r="F619" s="4"/>
      <c r="G619" s="4"/>
      <c r="H619" s="4"/>
      <c r="I619" s="4"/>
      <c r="J619" s="4"/>
      <c r="K619" s="4"/>
      <c r="L619" s="4"/>
      <c r="M619" s="4"/>
      <c r="N619" s="4"/>
      <c r="O619" s="4"/>
      <c r="P619" s="4"/>
      <c r="Q619" s="4"/>
      <c r="R619" s="4"/>
      <c r="S619" s="4"/>
      <c r="T619" s="4"/>
      <c r="U619" s="4"/>
      <c r="V619" s="4"/>
      <c r="W619" s="4"/>
      <c r="X619" s="4"/>
      <c r="Y619" s="4"/>
      <c r="Z619" s="4"/>
    </row>
    <row r="620" spans="1:26" ht="12.75">
      <c r="A620" s="4"/>
      <c r="B620" s="4"/>
      <c r="C620" s="15"/>
      <c r="D620" s="4"/>
      <c r="E620" s="4"/>
      <c r="F620" s="4"/>
      <c r="G620" s="4"/>
      <c r="H620" s="4"/>
      <c r="I620" s="4"/>
      <c r="J620" s="4"/>
      <c r="K620" s="4"/>
      <c r="L620" s="4"/>
      <c r="M620" s="4"/>
      <c r="N620" s="4"/>
      <c r="O620" s="4"/>
      <c r="P620" s="4"/>
      <c r="Q620" s="4"/>
      <c r="R620" s="4"/>
      <c r="S620" s="4"/>
      <c r="T620" s="4"/>
      <c r="U620" s="4"/>
      <c r="V620" s="4"/>
      <c r="W620" s="4"/>
      <c r="X620" s="4"/>
      <c r="Y620" s="4"/>
      <c r="Z620" s="4"/>
    </row>
    <row r="621" spans="1:26" ht="12.75">
      <c r="A621" s="4"/>
      <c r="B621" s="4"/>
      <c r="C621" s="15"/>
      <c r="D621" s="4"/>
      <c r="E621" s="4"/>
      <c r="F621" s="4"/>
      <c r="G621" s="4"/>
      <c r="H621" s="4"/>
      <c r="I621" s="4"/>
      <c r="J621" s="4"/>
      <c r="K621" s="4"/>
      <c r="L621" s="4"/>
      <c r="M621" s="4"/>
      <c r="N621" s="4"/>
      <c r="O621" s="4"/>
      <c r="P621" s="4"/>
      <c r="Q621" s="4"/>
      <c r="R621" s="4"/>
      <c r="S621" s="4"/>
      <c r="T621" s="4"/>
      <c r="U621" s="4"/>
      <c r="V621" s="4"/>
      <c r="W621" s="4"/>
      <c r="X621" s="4"/>
      <c r="Y621" s="4"/>
      <c r="Z621" s="4"/>
    </row>
    <row r="622" spans="1:26" ht="12.75">
      <c r="A622" s="4"/>
      <c r="B622" s="4"/>
      <c r="C622" s="15"/>
      <c r="D622" s="4"/>
      <c r="E622" s="4"/>
      <c r="F622" s="4"/>
      <c r="G622" s="4"/>
      <c r="H622" s="4"/>
      <c r="I622" s="4"/>
      <c r="J622" s="4"/>
      <c r="K622" s="4"/>
      <c r="L622" s="4"/>
      <c r="M622" s="4"/>
      <c r="N622" s="4"/>
      <c r="O622" s="4"/>
      <c r="P622" s="4"/>
      <c r="Q622" s="4"/>
      <c r="R622" s="4"/>
      <c r="S622" s="4"/>
      <c r="T622" s="4"/>
      <c r="U622" s="4"/>
      <c r="V622" s="4"/>
      <c r="W622" s="4"/>
      <c r="X622" s="4"/>
      <c r="Y622" s="4"/>
      <c r="Z622" s="4"/>
    </row>
    <row r="623" spans="1:26" ht="12.75">
      <c r="A623" s="4"/>
      <c r="B623" s="4"/>
      <c r="C623" s="15"/>
      <c r="D623" s="4"/>
      <c r="E623" s="4"/>
      <c r="F623" s="4"/>
      <c r="G623" s="4"/>
      <c r="H623" s="4"/>
      <c r="I623" s="4"/>
      <c r="J623" s="4"/>
      <c r="K623" s="4"/>
      <c r="L623" s="4"/>
      <c r="M623" s="4"/>
      <c r="N623" s="4"/>
      <c r="O623" s="4"/>
      <c r="P623" s="4"/>
      <c r="Q623" s="4"/>
      <c r="R623" s="4"/>
      <c r="S623" s="4"/>
      <c r="T623" s="4"/>
      <c r="U623" s="4"/>
      <c r="V623" s="4"/>
      <c r="W623" s="4"/>
      <c r="X623" s="4"/>
      <c r="Y623" s="4"/>
      <c r="Z623" s="4"/>
    </row>
    <row r="624" spans="1:26" ht="12.75">
      <c r="A624" s="4"/>
      <c r="B624" s="4"/>
      <c r="C624" s="15"/>
      <c r="D624" s="4"/>
      <c r="E624" s="4"/>
      <c r="F624" s="4"/>
      <c r="G624" s="4"/>
      <c r="H624" s="4"/>
      <c r="I624" s="4"/>
      <c r="J624" s="4"/>
      <c r="K624" s="4"/>
      <c r="L624" s="4"/>
      <c r="M624" s="4"/>
      <c r="N624" s="4"/>
      <c r="O624" s="4"/>
      <c r="P624" s="4"/>
      <c r="Q624" s="4"/>
      <c r="R624" s="4"/>
      <c r="S624" s="4"/>
      <c r="T624" s="4"/>
      <c r="U624" s="4"/>
      <c r="V624" s="4"/>
      <c r="W624" s="4"/>
      <c r="X624" s="4"/>
      <c r="Y624" s="4"/>
      <c r="Z624" s="4"/>
    </row>
    <row r="625" spans="1:26" ht="12.75">
      <c r="A625" s="4"/>
      <c r="B625" s="4"/>
      <c r="C625" s="15"/>
      <c r="D625" s="4"/>
      <c r="E625" s="4"/>
      <c r="F625" s="4"/>
      <c r="G625" s="4"/>
      <c r="H625" s="4"/>
      <c r="I625" s="4"/>
      <c r="J625" s="4"/>
      <c r="K625" s="4"/>
      <c r="L625" s="4"/>
      <c r="M625" s="4"/>
      <c r="N625" s="4"/>
      <c r="O625" s="4"/>
      <c r="P625" s="4"/>
      <c r="Q625" s="4"/>
      <c r="R625" s="4"/>
      <c r="S625" s="4"/>
      <c r="T625" s="4"/>
      <c r="U625" s="4"/>
      <c r="V625" s="4"/>
      <c r="W625" s="4"/>
      <c r="X625" s="4"/>
      <c r="Y625" s="4"/>
      <c r="Z625" s="4"/>
    </row>
    <row r="626" spans="1:26" ht="12.75">
      <c r="A626" s="4"/>
      <c r="B626" s="4"/>
      <c r="C626" s="15"/>
      <c r="D626" s="4"/>
      <c r="E626" s="4"/>
      <c r="F626" s="4"/>
      <c r="G626" s="4"/>
      <c r="H626" s="4"/>
      <c r="I626" s="4"/>
      <c r="J626" s="4"/>
      <c r="K626" s="4"/>
      <c r="L626" s="4"/>
      <c r="M626" s="4"/>
      <c r="N626" s="4"/>
      <c r="O626" s="4"/>
      <c r="P626" s="4"/>
      <c r="Q626" s="4"/>
      <c r="R626" s="4"/>
      <c r="S626" s="4"/>
      <c r="T626" s="4"/>
      <c r="U626" s="4"/>
      <c r="V626" s="4"/>
      <c r="W626" s="4"/>
      <c r="X626" s="4"/>
      <c r="Y626" s="4"/>
      <c r="Z626" s="4"/>
    </row>
    <row r="627" spans="1:26" ht="12.75">
      <c r="A627" s="4"/>
      <c r="B627" s="4"/>
      <c r="C627" s="15"/>
      <c r="D627" s="4"/>
      <c r="E627" s="4"/>
      <c r="F627" s="4"/>
      <c r="G627" s="4"/>
      <c r="H627" s="4"/>
      <c r="I627" s="4"/>
      <c r="J627" s="4"/>
      <c r="K627" s="4"/>
      <c r="L627" s="4"/>
      <c r="M627" s="4"/>
      <c r="N627" s="4"/>
      <c r="O627" s="4"/>
      <c r="P627" s="4"/>
      <c r="Q627" s="4"/>
      <c r="R627" s="4"/>
      <c r="S627" s="4"/>
      <c r="T627" s="4"/>
      <c r="U627" s="4"/>
      <c r="V627" s="4"/>
      <c r="W627" s="4"/>
      <c r="X627" s="4"/>
      <c r="Y627" s="4"/>
      <c r="Z627" s="4"/>
    </row>
    <row r="628" spans="1:26" ht="12.75">
      <c r="A628" s="4"/>
      <c r="B628" s="4"/>
      <c r="C628" s="15"/>
      <c r="D628" s="4"/>
      <c r="E628" s="4"/>
      <c r="F628" s="4"/>
      <c r="G628" s="4"/>
      <c r="H628" s="4"/>
      <c r="I628" s="4"/>
      <c r="J628" s="4"/>
      <c r="K628" s="4"/>
      <c r="L628" s="4"/>
      <c r="M628" s="4"/>
      <c r="N628" s="4"/>
      <c r="O628" s="4"/>
      <c r="P628" s="4"/>
      <c r="Q628" s="4"/>
      <c r="R628" s="4"/>
      <c r="S628" s="4"/>
      <c r="T628" s="4"/>
      <c r="U628" s="4"/>
      <c r="V628" s="4"/>
      <c r="W628" s="4"/>
      <c r="X628" s="4"/>
      <c r="Y628" s="4"/>
      <c r="Z628" s="4"/>
    </row>
    <row r="629" spans="1:26" ht="12.75">
      <c r="A629" s="4"/>
      <c r="B629" s="4"/>
      <c r="C629" s="15"/>
      <c r="D629" s="4"/>
      <c r="E629" s="4"/>
      <c r="F629" s="4"/>
      <c r="G629" s="4"/>
      <c r="H629" s="4"/>
      <c r="I629" s="4"/>
      <c r="J629" s="4"/>
      <c r="K629" s="4"/>
      <c r="L629" s="4"/>
      <c r="M629" s="4"/>
      <c r="N629" s="4"/>
      <c r="O629" s="4"/>
      <c r="P629" s="4"/>
      <c r="Q629" s="4"/>
      <c r="R629" s="4"/>
      <c r="S629" s="4"/>
      <c r="T629" s="4"/>
      <c r="U629" s="4"/>
      <c r="V629" s="4"/>
      <c r="W629" s="4"/>
      <c r="X629" s="4"/>
      <c r="Y629" s="4"/>
      <c r="Z629" s="4"/>
    </row>
    <row r="630" spans="1:26" ht="12.75">
      <c r="A630" s="4"/>
      <c r="B630" s="4"/>
      <c r="C630" s="15"/>
      <c r="D630" s="4"/>
      <c r="E630" s="4"/>
      <c r="F630" s="4"/>
      <c r="G630" s="4"/>
      <c r="H630" s="4"/>
      <c r="I630" s="4"/>
      <c r="J630" s="4"/>
      <c r="K630" s="4"/>
      <c r="L630" s="4"/>
      <c r="M630" s="4"/>
      <c r="N630" s="4"/>
      <c r="O630" s="4"/>
      <c r="P630" s="4"/>
      <c r="Q630" s="4"/>
      <c r="R630" s="4"/>
      <c r="S630" s="4"/>
      <c r="T630" s="4"/>
      <c r="U630" s="4"/>
      <c r="V630" s="4"/>
      <c r="W630" s="4"/>
      <c r="X630" s="4"/>
      <c r="Y630" s="4"/>
      <c r="Z630" s="4"/>
    </row>
    <row r="631" spans="1:26" ht="12.75">
      <c r="A631" s="4"/>
      <c r="B631" s="4"/>
      <c r="C631" s="15"/>
      <c r="D631" s="4"/>
      <c r="E631" s="4"/>
      <c r="F631" s="4"/>
      <c r="G631" s="4"/>
      <c r="H631" s="4"/>
      <c r="I631" s="4"/>
      <c r="J631" s="4"/>
      <c r="K631" s="4"/>
      <c r="L631" s="4"/>
      <c r="M631" s="4"/>
      <c r="N631" s="4"/>
      <c r="O631" s="4"/>
      <c r="P631" s="4"/>
      <c r="Q631" s="4"/>
      <c r="R631" s="4"/>
      <c r="S631" s="4"/>
      <c r="T631" s="4"/>
      <c r="U631" s="4"/>
      <c r="V631" s="4"/>
      <c r="W631" s="4"/>
      <c r="X631" s="4"/>
      <c r="Y631" s="4"/>
      <c r="Z631" s="4"/>
    </row>
    <row r="632" spans="1:26" ht="12.75">
      <c r="A632" s="4"/>
      <c r="B632" s="4"/>
      <c r="C632" s="15"/>
      <c r="D632" s="4"/>
      <c r="E632" s="4"/>
      <c r="F632" s="4"/>
      <c r="G632" s="4"/>
      <c r="H632" s="4"/>
      <c r="I632" s="4"/>
      <c r="J632" s="4"/>
      <c r="K632" s="4"/>
      <c r="L632" s="4"/>
      <c r="M632" s="4"/>
      <c r="N632" s="4"/>
      <c r="O632" s="4"/>
      <c r="P632" s="4"/>
      <c r="Q632" s="4"/>
      <c r="R632" s="4"/>
      <c r="S632" s="4"/>
      <c r="T632" s="4"/>
      <c r="U632" s="4"/>
      <c r="V632" s="4"/>
      <c r="W632" s="4"/>
      <c r="X632" s="4"/>
      <c r="Y632" s="4"/>
      <c r="Z632" s="4"/>
    </row>
    <row r="633" spans="1:26" ht="12.75">
      <c r="A633" s="4"/>
      <c r="B633" s="4"/>
      <c r="C633" s="15"/>
      <c r="D633" s="4"/>
      <c r="E633" s="4"/>
      <c r="F633" s="4"/>
      <c r="G633" s="4"/>
      <c r="H633" s="4"/>
      <c r="I633" s="4"/>
      <c r="J633" s="4"/>
      <c r="K633" s="4"/>
      <c r="L633" s="4"/>
      <c r="M633" s="4"/>
      <c r="N633" s="4"/>
      <c r="O633" s="4"/>
      <c r="P633" s="4"/>
      <c r="Q633" s="4"/>
      <c r="R633" s="4"/>
      <c r="S633" s="4"/>
      <c r="T633" s="4"/>
      <c r="U633" s="4"/>
      <c r="V633" s="4"/>
      <c r="W633" s="4"/>
      <c r="X633" s="4"/>
      <c r="Y633" s="4"/>
      <c r="Z633" s="4"/>
    </row>
    <row r="634" spans="1:26" ht="12.75">
      <c r="A634" s="4"/>
      <c r="B634" s="4"/>
      <c r="C634" s="15"/>
      <c r="D634" s="4"/>
      <c r="E634" s="4"/>
      <c r="F634" s="4"/>
      <c r="G634" s="4"/>
      <c r="H634" s="4"/>
      <c r="I634" s="4"/>
      <c r="J634" s="4"/>
      <c r="K634" s="4"/>
      <c r="L634" s="4"/>
      <c r="M634" s="4"/>
      <c r="N634" s="4"/>
      <c r="O634" s="4"/>
      <c r="P634" s="4"/>
      <c r="Q634" s="4"/>
      <c r="R634" s="4"/>
      <c r="S634" s="4"/>
      <c r="T634" s="4"/>
      <c r="U634" s="4"/>
      <c r="V634" s="4"/>
      <c r="W634" s="4"/>
      <c r="X634" s="4"/>
      <c r="Y634" s="4"/>
      <c r="Z634" s="4"/>
    </row>
    <row r="635" spans="1:26" ht="12.75">
      <c r="A635" s="4"/>
      <c r="B635" s="4"/>
      <c r="C635" s="15"/>
      <c r="D635" s="4"/>
      <c r="E635" s="4"/>
      <c r="F635" s="4"/>
      <c r="G635" s="4"/>
      <c r="H635" s="4"/>
      <c r="I635" s="4"/>
      <c r="J635" s="4"/>
      <c r="K635" s="4"/>
      <c r="L635" s="4"/>
      <c r="M635" s="4"/>
      <c r="N635" s="4"/>
      <c r="O635" s="4"/>
      <c r="P635" s="4"/>
      <c r="Q635" s="4"/>
      <c r="R635" s="4"/>
      <c r="S635" s="4"/>
      <c r="T635" s="4"/>
      <c r="U635" s="4"/>
      <c r="V635" s="4"/>
      <c r="W635" s="4"/>
      <c r="X635" s="4"/>
      <c r="Y635" s="4"/>
      <c r="Z635" s="4"/>
    </row>
    <row r="636" spans="1:26" ht="12.75">
      <c r="A636" s="4"/>
      <c r="B636" s="4"/>
      <c r="C636" s="15"/>
      <c r="D636" s="4"/>
      <c r="E636" s="4"/>
      <c r="F636" s="4"/>
      <c r="G636" s="4"/>
      <c r="H636" s="4"/>
      <c r="I636" s="4"/>
      <c r="J636" s="4"/>
      <c r="K636" s="4"/>
      <c r="L636" s="4"/>
      <c r="M636" s="4"/>
      <c r="N636" s="4"/>
      <c r="O636" s="4"/>
      <c r="P636" s="4"/>
      <c r="Q636" s="4"/>
      <c r="R636" s="4"/>
      <c r="S636" s="4"/>
      <c r="T636" s="4"/>
      <c r="U636" s="4"/>
      <c r="V636" s="4"/>
      <c r="W636" s="4"/>
      <c r="X636" s="4"/>
      <c r="Y636" s="4"/>
      <c r="Z636" s="4"/>
    </row>
    <row r="637" spans="1:26" ht="12.75">
      <c r="A637" s="4"/>
      <c r="B637" s="4"/>
      <c r="C637" s="15"/>
      <c r="D637" s="4"/>
      <c r="E637" s="4"/>
      <c r="F637" s="4"/>
      <c r="G637" s="4"/>
      <c r="H637" s="4"/>
      <c r="I637" s="4"/>
      <c r="J637" s="4"/>
      <c r="K637" s="4"/>
      <c r="L637" s="4"/>
      <c r="M637" s="4"/>
      <c r="N637" s="4"/>
      <c r="O637" s="4"/>
      <c r="P637" s="4"/>
      <c r="Q637" s="4"/>
      <c r="R637" s="4"/>
      <c r="S637" s="4"/>
      <c r="T637" s="4"/>
      <c r="U637" s="4"/>
      <c r="V637" s="4"/>
      <c r="W637" s="4"/>
      <c r="X637" s="4"/>
      <c r="Y637" s="4"/>
      <c r="Z637" s="4"/>
    </row>
    <row r="638" spans="1:26" ht="12.75">
      <c r="A638" s="4"/>
      <c r="B638" s="4"/>
      <c r="C638" s="15"/>
      <c r="D638" s="4"/>
      <c r="E638" s="4"/>
      <c r="F638" s="4"/>
      <c r="G638" s="4"/>
      <c r="H638" s="4"/>
      <c r="I638" s="4"/>
      <c r="J638" s="4"/>
      <c r="K638" s="4"/>
      <c r="L638" s="4"/>
      <c r="M638" s="4"/>
      <c r="N638" s="4"/>
      <c r="O638" s="4"/>
      <c r="P638" s="4"/>
      <c r="Q638" s="4"/>
      <c r="R638" s="4"/>
      <c r="S638" s="4"/>
      <c r="T638" s="4"/>
      <c r="U638" s="4"/>
      <c r="V638" s="4"/>
      <c r="W638" s="4"/>
      <c r="X638" s="4"/>
      <c r="Y638" s="4"/>
      <c r="Z638" s="4"/>
    </row>
    <row r="639" spans="1:26" ht="12.75">
      <c r="A639" s="4"/>
      <c r="B639" s="4"/>
      <c r="C639" s="15"/>
      <c r="D639" s="4"/>
      <c r="E639" s="4"/>
      <c r="F639" s="4"/>
      <c r="G639" s="4"/>
      <c r="H639" s="4"/>
      <c r="I639" s="4"/>
      <c r="J639" s="4"/>
      <c r="K639" s="4"/>
      <c r="L639" s="4"/>
      <c r="M639" s="4"/>
      <c r="N639" s="4"/>
      <c r="O639" s="4"/>
      <c r="P639" s="4"/>
      <c r="Q639" s="4"/>
      <c r="R639" s="4"/>
      <c r="S639" s="4"/>
      <c r="T639" s="4"/>
      <c r="U639" s="4"/>
      <c r="V639" s="4"/>
      <c r="W639" s="4"/>
      <c r="X639" s="4"/>
      <c r="Y639" s="4"/>
      <c r="Z639" s="4"/>
    </row>
    <row r="640" spans="1:26" ht="12.75">
      <c r="A640" s="4"/>
      <c r="B640" s="4"/>
      <c r="C640" s="15"/>
      <c r="D640" s="4"/>
      <c r="E640" s="4"/>
      <c r="F640" s="4"/>
      <c r="G640" s="4"/>
      <c r="H640" s="4"/>
      <c r="I640" s="4"/>
      <c r="J640" s="4"/>
      <c r="K640" s="4"/>
      <c r="L640" s="4"/>
      <c r="M640" s="4"/>
      <c r="N640" s="4"/>
      <c r="O640" s="4"/>
      <c r="P640" s="4"/>
      <c r="Q640" s="4"/>
      <c r="R640" s="4"/>
      <c r="S640" s="4"/>
      <c r="T640" s="4"/>
      <c r="U640" s="4"/>
      <c r="V640" s="4"/>
      <c r="W640" s="4"/>
      <c r="X640" s="4"/>
      <c r="Y640" s="4"/>
      <c r="Z640" s="4"/>
    </row>
    <row r="641" spans="1:26" ht="12.75">
      <c r="A641" s="4"/>
      <c r="B641" s="4"/>
      <c r="C641" s="15"/>
      <c r="D641" s="4"/>
      <c r="E641" s="4"/>
      <c r="F641" s="4"/>
      <c r="G641" s="4"/>
      <c r="H641" s="4"/>
      <c r="I641" s="4"/>
      <c r="J641" s="4"/>
      <c r="K641" s="4"/>
      <c r="L641" s="4"/>
      <c r="M641" s="4"/>
      <c r="N641" s="4"/>
      <c r="O641" s="4"/>
      <c r="P641" s="4"/>
      <c r="Q641" s="4"/>
      <c r="R641" s="4"/>
      <c r="S641" s="4"/>
      <c r="T641" s="4"/>
      <c r="U641" s="4"/>
      <c r="V641" s="4"/>
      <c r="W641" s="4"/>
      <c r="X641" s="4"/>
      <c r="Y641" s="4"/>
      <c r="Z641" s="4"/>
    </row>
    <row r="642" spans="1:26" ht="12.75">
      <c r="A642" s="4"/>
      <c r="B642" s="4"/>
      <c r="C642" s="15"/>
      <c r="D642" s="4"/>
      <c r="E642" s="4"/>
      <c r="F642" s="4"/>
      <c r="G642" s="4"/>
      <c r="H642" s="4"/>
      <c r="I642" s="4"/>
      <c r="J642" s="4"/>
      <c r="K642" s="4"/>
      <c r="L642" s="4"/>
      <c r="M642" s="4"/>
      <c r="N642" s="4"/>
      <c r="O642" s="4"/>
      <c r="P642" s="4"/>
      <c r="Q642" s="4"/>
      <c r="R642" s="4"/>
      <c r="S642" s="4"/>
      <c r="T642" s="4"/>
      <c r="U642" s="4"/>
      <c r="V642" s="4"/>
      <c r="W642" s="4"/>
      <c r="X642" s="4"/>
      <c r="Y642" s="4"/>
      <c r="Z642" s="4"/>
    </row>
    <row r="643" spans="1:26" ht="12.75">
      <c r="A643" s="4"/>
      <c r="B643" s="4"/>
      <c r="C643" s="15"/>
      <c r="D643" s="4"/>
      <c r="E643" s="4"/>
      <c r="F643" s="4"/>
      <c r="G643" s="4"/>
      <c r="H643" s="4"/>
      <c r="I643" s="4"/>
      <c r="J643" s="4"/>
      <c r="K643" s="4"/>
      <c r="L643" s="4"/>
      <c r="M643" s="4"/>
      <c r="N643" s="4"/>
      <c r="O643" s="4"/>
      <c r="P643" s="4"/>
      <c r="Q643" s="4"/>
      <c r="R643" s="4"/>
      <c r="S643" s="4"/>
      <c r="T643" s="4"/>
      <c r="U643" s="4"/>
      <c r="V643" s="4"/>
      <c r="W643" s="4"/>
      <c r="X643" s="4"/>
      <c r="Y643" s="4"/>
      <c r="Z643" s="4"/>
    </row>
    <row r="644" spans="1:26" ht="12.75">
      <c r="A644" s="4"/>
      <c r="B644" s="4"/>
      <c r="C644" s="15"/>
      <c r="D644" s="4"/>
      <c r="E644" s="4"/>
      <c r="F644" s="4"/>
      <c r="G644" s="4"/>
      <c r="H644" s="4"/>
      <c r="I644" s="4"/>
      <c r="J644" s="4"/>
      <c r="K644" s="4"/>
      <c r="L644" s="4"/>
      <c r="M644" s="4"/>
      <c r="N644" s="4"/>
      <c r="O644" s="4"/>
      <c r="P644" s="4"/>
      <c r="Q644" s="4"/>
      <c r="R644" s="4"/>
      <c r="S644" s="4"/>
      <c r="T644" s="4"/>
      <c r="U644" s="4"/>
      <c r="V644" s="4"/>
      <c r="W644" s="4"/>
      <c r="X644" s="4"/>
      <c r="Y644" s="4"/>
      <c r="Z644" s="4"/>
    </row>
    <row r="645" spans="1:26" ht="12.75">
      <c r="A645" s="4"/>
      <c r="B645" s="4"/>
      <c r="C645" s="15"/>
      <c r="D645" s="4"/>
      <c r="E645" s="4"/>
      <c r="F645" s="4"/>
      <c r="G645" s="4"/>
      <c r="H645" s="4"/>
      <c r="I645" s="4"/>
      <c r="J645" s="4"/>
      <c r="K645" s="4"/>
      <c r="L645" s="4"/>
      <c r="M645" s="4"/>
      <c r="N645" s="4"/>
      <c r="O645" s="4"/>
      <c r="P645" s="4"/>
      <c r="Q645" s="4"/>
      <c r="R645" s="4"/>
      <c r="S645" s="4"/>
      <c r="T645" s="4"/>
      <c r="U645" s="4"/>
      <c r="V645" s="4"/>
      <c r="W645" s="4"/>
      <c r="X645" s="4"/>
      <c r="Y645" s="4"/>
      <c r="Z645" s="4"/>
    </row>
    <row r="646" spans="1:26" ht="12.75">
      <c r="A646" s="4"/>
      <c r="B646" s="4"/>
      <c r="C646" s="15"/>
      <c r="D646" s="4"/>
      <c r="E646" s="4"/>
      <c r="F646" s="4"/>
      <c r="G646" s="4"/>
      <c r="H646" s="4"/>
      <c r="I646" s="4"/>
      <c r="J646" s="4"/>
      <c r="K646" s="4"/>
      <c r="L646" s="4"/>
      <c r="M646" s="4"/>
      <c r="N646" s="4"/>
      <c r="O646" s="4"/>
      <c r="P646" s="4"/>
      <c r="Q646" s="4"/>
      <c r="R646" s="4"/>
      <c r="S646" s="4"/>
      <c r="T646" s="4"/>
      <c r="U646" s="4"/>
      <c r="V646" s="4"/>
      <c r="W646" s="4"/>
      <c r="X646" s="4"/>
      <c r="Y646" s="4"/>
      <c r="Z646" s="4"/>
    </row>
    <row r="647" spans="1:26" ht="12.75">
      <c r="A647" s="4"/>
      <c r="B647" s="4"/>
      <c r="C647" s="15"/>
      <c r="D647" s="4"/>
      <c r="E647" s="4"/>
      <c r="F647" s="4"/>
      <c r="G647" s="4"/>
      <c r="H647" s="4"/>
      <c r="I647" s="4"/>
      <c r="J647" s="4"/>
      <c r="K647" s="4"/>
      <c r="L647" s="4"/>
      <c r="M647" s="4"/>
      <c r="N647" s="4"/>
      <c r="O647" s="4"/>
      <c r="P647" s="4"/>
      <c r="Q647" s="4"/>
      <c r="R647" s="4"/>
      <c r="S647" s="4"/>
      <c r="T647" s="4"/>
      <c r="U647" s="4"/>
      <c r="V647" s="4"/>
      <c r="W647" s="4"/>
      <c r="X647" s="4"/>
      <c r="Y647" s="4"/>
      <c r="Z647" s="4"/>
    </row>
    <row r="648" spans="1:26" ht="12.75">
      <c r="A648" s="4"/>
      <c r="B648" s="4"/>
      <c r="C648" s="15"/>
      <c r="D648" s="4"/>
      <c r="E648" s="4"/>
      <c r="F648" s="4"/>
      <c r="G648" s="4"/>
      <c r="H648" s="4"/>
      <c r="I648" s="4"/>
      <c r="J648" s="4"/>
      <c r="K648" s="4"/>
      <c r="L648" s="4"/>
      <c r="M648" s="4"/>
      <c r="N648" s="4"/>
      <c r="O648" s="4"/>
      <c r="P648" s="4"/>
      <c r="Q648" s="4"/>
      <c r="R648" s="4"/>
      <c r="S648" s="4"/>
      <c r="T648" s="4"/>
      <c r="U648" s="4"/>
      <c r="V648" s="4"/>
      <c r="W648" s="4"/>
      <c r="X648" s="4"/>
      <c r="Y648" s="4"/>
      <c r="Z648" s="4"/>
    </row>
    <row r="649" spans="1:26" ht="12.75">
      <c r="A649" s="4"/>
      <c r="B649" s="4"/>
      <c r="C649" s="15"/>
      <c r="D649" s="4"/>
      <c r="E649" s="4"/>
      <c r="F649" s="4"/>
      <c r="G649" s="4"/>
      <c r="H649" s="4"/>
      <c r="I649" s="4"/>
      <c r="J649" s="4"/>
      <c r="K649" s="4"/>
      <c r="L649" s="4"/>
      <c r="M649" s="4"/>
      <c r="N649" s="4"/>
      <c r="O649" s="4"/>
      <c r="P649" s="4"/>
      <c r="Q649" s="4"/>
      <c r="R649" s="4"/>
      <c r="S649" s="4"/>
      <c r="T649" s="4"/>
      <c r="U649" s="4"/>
      <c r="V649" s="4"/>
      <c r="W649" s="4"/>
      <c r="X649" s="4"/>
      <c r="Y649" s="4"/>
      <c r="Z649" s="4"/>
    </row>
    <row r="650" spans="1:26" ht="12.75">
      <c r="A650" s="4"/>
      <c r="B650" s="4"/>
      <c r="C650" s="15"/>
      <c r="D650" s="4"/>
      <c r="E650" s="4"/>
      <c r="F650" s="4"/>
      <c r="G650" s="4"/>
      <c r="H650" s="4"/>
      <c r="I650" s="4"/>
      <c r="J650" s="4"/>
      <c r="K650" s="4"/>
      <c r="L650" s="4"/>
      <c r="M650" s="4"/>
      <c r="N650" s="4"/>
      <c r="O650" s="4"/>
      <c r="P650" s="4"/>
      <c r="Q650" s="4"/>
      <c r="R650" s="4"/>
      <c r="S650" s="4"/>
      <c r="T650" s="4"/>
      <c r="U650" s="4"/>
      <c r="V650" s="4"/>
      <c r="W650" s="4"/>
      <c r="X650" s="4"/>
      <c r="Y650" s="4"/>
      <c r="Z650" s="4"/>
    </row>
    <row r="651" spans="1:26" ht="12.75">
      <c r="A651" s="4"/>
      <c r="B651" s="4"/>
      <c r="C651" s="15"/>
      <c r="D651" s="4"/>
      <c r="E651" s="4"/>
      <c r="F651" s="4"/>
      <c r="G651" s="4"/>
      <c r="H651" s="4"/>
      <c r="I651" s="4"/>
      <c r="J651" s="4"/>
      <c r="K651" s="4"/>
      <c r="L651" s="4"/>
      <c r="M651" s="4"/>
      <c r="N651" s="4"/>
      <c r="O651" s="4"/>
      <c r="P651" s="4"/>
      <c r="Q651" s="4"/>
      <c r="R651" s="4"/>
      <c r="S651" s="4"/>
      <c r="T651" s="4"/>
      <c r="U651" s="4"/>
      <c r="V651" s="4"/>
      <c r="W651" s="4"/>
      <c r="X651" s="4"/>
      <c r="Y651" s="4"/>
      <c r="Z651" s="4"/>
    </row>
    <row r="652" spans="1:26" ht="12.75">
      <c r="A652" s="4"/>
      <c r="B652" s="4"/>
      <c r="C652" s="15"/>
      <c r="D652" s="4"/>
      <c r="E652" s="4"/>
      <c r="F652" s="4"/>
      <c r="G652" s="4"/>
      <c r="H652" s="4"/>
      <c r="I652" s="4"/>
      <c r="J652" s="4"/>
      <c r="K652" s="4"/>
      <c r="L652" s="4"/>
      <c r="M652" s="4"/>
      <c r="N652" s="4"/>
      <c r="O652" s="4"/>
      <c r="P652" s="4"/>
      <c r="Q652" s="4"/>
      <c r="R652" s="4"/>
      <c r="S652" s="4"/>
      <c r="T652" s="4"/>
      <c r="U652" s="4"/>
      <c r="V652" s="4"/>
      <c r="W652" s="4"/>
      <c r="X652" s="4"/>
      <c r="Y652" s="4"/>
      <c r="Z652" s="4"/>
    </row>
    <row r="653" spans="1:26" ht="12.75">
      <c r="A653" s="4"/>
      <c r="B653" s="4"/>
      <c r="C653" s="15"/>
      <c r="D653" s="4"/>
      <c r="E653" s="4"/>
      <c r="F653" s="4"/>
      <c r="G653" s="4"/>
      <c r="H653" s="4"/>
      <c r="I653" s="4"/>
      <c r="J653" s="4"/>
      <c r="K653" s="4"/>
      <c r="L653" s="4"/>
      <c r="M653" s="4"/>
      <c r="N653" s="4"/>
      <c r="O653" s="4"/>
      <c r="P653" s="4"/>
      <c r="Q653" s="4"/>
      <c r="R653" s="4"/>
      <c r="S653" s="4"/>
      <c r="T653" s="4"/>
      <c r="U653" s="4"/>
      <c r="V653" s="4"/>
      <c r="W653" s="4"/>
      <c r="X653" s="4"/>
      <c r="Y653" s="4"/>
      <c r="Z653" s="4"/>
    </row>
    <row r="654" spans="1:26" ht="12.75">
      <c r="A654" s="4"/>
      <c r="B654" s="4"/>
      <c r="C654" s="15"/>
      <c r="D654" s="4"/>
      <c r="E654" s="4"/>
      <c r="F654" s="4"/>
      <c r="G654" s="4"/>
      <c r="H654" s="4"/>
      <c r="I654" s="4"/>
      <c r="J654" s="4"/>
      <c r="K654" s="4"/>
      <c r="L654" s="4"/>
      <c r="M654" s="4"/>
      <c r="N654" s="4"/>
      <c r="O654" s="4"/>
      <c r="P654" s="4"/>
      <c r="Q654" s="4"/>
      <c r="R654" s="4"/>
      <c r="S654" s="4"/>
      <c r="T654" s="4"/>
      <c r="U654" s="4"/>
      <c r="V654" s="4"/>
      <c r="W654" s="4"/>
      <c r="X654" s="4"/>
      <c r="Y654" s="4"/>
      <c r="Z654" s="4"/>
    </row>
    <row r="655" spans="1:26" ht="12.75">
      <c r="A655" s="4"/>
      <c r="B655" s="4"/>
      <c r="C655" s="15"/>
      <c r="D655" s="4"/>
      <c r="E655" s="4"/>
      <c r="F655" s="4"/>
      <c r="G655" s="4"/>
      <c r="H655" s="4"/>
      <c r="I655" s="4"/>
      <c r="J655" s="4"/>
      <c r="K655" s="4"/>
      <c r="L655" s="4"/>
      <c r="M655" s="4"/>
      <c r="N655" s="4"/>
      <c r="O655" s="4"/>
      <c r="P655" s="4"/>
      <c r="Q655" s="4"/>
      <c r="R655" s="4"/>
      <c r="S655" s="4"/>
      <c r="T655" s="4"/>
      <c r="U655" s="4"/>
      <c r="V655" s="4"/>
      <c r="W655" s="4"/>
      <c r="X655" s="4"/>
      <c r="Y655" s="4"/>
      <c r="Z655" s="4"/>
    </row>
    <row r="656" spans="1:26" ht="12.75">
      <c r="A656" s="4"/>
      <c r="B656" s="4"/>
      <c r="C656" s="15"/>
      <c r="D656" s="4"/>
      <c r="E656" s="4"/>
      <c r="F656" s="4"/>
      <c r="G656" s="4"/>
      <c r="H656" s="4"/>
      <c r="I656" s="4"/>
      <c r="J656" s="4"/>
      <c r="K656" s="4"/>
      <c r="L656" s="4"/>
      <c r="M656" s="4"/>
      <c r="N656" s="4"/>
      <c r="O656" s="4"/>
      <c r="P656" s="4"/>
      <c r="Q656" s="4"/>
      <c r="R656" s="4"/>
      <c r="S656" s="4"/>
      <c r="T656" s="4"/>
      <c r="U656" s="4"/>
      <c r="V656" s="4"/>
      <c r="W656" s="4"/>
      <c r="X656" s="4"/>
      <c r="Y656" s="4"/>
      <c r="Z656" s="4"/>
    </row>
    <row r="657" spans="1:26" ht="12.75">
      <c r="A657" s="4"/>
      <c r="B657" s="4"/>
      <c r="C657" s="15"/>
      <c r="D657" s="4"/>
      <c r="E657" s="4"/>
      <c r="F657" s="4"/>
      <c r="G657" s="4"/>
      <c r="H657" s="4"/>
      <c r="I657" s="4"/>
      <c r="J657" s="4"/>
      <c r="K657" s="4"/>
      <c r="L657" s="4"/>
      <c r="M657" s="4"/>
      <c r="N657" s="4"/>
      <c r="O657" s="4"/>
      <c r="P657" s="4"/>
      <c r="Q657" s="4"/>
      <c r="R657" s="4"/>
      <c r="S657" s="4"/>
      <c r="T657" s="4"/>
      <c r="U657" s="4"/>
      <c r="V657" s="4"/>
      <c r="W657" s="4"/>
      <c r="X657" s="4"/>
      <c r="Y657" s="4"/>
      <c r="Z657" s="4"/>
    </row>
    <row r="658" spans="1:26" ht="12.75">
      <c r="A658" s="4"/>
      <c r="B658" s="4"/>
      <c r="C658" s="15"/>
      <c r="D658" s="4"/>
      <c r="E658" s="4"/>
      <c r="F658" s="4"/>
      <c r="G658" s="4"/>
      <c r="H658" s="4"/>
      <c r="I658" s="4"/>
      <c r="J658" s="4"/>
      <c r="K658" s="4"/>
      <c r="L658" s="4"/>
      <c r="M658" s="4"/>
      <c r="N658" s="4"/>
      <c r="O658" s="4"/>
      <c r="P658" s="4"/>
      <c r="Q658" s="4"/>
      <c r="R658" s="4"/>
      <c r="S658" s="4"/>
      <c r="T658" s="4"/>
      <c r="U658" s="4"/>
      <c r="V658" s="4"/>
      <c r="W658" s="4"/>
      <c r="X658" s="4"/>
      <c r="Y658" s="4"/>
      <c r="Z658" s="4"/>
    </row>
    <row r="659" spans="1:26" ht="12.75">
      <c r="A659" s="4"/>
      <c r="B659" s="4"/>
      <c r="C659" s="15"/>
      <c r="D659" s="4"/>
      <c r="E659" s="4"/>
      <c r="F659" s="4"/>
      <c r="G659" s="4"/>
      <c r="H659" s="4"/>
      <c r="I659" s="4"/>
      <c r="J659" s="4"/>
      <c r="K659" s="4"/>
      <c r="L659" s="4"/>
      <c r="M659" s="4"/>
      <c r="N659" s="4"/>
      <c r="O659" s="4"/>
      <c r="P659" s="4"/>
      <c r="Q659" s="4"/>
      <c r="R659" s="4"/>
      <c r="S659" s="4"/>
      <c r="T659" s="4"/>
      <c r="U659" s="4"/>
      <c r="V659" s="4"/>
      <c r="W659" s="4"/>
      <c r="X659" s="4"/>
      <c r="Y659" s="4"/>
      <c r="Z659" s="4"/>
    </row>
    <row r="660" spans="1:26" ht="12.75">
      <c r="A660" s="4"/>
      <c r="B660" s="4"/>
      <c r="C660" s="15"/>
      <c r="D660" s="4"/>
      <c r="E660" s="4"/>
      <c r="F660" s="4"/>
      <c r="G660" s="4"/>
      <c r="H660" s="4"/>
      <c r="I660" s="4"/>
      <c r="J660" s="4"/>
      <c r="K660" s="4"/>
      <c r="L660" s="4"/>
      <c r="M660" s="4"/>
      <c r="N660" s="4"/>
      <c r="O660" s="4"/>
      <c r="P660" s="4"/>
      <c r="Q660" s="4"/>
      <c r="R660" s="4"/>
      <c r="S660" s="4"/>
      <c r="T660" s="4"/>
      <c r="U660" s="4"/>
      <c r="V660" s="4"/>
      <c r="W660" s="4"/>
      <c r="X660" s="4"/>
      <c r="Y660" s="4"/>
      <c r="Z660" s="4"/>
    </row>
    <row r="661" spans="1:26" ht="12.75">
      <c r="A661" s="4"/>
      <c r="B661" s="4"/>
      <c r="C661" s="15"/>
      <c r="D661" s="4"/>
      <c r="E661" s="4"/>
      <c r="F661" s="4"/>
      <c r="G661" s="4"/>
      <c r="H661" s="4"/>
      <c r="I661" s="4"/>
      <c r="J661" s="4"/>
      <c r="K661" s="4"/>
      <c r="L661" s="4"/>
      <c r="M661" s="4"/>
      <c r="N661" s="4"/>
      <c r="O661" s="4"/>
      <c r="P661" s="4"/>
      <c r="Q661" s="4"/>
      <c r="R661" s="4"/>
      <c r="S661" s="4"/>
      <c r="T661" s="4"/>
      <c r="U661" s="4"/>
      <c r="V661" s="4"/>
      <c r="W661" s="4"/>
      <c r="X661" s="4"/>
      <c r="Y661" s="4"/>
      <c r="Z661" s="4"/>
    </row>
    <row r="662" spans="1:26" ht="12.75">
      <c r="A662" s="4"/>
      <c r="B662" s="4"/>
      <c r="C662" s="15"/>
      <c r="D662" s="4"/>
      <c r="E662" s="4"/>
      <c r="F662" s="4"/>
      <c r="G662" s="4"/>
      <c r="H662" s="4"/>
      <c r="I662" s="4"/>
      <c r="J662" s="4"/>
      <c r="K662" s="4"/>
      <c r="L662" s="4"/>
      <c r="M662" s="4"/>
      <c r="N662" s="4"/>
      <c r="O662" s="4"/>
      <c r="P662" s="4"/>
      <c r="Q662" s="4"/>
      <c r="R662" s="4"/>
      <c r="S662" s="4"/>
      <c r="T662" s="4"/>
      <c r="U662" s="4"/>
      <c r="V662" s="4"/>
      <c r="W662" s="4"/>
      <c r="X662" s="4"/>
      <c r="Y662" s="4"/>
      <c r="Z662" s="4"/>
    </row>
    <row r="663" spans="1:26" ht="12.75">
      <c r="A663" s="4"/>
      <c r="B663" s="4"/>
      <c r="C663" s="15"/>
      <c r="D663" s="4"/>
      <c r="E663" s="4"/>
      <c r="F663" s="4"/>
      <c r="G663" s="4"/>
      <c r="H663" s="4"/>
      <c r="I663" s="4"/>
      <c r="J663" s="4"/>
      <c r="K663" s="4"/>
      <c r="L663" s="4"/>
      <c r="M663" s="4"/>
      <c r="N663" s="4"/>
      <c r="O663" s="4"/>
      <c r="P663" s="4"/>
      <c r="Q663" s="4"/>
      <c r="R663" s="4"/>
      <c r="S663" s="4"/>
      <c r="T663" s="4"/>
      <c r="U663" s="4"/>
      <c r="V663" s="4"/>
      <c r="W663" s="4"/>
      <c r="X663" s="4"/>
      <c r="Y663" s="4"/>
      <c r="Z663" s="4"/>
    </row>
    <row r="664" spans="1:26" ht="12.75">
      <c r="A664" s="4"/>
      <c r="B664" s="4"/>
      <c r="C664" s="15"/>
      <c r="D664" s="4"/>
      <c r="E664" s="4"/>
      <c r="F664" s="4"/>
      <c r="G664" s="4"/>
      <c r="H664" s="4"/>
      <c r="I664" s="4"/>
      <c r="J664" s="4"/>
      <c r="K664" s="4"/>
      <c r="L664" s="4"/>
      <c r="M664" s="4"/>
      <c r="N664" s="4"/>
      <c r="O664" s="4"/>
      <c r="P664" s="4"/>
      <c r="Q664" s="4"/>
      <c r="R664" s="4"/>
      <c r="S664" s="4"/>
      <c r="T664" s="4"/>
      <c r="U664" s="4"/>
      <c r="V664" s="4"/>
      <c r="W664" s="4"/>
      <c r="X664" s="4"/>
      <c r="Y664" s="4"/>
      <c r="Z664" s="4"/>
    </row>
    <row r="665" spans="1:26" ht="12.75">
      <c r="A665" s="4"/>
      <c r="B665" s="4"/>
      <c r="C665" s="15"/>
      <c r="D665" s="4"/>
      <c r="E665" s="4"/>
      <c r="F665" s="4"/>
      <c r="G665" s="4"/>
      <c r="H665" s="4"/>
      <c r="I665" s="4"/>
      <c r="J665" s="4"/>
      <c r="K665" s="4"/>
      <c r="L665" s="4"/>
      <c r="M665" s="4"/>
      <c r="N665" s="4"/>
      <c r="O665" s="4"/>
      <c r="P665" s="4"/>
      <c r="Q665" s="4"/>
      <c r="R665" s="4"/>
      <c r="S665" s="4"/>
      <c r="T665" s="4"/>
      <c r="U665" s="4"/>
      <c r="V665" s="4"/>
      <c r="W665" s="4"/>
      <c r="X665" s="4"/>
      <c r="Y665" s="4"/>
      <c r="Z665" s="4"/>
    </row>
    <row r="666" spans="1:26" ht="12.75">
      <c r="A666" s="4"/>
      <c r="B666" s="4"/>
      <c r="C666" s="15"/>
      <c r="D666" s="4"/>
      <c r="E666" s="4"/>
      <c r="F666" s="4"/>
      <c r="G666" s="4"/>
      <c r="H666" s="4"/>
      <c r="I666" s="4"/>
      <c r="J666" s="4"/>
      <c r="K666" s="4"/>
      <c r="L666" s="4"/>
      <c r="M666" s="4"/>
      <c r="N666" s="4"/>
      <c r="O666" s="4"/>
      <c r="P666" s="4"/>
      <c r="Q666" s="4"/>
      <c r="R666" s="4"/>
      <c r="S666" s="4"/>
      <c r="T666" s="4"/>
      <c r="U666" s="4"/>
      <c r="V666" s="4"/>
      <c r="W666" s="4"/>
      <c r="X666" s="4"/>
      <c r="Y666" s="4"/>
      <c r="Z666" s="4"/>
    </row>
    <row r="667" spans="1:26" ht="12.75">
      <c r="A667" s="4"/>
      <c r="B667" s="4"/>
      <c r="C667" s="15"/>
      <c r="D667" s="4"/>
      <c r="E667" s="4"/>
      <c r="F667" s="4"/>
      <c r="G667" s="4"/>
      <c r="H667" s="4"/>
      <c r="I667" s="4"/>
      <c r="J667" s="4"/>
      <c r="K667" s="4"/>
      <c r="L667" s="4"/>
      <c r="M667" s="4"/>
      <c r="N667" s="4"/>
      <c r="O667" s="4"/>
      <c r="P667" s="4"/>
      <c r="Q667" s="4"/>
      <c r="R667" s="4"/>
      <c r="S667" s="4"/>
      <c r="T667" s="4"/>
      <c r="U667" s="4"/>
      <c r="V667" s="4"/>
      <c r="W667" s="4"/>
      <c r="X667" s="4"/>
      <c r="Y667" s="4"/>
      <c r="Z667" s="4"/>
    </row>
    <row r="668" spans="1:26" ht="12.75">
      <c r="A668" s="4"/>
      <c r="B668" s="4"/>
      <c r="C668" s="15"/>
      <c r="D668" s="4"/>
      <c r="E668" s="4"/>
      <c r="F668" s="4"/>
      <c r="G668" s="4"/>
      <c r="H668" s="4"/>
      <c r="I668" s="4"/>
      <c r="J668" s="4"/>
      <c r="K668" s="4"/>
      <c r="L668" s="4"/>
      <c r="M668" s="4"/>
      <c r="N668" s="4"/>
      <c r="O668" s="4"/>
      <c r="P668" s="4"/>
      <c r="Q668" s="4"/>
      <c r="R668" s="4"/>
      <c r="S668" s="4"/>
      <c r="T668" s="4"/>
      <c r="U668" s="4"/>
      <c r="V668" s="4"/>
      <c r="W668" s="4"/>
      <c r="X668" s="4"/>
      <c r="Y668" s="4"/>
      <c r="Z668" s="4"/>
    </row>
    <row r="669" spans="1:26" ht="12.75">
      <c r="A669" s="4"/>
      <c r="B669" s="4"/>
      <c r="C669" s="15"/>
      <c r="D669" s="4"/>
      <c r="E669" s="4"/>
      <c r="F669" s="4"/>
      <c r="G669" s="4"/>
      <c r="H669" s="4"/>
      <c r="I669" s="4"/>
      <c r="J669" s="4"/>
      <c r="K669" s="4"/>
      <c r="L669" s="4"/>
      <c r="M669" s="4"/>
      <c r="N669" s="4"/>
      <c r="O669" s="4"/>
      <c r="P669" s="4"/>
      <c r="Q669" s="4"/>
      <c r="R669" s="4"/>
      <c r="S669" s="4"/>
      <c r="T669" s="4"/>
      <c r="U669" s="4"/>
      <c r="V669" s="4"/>
      <c r="W669" s="4"/>
      <c r="X669" s="4"/>
      <c r="Y669" s="4"/>
      <c r="Z669" s="4"/>
    </row>
    <row r="670" spans="1:26" ht="12.75">
      <c r="A670" s="4"/>
      <c r="B670" s="4"/>
      <c r="C670" s="15"/>
      <c r="D670" s="4"/>
      <c r="E670" s="4"/>
      <c r="F670" s="4"/>
      <c r="G670" s="4"/>
      <c r="H670" s="4"/>
      <c r="I670" s="4"/>
      <c r="J670" s="4"/>
      <c r="K670" s="4"/>
      <c r="L670" s="4"/>
      <c r="M670" s="4"/>
      <c r="N670" s="4"/>
      <c r="O670" s="4"/>
      <c r="P670" s="4"/>
      <c r="Q670" s="4"/>
      <c r="R670" s="4"/>
      <c r="S670" s="4"/>
      <c r="T670" s="4"/>
      <c r="U670" s="4"/>
      <c r="V670" s="4"/>
      <c r="W670" s="4"/>
      <c r="X670" s="4"/>
      <c r="Y670" s="4"/>
      <c r="Z670" s="4"/>
    </row>
    <row r="671" spans="1:26" ht="12.75">
      <c r="A671" s="4"/>
      <c r="B671" s="4"/>
      <c r="C671" s="15"/>
      <c r="D671" s="4"/>
      <c r="E671" s="4"/>
      <c r="F671" s="4"/>
      <c r="G671" s="4"/>
      <c r="H671" s="4"/>
      <c r="I671" s="4"/>
      <c r="J671" s="4"/>
      <c r="K671" s="4"/>
      <c r="L671" s="4"/>
      <c r="M671" s="4"/>
      <c r="N671" s="4"/>
      <c r="O671" s="4"/>
      <c r="P671" s="4"/>
      <c r="Q671" s="4"/>
      <c r="R671" s="4"/>
      <c r="S671" s="4"/>
      <c r="T671" s="4"/>
      <c r="U671" s="4"/>
      <c r="V671" s="4"/>
      <c r="W671" s="4"/>
      <c r="X671" s="4"/>
      <c r="Y671" s="4"/>
      <c r="Z671" s="4"/>
    </row>
    <row r="672" spans="1:26" ht="12.75">
      <c r="A672" s="4"/>
      <c r="B672" s="4"/>
      <c r="C672" s="15"/>
      <c r="D672" s="4"/>
      <c r="E672" s="4"/>
      <c r="F672" s="4"/>
      <c r="G672" s="4"/>
      <c r="H672" s="4"/>
      <c r="I672" s="4"/>
      <c r="J672" s="4"/>
      <c r="K672" s="4"/>
      <c r="L672" s="4"/>
      <c r="M672" s="4"/>
      <c r="N672" s="4"/>
      <c r="O672" s="4"/>
      <c r="P672" s="4"/>
      <c r="Q672" s="4"/>
      <c r="R672" s="4"/>
      <c r="S672" s="4"/>
      <c r="T672" s="4"/>
      <c r="U672" s="4"/>
      <c r="V672" s="4"/>
      <c r="W672" s="4"/>
      <c r="X672" s="4"/>
      <c r="Y672" s="4"/>
      <c r="Z672" s="4"/>
    </row>
    <row r="673" spans="1:26" ht="12.75">
      <c r="A673" s="4"/>
      <c r="B673" s="4"/>
      <c r="C673" s="15"/>
      <c r="D673" s="4"/>
      <c r="E673" s="4"/>
      <c r="F673" s="4"/>
      <c r="G673" s="4"/>
      <c r="H673" s="4"/>
      <c r="I673" s="4"/>
      <c r="J673" s="4"/>
      <c r="K673" s="4"/>
      <c r="L673" s="4"/>
      <c r="M673" s="4"/>
      <c r="N673" s="4"/>
      <c r="O673" s="4"/>
      <c r="P673" s="4"/>
      <c r="Q673" s="4"/>
      <c r="R673" s="4"/>
      <c r="S673" s="4"/>
      <c r="T673" s="4"/>
      <c r="U673" s="4"/>
      <c r="V673" s="4"/>
      <c r="W673" s="4"/>
      <c r="X673" s="4"/>
      <c r="Y673" s="4"/>
      <c r="Z673" s="4"/>
    </row>
    <row r="674" spans="1:26" ht="12.75">
      <c r="A674" s="4"/>
      <c r="B674" s="4"/>
      <c r="C674" s="15"/>
      <c r="D674" s="4"/>
      <c r="E674" s="4"/>
      <c r="F674" s="4"/>
      <c r="G674" s="4"/>
      <c r="H674" s="4"/>
      <c r="I674" s="4"/>
      <c r="J674" s="4"/>
      <c r="K674" s="4"/>
      <c r="L674" s="4"/>
      <c r="M674" s="4"/>
      <c r="N674" s="4"/>
      <c r="O674" s="4"/>
      <c r="P674" s="4"/>
      <c r="Q674" s="4"/>
      <c r="R674" s="4"/>
      <c r="S674" s="4"/>
      <c r="T674" s="4"/>
      <c r="U674" s="4"/>
      <c r="V674" s="4"/>
      <c r="W674" s="4"/>
      <c r="X674" s="4"/>
      <c r="Y674" s="4"/>
      <c r="Z674" s="4"/>
    </row>
    <row r="675" spans="1:26" ht="12.75">
      <c r="A675" s="4"/>
      <c r="B675" s="4"/>
      <c r="C675" s="15"/>
      <c r="D675" s="4"/>
      <c r="E675" s="4"/>
      <c r="F675" s="4"/>
      <c r="G675" s="4"/>
      <c r="H675" s="4"/>
      <c r="I675" s="4"/>
      <c r="J675" s="4"/>
      <c r="K675" s="4"/>
      <c r="L675" s="4"/>
      <c r="M675" s="4"/>
      <c r="N675" s="4"/>
      <c r="O675" s="4"/>
      <c r="P675" s="4"/>
      <c r="Q675" s="4"/>
      <c r="R675" s="4"/>
      <c r="S675" s="4"/>
      <c r="T675" s="4"/>
      <c r="U675" s="4"/>
      <c r="V675" s="4"/>
      <c r="W675" s="4"/>
      <c r="X675" s="4"/>
      <c r="Y675" s="4"/>
      <c r="Z675" s="4"/>
    </row>
    <row r="676" spans="1:26" ht="12.75">
      <c r="A676" s="4"/>
      <c r="B676" s="4"/>
      <c r="C676" s="15"/>
      <c r="D676" s="4"/>
      <c r="E676" s="4"/>
      <c r="F676" s="4"/>
      <c r="G676" s="4"/>
      <c r="H676" s="4"/>
      <c r="I676" s="4"/>
      <c r="J676" s="4"/>
      <c r="K676" s="4"/>
      <c r="L676" s="4"/>
      <c r="M676" s="4"/>
      <c r="N676" s="4"/>
      <c r="O676" s="4"/>
      <c r="P676" s="4"/>
      <c r="Q676" s="4"/>
      <c r="R676" s="4"/>
      <c r="S676" s="4"/>
      <c r="T676" s="4"/>
      <c r="U676" s="4"/>
      <c r="V676" s="4"/>
      <c r="W676" s="4"/>
      <c r="X676" s="4"/>
      <c r="Y676" s="4"/>
      <c r="Z676" s="4"/>
    </row>
    <row r="677" spans="1:26" ht="12.75">
      <c r="A677" s="4"/>
      <c r="B677" s="4"/>
      <c r="C677" s="15"/>
      <c r="D677" s="4"/>
      <c r="E677" s="4"/>
      <c r="F677" s="4"/>
      <c r="G677" s="4"/>
      <c r="H677" s="4"/>
      <c r="I677" s="4"/>
      <c r="J677" s="4"/>
      <c r="K677" s="4"/>
      <c r="L677" s="4"/>
      <c r="M677" s="4"/>
      <c r="N677" s="4"/>
      <c r="O677" s="4"/>
      <c r="P677" s="4"/>
      <c r="Q677" s="4"/>
      <c r="R677" s="4"/>
      <c r="S677" s="4"/>
      <c r="T677" s="4"/>
      <c r="U677" s="4"/>
      <c r="V677" s="4"/>
      <c r="W677" s="4"/>
      <c r="X677" s="4"/>
      <c r="Y677" s="4"/>
      <c r="Z677" s="4"/>
    </row>
    <row r="678" spans="1:26" ht="12.75">
      <c r="A678" s="4"/>
      <c r="B678" s="4"/>
      <c r="C678" s="15"/>
      <c r="D678" s="4"/>
      <c r="E678" s="4"/>
      <c r="F678" s="4"/>
      <c r="G678" s="4"/>
      <c r="H678" s="4"/>
      <c r="I678" s="4"/>
      <c r="J678" s="4"/>
      <c r="K678" s="4"/>
      <c r="L678" s="4"/>
      <c r="M678" s="4"/>
      <c r="N678" s="4"/>
      <c r="O678" s="4"/>
      <c r="P678" s="4"/>
      <c r="Q678" s="4"/>
      <c r="R678" s="4"/>
      <c r="S678" s="4"/>
      <c r="T678" s="4"/>
      <c r="U678" s="4"/>
      <c r="V678" s="4"/>
      <c r="W678" s="4"/>
      <c r="X678" s="4"/>
      <c r="Y678" s="4"/>
      <c r="Z678" s="4"/>
    </row>
    <row r="679" spans="1:26" ht="12.75">
      <c r="A679" s="4"/>
      <c r="B679" s="4"/>
      <c r="C679" s="15"/>
      <c r="D679" s="4"/>
      <c r="E679" s="4"/>
      <c r="F679" s="4"/>
      <c r="G679" s="4"/>
      <c r="H679" s="4"/>
      <c r="I679" s="4"/>
      <c r="J679" s="4"/>
      <c r="K679" s="4"/>
      <c r="L679" s="4"/>
      <c r="M679" s="4"/>
      <c r="N679" s="4"/>
      <c r="O679" s="4"/>
      <c r="P679" s="4"/>
      <c r="Q679" s="4"/>
      <c r="R679" s="4"/>
      <c r="S679" s="4"/>
      <c r="T679" s="4"/>
      <c r="U679" s="4"/>
      <c r="V679" s="4"/>
      <c r="W679" s="4"/>
      <c r="X679" s="4"/>
      <c r="Y679" s="4"/>
      <c r="Z679" s="4"/>
    </row>
    <row r="680" spans="1:26" ht="12.75">
      <c r="A680" s="4"/>
      <c r="B680" s="4"/>
      <c r="C680" s="15"/>
      <c r="D680" s="4"/>
      <c r="E680" s="4"/>
      <c r="F680" s="4"/>
      <c r="G680" s="4"/>
      <c r="H680" s="4"/>
      <c r="I680" s="4"/>
      <c r="J680" s="4"/>
      <c r="K680" s="4"/>
      <c r="L680" s="4"/>
      <c r="M680" s="4"/>
      <c r="N680" s="4"/>
      <c r="O680" s="4"/>
      <c r="P680" s="4"/>
      <c r="Q680" s="4"/>
      <c r="R680" s="4"/>
      <c r="S680" s="4"/>
      <c r="T680" s="4"/>
      <c r="U680" s="4"/>
      <c r="V680" s="4"/>
      <c r="W680" s="4"/>
      <c r="X680" s="4"/>
      <c r="Y680" s="4"/>
      <c r="Z680" s="4"/>
    </row>
    <row r="681" spans="1:26" ht="12.75">
      <c r="A681" s="4"/>
      <c r="B681" s="4"/>
      <c r="C681" s="15"/>
      <c r="D681" s="4"/>
      <c r="E681" s="4"/>
      <c r="F681" s="4"/>
      <c r="G681" s="4"/>
      <c r="H681" s="4"/>
      <c r="I681" s="4"/>
      <c r="J681" s="4"/>
      <c r="K681" s="4"/>
      <c r="L681" s="4"/>
      <c r="M681" s="4"/>
      <c r="N681" s="4"/>
      <c r="O681" s="4"/>
      <c r="P681" s="4"/>
      <c r="Q681" s="4"/>
      <c r="R681" s="4"/>
      <c r="S681" s="4"/>
      <c r="T681" s="4"/>
      <c r="U681" s="4"/>
      <c r="V681" s="4"/>
      <c r="W681" s="4"/>
      <c r="X681" s="4"/>
      <c r="Y681" s="4"/>
      <c r="Z681" s="4"/>
    </row>
    <row r="682" spans="1:26" ht="12.75">
      <c r="A682" s="4"/>
      <c r="B682" s="4"/>
      <c r="C682" s="15"/>
      <c r="D682" s="4"/>
      <c r="E682" s="4"/>
      <c r="F682" s="4"/>
      <c r="G682" s="4"/>
      <c r="H682" s="4"/>
      <c r="I682" s="4"/>
      <c r="J682" s="4"/>
      <c r="K682" s="4"/>
      <c r="L682" s="4"/>
      <c r="M682" s="4"/>
      <c r="N682" s="4"/>
      <c r="O682" s="4"/>
      <c r="P682" s="4"/>
      <c r="Q682" s="4"/>
      <c r="R682" s="4"/>
      <c r="S682" s="4"/>
      <c r="T682" s="4"/>
      <c r="U682" s="4"/>
      <c r="V682" s="4"/>
      <c r="W682" s="4"/>
      <c r="X682" s="4"/>
      <c r="Y682" s="4"/>
      <c r="Z682" s="4"/>
    </row>
    <row r="683" spans="1:26" ht="12.75">
      <c r="A683" s="4"/>
      <c r="B683" s="4"/>
      <c r="C683" s="15"/>
      <c r="D683" s="4"/>
      <c r="E683" s="4"/>
      <c r="F683" s="4"/>
      <c r="G683" s="4"/>
      <c r="H683" s="4"/>
      <c r="I683" s="4"/>
      <c r="J683" s="4"/>
      <c r="K683" s="4"/>
      <c r="L683" s="4"/>
      <c r="M683" s="4"/>
      <c r="N683" s="4"/>
      <c r="O683" s="4"/>
      <c r="P683" s="4"/>
      <c r="Q683" s="4"/>
      <c r="R683" s="4"/>
      <c r="S683" s="4"/>
      <c r="T683" s="4"/>
      <c r="U683" s="4"/>
      <c r="V683" s="4"/>
      <c r="W683" s="4"/>
      <c r="X683" s="4"/>
      <c r="Y683" s="4"/>
      <c r="Z683" s="4"/>
    </row>
    <row r="684" spans="1:26" ht="12.75">
      <c r="A684" s="4"/>
      <c r="B684" s="4"/>
      <c r="C684" s="15"/>
      <c r="D684" s="4"/>
      <c r="E684" s="4"/>
      <c r="F684" s="4"/>
      <c r="G684" s="4"/>
      <c r="H684" s="4"/>
      <c r="I684" s="4"/>
      <c r="J684" s="4"/>
      <c r="K684" s="4"/>
      <c r="L684" s="4"/>
      <c r="M684" s="4"/>
      <c r="N684" s="4"/>
      <c r="O684" s="4"/>
      <c r="P684" s="4"/>
      <c r="Q684" s="4"/>
      <c r="R684" s="4"/>
      <c r="S684" s="4"/>
      <c r="T684" s="4"/>
      <c r="U684" s="4"/>
      <c r="V684" s="4"/>
      <c r="W684" s="4"/>
      <c r="X684" s="4"/>
      <c r="Y684" s="4"/>
      <c r="Z684" s="4"/>
    </row>
    <row r="685" spans="1:26" ht="12.75">
      <c r="A685" s="4"/>
      <c r="B685" s="4"/>
      <c r="C685" s="15"/>
      <c r="D685" s="4"/>
      <c r="E685" s="4"/>
      <c r="F685" s="4"/>
      <c r="G685" s="4"/>
      <c r="H685" s="4"/>
      <c r="I685" s="4"/>
      <c r="J685" s="4"/>
      <c r="K685" s="4"/>
      <c r="L685" s="4"/>
      <c r="M685" s="4"/>
      <c r="N685" s="4"/>
      <c r="O685" s="4"/>
      <c r="P685" s="4"/>
      <c r="Q685" s="4"/>
      <c r="R685" s="4"/>
      <c r="S685" s="4"/>
      <c r="T685" s="4"/>
      <c r="U685" s="4"/>
      <c r="V685" s="4"/>
      <c r="W685" s="4"/>
      <c r="X685" s="4"/>
      <c r="Y685" s="4"/>
      <c r="Z685" s="4"/>
    </row>
    <row r="686" spans="1:26" ht="12.75">
      <c r="A686" s="4"/>
      <c r="B686" s="4"/>
      <c r="C686" s="15"/>
      <c r="D686" s="4"/>
      <c r="E686" s="4"/>
      <c r="F686" s="4"/>
      <c r="G686" s="4"/>
      <c r="H686" s="4"/>
      <c r="I686" s="4"/>
      <c r="J686" s="4"/>
      <c r="K686" s="4"/>
      <c r="L686" s="4"/>
      <c r="M686" s="4"/>
      <c r="N686" s="4"/>
      <c r="O686" s="4"/>
      <c r="P686" s="4"/>
      <c r="Q686" s="4"/>
      <c r="R686" s="4"/>
      <c r="S686" s="4"/>
      <c r="T686" s="4"/>
      <c r="U686" s="4"/>
      <c r="V686" s="4"/>
      <c r="W686" s="4"/>
      <c r="X686" s="4"/>
      <c r="Y686" s="4"/>
      <c r="Z686" s="4"/>
    </row>
    <row r="687" spans="1:26" ht="12.75">
      <c r="A687" s="4"/>
      <c r="B687" s="4"/>
      <c r="C687" s="15"/>
      <c r="D687" s="4"/>
      <c r="E687" s="4"/>
      <c r="F687" s="4"/>
      <c r="G687" s="4"/>
      <c r="H687" s="4"/>
      <c r="I687" s="4"/>
      <c r="J687" s="4"/>
      <c r="K687" s="4"/>
      <c r="L687" s="4"/>
      <c r="M687" s="4"/>
      <c r="N687" s="4"/>
      <c r="O687" s="4"/>
      <c r="P687" s="4"/>
      <c r="Q687" s="4"/>
      <c r="R687" s="4"/>
      <c r="S687" s="4"/>
      <c r="T687" s="4"/>
      <c r="U687" s="4"/>
      <c r="V687" s="4"/>
      <c r="W687" s="4"/>
      <c r="X687" s="4"/>
      <c r="Y687" s="4"/>
      <c r="Z687" s="4"/>
    </row>
    <row r="688" spans="1:26" ht="12.75">
      <c r="A688" s="4"/>
      <c r="B688" s="4"/>
      <c r="C688" s="15"/>
      <c r="D688" s="4"/>
      <c r="E688" s="4"/>
      <c r="F688" s="4"/>
      <c r="G688" s="4"/>
      <c r="H688" s="4"/>
      <c r="I688" s="4"/>
      <c r="J688" s="4"/>
      <c r="K688" s="4"/>
      <c r="L688" s="4"/>
      <c r="M688" s="4"/>
      <c r="N688" s="4"/>
      <c r="O688" s="4"/>
      <c r="P688" s="4"/>
      <c r="Q688" s="4"/>
      <c r="R688" s="4"/>
      <c r="S688" s="4"/>
      <c r="T688" s="4"/>
      <c r="U688" s="4"/>
      <c r="V688" s="4"/>
      <c r="W688" s="4"/>
      <c r="X688" s="4"/>
      <c r="Y688" s="4"/>
      <c r="Z688" s="4"/>
    </row>
    <row r="689" spans="1:26" ht="12.75">
      <c r="A689" s="4"/>
      <c r="B689" s="4"/>
      <c r="C689" s="15"/>
      <c r="D689" s="4"/>
      <c r="E689" s="4"/>
      <c r="F689" s="4"/>
      <c r="G689" s="4"/>
      <c r="H689" s="4"/>
      <c r="I689" s="4"/>
      <c r="J689" s="4"/>
      <c r="K689" s="4"/>
      <c r="L689" s="4"/>
      <c r="M689" s="4"/>
      <c r="N689" s="4"/>
      <c r="O689" s="4"/>
      <c r="P689" s="4"/>
      <c r="Q689" s="4"/>
      <c r="R689" s="4"/>
      <c r="S689" s="4"/>
      <c r="T689" s="4"/>
      <c r="U689" s="4"/>
      <c r="V689" s="4"/>
      <c r="W689" s="4"/>
      <c r="X689" s="4"/>
      <c r="Y689" s="4"/>
      <c r="Z689" s="4"/>
    </row>
    <row r="690" spans="1:26" ht="12.75">
      <c r="A690" s="4"/>
      <c r="B690" s="4"/>
      <c r="C690" s="15"/>
      <c r="D690" s="4"/>
      <c r="E690" s="4"/>
      <c r="F690" s="4"/>
      <c r="G690" s="4"/>
      <c r="H690" s="4"/>
      <c r="I690" s="4"/>
      <c r="J690" s="4"/>
      <c r="K690" s="4"/>
      <c r="L690" s="4"/>
      <c r="M690" s="4"/>
      <c r="N690" s="4"/>
      <c r="O690" s="4"/>
      <c r="P690" s="4"/>
      <c r="Q690" s="4"/>
      <c r="R690" s="4"/>
      <c r="S690" s="4"/>
      <c r="T690" s="4"/>
      <c r="U690" s="4"/>
      <c r="V690" s="4"/>
      <c r="W690" s="4"/>
      <c r="X690" s="4"/>
      <c r="Y690" s="4"/>
      <c r="Z690" s="4"/>
    </row>
    <row r="691" spans="1:26" ht="12.75">
      <c r="A691" s="4"/>
      <c r="B691" s="4"/>
      <c r="C691" s="15"/>
      <c r="D691" s="4"/>
      <c r="E691" s="4"/>
      <c r="F691" s="4"/>
      <c r="G691" s="4"/>
      <c r="H691" s="4"/>
      <c r="I691" s="4"/>
      <c r="J691" s="4"/>
      <c r="K691" s="4"/>
      <c r="L691" s="4"/>
      <c r="M691" s="4"/>
      <c r="N691" s="4"/>
      <c r="O691" s="4"/>
      <c r="P691" s="4"/>
      <c r="Q691" s="4"/>
      <c r="R691" s="4"/>
      <c r="S691" s="4"/>
      <c r="T691" s="4"/>
      <c r="U691" s="4"/>
      <c r="V691" s="4"/>
      <c r="W691" s="4"/>
      <c r="X691" s="4"/>
      <c r="Y691" s="4"/>
      <c r="Z691" s="4"/>
    </row>
    <row r="692" spans="1:26" ht="12.75">
      <c r="A692" s="4"/>
      <c r="B692" s="4"/>
      <c r="C692" s="15"/>
      <c r="D692" s="4"/>
      <c r="E692" s="4"/>
      <c r="F692" s="4"/>
      <c r="G692" s="4"/>
      <c r="H692" s="4"/>
      <c r="I692" s="4"/>
      <c r="J692" s="4"/>
      <c r="K692" s="4"/>
      <c r="L692" s="4"/>
      <c r="M692" s="4"/>
      <c r="N692" s="4"/>
      <c r="O692" s="4"/>
      <c r="P692" s="4"/>
      <c r="Q692" s="4"/>
      <c r="R692" s="4"/>
      <c r="S692" s="4"/>
      <c r="T692" s="4"/>
      <c r="U692" s="4"/>
      <c r="V692" s="4"/>
      <c r="W692" s="4"/>
      <c r="X692" s="4"/>
      <c r="Y692" s="4"/>
      <c r="Z692" s="4"/>
    </row>
    <row r="693" spans="1:26" ht="12.75">
      <c r="A693" s="4"/>
      <c r="B693" s="4"/>
      <c r="C693" s="15"/>
      <c r="D693" s="4"/>
      <c r="E693" s="4"/>
      <c r="F693" s="4"/>
      <c r="G693" s="4"/>
      <c r="H693" s="4"/>
      <c r="I693" s="4"/>
      <c r="J693" s="4"/>
      <c r="K693" s="4"/>
      <c r="L693" s="4"/>
      <c r="M693" s="4"/>
      <c r="N693" s="4"/>
      <c r="O693" s="4"/>
      <c r="P693" s="4"/>
      <c r="Q693" s="4"/>
      <c r="R693" s="4"/>
      <c r="S693" s="4"/>
      <c r="T693" s="4"/>
      <c r="U693" s="4"/>
      <c r="V693" s="4"/>
      <c r="W693" s="4"/>
      <c r="X693" s="4"/>
      <c r="Y693" s="4"/>
      <c r="Z693" s="4"/>
    </row>
    <row r="694" spans="1:26" ht="12.75">
      <c r="A694" s="4"/>
      <c r="B694" s="4"/>
      <c r="C694" s="15"/>
      <c r="D694" s="4"/>
      <c r="E694" s="4"/>
      <c r="F694" s="4"/>
      <c r="G694" s="4"/>
      <c r="H694" s="4"/>
      <c r="I694" s="4"/>
      <c r="J694" s="4"/>
      <c r="K694" s="4"/>
      <c r="L694" s="4"/>
      <c r="M694" s="4"/>
      <c r="N694" s="4"/>
      <c r="O694" s="4"/>
      <c r="P694" s="4"/>
      <c r="Q694" s="4"/>
      <c r="R694" s="4"/>
      <c r="S694" s="4"/>
      <c r="T694" s="4"/>
      <c r="U694" s="4"/>
      <c r="V694" s="4"/>
      <c r="W694" s="4"/>
      <c r="X694" s="4"/>
      <c r="Y694" s="4"/>
      <c r="Z694" s="4"/>
    </row>
    <row r="695" spans="1:26" ht="12.75">
      <c r="A695" s="4"/>
      <c r="B695" s="4"/>
      <c r="C695" s="15"/>
      <c r="D695" s="4"/>
      <c r="E695" s="4"/>
      <c r="F695" s="4"/>
      <c r="G695" s="4"/>
      <c r="H695" s="4"/>
      <c r="I695" s="4"/>
      <c r="J695" s="4"/>
      <c r="K695" s="4"/>
      <c r="L695" s="4"/>
      <c r="M695" s="4"/>
      <c r="N695" s="4"/>
      <c r="O695" s="4"/>
      <c r="P695" s="4"/>
      <c r="Q695" s="4"/>
      <c r="R695" s="4"/>
      <c r="S695" s="4"/>
      <c r="T695" s="4"/>
      <c r="U695" s="4"/>
      <c r="V695" s="4"/>
      <c r="W695" s="4"/>
      <c r="X695" s="4"/>
      <c r="Y695" s="4"/>
      <c r="Z695" s="4"/>
    </row>
    <row r="696" spans="1:26" ht="12.75">
      <c r="A696" s="4"/>
      <c r="B696" s="4"/>
      <c r="C696" s="15"/>
      <c r="D696" s="4"/>
      <c r="E696" s="4"/>
      <c r="F696" s="4"/>
      <c r="G696" s="4"/>
      <c r="H696" s="4"/>
      <c r="I696" s="4"/>
      <c r="J696" s="4"/>
      <c r="K696" s="4"/>
      <c r="L696" s="4"/>
      <c r="M696" s="4"/>
      <c r="N696" s="4"/>
      <c r="O696" s="4"/>
      <c r="P696" s="4"/>
      <c r="Q696" s="4"/>
      <c r="R696" s="4"/>
      <c r="S696" s="4"/>
      <c r="T696" s="4"/>
      <c r="U696" s="4"/>
      <c r="V696" s="4"/>
      <c r="W696" s="4"/>
      <c r="X696" s="4"/>
      <c r="Y696" s="4"/>
      <c r="Z696" s="4"/>
    </row>
    <row r="697" spans="1:26" ht="12.75">
      <c r="A697" s="4"/>
      <c r="B697" s="4"/>
      <c r="C697" s="15"/>
      <c r="D697" s="4"/>
      <c r="E697" s="4"/>
      <c r="F697" s="4"/>
      <c r="G697" s="4"/>
      <c r="H697" s="4"/>
      <c r="I697" s="4"/>
      <c r="J697" s="4"/>
      <c r="K697" s="4"/>
      <c r="L697" s="4"/>
      <c r="M697" s="4"/>
      <c r="N697" s="4"/>
      <c r="O697" s="4"/>
      <c r="P697" s="4"/>
      <c r="Q697" s="4"/>
      <c r="R697" s="4"/>
      <c r="S697" s="4"/>
      <c r="T697" s="4"/>
      <c r="U697" s="4"/>
      <c r="V697" s="4"/>
      <c r="W697" s="4"/>
      <c r="X697" s="4"/>
      <c r="Y697" s="4"/>
      <c r="Z697" s="4"/>
    </row>
    <row r="698" spans="1:26" ht="12.75">
      <c r="A698" s="4"/>
      <c r="B698" s="4"/>
      <c r="C698" s="15"/>
      <c r="D698" s="4"/>
      <c r="E698" s="4"/>
      <c r="F698" s="4"/>
      <c r="G698" s="4"/>
      <c r="H698" s="4"/>
      <c r="I698" s="4"/>
      <c r="J698" s="4"/>
      <c r="K698" s="4"/>
      <c r="L698" s="4"/>
      <c r="M698" s="4"/>
      <c r="N698" s="4"/>
      <c r="O698" s="4"/>
      <c r="P698" s="4"/>
      <c r="Q698" s="4"/>
      <c r="R698" s="4"/>
      <c r="S698" s="4"/>
      <c r="T698" s="4"/>
      <c r="U698" s="4"/>
      <c r="V698" s="4"/>
      <c r="W698" s="4"/>
      <c r="X698" s="4"/>
      <c r="Y698" s="4"/>
      <c r="Z698" s="4"/>
    </row>
    <row r="699" spans="1:26" ht="12.75">
      <c r="A699" s="4"/>
      <c r="B699" s="4"/>
      <c r="C699" s="15"/>
      <c r="D699" s="4"/>
      <c r="E699" s="4"/>
      <c r="F699" s="4"/>
      <c r="G699" s="4"/>
      <c r="H699" s="4"/>
      <c r="I699" s="4"/>
      <c r="J699" s="4"/>
      <c r="K699" s="4"/>
      <c r="L699" s="4"/>
      <c r="M699" s="4"/>
      <c r="N699" s="4"/>
      <c r="O699" s="4"/>
      <c r="P699" s="4"/>
      <c r="Q699" s="4"/>
      <c r="R699" s="4"/>
      <c r="S699" s="4"/>
      <c r="T699" s="4"/>
      <c r="U699" s="4"/>
      <c r="V699" s="4"/>
      <c r="W699" s="4"/>
      <c r="X699" s="4"/>
      <c r="Y699" s="4"/>
      <c r="Z699" s="4"/>
    </row>
    <row r="700" spans="1:26" ht="12.75">
      <c r="A700" s="4"/>
      <c r="B700" s="4"/>
      <c r="C700" s="15"/>
      <c r="D700" s="4"/>
      <c r="E700" s="4"/>
      <c r="F700" s="4"/>
      <c r="G700" s="4"/>
      <c r="H700" s="4"/>
      <c r="I700" s="4"/>
      <c r="J700" s="4"/>
      <c r="K700" s="4"/>
      <c r="L700" s="4"/>
      <c r="M700" s="4"/>
      <c r="N700" s="4"/>
      <c r="O700" s="4"/>
      <c r="P700" s="4"/>
      <c r="Q700" s="4"/>
      <c r="R700" s="4"/>
      <c r="S700" s="4"/>
      <c r="T700" s="4"/>
      <c r="U700" s="4"/>
      <c r="V700" s="4"/>
      <c r="W700" s="4"/>
      <c r="X700" s="4"/>
      <c r="Y700" s="4"/>
      <c r="Z700" s="4"/>
    </row>
    <row r="701" spans="1:26" ht="12.75">
      <c r="A701" s="4"/>
      <c r="B701" s="4"/>
      <c r="C701" s="15"/>
      <c r="D701" s="4"/>
      <c r="E701" s="4"/>
      <c r="F701" s="4"/>
      <c r="G701" s="4"/>
      <c r="H701" s="4"/>
      <c r="I701" s="4"/>
      <c r="J701" s="4"/>
      <c r="K701" s="4"/>
      <c r="L701" s="4"/>
      <c r="M701" s="4"/>
      <c r="N701" s="4"/>
      <c r="O701" s="4"/>
      <c r="P701" s="4"/>
      <c r="Q701" s="4"/>
      <c r="R701" s="4"/>
      <c r="S701" s="4"/>
      <c r="T701" s="4"/>
      <c r="U701" s="4"/>
      <c r="V701" s="4"/>
      <c r="W701" s="4"/>
      <c r="X701" s="4"/>
      <c r="Y701" s="4"/>
      <c r="Z701" s="4"/>
    </row>
    <row r="702" spans="1:26" ht="12.75">
      <c r="A702" s="4"/>
      <c r="B702" s="4"/>
      <c r="C702" s="15"/>
      <c r="D702" s="4"/>
      <c r="E702" s="4"/>
      <c r="F702" s="4"/>
      <c r="G702" s="4"/>
      <c r="H702" s="4"/>
      <c r="I702" s="4"/>
      <c r="J702" s="4"/>
      <c r="K702" s="4"/>
      <c r="L702" s="4"/>
      <c r="M702" s="4"/>
      <c r="N702" s="4"/>
      <c r="O702" s="4"/>
      <c r="P702" s="4"/>
      <c r="Q702" s="4"/>
      <c r="R702" s="4"/>
      <c r="S702" s="4"/>
      <c r="T702" s="4"/>
      <c r="U702" s="4"/>
      <c r="V702" s="4"/>
      <c r="W702" s="4"/>
      <c r="X702" s="4"/>
      <c r="Y702" s="4"/>
      <c r="Z702" s="4"/>
    </row>
    <row r="703" spans="1:26" ht="12.75">
      <c r="A703" s="4"/>
      <c r="B703" s="4"/>
      <c r="C703" s="15"/>
      <c r="D703" s="4"/>
      <c r="E703" s="4"/>
      <c r="F703" s="4"/>
      <c r="G703" s="4"/>
      <c r="H703" s="4"/>
      <c r="I703" s="4"/>
      <c r="J703" s="4"/>
      <c r="K703" s="4"/>
      <c r="L703" s="4"/>
      <c r="M703" s="4"/>
      <c r="N703" s="4"/>
      <c r="O703" s="4"/>
      <c r="P703" s="4"/>
      <c r="Q703" s="4"/>
      <c r="R703" s="4"/>
      <c r="S703" s="4"/>
      <c r="T703" s="4"/>
      <c r="U703" s="4"/>
      <c r="V703" s="4"/>
      <c r="W703" s="4"/>
      <c r="X703" s="4"/>
      <c r="Y703" s="4"/>
      <c r="Z703" s="4"/>
    </row>
    <row r="704" spans="1:26" ht="12.75">
      <c r="A704" s="4"/>
      <c r="B704" s="4"/>
      <c r="C704" s="15"/>
      <c r="D704" s="4"/>
      <c r="E704" s="4"/>
      <c r="F704" s="4"/>
      <c r="G704" s="4"/>
      <c r="H704" s="4"/>
      <c r="I704" s="4"/>
      <c r="J704" s="4"/>
      <c r="K704" s="4"/>
      <c r="L704" s="4"/>
      <c r="M704" s="4"/>
      <c r="N704" s="4"/>
      <c r="O704" s="4"/>
      <c r="P704" s="4"/>
      <c r="Q704" s="4"/>
      <c r="R704" s="4"/>
      <c r="S704" s="4"/>
      <c r="T704" s="4"/>
      <c r="U704" s="4"/>
      <c r="V704" s="4"/>
      <c r="W704" s="4"/>
      <c r="X704" s="4"/>
      <c r="Y704" s="4"/>
      <c r="Z704" s="4"/>
    </row>
    <row r="705" spans="1:26" ht="12.75">
      <c r="A705" s="4"/>
      <c r="B705" s="4"/>
      <c r="C705" s="15"/>
      <c r="D705" s="4"/>
      <c r="E705" s="4"/>
      <c r="F705" s="4"/>
      <c r="G705" s="4"/>
      <c r="H705" s="4"/>
      <c r="I705" s="4"/>
      <c r="J705" s="4"/>
      <c r="K705" s="4"/>
      <c r="L705" s="4"/>
      <c r="M705" s="4"/>
      <c r="N705" s="4"/>
      <c r="O705" s="4"/>
      <c r="P705" s="4"/>
      <c r="Q705" s="4"/>
      <c r="R705" s="4"/>
      <c r="S705" s="4"/>
      <c r="T705" s="4"/>
      <c r="U705" s="4"/>
      <c r="V705" s="4"/>
      <c r="W705" s="4"/>
      <c r="X705" s="4"/>
      <c r="Y705" s="4"/>
      <c r="Z705" s="4"/>
    </row>
    <row r="706" spans="1:26" ht="12.75">
      <c r="A706" s="4"/>
      <c r="B706" s="4"/>
      <c r="C706" s="15"/>
      <c r="D706" s="4"/>
      <c r="E706" s="4"/>
      <c r="F706" s="4"/>
      <c r="G706" s="4"/>
      <c r="H706" s="4"/>
      <c r="I706" s="4"/>
      <c r="J706" s="4"/>
      <c r="K706" s="4"/>
      <c r="L706" s="4"/>
      <c r="M706" s="4"/>
      <c r="N706" s="4"/>
      <c r="O706" s="4"/>
      <c r="P706" s="4"/>
      <c r="Q706" s="4"/>
      <c r="R706" s="4"/>
      <c r="S706" s="4"/>
      <c r="T706" s="4"/>
      <c r="U706" s="4"/>
      <c r="V706" s="4"/>
      <c r="W706" s="4"/>
      <c r="X706" s="4"/>
      <c r="Y706" s="4"/>
      <c r="Z706" s="4"/>
    </row>
    <row r="707" spans="1:26" ht="12.75">
      <c r="A707" s="4"/>
      <c r="B707" s="4"/>
      <c r="C707" s="15"/>
      <c r="D707" s="4"/>
      <c r="E707" s="4"/>
      <c r="F707" s="4"/>
      <c r="G707" s="4"/>
      <c r="H707" s="4"/>
      <c r="I707" s="4"/>
      <c r="J707" s="4"/>
      <c r="K707" s="4"/>
      <c r="L707" s="4"/>
      <c r="M707" s="4"/>
      <c r="N707" s="4"/>
      <c r="O707" s="4"/>
      <c r="P707" s="4"/>
      <c r="Q707" s="4"/>
      <c r="R707" s="4"/>
      <c r="S707" s="4"/>
      <c r="T707" s="4"/>
      <c r="U707" s="4"/>
      <c r="V707" s="4"/>
      <c r="W707" s="4"/>
      <c r="X707" s="4"/>
      <c r="Y707" s="4"/>
      <c r="Z707" s="4"/>
    </row>
    <row r="708" spans="1:26" ht="12.75">
      <c r="A708" s="4"/>
      <c r="B708" s="4"/>
      <c r="C708" s="15"/>
      <c r="D708" s="4"/>
      <c r="E708" s="4"/>
      <c r="F708" s="4"/>
      <c r="G708" s="4"/>
      <c r="H708" s="4"/>
      <c r="I708" s="4"/>
      <c r="J708" s="4"/>
      <c r="K708" s="4"/>
      <c r="L708" s="4"/>
      <c r="M708" s="4"/>
      <c r="N708" s="4"/>
      <c r="O708" s="4"/>
      <c r="P708" s="4"/>
      <c r="Q708" s="4"/>
      <c r="R708" s="4"/>
      <c r="S708" s="4"/>
      <c r="T708" s="4"/>
      <c r="U708" s="4"/>
      <c r="V708" s="4"/>
      <c r="W708" s="4"/>
      <c r="X708" s="4"/>
      <c r="Y708" s="4"/>
      <c r="Z708" s="4"/>
    </row>
    <row r="709" spans="1:26" ht="12.75">
      <c r="A709" s="4"/>
      <c r="B709" s="4"/>
      <c r="C709" s="15"/>
      <c r="D709" s="4"/>
      <c r="E709" s="4"/>
      <c r="F709" s="4"/>
      <c r="G709" s="4"/>
      <c r="H709" s="4"/>
      <c r="I709" s="4"/>
      <c r="J709" s="4"/>
      <c r="K709" s="4"/>
      <c r="L709" s="4"/>
      <c r="M709" s="4"/>
      <c r="N709" s="4"/>
      <c r="O709" s="4"/>
      <c r="P709" s="4"/>
      <c r="Q709" s="4"/>
      <c r="R709" s="4"/>
      <c r="S709" s="4"/>
      <c r="T709" s="4"/>
      <c r="U709" s="4"/>
      <c r="V709" s="4"/>
      <c r="W709" s="4"/>
      <c r="X709" s="4"/>
      <c r="Y709" s="4"/>
      <c r="Z709" s="4"/>
    </row>
    <row r="710" spans="1:26" ht="12.75">
      <c r="A710" s="4"/>
      <c r="B710" s="4"/>
      <c r="C710" s="15"/>
      <c r="D710" s="4"/>
      <c r="E710" s="4"/>
      <c r="F710" s="4"/>
      <c r="G710" s="4"/>
      <c r="H710" s="4"/>
      <c r="I710" s="4"/>
      <c r="J710" s="4"/>
      <c r="K710" s="4"/>
      <c r="L710" s="4"/>
      <c r="M710" s="4"/>
      <c r="N710" s="4"/>
      <c r="O710" s="4"/>
      <c r="P710" s="4"/>
      <c r="Q710" s="4"/>
      <c r="R710" s="4"/>
      <c r="S710" s="4"/>
      <c r="T710" s="4"/>
      <c r="U710" s="4"/>
      <c r="V710" s="4"/>
      <c r="W710" s="4"/>
      <c r="X710" s="4"/>
      <c r="Y710" s="4"/>
      <c r="Z710" s="4"/>
    </row>
    <row r="711" spans="1:26" ht="12.75">
      <c r="A711" s="4"/>
      <c r="B711" s="4"/>
      <c r="C711" s="15"/>
      <c r="D711" s="4"/>
      <c r="E711" s="4"/>
      <c r="F711" s="4"/>
      <c r="G711" s="4"/>
      <c r="H711" s="4"/>
      <c r="I711" s="4"/>
      <c r="J711" s="4"/>
      <c r="K711" s="4"/>
      <c r="L711" s="4"/>
      <c r="M711" s="4"/>
      <c r="N711" s="4"/>
      <c r="O711" s="4"/>
      <c r="P711" s="4"/>
      <c r="Q711" s="4"/>
      <c r="R711" s="4"/>
      <c r="S711" s="4"/>
      <c r="T711" s="4"/>
      <c r="U711" s="4"/>
      <c r="V711" s="4"/>
      <c r="W711" s="4"/>
      <c r="X711" s="4"/>
      <c r="Y711" s="4"/>
      <c r="Z711" s="4"/>
    </row>
    <row r="712" spans="1:26" ht="12.75">
      <c r="A712" s="4"/>
      <c r="B712" s="4"/>
      <c r="C712" s="15"/>
      <c r="D712" s="4"/>
      <c r="E712" s="4"/>
      <c r="F712" s="4"/>
      <c r="G712" s="4"/>
      <c r="H712" s="4"/>
      <c r="I712" s="4"/>
      <c r="J712" s="4"/>
      <c r="K712" s="4"/>
      <c r="L712" s="4"/>
      <c r="M712" s="4"/>
      <c r="N712" s="4"/>
      <c r="O712" s="4"/>
      <c r="P712" s="4"/>
      <c r="Q712" s="4"/>
      <c r="R712" s="4"/>
      <c r="S712" s="4"/>
      <c r="T712" s="4"/>
      <c r="U712" s="4"/>
      <c r="V712" s="4"/>
      <c r="W712" s="4"/>
      <c r="X712" s="4"/>
      <c r="Y712" s="4"/>
      <c r="Z712" s="4"/>
    </row>
    <row r="713" spans="1:26" ht="12.75">
      <c r="A713" s="4"/>
      <c r="B713" s="4"/>
      <c r="C713" s="15"/>
      <c r="D713" s="4"/>
      <c r="E713" s="4"/>
      <c r="F713" s="4"/>
      <c r="G713" s="4"/>
      <c r="H713" s="4"/>
      <c r="I713" s="4"/>
      <c r="J713" s="4"/>
      <c r="K713" s="4"/>
      <c r="L713" s="4"/>
      <c r="M713" s="4"/>
      <c r="N713" s="4"/>
      <c r="O713" s="4"/>
      <c r="P713" s="4"/>
      <c r="Q713" s="4"/>
      <c r="R713" s="4"/>
      <c r="S713" s="4"/>
      <c r="T713" s="4"/>
      <c r="U713" s="4"/>
      <c r="V713" s="4"/>
      <c r="W713" s="4"/>
      <c r="X713" s="4"/>
      <c r="Y713" s="4"/>
      <c r="Z713" s="4"/>
    </row>
    <row r="714" spans="1:26" ht="12.75">
      <c r="A714" s="4"/>
      <c r="B714" s="4"/>
      <c r="C714" s="15"/>
      <c r="D714" s="4"/>
      <c r="E714" s="4"/>
      <c r="F714" s="4"/>
      <c r="G714" s="4"/>
      <c r="H714" s="4"/>
      <c r="I714" s="4"/>
      <c r="J714" s="4"/>
      <c r="K714" s="4"/>
      <c r="L714" s="4"/>
      <c r="M714" s="4"/>
      <c r="N714" s="4"/>
      <c r="O714" s="4"/>
      <c r="P714" s="4"/>
      <c r="Q714" s="4"/>
      <c r="R714" s="4"/>
      <c r="S714" s="4"/>
      <c r="T714" s="4"/>
      <c r="U714" s="4"/>
      <c r="V714" s="4"/>
      <c r="W714" s="4"/>
      <c r="X714" s="4"/>
      <c r="Y714" s="4"/>
      <c r="Z714" s="4"/>
    </row>
    <row r="715" spans="1:26" ht="12.75">
      <c r="A715" s="4"/>
      <c r="B715" s="4"/>
      <c r="C715" s="15"/>
      <c r="D715" s="4"/>
      <c r="E715" s="4"/>
      <c r="F715" s="4"/>
      <c r="G715" s="4"/>
      <c r="H715" s="4"/>
      <c r="I715" s="4"/>
      <c r="J715" s="4"/>
      <c r="K715" s="4"/>
      <c r="L715" s="4"/>
      <c r="M715" s="4"/>
      <c r="N715" s="4"/>
      <c r="O715" s="4"/>
      <c r="P715" s="4"/>
      <c r="Q715" s="4"/>
      <c r="R715" s="4"/>
      <c r="S715" s="4"/>
      <c r="T715" s="4"/>
      <c r="U715" s="4"/>
      <c r="V715" s="4"/>
      <c r="W715" s="4"/>
      <c r="X715" s="4"/>
      <c r="Y715" s="4"/>
      <c r="Z715" s="4"/>
    </row>
    <row r="716" spans="1:26" ht="12.75">
      <c r="A716" s="4"/>
      <c r="B716" s="4"/>
      <c r="C716" s="15"/>
      <c r="D716" s="4"/>
      <c r="E716" s="4"/>
      <c r="F716" s="4"/>
      <c r="G716" s="4"/>
      <c r="H716" s="4"/>
      <c r="I716" s="4"/>
      <c r="J716" s="4"/>
      <c r="K716" s="4"/>
      <c r="L716" s="4"/>
      <c r="M716" s="4"/>
      <c r="N716" s="4"/>
      <c r="O716" s="4"/>
      <c r="P716" s="4"/>
      <c r="Q716" s="4"/>
      <c r="R716" s="4"/>
      <c r="S716" s="4"/>
      <c r="T716" s="4"/>
      <c r="U716" s="4"/>
      <c r="V716" s="4"/>
      <c r="W716" s="4"/>
      <c r="X716" s="4"/>
      <c r="Y716" s="4"/>
      <c r="Z716" s="4"/>
    </row>
    <row r="717" spans="1:26" ht="12.75">
      <c r="A717" s="4"/>
      <c r="B717" s="4"/>
      <c r="C717" s="15"/>
      <c r="D717" s="4"/>
      <c r="E717" s="4"/>
      <c r="F717" s="4"/>
      <c r="G717" s="4"/>
      <c r="H717" s="4"/>
      <c r="I717" s="4"/>
      <c r="J717" s="4"/>
      <c r="K717" s="4"/>
      <c r="L717" s="4"/>
      <c r="M717" s="4"/>
      <c r="N717" s="4"/>
      <c r="O717" s="4"/>
      <c r="P717" s="4"/>
      <c r="Q717" s="4"/>
      <c r="R717" s="4"/>
      <c r="S717" s="4"/>
      <c r="T717" s="4"/>
      <c r="U717" s="4"/>
      <c r="V717" s="4"/>
      <c r="W717" s="4"/>
      <c r="X717" s="4"/>
      <c r="Y717" s="4"/>
      <c r="Z717" s="4"/>
    </row>
    <row r="718" spans="1:26" ht="12.75">
      <c r="A718" s="4"/>
      <c r="B718" s="4"/>
      <c r="C718" s="15"/>
      <c r="D718" s="4"/>
      <c r="E718" s="4"/>
      <c r="F718" s="4"/>
      <c r="G718" s="4"/>
      <c r="H718" s="4"/>
      <c r="I718" s="4"/>
      <c r="J718" s="4"/>
      <c r="K718" s="4"/>
      <c r="L718" s="4"/>
      <c r="M718" s="4"/>
      <c r="N718" s="4"/>
      <c r="O718" s="4"/>
      <c r="P718" s="4"/>
      <c r="Q718" s="4"/>
      <c r="R718" s="4"/>
      <c r="S718" s="4"/>
      <c r="T718" s="4"/>
      <c r="U718" s="4"/>
      <c r="V718" s="4"/>
      <c r="W718" s="4"/>
      <c r="X718" s="4"/>
      <c r="Y718" s="4"/>
      <c r="Z718" s="4"/>
    </row>
    <row r="719" spans="1:26" ht="12.75">
      <c r="A719" s="4"/>
      <c r="B719" s="4"/>
      <c r="C719" s="15"/>
      <c r="D719" s="4"/>
      <c r="E719" s="4"/>
      <c r="F719" s="4"/>
      <c r="G719" s="4"/>
      <c r="H719" s="4"/>
      <c r="I719" s="4"/>
      <c r="J719" s="4"/>
      <c r="K719" s="4"/>
      <c r="L719" s="4"/>
      <c r="M719" s="4"/>
      <c r="N719" s="4"/>
      <c r="O719" s="4"/>
      <c r="P719" s="4"/>
      <c r="Q719" s="4"/>
      <c r="R719" s="4"/>
      <c r="S719" s="4"/>
      <c r="T719" s="4"/>
      <c r="U719" s="4"/>
      <c r="V719" s="4"/>
      <c r="W719" s="4"/>
      <c r="X719" s="4"/>
      <c r="Y719" s="4"/>
      <c r="Z719" s="4"/>
    </row>
    <row r="720" spans="1:26" ht="12.75">
      <c r="A720" s="4"/>
      <c r="B720" s="4"/>
      <c r="C720" s="15"/>
      <c r="D720" s="4"/>
      <c r="E720" s="4"/>
      <c r="F720" s="4"/>
      <c r="G720" s="4"/>
      <c r="H720" s="4"/>
      <c r="I720" s="4"/>
      <c r="J720" s="4"/>
      <c r="K720" s="4"/>
      <c r="L720" s="4"/>
      <c r="M720" s="4"/>
      <c r="N720" s="4"/>
      <c r="O720" s="4"/>
      <c r="P720" s="4"/>
      <c r="Q720" s="4"/>
      <c r="R720" s="4"/>
      <c r="S720" s="4"/>
      <c r="T720" s="4"/>
      <c r="U720" s="4"/>
      <c r="V720" s="4"/>
      <c r="W720" s="4"/>
      <c r="X720" s="4"/>
      <c r="Y720" s="4"/>
      <c r="Z720" s="4"/>
    </row>
    <row r="721" spans="1:26" ht="12.75">
      <c r="A721" s="4"/>
      <c r="B721" s="4"/>
      <c r="C721" s="15"/>
      <c r="D721" s="4"/>
      <c r="E721" s="4"/>
      <c r="F721" s="4"/>
      <c r="G721" s="4"/>
      <c r="H721" s="4"/>
      <c r="I721" s="4"/>
      <c r="J721" s="4"/>
      <c r="K721" s="4"/>
      <c r="L721" s="4"/>
      <c r="M721" s="4"/>
      <c r="N721" s="4"/>
      <c r="O721" s="4"/>
      <c r="P721" s="4"/>
      <c r="Q721" s="4"/>
      <c r="R721" s="4"/>
      <c r="S721" s="4"/>
      <c r="T721" s="4"/>
      <c r="U721" s="4"/>
      <c r="V721" s="4"/>
      <c r="W721" s="4"/>
      <c r="X721" s="4"/>
      <c r="Y721" s="4"/>
      <c r="Z721" s="4"/>
    </row>
    <row r="722" spans="1:26" ht="12.75">
      <c r="A722" s="4"/>
      <c r="B722" s="4"/>
      <c r="C722" s="15"/>
      <c r="D722" s="4"/>
      <c r="E722" s="4"/>
      <c r="F722" s="4"/>
      <c r="G722" s="4"/>
      <c r="H722" s="4"/>
      <c r="I722" s="4"/>
      <c r="J722" s="4"/>
      <c r="K722" s="4"/>
      <c r="L722" s="4"/>
      <c r="M722" s="4"/>
      <c r="N722" s="4"/>
      <c r="O722" s="4"/>
      <c r="P722" s="4"/>
      <c r="Q722" s="4"/>
      <c r="R722" s="4"/>
      <c r="S722" s="4"/>
      <c r="T722" s="4"/>
      <c r="U722" s="4"/>
      <c r="V722" s="4"/>
      <c r="W722" s="4"/>
      <c r="X722" s="4"/>
      <c r="Y722" s="4"/>
      <c r="Z722" s="4"/>
    </row>
    <row r="723" spans="1:26" ht="12.75">
      <c r="A723" s="4"/>
      <c r="B723" s="4"/>
      <c r="C723" s="15"/>
      <c r="D723" s="4"/>
      <c r="E723" s="4"/>
      <c r="F723" s="4"/>
      <c r="G723" s="4"/>
      <c r="H723" s="4"/>
      <c r="I723" s="4"/>
      <c r="J723" s="4"/>
      <c r="K723" s="4"/>
      <c r="L723" s="4"/>
      <c r="M723" s="4"/>
      <c r="N723" s="4"/>
      <c r="O723" s="4"/>
      <c r="P723" s="4"/>
      <c r="Q723" s="4"/>
      <c r="R723" s="4"/>
      <c r="S723" s="4"/>
      <c r="T723" s="4"/>
      <c r="U723" s="4"/>
      <c r="V723" s="4"/>
      <c r="W723" s="4"/>
      <c r="X723" s="4"/>
      <c r="Y723" s="4"/>
      <c r="Z723" s="4"/>
    </row>
    <row r="724" spans="1:26" ht="12.75">
      <c r="A724" s="4"/>
      <c r="B724" s="4"/>
      <c r="C724" s="15"/>
      <c r="D724" s="4"/>
      <c r="E724" s="4"/>
      <c r="F724" s="4"/>
      <c r="G724" s="4"/>
      <c r="H724" s="4"/>
      <c r="I724" s="4"/>
      <c r="J724" s="4"/>
      <c r="K724" s="4"/>
      <c r="L724" s="4"/>
      <c r="M724" s="4"/>
      <c r="N724" s="4"/>
      <c r="O724" s="4"/>
      <c r="P724" s="4"/>
      <c r="Q724" s="4"/>
      <c r="R724" s="4"/>
      <c r="S724" s="4"/>
      <c r="T724" s="4"/>
      <c r="U724" s="4"/>
      <c r="V724" s="4"/>
      <c r="W724" s="4"/>
      <c r="X724" s="4"/>
      <c r="Y724" s="4"/>
      <c r="Z724" s="4"/>
    </row>
    <row r="725" spans="1:26" ht="12.75">
      <c r="A725" s="4"/>
      <c r="B725" s="4"/>
      <c r="C725" s="15"/>
      <c r="D725" s="4"/>
      <c r="E725" s="4"/>
      <c r="F725" s="4"/>
      <c r="G725" s="4"/>
      <c r="H725" s="4"/>
      <c r="I725" s="4"/>
      <c r="J725" s="4"/>
      <c r="K725" s="4"/>
      <c r="L725" s="4"/>
      <c r="M725" s="4"/>
      <c r="N725" s="4"/>
      <c r="O725" s="4"/>
      <c r="P725" s="4"/>
      <c r="Q725" s="4"/>
      <c r="R725" s="4"/>
      <c r="S725" s="4"/>
      <c r="T725" s="4"/>
      <c r="U725" s="4"/>
      <c r="V725" s="4"/>
      <c r="W725" s="4"/>
      <c r="X725" s="4"/>
      <c r="Y725" s="4"/>
      <c r="Z725" s="4"/>
    </row>
    <row r="726" spans="1:26" ht="12.75">
      <c r="A726" s="4"/>
      <c r="B726" s="4"/>
      <c r="C726" s="15"/>
      <c r="D726" s="4"/>
      <c r="E726" s="4"/>
      <c r="F726" s="4"/>
      <c r="G726" s="4"/>
      <c r="H726" s="4"/>
      <c r="I726" s="4"/>
      <c r="J726" s="4"/>
      <c r="K726" s="4"/>
      <c r="L726" s="4"/>
      <c r="M726" s="4"/>
      <c r="N726" s="4"/>
      <c r="O726" s="4"/>
      <c r="P726" s="4"/>
      <c r="Q726" s="4"/>
      <c r="R726" s="4"/>
      <c r="S726" s="4"/>
      <c r="T726" s="4"/>
      <c r="U726" s="4"/>
      <c r="V726" s="4"/>
      <c r="W726" s="4"/>
      <c r="X726" s="4"/>
      <c r="Y726" s="4"/>
      <c r="Z726" s="4"/>
    </row>
    <row r="727" spans="1:26" ht="12.75">
      <c r="A727" s="4"/>
      <c r="B727" s="4"/>
      <c r="C727" s="15"/>
      <c r="D727" s="4"/>
      <c r="E727" s="4"/>
      <c r="F727" s="4"/>
      <c r="G727" s="4"/>
      <c r="H727" s="4"/>
      <c r="I727" s="4"/>
      <c r="J727" s="4"/>
      <c r="K727" s="4"/>
      <c r="L727" s="4"/>
      <c r="M727" s="4"/>
      <c r="N727" s="4"/>
      <c r="O727" s="4"/>
      <c r="P727" s="4"/>
      <c r="Q727" s="4"/>
      <c r="R727" s="4"/>
      <c r="S727" s="4"/>
      <c r="T727" s="4"/>
      <c r="U727" s="4"/>
      <c r="V727" s="4"/>
      <c r="W727" s="4"/>
      <c r="X727" s="4"/>
      <c r="Y727" s="4"/>
      <c r="Z727" s="4"/>
    </row>
    <row r="728" spans="1:26" ht="12.75">
      <c r="A728" s="4"/>
      <c r="B728" s="4"/>
      <c r="C728" s="15"/>
      <c r="D728" s="4"/>
      <c r="E728" s="4"/>
      <c r="F728" s="4"/>
      <c r="G728" s="4"/>
      <c r="H728" s="4"/>
      <c r="I728" s="4"/>
      <c r="J728" s="4"/>
      <c r="K728" s="4"/>
      <c r="L728" s="4"/>
      <c r="M728" s="4"/>
      <c r="N728" s="4"/>
      <c r="O728" s="4"/>
      <c r="P728" s="4"/>
      <c r="Q728" s="4"/>
      <c r="R728" s="4"/>
      <c r="S728" s="4"/>
      <c r="T728" s="4"/>
      <c r="U728" s="4"/>
      <c r="V728" s="4"/>
      <c r="W728" s="4"/>
      <c r="X728" s="4"/>
      <c r="Y728" s="4"/>
      <c r="Z728" s="4"/>
    </row>
    <row r="729" spans="1:26" ht="12.75">
      <c r="A729" s="4"/>
      <c r="B729" s="4"/>
      <c r="C729" s="15"/>
      <c r="D729" s="4"/>
      <c r="E729" s="4"/>
      <c r="F729" s="4"/>
      <c r="G729" s="4"/>
      <c r="H729" s="4"/>
      <c r="I729" s="4"/>
      <c r="J729" s="4"/>
      <c r="K729" s="4"/>
      <c r="L729" s="4"/>
      <c r="M729" s="4"/>
      <c r="N729" s="4"/>
      <c r="O729" s="4"/>
      <c r="P729" s="4"/>
      <c r="Q729" s="4"/>
      <c r="R729" s="4"/>
      <c r="S729" s="4"/>
      <c r="T729" s="4"/>
      <c r="U729" s="4"/>
      <c r="V729" s="4"/>
      <c r="W729" s="4"/>
      <c r="X729" s="4"/>
      <c r="Y729" s="4"/>
      <c r="Z729" s="4"/>
    </row>
    <row r="730" spans="1:26" ht="12.75">
      <c r="A730" s="4"/>
      <c r="B730" s="4"/>
      <c r="C730" s="15"/>
      <c r="D730" s="4"/>
      <c r="E730" s="4"/>
      <c r="F730" s="4"/>
      <c r="G730" s="4"/>
      <c r="H730" s="4"/>
      <c r="I730" s="4"/>
      <c r="J730" s="4"/>
      <c r="K730" s="4"/>
      <c r="L730" s="4"/>
      <c r="M730" s="4"/>
      <c r="N730" s="4"/>
      <c r="O730" s="4"/>
      <c r="P730" s="4"/>
      <c r="Q730" s="4"/>
      <c r="R730" s="4"/>
      <c r="S730" s="4"/>
      <c r="T730" s="4"/>
      <c r="U730" s="4"/>
      <c r="V730" s="4"/>
      <c r="W730" s="4"/>
      <c r="X730" s="4"/>
      <c r="Y730" s="4"/>
      <c r="Z730" s="4"/>
    </row>
    <row r="731" spans="1:26" ht="12.75">
      <c r="A731" s="4"/>
      <c r="B731" s="4"/>
      <c r="C731" s="15"/>
      <c r="D731" s="4"/>
      <c r="E731" s="4"/>
      <c r="F731" s="4"/>
      <c r="G731" s="4"/>
      <c r="H731" s="4"/>
      <c r="I731" s="4"/>
      <c r="J731" s="4"/>
      <c r="K731" s="4"/>
      <c r="L731" s="4"/>
      <c r="M731" s="4"/>
      <c r="N731" s="4"/>
      <c r="O731" s="4"/>
      <c r="P731" s="4"/>
      <c r="Q731" s="4"/>
      <c r="R731" s="4"/>
      <c r="S731" s="4"/>
      <c r="T731" s="4"/>
      <c r="U731" s="4"/>
      <c r="V731" s="4"/>
      <c r="W731" s="4"/>
      <c r="X731" s="4"/>
      <c r="Y731" s="4"/>
      <c r="Z731" s="4"/>
    </row>
    <row r="732" spans="1:26" ht="12.75">
      <c r="A732" s="4"/>
      <c r="B732" s="4"/>
      <c r="C732" s="15"/>
      <c r="D732" s="4"/>
      <c r="E732" s="4"/>
      <c r="F732" s="4"/>
      <c r="G732" s="4"/>
      <c r="H732" s="4"/>
      <c r="I732" s="4"/>
      <c r="J732" s="4"/>
      <c r="K732" s="4"/>
      <c r="L732" s="4"/>
      <c r="M732" s="4"/>
      <c r="N732" s="4"/>
      <c r="O732" s="4"/>
      <c r="P732" s="4"/>
      <c r="Q732" s="4"/>
      <c r="R732" s="4"/>
      <c r="S732" s="4"/>
      <c r="T732" s="4"/>
      <c r="U732" s="4"/>
      <c r="V732" s="4"/>
      <c r="W732" s="4"/>
      <c r="X732" s="4"/>
      <c r="Y732" s="4"/>
      <c r="Z732" s="4"/>
    </row>
    <row r="733" spans="1:26" ht="12.75">
      <c r="A733" s="4"/>
      <c r="B733" s="4"/>
      <c r="C733" s="15"/>
      <c r="D733" s="4"/>
      <c r="E733" s="4"/>
      <c r="F733" s="4"/>
      <c r="G733" s="4"/>
      <c r="H733" s="4"/>
      <c r="I733" s="4"/>
      <c r="J733" s="4"/>
      <c r="K733" s="4"/>
      <c r="L733" s="4"/>
      <c r="M733" s="4"/>
      <c r="N733" s="4"/>
      <c r="O733" s="4"/>
      <c r="P733" s="4"/>
      <c r="Q733" s="4"/>
      <c r="R733" s="4"/>
      <c r="S733" s="4"/>
      <c r="T733" s="4"/>
      <c r="U733" s="4"/>
      <c r="V733" s="4"/>
      <c r="W733" s="4"/>
      <c r="X733" s="4"/>
      <c r="Y733" s="4"/>
      <c r="Z733" s="4"/>
    </row>
    <row r="734" spans="1:26" ht="12.75">
      <c r="A734" s="4"/>
      <c r="B734" s="4"/>
      <c r="C734" s="15"/>
      <c r="D734" s="4"/>
      <c r="E734" s="4"/>
      <c r="F734" s="4"/>
      <c r="G734" s="4"/>
      <c r="H734" s="4"/>
      <c r="I734" s="4"/>
      <c r="J734" s="4"/>
      <c r="K734" s="4"/>
      <c r="L734" s="4"/>
      <c r="M734" s="4"/>
      <c r="N734" s="4"/>
      <c r="O734" s="4"/>
      <c r="P734" s="4"/>
      <c r="Q734" s="4"/>
      <c r="R734" s="4"/>
      <c r="S734" s="4"/>
      <c r="T734" s="4"/>
      <c r="U734" s="4"/>
      <c r="V734" s="4"/>
      <c r="W734" s="4"/>
      <c r="X734" s="4"/>
      <c r="Y734" s="4"/>
      <c r="Z734" s="4"/>
    </row>
    <row r="735" spans="1:26" ht="12.75">
      <c r="A735" s="4"/>
      <c r="B735" s="4"/>
      <c r="C735" s="15"/>
      <c r="D735" s="4"/>
      <c r="E735" s="4"/>
      <c r="F735" s="4"/>
      <c r="G735" s="4"/>
      <c r="H735" s="4"/>
      <c r="I735" s="4"/>
      <c r="J735" s="4"/>
      <c r="K735" s="4"/>
      <c r="L735" s="4"/>
      <c r="M735" s="4"/>
      <c r="N735" s="4"/>
      <c r="O735" s="4"/>
      <c r="P735" s="4"/>
      <c r="Q735" s="4"/>
      <c r="R735" s="4"/>
      <c r="S735" s="4"/>
      <c r="T735" s="4"/>
      <c r="U735" s="4"/>
      <c r="V735" s="4"/>
      <c r="W735" s="4"/>
      <c r="X735" s="4"/>
      <c r="Y735" s="4"/>
      <c r="Z735" s="4"/>
    </row>
    <row r="736" spans="1:26" ht="12.75">
      <c r="A736" s="4"/>
      <c r="B736" s="4"/>
      <c r="C736" s="15"/>
      <c r="D736" s="4"/>
      <c r="E736" s="4"/>
      <c r="F736" s="4"/>
      <c r="G736" s="4"/>
      <c r="H736" s="4"/>
      <c r="I736" s="4"/>
      <c r="J736" s="4"/>
      <c r="K736" s="4"/>
      <c r="L736" s="4"/>
      <c r="M736" s="4"/>
      <c r="N736" s="4"/>
      <c r="O736" s="4"/>
      <c r="P736" s="4"/>
      <c r="Q736" s="4"/>
      <c r="R736" s="4"/>
      <c r="S736" s="4"/>
      <c r="T736" s="4"/>
      <c r="U736" s="4"/>
      <c r="V736" s="4"/>
      <c r="W736" s="4"/>
      <c r="X736" s="4"/>
      <c r="Y736" s="4"/>
      <c r="Z736" s="4"/>
    </row>
    <row r="737" spans="1:26" ht="12.75">
      <c r="A737" s="4"/>
      <c r="B737" s="4"/>
      <c r="C737" s="15"/>
      <c r="D737" s="4"/>
      <c r="E737" s="4"/>
      <c r="F737" s="4"/>
      <c r="G737" s="4"/>
      <c r="H737" s="4"/>
      <c r="I737" s="4"/>
      <c r="J737" s="4"/>
      <c r="K737" s="4"/>
      <c r="L737" s="4"/>
      <c r="M737" s="4"/>
      <c r="N737" s="4"/>
      <c r="O737" s="4"/>
      <c r="P737" s="4"/>
      <c r="Q737" s="4"/>
      <c r="R737" s="4"/>
      <c r="S737" s="4"/>
      <c r="T737" s="4"/>
      <c r="U737" s="4"/>
      <c r="V737" s="4"/>
      <c r="W737" s="4"/>
      <c r="X737" s="4"/>
      <c r="Y737" s="4"/>
      <c r="Z737" s="4"/>
    </row>
    <row r="738" spans="1:26" ht="12.75">
      <c r="A738" s="4"/>
      <c r="B738" s="4"/>
      <c r="C738" s="15"/>
      <c r="D738" s="4"/>
      <c r="E738" s="4"/>
      <c r="F738" s="4"/>
      <c r="G738" s="4"/>
      <c r="H738" s="4"/>
      <c r="I738" s="4"/>
      <c r="J738" s="4"/>
      <c r="K738" s="4"/>
      <c r="L738" s="4"/>
      <c r="M738" s="4"/>
      <c r="N738" s="4"/>
      <c r="O738" s="4"/>
      <c r="P738" s="4"/>
      <c r="Q738" s="4"/>
      <c r="R738" s="4"/>
      <c r="S738" s="4"/>
      <c r="T738" s="4"/>
      <c r="U738" s="4"/>
      <c r="V738" s="4"/>
      <c r="W738" s="4"/>
      <c r="X738" s="4"/>
      <c r="Y738" s="4"/>
      <c r="Z738" s="4"/>
    </row>
    <row r="739" spans="1:26" ht="12.75">
      <c r="A739" s="4"/>
      <c r="B739" s="4"/>
      <c r="C739" s="15"/>
      <c r="D739" s="4"/>
      <c r="E739" s="4"/>
      <c r="F739" s="4"/>
      <c r="G739" s="4"/>
      <c r="H739" s="4"/>
      <c r="I739" s="4"/>
      <c r="J739" s="4"/>
      <c r="K739" s="4"/>
      <c r="L739" s="4"/>
      <c r="M739" s="4"/>
      <c r="N739" s="4"/>
      <c r="O739" s="4"/>
      <c r="P739" s="4"/>
      <c r="Q739" s="4"/>
      <c r="R739" s="4"/>
      <c r="S739" s="4"/>
      <c r="T739" s="4"/>
      <c r="U739" s="4"/>
      <c r="V739" s="4"/>
      <c r="W739" s="4"/>
      <c r="X739" s="4"/>
      <c r="Y739" s="4"/>
      <c r="Z739" s="4"/>
    </row>
    <row r="740" spans="1:26" ht="12.75">
      <c r="A740" s="4"/>
      <c r="B740" s="4"/>
      <c r="C740" s="15"/>
      <c r="D740" s="4"/>
      <c r="E740" s="4"/>
      <c r="F740" s="4"/>
      <c r="G740" s="4"/>
      <c r="H740" s="4"/>
      <c r="I740" s="4"/>
      <c r="J740" s="4"/>
      <c r="K740" s="4"/>
      <c r="L740" s="4"/>
      <c r="M740" s="4"/>
      <c r="N740" s="4"/>
      <c r="O740" s="4"/>
      <c r="P740" s="4"/>
      <c r="Q740" s="4"/>
      <c r="R740" s="4"/>
      <c r="S740" s="4"/>
      <c r="T740" s="4"/>
      <c r="U740" s="4"/>
      <c r="V740" s="4"/>
      <c r="W740" s="4"/>
      <c r="X740" s="4"/>
      <c r="Y740" s="4"/>
      <c r="Z740" s="4"/>
    </row>
    <row r="741" spans="1:26" ht="12.75">
      <c r="A741" s="4"/>
      <c r="B741" s="4"/>
      <c r="C741" s="15"/>
      <c r="D741" s="4"/>
      <c r="E741" s="4"/>
      <c r="F741" s="4"/>
      <c r="G741" s="4"/>
      <c r="H741" s="4"/>
      <c r="I741" s="4"/>
      <c r="J741" s="4"/>
      <c r="K741" s="4"/>
      <c r="L741" s="4"/>
      <c r="M741" s="4"/>
      <c r="N741" s="4"/>
      <c r="O741" s="4"/>
      <c r="P741" s="4"/>
      <c r="Q741" s="4"/>
      <c r="R741" s="4"/>
      <c r="S741" s="4"/>
      <c r="T741" s="4"/>
      <c r="U741" s="4"/>
      <c r="V741" s="4"/>
      <c r="W741" s="4"/>
      <c r="X741" s="4"/>
      <c r="Y741" s="4"/>
      <c r="Z741" s="4"/>
    </row>
    <row r="742" spans="1:26" ht="12.75">
      <c r="A742" s="4"/>
      <c r="B742" s="4"/>
      <c r="C742" s="15"/>
      <c r="D742" s="4"/>
      <c r="E742" s="4"/>
      <c r="F742" s="4"/>
      <c r="G742" s="4"/>
      <c r="H742" s="4"/>
      <c r="I742" s="4"/>
      <c r="J742" s="4"/>
      <c r="K742" s="4"/>
      <c r="L742" s="4"/>
      <c r="M742" s="4"/>
      <c r="N742" s="4"/>
      <c r="O742" s="4"/>
      <c r="P742" s="4"/>
      <c r="Q742" s="4"/>
      <c r="R742" s="4"/>
      <c r="S742" s="4"/>
      <c r="T742" s="4"/>
      <c r="U742" s="4"/>
      <c r="V742" s="4"/>
      <c r="W742" s="4"/>
      <c r="X742" s="4"/>
      <c r="Y742" s="4"/>
      <c r="Z742" s="4"/>
    </row>
    <row r="743" spans="1:26" ht="12.75">
      <c r="A743" s="4"/>
      <c r="B743" s="4"/>
      <c r="C743" s="15"/>
      <c r="D743" s="4"/>
      <c r="E743" s="4"/>
      <c r="F743" s="4"/>
      <c r="G743" s="4"/>
      <c r="H743" s="4"/>
      <c r="I743" s="4"/>
      <c r="J743" s="4"/>
      <c r="K743" s="4"/>
      <c r="L743" s="4"/>
      <c r="M743" s="4"/>
      <c r="N743" s="4"/>
      <c r="O743" s="4"/>
      <c r="P743" s="4"/>
      <c r="Q743" s="4"/>
      <c r="R743" s="4"/>
      <c r="S743" s="4"/>
      <c r="T743" s="4"/>
      <c r="U743" s="4"/>
      <c r="V743" s="4"/>
      <c r="W743" s="4"/>
      <c r="X743" s="4"/>
      <c r="Y743" s="4"/>
      <c r="Z743" s="4"/>
    </row>
    <row r="744" spans="1:26" ht="12.75">
      <c r="A744" s="4"/>
      <c r="B744" s="4"/>
      <c r="C744" s="15"/>
      <c r="D744" s="4"/>
      <c r="E744" s="4"/>
      <c r="F744" s="4"/>
      <c r="G744" s="4"/>
      <c r="H744" s="4"/>
      <c r="I744" s="4"/>
      <c r="J744" s="4"/>
      <c r="K744" s="4"/>
      <c r="L744" s="4"/>
      <c r="M744" s="4"/>
      <c r="N744" s="4"/>
      <c r="O744" s="4"/>
      <c r="P744" s="4"/>
      <c r="Q744" s="4"/>
      <c r="R744" s="4"/>
      <c r="S744" s="4"/>
      <c r="T744" s="4"/>
      <c r="U744" s="4"/>
      <c r="V744" s="4"/>
      <c r="W744" s="4"/>
      <c r="X744" s="4"/>
      <c r="Y744" s="4"/>
      <c r="Z744" s="4"/>
    </row>
    <row r="745" spans="1:26" ht="12.75">
      <c r="A745" s="4"/>
      <c r="B745" s="4"/>
      <c r="C745" s="15"/>
      <c r="D745" s="4"/>
      <c r="E745" s="4"/>
      <c r="F745" s="4"/>
      <c r="G745" s="4"/>
      <c r="H745" s="4"/>
      <c r="I745" s="4"/>
      <c r="J745" s="4"/>
      <c r="K745" s="4"/>
      <c r="L745" s="4"/>
      <c r="M745" s="4"/>
      <c r="N745" s="4"/>
      <c r="O745" s="4"/>
      <c r="P745" s="4"/>
      <c r="Q745" s="4"/>
      <c r="R745" s="4"/>
      <c r="S745" s="4"/>
      <c r="T745" s="4"/>
      <c r="U745" s="4"/>
      <c r="V745" s="4"/>
      <c r="W745" s="4"/>
      <c r="X745" s="4"/>
      <c r="Y745" s="4"/>
      <c r="Z745" s="4"/>
    </row>
    <row r="746" spans="1:26" ht="12.75">
      <c r="A746" s="4"/>
      <c r="B746" s="4"/>
      <c r="C746" s="15"/>
      <c r="D746" s="4"/>
      <c r="E746" s="4"/>
      <c r="F746" s="4"/>
      <c r="G746" s="4"/>
      <c r="H746" s="4"/>
      <c r="I746" s="4"/>
      <c r="J746" s="4"/>
      <c r="K746" s="4"/>
      <c r="L746" s="4"/>
      <c r="M746" s="4"/>
      <c r="N746" s="4"/>
      <c r="O746" s="4"/>
      <c r="P746" s="4"/>
      <c r="Q746" s="4"/>
      <c r="R746" s="4"/>
      <c r="S746" s="4"/>
      <c r="T746" s="4"/>
      <c r="U746" s="4"/>
      <c r="V746" s="4"/>
      <c r="W746" s="4"/>
      <c r="X746" s="4"/>
      <c r="Y746" s="4"/>
      <c r="Z746" s="4"/>
    </row>
    <row r="747" spans="1:26" ht="12.75">
      <c r="A747" s="4"/>
      <c r="B747" s="4"/>
      <c r="C747" s="15"/>
      <c r="D747" s="4"/>
      <c r="E747" s="4"/>
      <c r="F747" s="4"/>
      <c r="G747" s="4"/>
      <c r="H747" s="4"/>
      <c r="I747" s="4"/>
      <c r="J747" s="4"/>
      <c r="K747" s="4"/>
      <c r="L747" s="4"/>
      <c r="M747" s="4"/>
      <c r="N747" s="4"/>
      <c r="O747" s="4"/>
      <c r="P747" s="4"/>
      <c r="Q747" s="4"/>
      <c r="R747" s="4"/>
      <c r="S747" s="4"/>
      <c r="T747" s="4"/>
      <c r="U747" s="4"/>
      <c r="V747" s="4"/>
      <c r="W747" s="4"/>
      <c r="X747" s="4"/>
      <c r="Y747" s="4"/>
      <c r="Z747" s="4"/>
    </row>
    <row r="748" spans="1:26" ht="12.75">
      <c r="A748" s="4"/>
      <c r="B748" s="4"/>
      <c r="C748" s="15"/>
      <c r="D748" s="4"/>
      <c r="E748" s="4"/>
      <c r="F748" s="4"/>
      <c r="G748" s="4"/>
      <c r="H748" s="4"/>
      <c r="I748" s="4"/>
      <c r="J748" s="4"/>
      <c r="K748" s="4"/>
      <c r="L748" s="4"/>
      <c r="M748" s="4"/>
      <c r="N748" s="4"/>
      <c r="O748" s="4"/>
      <c r="P748" s="4"/>
      <c r="Q748" s="4"/>
      <c r="R748" s="4"/>
      <c r="S748" s="4"/>
      <c r="T748" s="4"/>
      <c r="U748" s="4"/>
      <c r="V748" s="4"/>
      <c r="W748" s="4"/>
      <c r="X748" s="4"/>
      <c r="Y748" s="4"/>
      <c r="Z748" s="4"/>
    </row>
    <row r="749" spans="1:26" ht="12.75">
      <c r="A749" s="4"/>
      <c r="B749" s="4"/>
      <c r="C749" s="15"/>
      <c r="D749" s="4"/>
      <c r="E749" s="4"/>
      <c r="F749" s="4"/>
      <c r="G749" s="4"/>
      <c r="H749" s="4"/>
      <c r="I749" s="4"/>
      <c r="J749" s="4"/>
      <c r="K749" s="4"/>
      <c r="L749" s="4"/>
      <c r="M749" s="4"/>
      <c r="N749" s="4"/>
      <c r="O749" s="4"/>
      <c r="P749" s="4"/>
      <c r="Q749" s="4"/>
      <c r="R749" s="4"/>
      <c r="S749" s="4"/>
      <c r="T749" s="4"/>
      <c r="U749" s="4"/>
      <c r="V749" s="4"/>
      <c r="W749" s="4"/>
      <c r="X749" s="4"/>
      <c r="Y749" s="4"/>
      <c r="Z749" s="4"/>
    </row>
    <row r="750" spans="1:26" ht="12.75">
      <c r="A750" s="4"/>
      <c r="B750" s="4"/>
      <c r="C750" s="15"/>
      <c r="D750" s="4"/>
      <c r="E750" s="4"/>
      <c r="F750" s="4"/>
      <c r="G750" s="4"/>
      <c r="H750" s="4"/>
      <c r="I750" s="4"/>
      <c r="J750" s="4"/>
      <c r="K750" s="4"/>
      <c r="L750" s="4"/>
      <c r="M750" s="4"/>
      <c r="N750" s="4"/>
      <c r="O750" s="4"/>
      <c r="P750" s="4"/>
      <c r="Q750" s="4"/>
      <c r="R750" s="4"/>
      <c r="S750" s="4"/>
      <c r="T750" s="4"/>
      <c r="U750" s="4"/>
      <c r="V750" s="4"/>
      <c r="W750" s="4"/>
      <c r="X750" s="4"/>
      <c r="Y750" s="4"/>
      <c r="Z750" s="4"/>
    </row>
    <row r="751" spans="1:26" ht="12.75">
      <c r="A751" s="4"/>
      <c r="B751" s="4"/>
      <c r="C751" s="15"/>
      <c r="D751" s="4"/>
      <c r="E751" s="4"/>
      <c r="F751" s="4"/>
      <c r="G751" s="4"/>
      <c r="H751" s="4"/>
      <c r="I751" s="4"/>
      <c r="J751" s="4"/>
      <c r="K751" s="4"/>
      <c r="L751" s="4"/>
      <c r="M751" s="4"/>
      <c r="N751" s="4"/>
      <c r="O751" s="4"/>
      <c r="P751" s="4"/>
      <c r="Q751" s="4"/>
      <c r="R751" s="4"/>
      <c r="S751" s="4"/>
      <c r="T751" s="4"/>
      <c r="U751" s="4"/>
      <c r="V751" s="4"/>
      <c r="W751" s="4"/>
      <c r="X751" s="4"/>
      <c r="Y751" s="4"/>
      <c r="Z751" s="4"/>
    </row>
    <row r="752" spans="1:26" ht="12.75">
      <c r="A752" s="4"/>
      <c r="B752" s="4"/>
      <c r="C752" s="15"/>
      <c r="D752" s="4"/>
      <c r="E752" s="4"/>
      <c r="F752" s="4"/>
      <c r="G752" s="4"/>
      <c r="H752" s="4"/>
      <c r="I752" s="4"/>
      <c r="J752" s="4"/>
      <c r="K752" s="4"/>
      <c r="L752" s="4"/>
      <c r="M752" s="4"/>
      <c r="N752" s="4"/>
      <c r="O752" s="4"/>
      <c r="P752" s="4"/>
      <c r="Q752" s="4"/>
      <c r="R752" s="4"/>
      <c r="S752" s="4"/>
      <c r="T752" s="4"/>
      <c r="U752" s="4"/>
      <c r="V752" s="4"/>
      <c r="W752" s="4"/>
      <c r="X752" s="4"/>
      <c r="Y752" s="4"/>
      <c r="Z752" s="4"/>
    </row>
    <row r="753" spans="1:26" ht="12.75">
      <c r="A753" s="4"/>
      <c r="B753" s="4"/>
      <c r="C753" s="15"/>
      <c r="D753" s="4"/>
      <c r="E753" s="4"/>
      <c r="F753" s="4"/>
      <c r="G753" s="4"/>
      <c r="H753" s="4"/>
      <c r="I753" s="4"/>
      <c r="J753" s="4"/>
      <c r="K753" s="4"/>
      <c r="L753" s="4"/>
      <c r="M753" s="4"/>
      <c r="N753" s="4"/>
      <c r="O753" s="4"/>
      <c r="P753" s="4"/>
      <c r="Q753" s="4"/>
      <c r="R753" s="4"/>
      <c r="S753" s="4"/>
      <c r="T753" s="4"/>
      <c r="U753" s="4"/>
      <c r="V753" s="4"/>
      <c r="W753" s="4"/>
      <c r="X753" s="4"/>
      <c r="Y753" s="4"/>
      <c r="Z753" s="4"/>
    </row>
    <row r="754" spans="1:26" ht="12.75">
      <c r="A754" s="4"/>
      <c r="B754" s="4"/>
      <c r="C754" s="15"/>
      <c r="D754" s="4"/>
      <c r="E754" s="4"/>
      <c r="F754" s="4"/>
      <c r="G754" s="4"/>
      <c r="H754" s="4"/>
      <c r="I754" s="4"/>
      <c r="J754" s="4"/>
      <c r="K754" s="4"/>
      <c r="L754" s="4"/>
      <c r="M754" s="4"/>
      <c r="N754" s="4"/>
      <c r="O754" s="4"/>
      <c r="P754" s="4"/>
      <c r="Q754" s="4"/>
      <c r="R754" s="4"/>
      <c r="S754" s="4"/>
      <c r="T754" s="4"/>
      <c r="U754" s="4"/>
      <c r="V754" s="4"/>
      <c r="W754" s="4"/>
      <c r="X754" s="4"/>
      <c r="Y754" s="4"/>
      <c r="Z754" s="4"/>
    </row>
    <row r="755" spans="1:26" ht="12.75">
      <c r="A755" s="4"/>
      <c r="B755" s="4"/>
      <c r="C755" s="15"/>
      <c r="D755" s="4"/>
      <c r="E755" s="4"/>
      <c r="F755" s="4"/>
      <c r="G755" s="4"/>
      <c r="H755" s="4"/>
      <c r="I755" s="4"/>
      <c r="J755" s="4"/>
      <c r="K755" s="4"/>
      <c r="L755" s="4"/>
      <c r="M755" s="4"/>
      <c r="N755" s="4"/>
      <c r="O755" s="4"/>
      <c r="P755" s="4"/>
      <c r="Q755" s="4"/>
      <c r="R755" s="4"/>
      <c r="S755" s="4"/>
      <c r="T755" s="4"/>
      <c r="U755" s="4"/>
      <c r="V755" s="4"/>
      <c r="W755" s="4"/>
      <c r="X755" s="4"/>
      <c r="Y755" s="4"/>
      <c r="Z755" s="4"/>
    </row>
    <row r="756" spans="1:26" ht="12.75">
      <c r="A756" s="4"/>
      <c r="B756" s="4"/>
      <c r="C756" s="15"/>
      <c r="D756" s="4"/>
      <c r="E756" s="4"/>
      <c r="F756" s="4"/>
      <c r="G756" s="4"/>
      <c r="H756" s="4"/>
      <c r="I756" s="4"/>
      <c r="J756" s="4"/>
      <c r="K756" s="4"/>
      <c r="L756" s="4"/>
      <c r="M756" s="4"/>
      <c r="N756" s="4"/>
      <c r="O756" s="4"/>
      <c r="P756" s="4"/>
      <c r="Q756" s="4"/>
      <c r="R756" s="4"/>
      <c r="S756" s="4"/>
      <c r="T756" s="4"/>
      <c r="U756" s="4"/>
      <c r="V756" s="4"/>
      <c r="W756" s="4"/>
      <c r="X756" s="4"/>
      <c r="Y756" s="4"/>
      <c r="Z756" s="4"/>
    </row>
    <row r="757" spans="1:26" ht="12.75">
      <c r="A757" s="4"/>
      <c r="B757" s="4"/>
      <c r="C757" s="15"/>
      <c r="D757" s="4"/>
      <c r="E757" s="4"/>
      <c r="F757" s="4"/>
      <c r="G757" s="4"/>
      <c r="H757" s="4"/>
      <c r="I757" s="4"/>
      <c r="J757" s="4"/>
      <c r="K757" s="4"/>
      <c r="L757" s="4"/>
      <c r="M757" s="4"/>
      <c r="N757" s="4"/>
      <c r="O757" s="4"/>
      <c r="P757" s="4"/>
      <c r="Q757" s="4"/>
      <c r="R757" s="4"/>
      <c r="S757" s="4"/>
      <c r="T757" s="4"/>
      <c r="U757" s="4"/>
      <c r="V757" s="4"/>
      <c r="W757" s="4"/>
      <c r="X757" s="4"/>
      <c r="Y757" s="4"/>
      <c r="Z757" s="4"/>
    </row>
    <row r="758" spans="1:26" ht="12.75">
      <c r="A758" s="4"/>
      <c r="B758" s="4"/>
      <c r="C758" s="15"/>
      <c r="D758" s="4"/>
      <c r="E758" s="4"/>
      <c r="F758" s="4"/>
      <c r="G758" s="4"/>
      <c r="H758" s="4"/>
      <c r="I758" s="4"/>
      <c r="J758" s="4"/>
      <c r="K758" s="4"/>
      <c r="L758" s="4"/>
      <c r="M758" s="4"/>
      <c r="N758" s="4"/>
      <c r="O758" s="4"/>
      <c r="P758" s="4"/>
      <c r="Q758" s="4"/>
      <c r="R758" s="4"/>
      <c r="S758" s="4"/>
      <c r="T758" s="4"/>
      <c r="U758" s="4"/>
      <c r="V758" s="4"/>
      <c r="W758" s="4"/>
      <c r="X758" s="4"/>
      <c r="Y758" s="4"/>
      <c r="Z758" s="4"/>
    </row>
    <row r="759" spans="1:26" ht="12.75">
      <c r="A759" s="4"/>
      <c r="B759" s="4"/>
      <c r="C759" s="15"/>
      <c r="D759" s="4"/>
      <c r="E759" s="4"/>
      <c r="F759" s="4"/>
      <c r="G759" s="4"/>
      <c r="H759" s="4"/>
      <c r="I759" s="4"/>
      <c r="J759" s="4"/>
      <c r="K759" s="4"/>
      <c r="L759" s="4"/>
      <c r="M759" s="4"/>
      <c r="N759" s="4"/>
      <c r="O759" s="4"/>
      <c r="P759" s="4"/>
      <c r="Q759" s="4"/>
      <c r="R759" s="4"/>
      <c r="S759" s="4"/>
      <c r="T759" s="4"/>
      <c r="U759" s="4"/>
      <c r="V759" s="4"/>
      <c r="W759" s="4"/>
      <c r="X759" s="4"/>
      <c r="Y759" s="4"/>
      <c r="Z759" s="4"/>
    </row>
    <row r="760" spans="1:26" ht="12.75">
      <c r="A760" s="4"/>
      <c r="B760" s="4"/>
      <c r="C760" s="15"/>
      <c r="D760" s="4"/>
      <c r="E760" s="4"/>
      <c r="F760" s="4"/>
      <c r="G760" s="4"/>
      <c r="H760" s="4"/>
      <c r="I760" s="4"/>
      <c r="J760" s="4"/>
      <c r="K760" s="4"/>
      <c r="L760" s="4"/>
      <c r="M760" s="4"/>
      <c r="N760" s="4"/>
      <c r="O760" s="4"/>
      <c r="P760" s="4"/>
      <c r="Q760" s="4"/>
      <c r="R760" s="4"/>
      <c r="S760" s="4"/>
      <c r="T760" s="4"/>
      <c r="U760" s="4"/>
      <c r="V760" s="4"/>
      <c r="W760" s="4"/>
      <c r="X760" s="4"/>
      <c r="Y760" s="4"/>
      <c r="Z760" s="4"/>
    </row>
    <row r="761" spans="1:26" ht="12.75">
      <c r="A761" s="4"/>
      <c r="B761" s="4"/>
      <c r="C761" s="15"/>
      <c r="D761" s="4"/>
      <c r="E761" s="4"/>
      <c r="F761" s="4"/>
      <c r="G761" s="4"/>
      <c r="H761" s="4"/>
      <c r="I761" s="4"/>
      <c r="J761" s="4"/>
      <c r="K761" s="4"/>
      <c r="L761" s="4"/>
      <c r="M761" s="4"/>
      <c r="N761" s="4"/>
      <c r="O761" s="4"/>
      <c r="P761" s="4"/>
      <c r="Q761" s="4"/>
      <c r="R761" s="4"/>
      <c r="S761" s="4"/>
      <c r="T761" s="4"/>
      <c r="U761" s="4"/>
      <c r="V761" s="4"/>
      <c r="W761" s="4"/>
      <c r="X761" s="4"/>
      <c r="Y761" s="4"/>
      <c r="Z761" s="4"/>
    </row>
    <row r="762" spans="1:26" ht="12.75">
      <c r="A762" s="4"/>
      <c r="B762" s="4"/>
      <c r="C762" s="15"/>
      <c r="D762" s="4"/>
      <c r="E762" s="4"/>
      <c r="F762" s="4"/>
      <c r="G762" s="4"/>
      <c r="H762" s="4"/>
      <c r="I762" s="4"/>
      <c r="J762" s="4"/>
      <c r="K762" s="4"/>
      <c r="L762" s="4"/>
      <c r="M762" s="4"/>
      <c r="N762" s="4"/>
      <c r="O762" s="4"/>
      <c r="P762" s="4"/>
      <c r="Q762" s="4"/>
      <c r="R762" s="4"/>
      <c r="S762" s="4"/>
      <c r="T762" s="4"/>
      <c r="U762" s="4"/>
      <c r="V762" s="4"/>
      <c r="W762" s="4"/>
      <c r="X762" s="4"/>
      <c r="Y762" s="4"/>
      <c r="Z762" s="4"/>
    </row>
    <row r="763" spans="1:26" ht="12.75">
      <c r="A763" s="4"/>
      <c r="B763" s="4"/>
      <c r="C763" s="15"/>
      <c r="D763" s="4"/>
      <c r="E763" s="4"/>
      <c r="F763" s="4"/>
      <c r="G763" s="4"/>
      <c r="H763" s="4"/>
      <c r="I763" s="4"/>
      <c r="J763" s="4"/>
      <c r="K763" s="4"/>
      <c r="L763" s="4"/>
      <c r="M763" s="4"/>
      <c r="N763" s="4"/>
      <c r="O763" s="4"/>
      <c r="P763" s="4"/>
      <c r="Q763" s="4"/>
      <c r="R763" s="4"/>
      <c r="S763" s="4"/>
      <c r="T763" s="4"/>
      <c r="U763" s="4"/>
      <c r="V763" s="4"/>
      <c r="W763" s="4"/>
      <c r="X763" s="4"/>
      <c r="Y763" s="4"/>
      <c r="Z763" s="4"/>
    </row>
    <row r="764" spans="1:26" ht="12.75">
      <c r="A764" s="4"/>
      <c r="B764" s="4"/>
      <c r="C764" s="15"/>
      <c r="D764" s="4"/>
      <c r="E764" s="4"/>
      <c r="F764" s="4"/>
      <c r="G764" s="4"/>
      <c r="H764" s="4"/>
      <c r="I764" s="4"/>
      <c r="J764" s="4"/>
      <c r="K764" s="4"/>
      <c r="L764" s="4"/>
      <c r="M764" s="4"/>
      <c r="N764" s="4"/>
      <c r="O764" s="4"/>
      <c r="P764" s="4"/>
      <c r="Q764" s="4"/>
      <c r="R764" s="4"/>
      <c r="S764" s="4"/>
      <c r="T764" s="4"/>
      <c r="U764" s="4"/>
      <c r="V764" s="4"/>
      <c r="W764" s="4"/>
      <c r="X764" s="4"/>
      <c r="Y764" s="4"/>
      <c r="Z764" s="4"/>
    </row>
    <row r="765" spans="1:26" ht="12.75">
      <c r="A765" s="4"/>
      <c r="B765" s="4"/>
      <c r="C765" s="15"/>
      <c r="D765" s="4"/>
      <c r="E765" s="4"/>
      <c r="F765" s="4"/>
      <c r="G765" s="4"/>
      <c r="H765" s="4"/>
      <c r="I765" s="4"/>
      <c r="J765" s="4"/>
      <c r="K765" s="4"/>
      <c r="L765" s="4"/>
      <c r="M765" s="4"/>
      <c r="N765" s="4"/>
      <c r="O765" s="4"/>
      <c r="P765" s="4"/>
      <c r="Q765" s="4"/>
      <c r="R765" s="4"/>
      <c r="S765" s="4"/>
      <c r="T765" s="4"/>
      <c r="U765" s="4"/>
      <c r="V765" s="4"/>
      <c r="W765" s="4"/>
      <c r="X765" s="4"/>
      <c r="Y765" s="4"/>
      <c r="Z765" s="4"/>
    </row>
    <row r="766" spans="1:26" ht="12.75">
      <c r="A766" s="4"/>
      <c r="B766" s="4"/>
      <c r="C766" s="15"/>
      <c r="D766" s="4"/>
      <c r="E766" s="4"/>
      <c r="F766" s="4"/>
      <c r="G766" s="4"/>
      <c r="H766" s="4"/>
      <c r="I766" s="4"/>
      <c r="J766" s="4"/>
      <c r="K766" s="4"/>
      <c r="L766" s="4"/>
      <c r="M766" s="4"/>
      <c r="N766" s="4"/>
      <c r="O766" s="4"/>
      <c r="P766" s="4"/>
      <c r="Q766" s="4"/>
      <c r="R766" s="4"/>
      <c r="S766" s="4"/>
      <c r="T766" s="4"/>
      <c r="U766" s="4"/>
      <c r="V766" s="4"/>
      <c r="W766" s="4"/>
      <c r="X766" s="4"/>
      <c r="Y766" s="4"/>
      <c r="Z766" s="4"/>
    </row>
    <row r="767" spans="1:26" ht="12.75">
      <c r="A767" s="4"/>
      <c r="B767" s="4"/>
      <c r="C767" s="15"/>
      <c r="D767" s="4"/>
      <c r="E767" s="4"/>
      <c r="F767" s="4"/>
      <c r="G767" s="4"/>
      <c r="H767" s="4"/>
      <c r="I767" s="4"/>
      <c r="J767" s="4"/>
      <c r="K767" s="4"/>
      <c r="L767" s="4"/>
      <c r="M767" s="4"/>
      <c r="N767" s="4"/>
      <c r="O767" s="4"/>
      <c r="P767" s="4"/>
      <c r="Q767" s="4"/>
      <c r="R767" s="4"/>
      <c r="S767" s="4"/>
      <c r="T767" s="4"/>
      <c r="U767" s="4"/>
      <c r="V767" s="4"/>
      <c r="W767" s="4"/>
      <c r="X767" s="4"/>
      <c r="Y767" s="4"/>
      <c r="Z767" s="4"/>
    </row>
    <row r="768" spans="1:26" ht="12.75">
      <c r="A768" s="4"/>
      <c r="B768" s="4"/>
      <c r="C768" s="15"/>
      <c r="D768" s="4"/>
      <c r="E768" s="4"/>
      <c r="F768" s="4"/>
      <c r="G768" s="4"/>
      <c r="H768" s="4"/>
      <c r="I768" s="4"/>
      <c r="J768" s="4"/>
      <c r="K768" s="4"/>
      <c r="L768" s="4"/>
      <c r="M768" s="4"/>
      <c r="N768" s="4"/>
      <c r="O768" s="4"/>
      <c r="P768" s="4"/>
      <c r="Q768" s="4"/>
      <c r="R768" s="4"/>
      <c r="S768" s="4"/>
      <c r="T768" s="4"/>
      <c r="U768" s="4"/>
      <c r="V768" s="4"/>
      <c r="W768" s="4"/>
      <c r="X768" s="4"/>
      <c r="Y768" s="4"/>
      <c r="Z768" s="4"/>
    </row>
    <row r="769" spans="1:26" ht="12.75">
      <c r="A769" s="4"/>
      <c r="B769" s="4"/>
      <c r="C769" s="15"/>
      <c r="D769" s="4"/>
      <c r="E769" s="4"/>
      <c r="F769" s="4"/>
      <c r="G769" s="4"/>
      <c r="H769" s="4"/>
      <c r="I769" s="4"/>
      <c r="J769" s="4"/>
      <c r="K769" s="4"/>
      <c r="L769" s="4"/>
      <c r="M769" s="4"/>
      <c r="N769" s="4"/>
      <c r="O769" s="4"/>
      <c r="P769" s="4"/>
      <c r="Q769" s="4"/>
      <c r="R769" s="4"/>
      <c r="S769" s="4"/>
      <c r="T769" s="4"/>
      <c r="U769" s="4"/>
      <c r="V769" s="4"/>
      <c r="W769" s="4"/>
      <c r="X769" s="4"/>
      <c r="Y769" s="4"/>
      <c r="Z769" s="4"/>
    </row>
    <row r="770" spans="1:26" ht="12.75">
      <c r="A770" s="4"/>
      <c r="B770" s="4"/>
      <c r="C770" s="15"/>
      <c r="D770" s="4"/>
      <c r="E770" s="4"/>
      <c r="F770" s="4"/>
      <c r="G770" s="4"/>
      <c r="H770" s="4"/>
      <c r="I770" s="4"/>
      <c r="J770" s="4"/>
      <c r="K770" s="4"/>
      <c r="L770" s="4"/>
      <c r="M770" s="4"/>
      <c r="N770" s="4"/>
      <c r="O770" s="4"/>
      <c r="P770" s="4"/>
      <c r="Q770" s="4"/>
      <c r="R770" s="4"/>
      <c r="S770" s="4"/>
      <c r="T770" s="4"/>
      <c r="U770" s="4"/>
      <c r="V770" s="4"/>
      <c r="W770" s="4"/>
      <c r="X770" s="4"/>
      <c r="Y770" s="4"/>
      <c r="Z770" s="4"/>
    </row>
    <row r="771" spans="1:26" ht="12.75">
      <c r="A771" s="4"/>
      <c r="B771" s="4"/>
      <c r="C771" s="15"/>
      <c r="D771" s="4"/>
      <c r="E771" s="4"/>
      <c r="F771" s="4"/>
      <c r="G771" s="4"/>
      <c r="H771" s="4"/>
      <c r="I771" s="4"/>
      <c r="J771" s="4"/>
      <c r="K771" s="4"/>
      <c r="L771" s="4"/>
      <c r="M771" s="4"/>
      <c r="N771" s="4"/>
      <c r="O771" s="4"/>
      <c r="P771" s="4"/>
      <c r="Q771" s="4"/>
      <c r="R771" s="4"/>
      <c r="S771" s="4"/>
      <c r="T771" s="4"/>
      <c r="U771" s="4"/>
      <c r="V771" s="4"/>
      <c r="W771" s="4"/>
      <c r="X771" s="4"/>
      <c r="Y771" s="4"/>
      <c r="Z771" s="4"/>
    </row>
    <row r="772" spans="1:26" ht="12.75">
      <c r="A772" s="4"/>
      <c r="B772" s="4"/>
      <c r="C772" s="15"/>
      <c r="D772" s="4"/>
      <c r="E772" s="4"/>
      <c r="F772" s="4"/>
      <c r="G772" s="4"/>
      <c r="H772" s="4"/>
      <c r="I772" s="4"/>
      <c r="J772" s="4"/>
      <c r="K772" s="4"/>
      <c r="L772" s="4"/>
      <c r="M772" s="4"/>
      <c r="N772" s="4"/>
      <c r="O772" s="4"/>
      <c r="P772" s="4"/>
      <c r="Q772" s="4"/>
      <c r="R772" s="4"/>
      <c r="S772" s="4"/>
      <c r="T772" s="4"/>
      <c r="U772" s="4"/>
      <c r="V772" s="4"/>
      <c r="W772" s="4"/>
      <c r="X772" s="4"/>
      <c r="Y772" s="4"/>
      <c r="Z772" s="4"/>
    </row>
    <row r="773" spans="1:26" ht="12.75">
      <c r="A773" s="4"/>
      <c r="B773" s="4"/>
      <c r="C773" s="15"/>
      <c r="D773" s="4"/>
      <c r="E773" s="4"/>
      <c r="F773" s="4"/>
      <c r="G773" s="4"/>
      <c r="H773" s="4"/>
      <c r="I773" s="4"/>
      <c r="J773" s="4"/>
      <c r="K773" s="4"/>
      <c r="L773" s="4"/>
      <c r="M773" s="4"/>
      <c r="N773" s="4"/>
      <c r="O773" s="4"/>
      <c r="P773" s="4"/>
      <c r="Q773" s="4"/>
      <c r="R773" s="4"/>
      <c r="S773" s="4"/>
      <c r="T773" s="4"/>
      <c r="U773" s="4"/>
      <c r="V773" s="4"/>
      <c r="W773" s="4"/>
      <c r="X773" s="4"/>
      <c r="Y773" s="4"/>
      <c r="Z773" s="4"/>
    </row>
    <row r="774" spans="1:26" ht="12.75">
      <c r="A774" s="4"/>
      <c r="B774" s="4"/>
      <c r="C774" s="15"/>
      <c r="D774" s="4"/>
      <c r="E774" s="4"/>
      <c r="F774" s="4"/>
      <c r="G774" s="4"/>
      <c r="H774" s="4"/>
      <c r="I774" s="4"/>
      <c r="J774" s="4"/>
      <c r="K774" s="4"/>
      <c r="L774" s="4"/>
      <c r="M774" s="4"/>
      <c r="N774" s="4"/>
      <c r="O774" s="4"/>
      <c r="P774" s="4"/>
      <c r="Q774" s="4"/>
      <c r="R774" s="4"/>
      <c r="S774" s="4"/>
      <c r="T774" s="4"/>
      <c r="U774" s="4"/>
      <c r="V774" s="4"/>
      <c r="W774" s="4"/>
      <c r="X774" s="4"/>
      <c r="Y774" s="4"/>
      <c r="Z774" s="4"/>
    </row>
    <row r="775" spans="1:26" ht="12.75">
      <c r="A775" s="4"/>
      <c r="B775" s="4"/>
      <c r="C775" s="15"/>
      <c r="D775" s="4"/>
      <c r="E775" s="4"/>
      <c r="F775" s="4"/>
      <c r="G775" s="4"/>
      <c r="H775" s="4"/>
      <c r="I775" s="4"/>
      <c r="J775" s="4"/>
      <c r="K775" s="4"/>
      <c r="L775" s="4"/>
      <c r="M775" s="4"/>
      <c r="N775" s="4"/>
      <c r="O775" s="4"/>
      <c r="P775" s="4"/>
      <c r="Q775" s="4"/>
      <c r="R775" s="4"/>
      <c r="S775" s="4"/>
      <c r="T775" s="4"/>
      <c r="U775" s="4"/>
      <c r="V775" s="4"/>
      <c r="W775" s="4"/>
      <c r="X775" s="4"/>
      <c r="Y775" s="4"/>
      <c r="Z775" s="4"/>
    </row>
    <row r="776" spans="1:26" ht="12.75">
      <c r="A776" s="4"/>
      <c r="B776" s="4"/>
      <c r="C776" s="15"/>
      <c r="D776" s="4"/>
      <c r="E776" s="4"/>
      <c r="F776" s="4"/>
      <c r="G776" s="4"/>
      <c r="H776" s="4"/>
      <c r="I776" s="4"/>
      <c r="J776" s="4"/>
      <c r="K776" s="4"/>
      <c r="L776" s="4"/>
      <c r="M776" s="4"/>
      <c r="N776" s="4"/>
      <c r="O776" s="4"/>
      <c r="P776" s="4"/>
      <c r="Q776" s="4"/>
      <c r="R776" s="4"/>
      <c r="S776" s="4"/>
      <c r="T776" s="4"/>
      <c r="U776" s="4"/>
      <c r="V776" s="4"/>
      <c r="W776" s="4"/>
      <c r="X776" s="4"/>
      <c r="Y776" s="4"/>
      <c r="Z776" s="4"/>
    </row>
    <row r="777" spans="1:26" ht="12.75">
      <c r="A777" s="4"/>
      <c r="B777" s="4"/>
      <c r="C777" s="15"/>
      <c r="D777" s="4"/>
      <c r="E777" s="4"/>
      <c r="F777" s="4"/>
      <c r="G777" s="4"/>
      <c r="H777" s="4"/>
      <c r="I777" s="4"/>
      <c r="J777" s="4"/>
      <c r="K777" s="4"/>
      <c r="L777" s="4"/>
      <c r="M777" s="4"/>
      <c r="N777" s="4"/>
      <c r="O777" s="4"/>
      <c r="P777" s="4"/>
      <c r="Q777" s="4"/>
      <c r="R777" s="4"/>
      <c r="S777" s="4"/>
      <c r="T777" s="4"/>
      <c r="U777" s="4"/>
      <c r="V777" s="4"/>
      <c r="W777" s="4"/>
      <c r="X777" s="4"/>
      <c r="Y777" s="4"/>
      <c r="Z777" s="4"/>
    </row>
    <row r="778" spans="1:26" ht="12.75">
      <c r="A778" s="4"/>
      <c r="B778" s="4"/>
      <c r="C778" s="15"/>
      <c r="D778" s="4"/>
      <c r="E778" s="4"/>
      <c r="F778" s="4"/>
      <c r="G778" s="4"/>
      <c r="H778" s="4"/>
      <c r="I778" s="4"/>
      <c r="J778" s="4"/>
      <c r="K778" s="4"/>
      <c r="L778" s="4"/>
      <c r="M778" s="4"/>
      <c r="N778" s="4"/>
      <c r="O778" s="4"/>
      <c r="P778" s="4"/>
      <c r="Q778" s="4"/>
      <c r="R778" s="4"/>
      <c r="S778" s="4"/>
      <c r="T778" s="4"/>
      <c r="U778" s="4"/>
      <c r="V778" s="4"/>
      <c r="W778" s="4"/>
      <c r="X778" s="4"/>
      <c r="Y778" s="4"/>
      <c r="Z778" s="4"/>
    </row>
    <row r="779" spans="1:26" ht="12.75">
      <c r="A779" s="4"/>
      <c r="B779" s="4"/>
      <c r="C779" s="15"/>
      <c r="D779" s="4"/>
      <c r="E779" s="4"/>
      <c r="F779" s="4"/>
      <c r="G779" s="4"/>
      <c r="H779" s="4"/>
      <c r="I779" s="4"/>
      <c r="J779" s="4"/>
      <c r="K779" s="4"/>
      <c r="L779" s="4"/>
      <c r="M779" s="4"/>
      <c r="N779" s="4"/>
      <c r="O779" s="4"/>
      <c r="P779" s="4"/>
      <c r="Q779" s="4"/>
      <c r="R779" s="4"/>
      <c r="S779" s="4"/>
      <c r="T779" s="4"/>
      <c r="U779" s="4"/>
      <c r="V779" s="4"/>
      <c r="W779" s="4"/>
      <c r="X779" s="4"/>
      <c r="Y779" s="4"/>
      <c r="Z779" s="4"/>
    </row>
    <row r="780" spans="1:26" ht="12.75">
      <c r="A780" s="4"/>
      <c r="B780" s="4"/>
      <c r="C780" s="15"/>
      <c r="D780" s="4"/>
      <c r="E780" s="4"/>
      <c r="F780" s="4"/>
      <c r="G780" s="4"/>
      <c r="H780" s="4"/>
      <c r="I780" s="4"/>
      <c r="J780" s="4"/>
      <c r="K780" s="4"/>
      <c r="L780" s="4"/>
      <c r="M780" s="4"/>
      <c r="N780" s="4"/>
      <c r="O780" s="4"/>
      <c r="P780" s="4"/>
      <c r="Q780" s="4"/>
      <c r="R780" s="4"/>
      <c r="S780" s="4"/>
      <c r="T780" s="4"/>
      <c r="U780" s="4"/>
      <c r="V780" s="4"/>
      <c r="W780" s="4"/>
      <c r="X780" s="4"/>
      <c r="Y780" s="4"/>
      <c r="Z780" s="4"/>
    </row>
    <row r="781" spans="1:26" ht="12.75">
      <c r="A781" s="4"/>
      <c r="B781" s="4"/>
      <c r="C781" s="15"/>
      <c r="D781" s="4"/>
      <c r="E781" s="4"/>
      <c r="F781" s="4"/>
      <c r="G781" s="4"/>
      <c r="H781" s="4"/>
      <c r="I781" s="4"/>
      <c r="J781" s="4"/>
      <c r="K781" s="4"/>
      <c r="L781" s="4"/>
      <c r="M781" s="4"/>
      <c r="N781" s="4"/>
      <c r="O781" s="4"/>
      <c r="P781" s="4"/>
      <c r="Q781" s="4"/>
      <c r="R781" s="4"/>
      <c r="S781" s="4"/>
      <c r="T781" s="4"/>
      <c r="U781" s="4"/>
      <c r="V781" s="4"/>
      <c r="W781" s="4"/>
      <c r="X781" s="4"/>
      <c r="Y781" s="4"/>
      <c r="Z781" s="4"/>
    </row>
    <row r="782" spans="1:26" ht="12.75">
      <c r="A782" s="4"/>
      <c r="B782" s="4"/>
      <c r="C782" s="15"/>
      <c r="D782" s="4"/>
      <c r="E782" s="4"/>
      <c r="F782" s="4"/>
      <c r="G782" s="4"/>
      <c r="H782" s="4"/>
      <c r="I782" s="4"/>
      <c r="J782" s="4"/>
      <c r="K782" s="4"/>
      <c r="L782" s="4"/>
      <c r="M782" s="4"/>
      <c r="N782" s="4"/>
      <c r="O782" s="4"/>
      <c r="P782" s="4"/>
      <c r="Q782" s="4"/>
      <c r="R782" s="4"/>
      <c r="S782" s="4"/>
      <c r="T782" s="4"/>
      <c r="U782" s="4"/>
      <c r="V782" s="4"/>
      <c r="W782" s="4"/>
      <c r="X782" s="4"/>
      <c r="Y782" s="4"/>
      <c r="Z782" s="4"/>
    </row>
    <row r="783" spans="1:26" ht="12.75">
      <c r="A783" s="4"/>
      <c r="B783" s="4"/>
      <c r="C783" s="15"/>
      <c r="D783" s="4"/>
      <c r="E783" s="4"/>
      <c r="F783" s="4"/>
      <c r="G783" s="4"/>
      <c r="H783" s="4"/>
      <c r="I783" s="4"/>
      <c r="J783" s="4"/>
      <c r="K783" s="4"/>
      <c r="L783" s="4"/>
      <c r="M783" s="4"/>
      <c r="N783" s="4"/>
      <c r="O783" s="4"/>
      <c r="P783" s="4"/>
      <c r="Q783" s="4"/>
      <c r="R783" s="4"/>
      <c r="S783" s="4"/>
      <c r="T783" s="4"/>
      <c r="U783" s="4"/>
      <c r="V783" s="4"/>
      <c r="W783" s="4"/>
      <c r="X783" s="4"/>
      <c r="Y783" s="4"/>
      <c r="Z783" s="4"/>
    </row>
    <row r="784" spans="1:26" ht="12.75">
      <c r="A784" s="4"/>
      <c r="B784" s="4"/>
      <c r="C784" s="15"/>
      <c r="D784" s="4"/>
      <c r="E784" s="4"/>
      <c r="F784" s="4"/>
      <c r="G784" s="4"/>
      <c r="H784" s="4"/>
      <c r="I784" s="4"/>
      <c r="J784" s="4"/>
      <c r="K784" s="4"/>
      <c r="L784" s="4"/>
      <c r="M784" s="4"/>
      <c r="N784" s="4"/>
      <c r="O784" s="4"/>
      <c r="P784" s="4"/>
      <c r="Q784" s="4"/>
      <c r="R784" s="4"/>
      <c r="S784" s="4"/>
      <c r="T784" s="4"/>
      <c r="U784" s="4"/>
      <c r="V784" s="4"/>
      <c r="W784" s="4"/>
      <c r="X784" s="4"/>
      <c r="Y784" s="4"/>
      <c r="Z784" s="4"/>
    </row>
    <row r="785" spans="1:26" ht="12.75">
      <c r="A785" s="4"/>
      <c r="B785" s="4"/>
      <c r="C785" s="15"/>
      <c r="D785" s="4"/>
      <c r="E785" s="4"/>
      <c r="F785" s="4"/>
      <c r="G785" s="4"/>
      <c r="H785" s="4"/>
      <c r="I785" s="4"/>
      <c r="J785" s="4"/>
      <c r="K785" s="4"/>
      <c r="L785" s="4"/>
      <c r="M785" s="4"/>
      <c r="N785" s="4"/>
      <c r="O785" s="4"/>
      <c r="P785" s="4"/>
      <c r="Q785" s="4"/>
      <c r="R785" s="4"/>
      <c r="S785" s="4"/>
      <c r="T785" s="4"/>
      <c r="U785" s="4"/>
      <c r="V785" s="4"/>
      <c r="W785" s="4"/>
      <c r="X785" s="4"/>
      <c r="Y785" s="4"/>
      <c r="Z785" s="4"/>
    </row>
    <row r="786" spans="1:26" ht="12.75">
      <c r="A786" s="4"/>
      <c r="B786" s="4"/>
      <c r="C786" s="15"/>
      <c r="D786" s="4"/>
      <c r="E786" s="4"/>
      <c r="F786" s="4"/>
      <c r="G786" s="4"/>
      <c r="H786" s="4"/>
      <c r="I786" s="4"/>
      <c r="J786" s="4"/>
      <c r="K786" s="4"/>
      <c r="L786" s="4"/>
      <c r="M786" s="4"/>
      <c r="N786" s="4"/>
      <c r="O786" s="4"/>
      <c r="P786" s="4"/>
      <c r="Q786" s="4"/>
      <c r="R786" s="4"/>
      <c r="S786" s="4"/>
      <c r="T786" s="4"/>
      <c r="U786" s="4"/>
      <c r="V786" s="4"/>
      <c r="W786" s="4"/>
      <c r="X786" s="4"/>
      <c r="Y786" s="4"/>
      <c r="Z786" s="4"/>
    </row>
    <row r="787" spans="1:26" ht="12.75">
      <c r="A787" s="4"/>
      <c r="B787" s="4"/>
      <c r="C787" s="15"/>
      <c r="D787" s="4"/>
      <c r="E787" s="4"/>
      <c r="F787" s="4"/>
      <c r="G787" s="4"/>
      <c r="H787" s="4"/>
      <c r="I787" s="4"/>
      <c r="J787" s="4"/>
      <c r="K787" s="4"/>
      <c r="L787" s="4"/>
      <c r="M787" s="4"/>
      <c r="N787" s="4"/>
      <c r="O787" s="4"/>
      <c r="P787" s="4"/>
      <c r="Q787" s="4"/>
      <c r="R787" s="4"/>
      <c r="S787" s="4"/>
      <c r="T787" s="4"/>
      <c r="U787" s="4"/>
      <c r="V787" s="4"/>
      <c r="W787" s="4"/>
      <c r="X787" s="4"/>
      <c r="Y787" s="4"/>
      <c r="Z787" s="4"/>
    </row>
    <row r="788" spans="1:26" ht="12.75">
      <c r="A788" s="4"/>
      <c r="B788" s="4"/>
      <c r="C788" s="15"/>
      <c r="D788" s="4"/>
      <c r="E788" s="4"/>
      <c r="F788" s="4"/>
      <c r="G788" s="4"/>
      <c r="H788" s="4"/>
      <c r="I788" s="4"/>
      <c r="J788" s="4"/>
      <c r="K788" s="4"/>
      <c r="L788" s="4"/>
      <c r="M788" s="4"/>
      <c r="N788" s="4"/>
      <c r="O788" s="4"/>
      <c r="P788" s="4"/>
      <c r="Q788" s="4"/>
      <c r="R788" s="4"/>
      <c r="S788" s="4"/>
      <c r="T788" s="4"/>
      <c r="U788" s="4"/>
      <c r="V788" s="4"/>
      <c r="W788" s="4"/>
      <c r="X788" s="4"/>
      <c r="Y788" s="4"/>
      <c r="Z788" s="4"/>
    </row>
    <row r="789" spans="1:26" ht="12.75">
      <c r="A789" s="4"/>
      <c r="B789" s="4"/>
      <c r="C789" s="15"/>
      <c r="D789" s="4"/>
      <c r="E789" s="4"/>
      <c r="F789" s="4"/>
      <c r="G789" s="4"/>
      <c r="H789" s="4"/>
      <c r="I789" s="4"/>
      <c r="J789" s="4"/>
      <c r="K789" s="4"/>
      <c r="L789" s="4"/>
      <c r="M789" s="4"/>
      <c r="N789" s="4"/>
      <c r="O789" s="4"/>
      <c r="P789" s="4"/>
      <c r="Q789" s="4"/>
      <c r="R789" s="4"/>
      <c r="S789" s="4"/>
      <c r="T789" s="4"/>
      <c r="U789" s="4"/>
      <c r="V789" s="4"/>
      <c r="W789" s="4"/>
      <c r="X789" s="4"/>
      <c r="Y789" s="4"/>
      <c r="Z789" s="4"/>
    </row>
    <row r="790" spans="1:26" ht="12.75">
      <c r="A790" s="4"/>
      <c r="B790" s="4"/>
      <c r="C790" s="15"/>
      <c r="D790" s="4"/>
      <c r="E790" s="4"/>
      <c r="F790" s="4"/>
      <c r="G790" s="4"/>
      <c r="H790" s="4"/>
      <c r="I790" s="4"/>
      <c r="J790" s="4"/>
      <c r="K790" s="4"/>
      <c r="L790" s="4"/>
      <c r="M790" s="4"/>
      <c r="N790" s="4"/>
      <c r="O790" s="4"/>
      <c r="P790" s="4"/>
      <c r="Q790" s="4"/>
      <c r="R790" s="4"/>
      <c r="S790" s="4"/>
      <c r="T790" s="4"/>
      <c r="U790" s="4"/>
      <c r="V790" s="4"/>
      <c r="W790" s="4"/>
      <c r="X790" s="4"/>
      <c r="Y790" s="4"/>
      <c r="Z790" s="4"/>
    </row>
    <row r="791" spans="1:26" ht="12.75">
      <c r="A791" s="4"/>
      <c r="B791" s="4"/>
      <c r="C791" s="15"/>
      <c r="D791" s="4"/>
      <c r="E791" s="4"/>
      <c r="F791" s="4"/>
      <c r="G791" s="4"/>
      <c r="H791" s="4"/>
      <c r="I791" s="4"/>
      <c r="J791" s="4"/>
      <c r="K791" s="4"/>
      <c r="L791" s="4"/>
      <c r="M791" s="4"/>
      <c r="N791" s="4"/>
      <c r="O791" s="4"/>
      <c r="P791" s="4"/>
      <c r="Q791" s="4"/>
      <c r="R791" s="4"/>
      <c r="S791" s="4"/>
      <c r="T791" s="4"/>
      <c r="U791" s="4"/>
      <c r="V791" s="4"/>
      <c r="W791" s="4"/>
      <c r="X791" s="4"/>
      <c r="Y791" s="4"/>
      <c r="Z791" s="4"/>
    </row>
    <row r="792" spans="1:26" ht="12.75">
      <c r="A792" s="4"/>
      <c r="B792" s="4"/>
      <c r="C792" s="15"/>
      <c r="D792" s="4"/>
      <c r="E792" s="4"/>
      <c r="F792" s="4"/>
      <c r="G792" s="4"/>
      <c r="H792" s="4"/>
      <c r="I792" s="4"/>
      <c r="J792" s="4"/>
      <c r="K792" s="4"/>
      <c r="L792" s="4"/>
      <c r="M792" s="4"/>
      <c r="N792" s="4"/>
      <c r="O792" s="4"/>
      <c r="P792" s="4"/>
      <c r="Q792" s="4"/>
      <c r="R792" s="4"/>
      <c r="S792" s="4"/>
      <c r="T792" s="4"/>
      <c r="U792" s="4"/>
      <c r="V792" s="4"/>
      <c r="W792" s="4"/>
      <c r="X792" s="4"/>
      <c r="Y792" s="4"/>
      <c r="Z792" s="4"/>
    </row>
    <row r="793" spans="1:26" ht="12.75">
      <c r="A793" s="4"/>
      <c r="B793" s="4"/>
      <c r="C793" s="15"/>
      <c r="D793" s="4"/>
      <c r="E793" s="4"/>
      <c r="F793" s="4"/>
      <c r="G793" s="4"/>
      <c r="H793" s="4"/>
      <c r="I793" s="4"/>
      <c r="J793" s="4"/>
      <c r="K793" s="4"/>
      <c r="L793" s="4"/>
      <c r="M793" s="4"/>
      <c r="N793" s="4"/>
      <c r="O793" s="4"/>
      <c r="P793" s="4"/>
      <c r="Q793" s="4"/>
      <c r="R793" s="4"/>
      <c r="S793" s="4"/>
      <c r="T793" s="4"/>
      <c r="U793" s="4"/>
      <c r="V793" s="4"/>
      <c r="W793" s="4"/>
      <c r="X793" s="4"/>
      <c r="Y793" s="4"/>
      <c r="Z793" s="4"/>
    </row>
    <row r="794" spans="1:26" ht="12.75">
      <c r="A794" s="4"/>
      <c r="B794" s="4"/>
      <c r="C794" s="15"/>
      <c r="D794" s="4"/>
      <c r="E794" s="4"/>
      <c r="F794" s="4"/>
      <c r="G794" s="4"/>
      <c r="H794" s="4"/>
      <c r="I794" s="4"/>
      <c r="J794" s="4"/>
      <c r="K794" s="4"/>
      <c r="L794" s="4"/>
      <c r="M794" s="4"/>
      <c r="N794" s="4"/>
      <c r="O794" s="4"/>
      <c r="P794" s="4"/>
      <c r="Q794" s="4"/>
      <c r="R794" s="4"/>
      <c r="S794" s="4"/>
      <c r="T794" s="4"/>
      <c r="U794" s="4"/>
      <c r="V794" s="4"/>
      <c r="W794" s="4"/>
      <c r="X794" s="4"/>
      <c r="Y794" s="4"/>
      <c r="Z794" s="4"/>
    </row>
    <row r="795" spans="1:26" ht="12.75">
      <c r="A795" s="4"/>
      <c r="B795" s="4"/>
      <c r="C795" s="15"/>
      <c r="D795" s="4"/>
      <c r="E795" s="4"/>
      <c r="F795" s="4"/>
      <c r="G795" s="4"/>
      <c r="H795" s="4"/>
      <c r="I795" s="4"/>
      <c r="J795" s="4"/>
      <c r="K795" s="4"/>
      <c r="L795" s="4"/>
      <c r="M795" s="4"/>
      <c r="N795" s="4"/>
      <c r="O795" s="4"/>
      <c r="P795" s="4"/>
      <c r="Q795" s="4"/>
      <c r="R795" s="4"/>
      <c r="S795" s="4"/>
      <c r="T795" s="4"/>
      <c r="U795" s="4"/>
      <c r="V795" s="4"/>
      <c r="W795" s="4"/>
      <c r="X795" s="4"/>
      <c r="Y795" s="4"/>
      <c r="Z795" s="4"/>
    </row>
    <row r="796" spans="1:26" ht="12.75">
      <c r="A796" s="4"/>
      <c r="B796" s="4"/>
      <c r="C796" s="15"/>
      <c r="D796" s="4"/>
      <c r="E796" s="4"/>
      <c r="F796" s="4"/>
      <c r="G796" s="4"/>
      <c r="H796" s="4"/>
      <c r="I796" s="4"/>
      <c r="J796" s="4"/>
      <c r="K796" s="4"/>
      <c r="L796" s="4"/>
      <c r="M796" s="4"/>
      <c r="N796" s="4"/>
      <c r="O796" s="4"/>
      <c r="P796" s="4"/>
      <c r="Q796" s="4"/>
      <c r="R796" s="4"/>
      <c r="S796" s="4"/>
      <c r="T796" s="4"/>
      <c r="U796" s="4"/>
      <c r="V796" s="4"/>
      <c r="W796" s="4"/>
      <c r="X796" s="4"/>
      <c r="Y796" s="4"/>
      <c r="Z796" s="4"/>
    </row>
    <row r="797" spans="1:26" ht="12.75">
      <c r="A797" s="4"/>
      <c r="B797" s="4"/>
      <c r="C797" s="15"/>
      <c r="D797" s="4"/>
      <c r="E797" s="4"/>
      <c r="F797" s="4"/>
      <c r="G797" s="4"/>
      <c r="H797" s="4"/>
      <c r="I797" s="4"/>
      <c r="J797" s="4"/>
      <c r="K797" s="4"/>
      <c r="L797" s="4"/>
      <c r="M797" s="4"/>
      <c r="N797" s="4"/>
      <c r="O797" s="4"/>
      <c r="P797" s="4"/>
      <c r="Q797" s="4"/>
      <c r="R797" s="4"/>
      <c r="S797" s="4"/>
      <c r="T797" s="4"/>
      <c r="U797" s="4"/>
      <c r="V797" s="4"/>
      <c r="W797" s="4"/>
      <c r="X797" s="4"/>
      <c r="Y797" s="4"/>
      <c r="Z797" s="4"/>
    </row>
    <row r="798" spans="1:26" ht="12.75">
      <c r="A798" s="4"/>
      <c r="B798" s="4"/>
      <c r="C798" s="15"/>
      <c r="D798" s="4"/>
      <c r="E798" s="4"/>
      <c r="F798" s="4"/>
      <c r="G798" s="4"/>
      <c r="H798" s="4"/>
      <c r="I798" s="4"/>
      <c r="J798" s="4"/>
      <c r="K798" s="4"/>
      <c r="L798" s="4"/>
      <c r="M798" s="4"/>
      <c r="N798" s="4"/>
      <c r="O798" s="4"/>
      <c r="P798" s="4"/>
      <c r="Q798" s="4"/>
      <c r="R798" s="4"/>
      <c r="S798" s="4"/>
      <c r="T798" s="4"/>
      <c r="U798" s="4"/>
      <c r="V798" s="4"/>
      <c r="W798" s="4"/>
      <c r="X798" s="4"/>
      <c r="Y798" s="4"/>
      <c r="Z798" s="4"/>
    </row>
    <row r="799" spans="1:26" ht="12.75">
      <c r="A799" s="4"/>
      <c r="B799" s="4"/>
      <c r="C799" s="15"/>
      <c r="D799" s="4"/>
      <c r="E799" s="4"/>
      <c r="F799" s="4"/>
      <c r="G799" s="4"/>
      <c r="H799" s="4"/>
      <c r="I799" s="4"/>
      <c r="J799" s="4"/>
      <c r="K799" s="4"/>
      <c r="L799" s="4"/>
      <c r="M799" s="4"/>
      <c r="N799" s="4"/>
      <c r="O799" s="4"/>
      <c r="P799" s="4"/>
      <c r="Q799" s="4"/>
      <c r="R799" s="4"/>
      <c r="S799" s="4"/>
      <c r="T799" s="4"/>
      <c r="U799" s="4"/>
      <c r="V799" s="4"/>
      <c r="W799" s="4"/>
      <c r="X799" s="4"/>
      <c r="Y799" s="4"/>
      <c r="Z799" s="4"/>
    </row>
    <row r="800" spans="1:26" ht="12.75">
      <c r="A800" s="4"/>
      <c r="B800" s="4"/>
      <c r="C800" s="15"/>
      <c r="D800" s="4"/>
      <c r="E800" s="4"/>
      <c r="F800" s="4"/>
      <c r="G800" s="4"/>
      <c r="H800" s="4"/>
      <c r="I800" s="4"/>
      <c r="J800" s="4"/>
      <c r="K800" s="4"/>
      <c r="L800" s="4"/>
      <c r="M800" s="4"/>
      <c r="N800" s="4"/>
      <c r="O800" s="4"/>
      <c r="P800" s="4"/>
      <c r="Q800" s="4"/>
      <c r="R800" s="4"/>
      <c r="S800" s="4"/>
      <c r="T800" s="4"/>
      <c r="U800" s="4"/>
      <c r="V800" s="4"/>
      <c r="W800" s="4"/>
      <c r="X800" s="4"/>
      <c r="Y800" s="4"/>
      <c r="Z800" s="4"/>
    </row>
    <row r="801" spans="1:26" ht="12.75">
      <c r="A801" s="4"/>
      <c r="B801" s="4"/>
      <c r="C801" s="15"/>
      <c r="D801" s="4"/>
      <c r="E801" s="4"/>
      <c r="F801" s="4"/>
      <c r="G801" s="4"/>
      <c r="H801" s="4"/>
      <c r="I801" s="4"/>
      <c r="J801" s="4"/>
      <c r="K801" s="4"/>
      <c r="L801" s="4"/>
      <c r="M801" s="4"/>
      <c r="N801" s="4"/>
      <c r="O801" s="4"/>
      <c r="P801" s="4"/>
      <c r="Q801" s="4"/>
      <c r="R801" s="4"/>
      <c r="S801" s="4"/>
      <c r="T801" s="4"/>
      <c r="U801" s="4"/>
      <c r="V801" s="4"/>
      <c r="W801" s="4"/>
      <c r="X801" s="4"/>
      <c r="Y801" s="4"/>
      <c r="Z801" s="4"/>
    </row>
    <row r="802" spans="1:26" ht="12.75">
      <c r="A802" s="4"/>
      <c r="B802" s="4"/>
      <c r="C802" s="15"/>
      <c r="D802" s="4"/>
      <c r="E802" s="4"/>
      <c r="F802" s="4"/>
      <c r="G802" s="4"/>
      <c r="H802" s="4"/>
      <c r="I802" s="4"/>
      <c r="J802" s="4"/>
      <c r="K802" s="4"/>
      <c r="L802" s="4"/>
      <c r="M802" s="4"/>
      <c r="N802" s="4"/>
      <c r="O802" s="4"/>
      <c r="P802" s="4"/>
      <c r="Q802" s="4"/>
      <c r="R802" s="4"/>
      <c r="S802" s="4"/>
      <c r="T802" s="4"/>
      <c r="U802" s="4"/>
      <c r="V802" s="4"/>
      <c r="W802" s="4"/>
      <c r="X802" s="4"/>
      <c r="Y802" s="4"/>
      <c r="Z802" s="4"/>
    </row>
    <row r="803" spans="1:26" ht="12.75">
      <c r="A803" s="4"/>
      <c r="B803" s="4"/>
      <c r="C803" s="15"/>
      <c r="D803" s="4"/>
      <c r="E803" s="4"/>
      <c r="F803" s="4"/>
      <c r="G803" s="4"/>
      <c r="H803" s="4"/>
      <c r="I803" s="4"/>
      <c r="J803" s="4"/>
      <c r="K803" s="4"/>
      <c r="L803" s="4"/>
      <c r="M803" s="4"/>
      <c r="N803" s="4"/>
      <c r="O803" s="4"/>
      <c r="P803" s="4"/>
      <c r="Q803" s="4"/>
      <c r="R803" s="4"/>
      <c r="S803" s="4"/>
      <c r="T803" s="4"/>
      <c r="U803" s="4"/>
      <c r="V803" s="4"/>
      <c r="W803" s="4"/>
      <c r="X803" s="4"/>
      <c r="Y803" s="4"/>
      <c r="Z803" s="4"/>
    </row>
    <row r="804" spans="1:26" ht="12.75">
      <c r="A804" s="4"/>
      <c r="B804" s="4"/>
      <c r="C804" s="15"/>
      <c r="D804" s="4"/>
      <c r="E804" s="4"/>
      <c r="F804" s="4"/>
      <c r="G804" s="4"/>
      <c r="H804" s="4"/>
      <c r="I804" s="4"/>
      <c r="J804" s="4"/>
      <c r="K804" s="4"/>
      <c r="L804" s="4"/>
      <c r="M804" s="4"/>
      <c r="N804" s="4"/>
      <c r="O804" s="4"/>
      <c r="P804" s="4"/>
      <c r="Q804" s="4"/>
      <c r="R804" s="4"/>
      <c r="S804" s="4"/>
      <c r="T804" s="4"/>
      <c r="U804" s="4"/>
      <c r="V804" s="4"/>
      <c r="W804" s="4"/>
      <c r="X804" s="4"/>
      <c r="Y804" s="4"/>
      <c r="Z804" s="4"/>
    </row>
    <row r="805" spans="1:26" ht="12.75">
      <c r="A805" s="4"/>
      <c r="B805" s="4"/>
      <c r="C805" s="15"/>
      <c r="D805" s="4"/>
      <c r="E805" s="4"/>
      <c r="F805" s="4"/>
      <c r="G805" s="4"/>
      <c r="H805" s="4"/>
      <c r="I805" s="4"/>
      <c r="J805" s="4"/>
      <c r="K805" s="4"/>
      <c r="L805" s="4"/>
      <c r="M805" s="4"/>
      <c r="N805" s="4"/>
      <c r="O805" s="4"/>
      <c r="P805" s="4"/>
      <c r="Q805" s="4"/>
      <c r="R805" s="4"/>
      <c r="S805" s="4"/>
      <c r="T805" s="4"/>
      <c r="U805" s="4"/>
      <c r="V805" s="4"/>
      <c r="W805" s="4"/>
      <c r="X805" s="4"/>
      <c r="Y805" s="4"/>
      <c r="Z805" s="4"/>
    </row>
    <row r="806" spans="1:26" ht="12.75">
      <c r="A806" s="4"/>
      <c r="B806" s="4"/>
      <c r="C806" s="15"/>
      <c r="D806" s="4"/>
      <c r="E806" s="4"/>
      <c r="F806" s="4"/>
      <c r="G806" s="4"/>
      <c r="H806" s="4"/>
      <c r="I806" s="4"/>
      <c r="J806" s="4"/>
      <c r="K806" s="4"/>
      <c r="L806" s="4"/>
      <c r="M806" s="4"/>
      <c r="N806" s="4"/>
      <c r="O806" s="4"/>
      <c r="P806" s="4"/>
      <c r="Q806" s="4"/>
      <c r="R806" s="4"/>
      <c r="S806" s="4"/>
      <c r="T806" s="4"/>
      <c r="U806" s="4"/>
      <c r="V806" s="4"/>
      <c r="W806" s="4"/>
      <c r="X806" s="4"/>
      <c r="Y806" s="4"/>
      <c r="Z806" s="4"/>
    </row>
    <row r="807" spans="1:26" ht="12.75">
      <c r="A807" s="4"/>
      <c r="B807" s="4"/>
      <c r="C807" s="15"/>
      <c r="D807" s="4"/>
      <c r="E807" s="4"/>
      <c r="F807" s="4"/>
      <c r="G807" s="4"/>
      <c r="H807" s="4"/>
      <c r="I807" s="4"/>
      <c r="J807" s="4"/>
      <c r="K807" s="4"/>
      <c r="L807" s="4"/>
      <c r="M807" s="4"/>
      <c r="N807" s="4"/>
      <c r="O807" s="4"/>
      <c r="P807" s="4"/>
      <c r="Q807" s="4"/>
      <c r="R807" s="4"/>
      <c r="S807" s="4"/>
      <c r="T807" s="4"/>
      <c r="U807" s="4"/>
      <c r="V807" s="4"/>
      <c r="W807" s="4"/>
      <c r="X807" s="4"/>
      <c r="Y807" s="4"/>
      <c r="Z807" s="4"/>
    </row>
    <row r="808" spans="1:26" ht="12.75">
      <c r="A808" s="4"/>
      <c r="B808" s="4"/>
      <c r="C808" s="15"/>
      <c r="D808" s="4"/>
      <c r="E808" s="4"/>
      <c r="F808" s="4"/>
      <c r="G808" s="4"/>
      <c r="H808" s="4"/>
      <c r="I808" s="4"/>
      <c r="J808" s="4"/>
      <c r="K808" s="4"/>
      <c r="L808" s="4"/>
      <c r="M808" s="4"/>
      <c r="N808" s="4"/>
      <c r="O808" s="4"/>
      <c r="P808" s="4"/>
      <c r="Q808" s="4"/>
      <c r="R808" s="4"/>
      <c r="S808" s="4"/>
      <c r="T808" s="4"/>
      <c r="U808" s="4"/>
      <c r="V808" s="4"/>
      <c r="W808" s="4"/>
      <c r="X808" s="4"/>
      <c r="Y808" s="4"/>
      <c r="Z808" s="4"/>
    </row>
    <row r="809" spans="1:26" ht="12.75">
      <c r="A809" s="4"/>
      <c r="B809" s="4"/>
      <c r="C809" s="15"/>
      <c r="D809" s="4"/>
      <c r="E809" s="4"/>
      <c r="F809" s="4"/>
      <c r="G809" s="4"/>
      <c r="H809" s="4"/>
      <c r="I809" s="4"/>
      <c r="J809" s="4"/>
      <c r="K809" s="4"/>
      <c r="L809" s="4"/>
      <c r="M809" s="4"/>
      <c r="N809" s="4"/>
      <c r="O809" s="4"/>
      <c r="P809" s="4"/>
      <c r="Q809" s="4"/>
      <c r="R809" s="4"/>
      <c r="S809" s="4"/>
      <c r="T809" s="4"/>
      <c r="U809" s="4"/>
      <c r="V809" s="4"/>
      <c r="W809" s="4"/>
      <c r="X809" s="4"/>
      <c r="Y809" s="4"/>
      <c r="Z809" s="4"/>
    </row>
    <row r="810" spans="1:26" ht="12.75">
      <c r="A810" s="4"/>
      <c r="B810" s="4"/>
      <c r="C810" s="15"/>
      <c r="D810" s="4"/>
      <c r="E810" s="4"/>
      <c r="F810" s="4"/>
      <c r="G810" s="4"/>
      <c r="H810" s="4"/>
      <c r="I810" s="4"/>
      <c r="J810" s="4"/>
      <c r="K810" s="4"/>
      <c r="L810" s="4"/>
      <c r="M810" s="4"/>
      <c r="N810" s="4"/>
      <c r="O810" s="4"/>
      <c r="P810" s="4"/>
      <c r="Q810" s="4"/>
      <c r="R810" s="4"/>
      <c r="S810" s="4"/>
      <c r="T810" s="4"/>
      <c r="U810" s="4"/>
      <c r="V810" s="4"/>
      <c r="W810" s="4"/>
      <c r="X810" s="4"/>
      <c r="Y810" s="4"/>
      <c r="Z810" s="4"/>
    </row>
    <row r="811" spans="1:26" ht="12.75">
      <c r="A811" s="4"/>
      <c r="B811" s="4"/>
      <c r="C811" s="15"/>
      <c r="D811" s="4"/>
      <c r="E811" s="4"/>
      <c r="F811" s="4"/>
      <c r="G811" s="4"/>
      <c r="H811" s="4"/>
      <c r="I811" s="4"/>
      <c r="J811" s="4"/>
      <c r="K811" s="4"/>
      <c r="L811" s="4"/>
      <c r="M811" s="4"/>
      <c r="N811" s="4"/>
      <c r="O811" s="4"/>
      <c r="P811" s="4"/>
      <c r="Q811" s="4"/>
      <c r="R811" s="4"/>
      <c r="S811" s="4"/>
      <c r="T811" s="4"/>
      <c r="U811" s="4"/>
      <c r="V811" s="4"/>
      <c r="W811" s="4"/>
      <c r="X811" s="4"/>
      <c r="Y811" s="4"/>
      <c r="Z811" s="4"/>
    </row>
    <row r="812" spans="1:26" ht="12.75">
      <c r="A812" s="4"/>
      <c r="B812" s="4"/>
      <c r="C812" s="15"/>
      <c r="D812" s="4"/>
      <c r="E812" s="4"/>
      <c r="F812" s="4"/>
      <c r="G812" s="4"/>
      <c r="H812" s="4"/>
      <c r="I812" s="4"/>
      <c r="J812" s="4"/>
      <c r="K812" s="4"/>
      <c r="L812" s="4"/>
      <c r="M812" s="4"/>
      <c r="N812" s="4"/>
      <c r="O812" s="4"/>
      <c r="P812" s="4"/>
      <c r="Q812" s="4"/>
      <c r="R812" s="4"/>
      <c r="S812" s="4"/>
      <c r="T812" s="4"/>
      <c r="U812" s="4"/>
      <c r="V812" s="4"/>
      <c r="W812" s="4"/>
      <c r="X812" s="4"/>
      <c r="Y812" s="4"/>
      <c r="Z812" s="4"/>
    </row>
    <row r="813" spans="1:26" ht="12.75">
      <c r="A813" s="4"/>
      <c r="B813" s="4"/>
      <c r="C813" s="15"/>
      <c r="D813" s="4"/>
      <c r="E813" s="4"/>
      <c r="F813" s="4"/>
      <c r="G813" s="4"/>
      <c r="H813" s="4"/>
      <c r="I813" s="4"/>
      <c r="J813" s="4"/>
      <c r="K813" s="4"/>
      <c r="L813" s="4"/>
      <c r="M813" s="4"/>
      <c r="N813" s="4"/>
      <c r="O813" s="4"/>
      <c r="P813" s="4"/>
      <c r="Q813" s="4"/>
      <c r="R813" s="4"/>
      <c r="S813" s="4"/>
      <c r="T813" s="4"/>
      <c r="U813" s="4"/>
      <c r="V813" s="4"/>
      <c r="W813" s="4"/>
      <c r="X813" s="4"/>
      <c r="Y813" s="4"/>
      <c r="Z813" s="4"/>
    </row>
    <row r="814" spans="1:26" ht="12.75">
      <c r="A814" s="4"/>
      <c r="B814" s="4"/>
      <c r="C814" s="15"/>
      <c r="D814" s="4"/>
      <c r="E814" s="4"/>
      <c r="F814" s="4"/>
      <c r="G814" s="4"/>
      <c r="H814" s="4"/>
      <c r="I814" s="4"/>
      <c r="J814" s="4"/>
      <c r="K814" s="4"/>
      <c r="L814" s="4"/>
      <c r="M814" s="4"/>
      <c r="N814" s="4"/>
      <c r="O814" s="4"/>
      <c r="P814" s="4"/>
      <c r="Q814" s="4"/>
      <c r="R814" s="4"/>
      <c r="S814" s="4"/>
      <c r="T814" s="4"/>
      <c r="U814" s="4"/>
      <c r="V814" s="4"/>
      <c r="W814" s="4"/>
      <c r="X814" s="4"/>
      <c r="Y814" s="4"/>
      <c r="Z814" s="4"/>
    </row>
    <row r="815" spans="1:26" ht="12.75">
      <c r="A815" s="4"/>
      <c r="B815" s="4"/>
      <c r="C815" s="15"/>
      <c r="D815" s="4"/>
      <c r="E815" s="4"/>
      <c r="F815" s="4"/>
      <c r="G815" s="4"/>
      <c r="H815" s="4"/>
      <c r="I815" s="4"/>
      <c r="J815" s="4"/>
      <c r="K815" s="4"/>
      <c r="L815" s="4"/>
      <c r="M815" s="4"/>
      <c r="N815" s="4"/>
      <c r="O815" s="4"/>
      <c r="P815" s="4"/>
      <c r="Q815" s="4"/>
      <c r="R815" s="4"/>
      <c r="S815" s="4"/>
      <c r="T815" s="4"/>
      <c r="U815" s="4"/>
      <c r="V815" s="4"/>
      <c r="W815" s="4"/>
      <c r="X815" s="4"/>
      <c r="Y815" s="4"/>
      <c r="Z815" s="4"/>
    </row>
    <row r="816" spans="1:26" ht="12.75">
      <c r="A816" s="4"/>
      <c r="B816" s="4"/>
      <c r="C816" s="15"/>
      <c r="D816" s="4"/>
      <c r="E816" s="4"/>
      <c r="F816" s="4"/>
      <c r="G816" s="4"/>
      <c r="H816" s="4"/>
      <c r="I816" s="4"/>
      <c r="J816" s="4"/>
      <c r="K816" s="4"/>
      <c r="L816" s="4"/>
      <c r="M816" s="4"/>
      <c r="N816" s="4"/>
      <c r="O816" s="4"/>
      <c r="P816" s="4"/>
      <c r="Q816" s="4"/>
      <c r="R816" s="4"/>
      <c r="S816" s="4"/>
      <c r="T816" s="4"/>
      <c r="U816" s="4"/>
      <c r="V816" s="4"/>
      <c r="W816" s="4"/>
      <c r="X816" s="4"/>
      <c r="Y816" s="4"/>
      <c r="Z816" s="4"/>
    </row>
    <row r="817" spans="1:26" ht="12.75">
      <c r="A817" s="4"/>
      <c r="B817" s="4"/>
      <c r="C817" s="15"/>
      <c r="D817" s="4"/>
      <c r="E817" s="4"/>
      <c r="F817" s="4"/>
      <c r="G817" s="4"/>
      <c r="H817" s="4"/>
      <c r="I817" s="4"/>
      <c r="J817" s="4"/>
      <c r="K817" s="4"/>
      <c r="L817" s="4"/>
      <c r="M817" s="4"/>
      <c r="N817" s="4"/>
      <c r="O817" s="4"/>
      <c r="P817" s="4"/>
      <c r="Q817" s="4"/>
      <c r="R817" s="4"/>
      <c r="S817" s="4"/>
      <c r="T817" s="4"/>
      <c r="U817" s="4"/>
      <c r="V817" s="4"/>
      <c r="W817" s="4"/>
      <c r="X817" s="4"/>
      <c r="Y817" s="4"/>
      <c r="Z817" s="4"/>
    </row>
    <row r="818" spans="1:26" ht="12.75">
      <c r="A818" s="4"/>
      <c r="B818" s="4"/>
      <c r="C818" s="15"/>
      <c r="D818" s="4"/>
      <c r="E818" s="4"/>
      <c r="F818" s="4"/>
      <c r="G818" s="4"/>
      <c r="H818" s="4"/>
      <c r="I818" s="4"/>
      <c r="J818" s="4"/>
      <c r="K818" s="4"/>
      <c r="L818" s="4"/>
      <c r="M818" s="4"/>
      <c r="N818" s="4"/>
      <c r="O818" s="4"/>
      <c r="P818" s="4"/>
      <c r="Q818" s="4"/>
      <c r="R818" s="4"/>
      <c r="S818" s="4"/>
      <c r="T818" s="4"/>
      <c r="U818" s="4"/>
      <c r="V818" s="4"/>
      <c r="W818" s="4"/>
      <c r="X818" s="4"/>
      <c r="Y818" s="4"/>
      <c r="Z818" s="4"/>
    </row>
    <row r="819" spans="1:26" ht="12.75">
      <c r="A819" s="4"/>
      <c r="B819" s="4"/>
      <c r="C819" s="15"/>
      <c r="D819" s="4"/>
      <c r="E819" s="4"/>
      <c r="F819" s="4"/>
      <c r="G819" s="4"/>
      <c r="H819" s="4"/>
      <c r="I819" s="4"/>
      <c r="J819" s="4"/>
      <c r="K819" s="4"/>
      <c r="L819" s="4"/>
      <c r="M819" s="4"/>
      <c r="N819" s="4"/>
      <c r="O819" s="4"/>
      <c r="P819" s="4"/>
      <c r="Q819" s="4"/>
      <c r="R819" s="4"/>
      <c r="S819" s="4"/>
      <c r="T819" s="4"/>
      <c r="U819" s="4"/>
      <c r="V819" s="4"/>
      <c r="W819" s="4"/>
      <c r="X819" s="4"/>
      <c r="Y819" s="4"/>
      <c r="Z819" s="4"/>
    </row>
    <row r="820" spans="1:26" ht="12.75">
      <c r="A820" s="4"/>
      <c r="B820" s="4"/>
      <c r="C820" s="15"/>
      <c r="D820" s="4"/>
      <c r="E820" s="4"/>
      <c r="F820" s="4"/>
      <c r="G820" s="4"/>
      <c r="H820" s="4"/>
      <c r="I820" s="4"/>
      <c r="J820" s="4"/>
      <c r="K820" s="4"/>
      <c r="L820" s="4"/>
      <c r="M820" s="4"/>
      <c r="N820" s="4"/>
      <c r="O820" s="4"/>
      <c r="P820" s="4"/>
      <c r="Q820" s="4"/>
      <c r="R820" s="4"/>
      <c r="S820" s="4"/>
      <c r="T820" s="4"/>
      <c r="U820" s="4"/>
      <c r="V820" s="4"/>
      <c r="W820" s="4"/>
      <c r="X820" s="4"/>
      <c r="Y820" s="4"/>
      <c r="Z820" s="4"/>
    </row>
    <row r="821" spans="1:26" ht="12.75">
      <c r="A821" s="4"/>
      <c r="B821" s="4"/>
      <c r="C821" s="15"/>
      <c r="D821" s="4"/>
      <c r="E821" s="4"/>
      <c r="F821" s="4"/>
      <c r="G821" s="4"/>
      <c r="H821" s="4"/>
      <c r="I821" s="4"/>
      <c r="J821" s="4"/>
      <c r="K821" s="4"/>
      <c r="L821" s="4"/>
      <c r="M821" s="4"/>
      <c r="N821" s="4"/>
      <c r="O821" s="4"/>
      <c r="P821" s="4"/>
      <c r="Q821" s="4"/>
      <c r="R821" s="4"/>
      <c r="S821" s="4"/>
      <c r="T821" s="4"/>
      <c r="U821" s="4"/>
      <c r="V821" s="4"/>
      <c r="W821" s="4"/>
      <c r="X821" s="4"/>
      <c r="Y821" s="4"/>
      <c r="Z821" s="4"/>
    </row>
    <row r="822" spans="1:26" ht="12.75">
      <c r="A822" s="4"/>
      <c r="B822" s="4"/>
      <c r="C822" s="15"/>
      <c r="D822" s="4"/>
      <c r="E822" s="4"/>
      <c r="F822" s="4"/>
      <c r="G822" s="4"/>
      <c r="H822" s="4"/>
      <c r="I822" s="4"/>
      <c r="J822" s="4"/>
      <c r="K822" s="4"/>
      <c r="L822" s="4"/>
      <c r="M822" s="4"/>
      <c r="N822" s="4"/>
      <c r="O822" s="4"/>
      <c r="P822" s="4"/>
      <c r="Q822" s="4"/>
      <c r="R822" s="4"/>
      <c r="S822" s="4"/>
      <c r="T822" s="4"/>
      <c r="U822" s="4"/>
      <c r="V822" s="4"/>
      <c r="W822" s="4"/>
      <c r="X822" s="4"/>
      <c r="Y822" s="4"/>
      <c r="Z822" s="4"/>
    </row>
    <row r="823" spans="1:26" ht="12.75">
      <c r="A823" s="4"/>
      <c r="B823" s="4"/>
      <c r="C823" s="15"/>
      <c r="D823" s="4"/>
      <c r="E823" s="4"/>
      <c r="F823" s="4"/>
      <c r="G823" s="4"/>
      <c r="H823" s="4"/>
      <c r="I823" s="4"/>
      <c r="J823" s="4"/>
      <c r="K823" s="4"/>
      <c r="L823" s="4"/>
      <c r="M823" s="4"/>
      <c r="N823" s="4"/>
      <c r="O823" s="4"/>
      <c r="P823" s="4"/>
      <c r="Q823" s="4"/>
      <c r="R823" s="4"/>
      <c r="S823" s="4"/>
      <c r="T823" s="4"/>
      <c r="U823" s="4"/>
      <c r="V823" s="4"/>
      <c r="W823" s="4"/>
      <c r="X823" s="4"/>
      <c r="Y823" s="4"/>
      <c r="Z823" s="4"/>
    </row>
    <row r="824" spans="1:26" ht="12.75">
      <c r="A824" s="4"/>
      <c r="B824" s="4"/>
      <c r="C824" s="15"/>
      <c r="D824" s="4"/>
      <c r="E824" s="4"/>
      <c r="F824" s="4"/>
      <c r="G824" s="4"/>
      <c r="H824" s="4"/>
      <c r="I824" s="4"/>
      <c r="J824" s="4"/>
      <c r="K824" s="4"/>
      <c r="L824" s="4"/>
      <c r="M824" s="4"/>
      <c r="N824" s="4"/>
      <c r="O824" s="4"/>
      <c r="P824" s="4"/>
      <c r="Q824" s="4"/>
      <c r="R824" s="4"/>
      <c r="S824" s="4"/>
      <c r="T824" s="4"/>
      <c r="U824" s="4"/>
      <c r="V824" s="4"/>
      <c r="W824" s="4"/>
      <c r="X824" s="4"/>
      <c r="Y824" s="4"/>
      <c r="Z824" s="4"/>
    </row>
    <row r="825" spans="1:26" ht="12.75">
      <c r="A825" s="4"/>
      <c r="B825" s="4"/>
      <c r="C825" s="15"/>
      <c r="D825" s="4"/>
      <c r="E825" s="4"/>
      <c r="F825" s="4"/>
      <c r="G825" s="4"/>
      <c r="H825" s="4"/>
      <c r="I825" s="4"/>
      <c r="J825" s="4"/>
      <c r="K825" s="4"/>
      <c r="L825" s="4"/>
      <c r="M825" s="4"/>
      <c r="N825" s="4"/>
      <c r="O825" s="4"/>
      <c r="P825" s="4"/>
      <c r="Q825" s="4"/>
      <c r="R825" s="4"/>
      <c r="S825" s="4"/>
      <c r="T825" s="4"/>
      <c r="U825" s="4"/>
      <c r="V825" s="4"/>
      <c r="W825" s="4"/>
      <c r="X825" s="4"/>
      <c r="Y825" s="4"/>
      <c r="Z825" s="4"/>
    </row>
    <row r="826" spans="1:26" ht="12.75">
      <c r="A826" s="4"/>
      <c r="B826" s="4"/>
      <c r="C826" s="15"/>
      <c r="D826" s="4"/>
      <c r="E826" s="4"/>
      <c r="F826" s="4"/>
      <c r="G826" s="4"/>
      <c r="H826" s="4"/>
      <c r="I826" s="4"/>
      <c r="J826" s="4"/>
      <c r="K826" s="4"/>
      <c r="L826" s="4"/>
      <c r="M826" s="4"/>
      <c r="N826" s="4"/>
      <c r="O826" s="4"/>
      <c r="P826" s="4"/>
      <c r="Q826" s="4"/>
      <c r="R826" s="4"/>
      <c r="S826" s="4"/>
      <c r="T826" s="4"/>
      <c r="U826" s="4"/>
      <c r="V826" s="4"/>
      <c r="W826" s="4"/>
      <c r="X826" s="4"/>
      <c r="Y826" s="4"/>
      <c r="Z826" s="4"/>
    </row>
    <row r="827" spans="1:26" ht="12.75">
      <c r="A827" s="4"/>
      <c r="B827" s="4"/>
      <c r="C827" s="15"/>
      <c r="D827" s="4"/>
      <c r="E827" s="4"/>
      <c r="F827" s="4"/>
      <c r="G827" s="4"/>
      <c r="H827" s="4"/>
      <c r="I827" s="4"/>
      <c r="J827" s="4"/>
      <c r="K827" s="4"/>
      <c r="L827" s="4"/>
      <c r="M827" s="4"/>
      <c r="N827" s="4"/>
      <c r="O827" s="4"/>
      <c r="P827" s="4"/>
      <c r="Q827" s="4"/>
      <c r="R827" s="4"/>
      <c r="S827" s="4"/>
      <c r="T827" s="4"/>
      <c r="U827" s="4"/>
      <c r="V827" s="4"/>
      <c r="W827" s="4"/>
      <c r="X827" s="4"/>
      <c r="Y827" s="4"/>
      <c r="Z827" s="4"/>
    </row>
    <row r="828" spans="1:26" ht="12.75">
      <c r="A828" s="4"/>
      <c r="B828" s="4"/>
      <c r="C828" s="15"/>
      <c r="D828" s="4"/>
      <c r="E828" s="4"/>
      <c r="F828" s="4"/>
      <c r="G828" s="4"/>
      <c r="H828" s="4"/>
      <c r="I828" s="4"/>
      <c r="J828" s="4"/>
      <c r="K828" s="4"/>
      <c r="L828" s="4"/>
      <c r="M828" s="4"/>
      <c r="N828" s="4"/>
      <c r="O828" s="4"/>
      <c r="P828" s="4"/>
      <c r="Q828" s="4"/>
      <c r="R828" s="4"/>
      <c r="S828" s="4"/>
      <c r="T828" s="4"/>
      <c r="U828" s="4"/>
      <c r="V828" s="4"/>
      <c r="W828" s="4"/>
      <c r="X828" s="4"/>
      <c r="Y828" s="4"/>
      <c r="Z828" s="4"/>
    </row>
    <row r="829" spans="1:26" ht="12.75">
      <c r="A829" s="4"/>
      <c r="B829" s="4"/>
      <c r="C829" s="15"/>
      <c r="D829" s="4"/>
      <c r="E829" s="4"/>
      <c r="F829" s="4"/>
      <c r="G829" s="4"/>
      <c r="H829" s="4"/>
      <c r="I829" s="4"/>
      <c r="J829" s="4"/>
      <c r="K829" s="4"/>
      <c r="L829" s="4"/>
      <c r="M829" s="4"/>
      <c r="N829" s="4"/>
      <c r="O829" s="4"/>
      <c r="P829" s="4"/>
      <c r="Q829" s="4"/>
      <c r="R829" s="4"/>
      <c r="S829" s="4"/>
      <c r="T829" s="4"/>
      <c r="U829" s="4"/>
      <c r="V829" s="4"/>
      <c r="W829" s="4"/>
      <c r="X829" s="4"/>
      <c r="Y829" s="4"/>
      <c r="Z829" s="4"/>
    </row>
    <row r="830" spans="1:26" ht="12.75">
      <c r="A830" s="4"/>
      <c r="B830" s="4"/>
      <c r="C830" s="15"/>
      <c r="D830" s="4"/>
      <c r="E830" s="4"/>
      <c r="F830" s="4"/>
      <c r="G830" s="4"/>
      <c r="H830" s="4"/>
      <c r="I830" s="4"/>
      <c r="J830" s="4"/>
      <c r="K830" s="4"/>
      <c r="L830" s="4"/>
      <c r="M830" s="4"/>
      <c r="N830" s="4"/>
      <c r="O830" s="4"/>
      <c r="P830" s="4"/>
      <c r="Q830" s="4"/>
      <c r="R830" s="4"/>
      <c r="S830" s="4"/>
      <c r="T830" s="4"/>
      <c r="U830" s="4"/>
      <c r="V830" s="4"/>
      <c r="W830" s="4"/>
      <c r="X830" s="4"/>
      <c r="Y830" s="4"/>
      <c r="Z830" s="4"/>
    </row>
    <row r="831" spans="1:26" ht="12.75">
      <c r="A831" s="4"/>
      <c r="B831" s="4"/>
      <c r="C831" s="15"/>
      <c r="D831" s="4"/>
      <c r="E831" s="4"/>
      <c r="F831" s="4"/>
      <c r="G831" s="4"/>
      <c r="H831" s="4"/>
      <c r="I831" s="4"/>
      <c r="J831" s="4"/>
      <c r="K831" s="4"/>
      <c r="L831" s="4"/>
      <c r="M831" s="4"/>
      <c r="N831" s="4"/>
      <c r="O831" s="4"/>
      <c r="P831" s="4"/>
      <c r="Q831" s="4"/>
      <c r="R831" s="4"/>
      <c r="S831" s="4"/>
      <c r="T831" s="4"/>
      <c r="U831" s="4"/>
      <c r="V831" s="4"/>
      <c r="W831" s="4"/>
      <c r="X831" s="4"/>
      <c r="Y831" s="4"/>
      <c r="Z831" s="4"/>
    </row>
    <row r="832" spans="1:26" ht="12.75">
      <c r="A832" s="4"/>
      <c r="B832" s="4"/>
      <c r="C832" s="15"/>
      <c r="D832" s="4"/>
      <c r="E832" s="4"/>
      <c r="F832" s="4"/>
      <c r="G832" s="4"/>
      <c r="H832" s="4"/>
      <c r="I832" s="4"/>
      <c r="J832" s="4"/>
      <c r="K832" s="4"/>
      <c r="L832" s="4"/>
      <c r="M832" s="4"/>
      <c r="N832" s="4"/>
      <c r="O832" s="4"/>
      <c r="P832" s="4"/>
      <c r="Q832" s="4"/>
      <c r="R832" s="4"/>
      <c r="S832" s="4"/>
      <c r="T832" s="4"/>
      <c r="U832" s="4"/>
      <c r="V832" s="4"/>
      <c r="W832" s="4"/>
      <c r="X832" s="4"/>
      <c r="Y832" s="4"/>
      <c r="Z832" s="4"/>
    </row>
    <row r="833" spans="1:26" ht="12.75">
      <c r="A833" s="4"/>
      <c r="B833" s="4"/>
      <c r="C833" s="15"/>
      <c r="D833" s="4"/>
      <c r="E833" s="4"/>
      <c r="F833" s="4"/>
      <c r="G833" s="4"/>
      <c r="H833" s="4"/>
      <c r="I833" s="4"/>
      <c r="J833" s="4"/>
      <c r="K833" s="4"/>
      <c r="L833" s="4"/>
      <c r="M833" s="4"/>
      <c r="N833" s="4"/>
      <c r="O833" s="4"/>
      <c r="P833" s="4"/>
      <c r="Q833" s="4"/>
      <c r="R833" s="4"/>
      <c r="S833" s="4"/>
      <c r="T833" s="4"/>
      <c r="U833" s="4"/>
      <c r="V833" s="4"/>
      <c r="W833" s="4"/>
      <c r="X833" s="4"/>
      <c r="Y833" s="4"/>
      <c r="Z833" s="4"/>
    </row>
    <row r="834" spans="1:26" ht="12.75">
      <c r="A834" s="4"/>
      <c r="B834" s="4"/>
      <c r="C834" s="15"/>
      <c r="D834" s="4"/>
      <c r="E834" s="4"/>
      <c r="F834" s="4"/>
      <c r="G834" s="4"/>
      <c r="H834" s="4"/>
      <c r="I834" s="4"/>
      <c r="J834" s="4"/>
      <c r="K834" s="4"/>
      <c r="L834" s="4"/>
      <c r="M834" s="4"/>
      <c r="N834" s="4"/>
      <c r="O834" s="4"/>
      <c r="P834" s="4"/>
      <c r="Q834" s="4"/>
      <c r="R834" s="4"/>
      <c r="S834" s="4"/>
      <c r="T834" s="4"/>
      <c r="U834" s="4"/>
      <c r="V834" s="4"/>
      <c r="W834" s="4"/>
      <c r="X834" s="4"/>
      <c r="Y834" s="4"/>
      <c r="Z834" s="4"/>
    </row>
    <row r="835" spans="1:26" ht="12.75">
      <c r="A835" s="4"/>
      <c r="B835" s="4"/>
      <c r="C835" s="15"/>
      <c r="D835" s="4"/>
      <c r="E835" s="4"/>
      <c r="F835" s="4"/>
      <c r="G835" s="4"/>
      <c r="H835" s="4"/>
      <c r="I835" s="4"/>
      <c r="J835" s="4"/>
      <c r="K835" s="4"/>
      <c r="L835" s="4"/>
      <c r="M835" s="4"/>
      <c r="N835" s="4"/>
      <c r="O835" s="4"/>
      <c r="P835" s="4"/>
      <c r="Q835" s="4"/>
      <c r="R835" s="4"/>
      <c r="S835" s="4"/>
      <c r="T835" s="4"/>
      <c r="U835" s="4"/>
      <c r="V835" s="4"/>
      <c r="W835" s="4"/>
      <c r="X835" s="4"/>
      <c r="Y835" s="4"/>
      <c r="Z835" s="4"/>
    </row>
    <row r="836" spans="1:26" ht="12.75">
      <c r="A836" s="4"/>
      <c r="B836" s="4"/>
      <c r="C836" s="15"/>
      <c r="D836" s="4"/>
      <c r="E836" s="4"/>
      <c r="F836" s="4"/>
      <c r="G836" s="4"/>
      <c r="H836" s="4"/>
      <c r="I836" s="4"/>
      <c r="J836" s="4"/>
      <c r="K836" s="4"/>
      <c r="L836" s="4"/>
      <c r="M836" s="4"/>
      <c r="N836" s="4"/>
      <c r="O836" s="4"/>
      <c r="P836" s="4"/>
      <c r="Q836" s="4"/>
      <c r="R836" s="4"/>
      <c r="S836" s="4"/>
      <c r="T836" s="4"/>
      <c r="U836" s="4"/>
      <c r="V836" s="4"/>
      <c r="W836" s="4"/>
      <c r="X836" s="4"/>
      <c r="Y836" s="4"/>
      <c r="Z836" s="4"/>
    </row>
    <row r="837" spans="1:26" ht="12.75">
      <c r="A837" s="4"/>
      <c r="B837" s="4"/>
      <c r="C837" s="15"/>
      <c r="D837" s="4"/>
      <c r="E837" s="4"/>
      <c r="F837" s="4"/>
      <c r="G837" s="4"/>
      <c r="H837" s="4"/>
      <c r="I837" s="4"/>
      <c r="J837" s="4"/>
      <c r="K837" s="4"/>
      <c r="L837" s="4"/>
      <c r="M837" s="4"/>
      <c r="N837" s="4"/>
      <c r="O837" s="4"/>
      <c r="P837" s="4"/>
      <c r="Q837" s="4"/>
      <c r="R837" s="4"/>
      <c r="S837" s="4"/>
      <c r="T837" s="4"/>
      <c r="U837" s="4"/>
      <c r="V837" s="4"/>
      <c r="W837" s="4"/>
      <c r="X837" s="4"/>
      <c r="Y837" s="4"/>
      <c r="Z837" s="4"/>
    </row>
    <row r="838" spans="1:26" ht="12.75">
      <c r="A838" s="4"/>
      <c r="B838" s="4"/>
      <c r="C838" s="15"/>
      <c r="D838" s="4"/>
      <c r="E838" s="4"/>
      <c r="F838" s="4"/>
      <c r="G838" s="4"/>
      <c r="H838" s="4"/>
      <c r="I838" s="4"/>
      <c r="J838" s="4"/>
      <c r="K838" s="4"/>
      <c r="L838" s="4"/>
      <c r="M838" s="4"/>
      <c r="N838" s="4"/>
      <c r="O838" s="4"/>
      <c r="P838" s="4"/>
      <c r="Q838" s="4"/>
      <c r="R838" s="4"/>
      <c r="S838" s="4"/>
      <c r="T838" s="4"/>
      <c r="U838" s="4"/>
      <c r="V838" s="4"/>
      <c r="W838" s="4"/>
      <c r="X838" s="4"/>
      <c r="Y838" s="4"/>
      <c r="Z838" s="4"/>
    </row>
    <row r="839" spans="1:26" ht="12.75">
      <c r="A839" s="4"/>
      <c r="B839" s="4"/>
      <c r="C839" s="15"/>
      <c r="D839" s="4"/>
      <c r="E839" s="4"/>
      <c r="F839" s="4"/>
      <c r="G839" s="4"/>
      <c r="H839" s="4"/>
      <c r="I839" s="4"/>
      <c r="J839" s="4"/>
      <c r="K839" s="4"/>
      <c r="L839" s="4"/>
      <c r="M839" s="4"/>
      <c r="N839" s="4"/>
      <c r="O839" s="4"/>
      <c r="P839" s="4"/>
      <c r="Q839" s="4"/>
      <c r="R839" s="4"/>
      <c r="S839" s="4"/>
      <c r="T839" s="4"/>
      <c r="U839" s="4"/>
      <c r="V839" s="4"/>
      <c r="W839" s="4"/>
      <c r="X839" s="4"/>
      <c r="Y839" s="4"/>
      <c r="Z839" s="4"/>
    </row>
    <row r="840" spans="1:26" ht="12.75">
      <c r="A840" s="4"/>
      <c r="B840" s="4"/>
      <c r="C840" s="15"/>
      <c r="D840" s="4"/>
      <c r="E840" s="4"/>
      <c r="F840" s="4"/>
      <c r="G840" s="4"/>
      <c r="H840" s="4"/>
      <c r="I840" s="4"/>
      <c r="J840" s="4"/>
      <c r="K840" s="4"/>
      <c r="L840" s="4"/>
      <c r="M840" s="4"/>
      <c r="N840" s="4"/>
      <c r="O840" s="4"/>
      <c r="P840" s="4"/>
      <c r="Q840" s="4"/>
      <c r="R840" s="4"/>
      <c r="S840" s="4"/>
      <c r="T840" s="4"/>
      <c r="U840" s="4"/>
      <c r="V840" s="4"/>
      <c r="W840" s="4"/>
      <c r="X840" s="4"/>
      <c r="Y840" s="4"/>
      <c r="Z840" s="4"/>
    </row>
    <row r="841" spans="1:26" ht="12.75">
      <c r="A841" s="4"/>
      <c r="B841" s="4"/>
      <c r="C841" s="15"/>
      <c r="D841" s="4"/>
      <c r="E841" s="4"/>
      <c r="F841" s="4"/>
      <c r="G841" s="4"/>
      <c r="H841" s="4"/>
      <c r="I841" s="4"/>
      <c r="J841" s="4"/>
      <c r="K841" s="4"/>
      <c r="L841" s="4"/>
      <c r="M841" s="4"/>
      <c r="N841" s="4"/>
      <c r="O841" s="4"/>
      <c r="P841" s="4"/>
      <c r="Q841" s="4"/>
      <c r="R841" s="4"/>
      <c r="S841" s="4"/>
      <c r="T841" s="4"/>
      <c r="U841" s="4"/>
      <c r="V841" s="4"/>
      <c r="W841" s="4"/>
      <c r="X841" s="4"/>
      <c r="Y841" s="4"/>
      <c r="Z841" s="4"/>
    </row>
    <row r="842" spans="1:26" ht="12.75">
      <c r="A842" s="4"/>
      <c r="B842" s="4"/>
      <c r="C842" s="15"/>
      <c r="D842" s="4"/>
      <c r="E842" s="4"/>
      <c r="F842" s="4"/>
      <c r="G842" s="4"/>
      <c r="H842" s="4"/>
      <c r="I842" s="4"/>
      <c r="J842" s="4"/>
      <c r="K842" s="4"/>
      <c r="L842" s="4"/>
      <c r="M842" s="4"/>
      <c r="N842" s="4"/>
      <c r="O842" s="4"/>
      <c r="P842" s="4"/>
      <c r="Q842" s="4"/>
      <c r="R842" s="4"/>
      <c r="S842" s="4"/>
      <c r="T842" s="4"/>
      <c r="U842" s="4"/>
      <c r="V842" s="4"/>
      <c r="W842" s="4"/>
      <c r="X842" s="4"/>
      <c r="Y842" s="4"/>
      <c r="Z842" s="4"/>
    </row>
    <row r="843" spans="1:26" ht="12.75">
      <c r="A843" s="4"/>
      <c r="B843" s="4"/>
      <c r="C843" s="15"/>
      <c r="D843" s="4"/>
      <c r="E843" s="4"/>
      <c r="F843" s="4"/>
      <c r="G843" s="4"/>
      <c r="H843" s="4"/>
      <c r="I843" s="4"/>
      <c r="J843" s="4"/>
      <c r="K843" s="4"/>
      <c r="L843" s="4"/>
      <c r="M843" s="4"/>
      <c r="N843" s="4"/>
      <c r="O843" s="4"/>
      <c r="P843" s="4"/>
      <c r="Q843" s="4"/>
      <c r="R843" s="4"/>
      <c r="S843" s="4"/>
      <c r="T843" s="4"/>
      <c r="U843" s="4"/>
      <c r="V843" s="4"/>
      <c r="W843" s="4"/>
      <c r="X843" s="4"/>
      <c r="Y843" s="4"/>
      <c r="Z843" s="4"/>
    </row>
    <row r="844" spans="1:26" ht="12.75">
      <c r="A844" s="4"/>
      <c r="B844" s="4"/>
      <c r="C844" s="15"/>
      <c r="D844" s="4"/>
      <c r="E844" s="4"/>
      <c r="F844" s="4"/>
      <c r="G844" s="4"/>
      <c r="H844" s="4"/>
      <c r="I844" s="4"/>
      <c r="J844" s="4"/>
      <c r="K844" s="4"/>
      <c r="L844" s="4"/>
      <c r="M844" s="4"/>
      <c r="N844" s="4"/>
      <c r="O844" s="4"/>
      <c r="P844" s="4"/>
      <c r="Q844" s="4"/>
      <c r="R844" s="4"/>
      <c r="S844" s="4"/>
      <c r="T844" s="4"/>
      <c r="U844" s="4"/>
      <c r="V844" s="4"/>
      <c r="W844" s="4"/>
      <c r="X844" s="4"/>
      <c r="Y844" s="4"/>
      <c r="Z844" s="4"/>
    </row>
    <row r="845" spans="1:26" ht="12.75">
      <c r="A845" s="4"/>
      <c r="B845" s="4"/>
      <c r="C845" s="15"/>
      <c r="D845" s="4"/>
      <c r="E845" s="4"/>
      <c r="F845" s="4"/>
      <c r="G845" s="4"/>
      <c r="H845" s="4"/>
      <c r="I845" s="4"/>
      <c r="J845" s="4"/>
      <c r="K845" s="4"/>
      <c r="L845" s="4"/>
      <c r="M845" s="4"/>
      <c r="N845" s="4"/>
      <c r="O845" s="4"/>
      <c r="P845" s="4"/>
      <c r="Q845" s="4"/>
      <c r="R845" s="4"/>
      <c r="S845" s="4"/>
      <c r="T845" s="4"/>
      <c r="U845" s="4"/>
      <c r="V845" s="4"/>
      <c r="W845" s="4"/>
      <c r="X845" s="4"/>
      <c r="Y845" s="4"/>
      <c r="Z845" s="4"/>
    </row>
    <row r="846" spans="1:26" ht="12.75">
      <c r="A846" s="4"/>
      <c r="B846" s="4"/>
      <c r="C846" s="15"/>
      <c r="D846" s="4"/>
      <c r="E846" s="4"/>
      <c r="F846" s="4"/>
      <c r="G846" s="4"/>
      <c r="H846" s="4"/>
      <c r="I846" s="4"/>
      <c r="J846" s="4"/>
      <c r="K846" s="4"/>
      <c r="L846" s="4"/>
      <c r="M846" s="4"/>
      <c r="N846" s="4"/>
      <c r="O846" s="4"/>
      <c r="P846" s="4"/>
      <c r="Q846" s="4"/>
      <c r="R846" s="4"/>
      <c r="S846" s="4"/>
      <c r="T846" s="4"/>
      <c r="U846" s="4"/>
      <c r="V846" s="4"/>
      <c r="W846" s="4"/>
      <c r="X846" s="4"/>
      <c r="Y846" s="4"/>
      <c r="Z846" s="4"/>
    </row>
    <row r="847" spans="1:26" ht="12.75">
      <c r="A847" s="4"/>
      <c r="B847" s="4"/>
      <c r="C847" s="15"/>
      <c r="D847" s="4"/>
      <c r="E847" s="4"/>
      <c r="F847" s="4"/>
      <c r="G847" s="4"/>
      <c r="H847" s="4"/>
      <c r="I847" s="4"/>
      <c r="J847" s="4"/>
      <c r="K847" s="4"/>
      <c r="L847" s="4"/>
      <c r="M847" s="4"/>
      <c r="N847" s="4"/>
      <c r="O847" s="4"/>
      <c r="P847" s="4"/>
      <c r="Q847" s="4"/>
      <c r="R847" s="4"/>
      <c r="S847" s="4"/>
      <c r="T847" s="4"/>
      <c r="U847" s="4"/>
      <c r="V847" s="4"/>
      <c r="W847" s="4"/>
      <c r="X847" s="4"/>
      <c r="Y847" s="4"/>
      <c r="Z847" s="4"/>
    </row>
    <row r="848" spans="1:26" ht="12.75">
      <c r="A848" s="4"/>
      <c r="B848" s="4"/>
      <c r="C848" s="15"/>
      <c r="D848" s="4"/>
      <c r="E848" s="4"/>
      <c r="F848" s="4"/>
      <c r="G848" s="4"/>
      <c r="H848" s="4"/>
      <c r="I848" s="4"/>
      <c r="J848" s="4"/>
      <c r="K848" s="4"/>
      <c r="L848" s="4"/>
      <c r="M848" s="4"/>
      <c r="N848" s="4"/>
      <c r="O848" s="4"/>
      <c r="P848" s="4"/>
      <c r="Q848" s="4"/>
      <c r="R848" s="4"/>
      <c r="S848" s="4"/>
      <c r="T848" s="4"/>
      <c r="U848" s="4"/>
      <c r="V848" s="4"/>
      <c r="W848" s="4"/>
      <c r="X848" s="4"/>
      <c r="Y848" s="4"/>
      <c r="Z848" s="4"/>
    </row>
    <row r="849" spans="1:26" ht="12.75">
      <c r="A849" s="4"/>
      <c r="B849" s="4"/>
      <c r="C849" s="15"/>
      <c r="D849" s="4"/>
      <c r="E849" s="4"/>
      <c r="F849" s="4"/>
      <c r="G849" s="4"/>
      <c r="H849" s="4"/>
      <c r="I849" s="4"/>
      <c r="J849" s="4"/>
      <c r="K849" s="4"/>
      <c r="L849" s="4"/>
      <c r="M849" s="4"/>
      <c r="N849" s="4"/>
      <c r="O849" s="4"/>
      <c r="P849" s="4"/>
      <c r="Q849" s="4"/>
      <c r="R849" s="4"/>
      <c r="S849" s="4"/>
      <c r="T849" s="4"/>
      <c r="U849" s="4"/>
      <c r="V849" s="4"/>
      <c r="W849" s="4"/>
      <c r="X849" s="4"/>
      <c r="Y849" s="4"/>
      <c r="Z849" s="4"/>
    </row>
    <row r="850" spans="1:26" ht="12.75">
      <c r="A850" s="4"/>
      <c r="B850" s="4"/>
      <c r="C850" s="15"/>
      <c r="D850" s="4"/>
      <c r="E850" s="4"/>
      <c r="F850" s="4"/>
      <c r="G850" s="4"/>
      <c r="H850" s="4"/>
      <c r="I850" s="4"/>
      <c r="J850" s="4"/>
      <c r="K850" s="4"/>
      <c r="L850" s="4"/>
      <c r="M850" s="4"/>
      <c r="N850" s="4"/>
      <c r="O850" s="4"/>
      <c r="P850" s="4"/>
      <c r="Q850" s="4"/>
      <c r="R850" s="4"/>
      <c r="S850" s="4"/>
      <c r="T850" s="4"/>
      <c r="U850" s="4"/>
      <c r="V850" s="4"/>
      <c r="W850" s="4"/>
      <c r="X850" s="4"/>
      <c r="Y850" s="4"/>
      <c r="Z850" s="4"/>
    </row>
    <row r="851" spans="1:26" ht="12.75">
      <c r="A851" s="4"/>
      <c r="B851" s="4"/>
      <c r="C851" s="15"/>
      <c r="D851" s="4"/>
      <c r="E851" s="4"/>
      <c r="F851" s="4"/>
      <c r="G851" s="4"/>
      <c r="H851" s="4"/>
      <c r="I851" s="4"/>
      <c r="J851" s="4"/>
      <c r="K851" s="4"/>
      <c r="L851" s="4"/>
      <c r="M851" s="4"/>
      <c r="N851" s="4"/>
      <c r="O851" s="4"/>
      <c r="P851" s="4"/>
      <c r="Q851" s="4"/>
      <c r="R851" s="4"/>
      <c r="S851" s="4"/>
      <c r="T851" s="4"/>
      <c r="U851" s="4"/>
      <c r="V851" s="4"/>
      <c r="W851" s="4"/>
      <c r="X851" s="4"/>
      <c r="Y851" s="4"/>
      <c r="Z851" s="4"/>
    </row>
    <row r="852" spans="1:26" ht="12.75">
      <c r="A852" s="4"/>
      <c r="B852" s="4"/>
      <c r="C852" s="15"/>
      <c r="D852" s="4"/>
      <c r="E852" s="4"/>
      <c r="F852" s="4"/>
      <c r="G852" s="4"/>
      <c r="H852" s="4"/>
      <c r="I852" s="4"/>
      <c r="J852" s="4"/>
      <c r="K852" s="4"/>
      <c r="L852" s="4"/>
      <c r="M852" s="4"/>
      <c r="N852" s="4"/>
      <c r="O852" s="4"/>
      <c r="P852" s="4"/>
      <c r="Q852" s="4"/>
      <c r="R852" s="4"/>
      <c r="S852" s="4"/>
      <c r="T852" s="4"/>
      <c r="U852" s="4"/>
      <c r="V852" s="4"/>
      <c r="W852" s="4"/>
      <c r="X852" s="4"/>
      <c r="Y852" s="4"/>
      <c r="Z852" s="4"/>
    </row>
    <row r="853" spans="1:26" ht="12.75">
      <c r="A853" s="4"/>
      <c r="B853" s="4"/>
      <c r="C853" s="15"/>
      <c r="D853" s="4"/>
      <c r="E853" s="4"/>
      <c r="F853" s="4"/>
      <c r="G853" s="4"/>
      <c r="H853" s="4"/>
      <c r="I853" s="4"/>
      <c r="J853" s="4"/>
      <c r="K853" s="4"/>
      <c r="L853" s="4"/>
      <c r="M853" s="4"/>
      <c r="N853" s="4"/>
      <c r="O853" s="4"/>
      <c r="P853" s="4"/>
      <c r="Q853" s="4"/>
      <c r="R853" s="4"/>
      <c r="S853" s="4"/>
      <c r="T853" s="4"/>
      <c r="U853" s="4"/>
      <c r="V853" s="4"/>
      <c r="W853" s="4"/>
      <c r="X853" s="4"/>
      <c r="Y853" s="4"/>
      <c r="Z853" s="4"/>
    </row>
    <row r="854" spans="1:26" ht="12.75">
      <c r="A854" s="4"/>
      <c r="B854" s="4"/>
      <c r="C854" s="15"/>
      <c r="D854" s="4"/>
      <c r="E854" s="4"/>
      <c r="F854" s="4"/>
      <c r="G854" s="4"/>
      <c r="H854" s="4"/>
      <c r="I854" s="4"/>
      <c r="J854" s="4"/>
      <c r="K854" s="4"/>
      <c r="L854" s="4"/>
      <c r="M854" s="4"/>
      <c r="N854" s="4"/>
      <c r="O854" s="4"/>
      <c r="P854" s="4"/>
      <c r="Q854" s="4"/>
      <c r="R854" s="4"/>
      <c r="S854" s="4"/>
      <c r="T854" s="4"/>
      <c r="U854" s="4"/>
      <c r="V854" s="4"/>
      <c r="W854" s="4"/>
      <c r="X854" s="4"/>
      <c r="Y854" s="4"/>
      <c r="Z854" s="4"/>
    </row>
    <row r="855" spans="1:26" ht="12.75">
      <c r="A855" s="4"/>
      <c r="B855" s="4"/>
      <c r="C855" s="15"/>
      <c r="D855" s="4"/>
      <c r="E855" s="4"/>
      <c r="F855" s="4"/>
      <c r="G855" s="4"/>
      <c r="H855" s="4"/>
      <c r="I855" s="4"/>
      <c r="J855" s="4"/>
      <c r="K855" s="4"/>
      <c r="L855" s="4"/>
      <c r="M855" s="4"/>
      <c r="N855" s="4"/>
      <c r="O855" s="4"/>
      <c r="P855" s="4"/>
      <c r="Q855" s="4"/>
      <c r="R855" s="4"/>
      <c r="S855" s="4"/>
      <c r="T855" s="4"/>
      <c r="U855" s="4"/>
      <c r="V855" s="4"/>
      <c r="W855" s="4"/>
      <c r="X855" s="4"/>
      <c r="Y855" s="4"/>
      <c r="Z855" s="4"/>
    </row>
    <row r="856" spans="1:26" ht="12.75">
      <c r="A856" s="4"/>
      <c r="B856" s="4"/>
      <c r="C856" s="15"/>
      <c r="D856" s="4"/>
      <c r="E856" s="4"/>
      <c r="F856" s="4"/>
      <c r="G856" s="4"/>
      <c r="H856" s="4"/>
      <c r="I856" s="4"/>
      <c r="J856" s="4"/>
      <c r="K856" s="4"/>
      <c r="L856" s="4"/>
      <c r="M856" s="4"/>
      <c r="N856" s="4"/>
      <c r="O856" s="4"/>
      <c r="P856" s="4"/>
      <c r="Q856" s="4"/>
      <c r="R856" s="4"/>
      <c r="S856" s="4"/>
      <c r="T856" s="4"/>
      <c r="U856" s="4"/>
      <c r="V856" s="4"/>
      <c r="W856" s="4"/>
      <c r="X856" s="4"/>
      <c r="Y856" s="4"/>
      <c r="Z856" s="4"/>
    </row>
    <row r="857" spans="1:26" ht="12.75">
      <c r="A857" s="4"/>
      <c r="B857" s="4"/>
      <c r="C857" s="15"/>
      <c r="D857" s="4"/>
      <c r="E857" s="4"/>
      <c r="F857" s="4"/>
      <c r="G857" s="4"/>
      <c r="H857" s="4"/>
      <c r="I857" s="4"/>
      <c r="J857" s="4"/>
      <c r="K857" s="4"/>
      <c r="L857" s="4"/>
      <c r="M857" s="4"/>
      <c r="N857" s="4"/>
      <c r="O857" s="4"/>
      <c r="P857" s="4"/>
      <c r="Q857" s="4"/>
      <c r="R857" s="4"/>
      <c r="S857" s="4"/>
      <c r="T857" s="4"/>
      <c r="U857" s="4"/>
      <c r="V857" s="4"/>
      <c r="W857" s="4"/>
      <c r="X857" s="4"/>
      <c r="Y857" s="4"/>
      <c r="Z857" s="4"/>
    </row>
    <row r="858" spans="1:26" ht="12.75">
      <c r="A858" s="4"/>
      <c r="B858" s="4"/>
      <c r="C858" s="15"/>
      <c r="D858" s="4"/>
      <c r="E858" s="4"/>
      <c r="F858" s="4"/>
      <c r="G858" s="4"/>
      <c r="H858" s="4"/>
      <c r="I858" s="4"/>
      <c r="J858" s="4"/>
      <c r="K858" s="4"/>
      <c r="L858" s="4"/>
      <c r="M858" s="4"/>
      <c r="N858" s="4"/>
      <c r="O858" s="4"/>
      <c r="P858" s="4"/>
      <c r="Q858" s="4"/>
      <c r="R858" s="4"/>
      <c r="S858" s="4"/>
      <c r="T858" s="4"/>
      <c r="U858" s="4"/>
      <c r="V858" s="4"/>
      <c r="W858" s="4"/>
      <c r="X858" s="4"/>
      <c r="Y858" s="4"/>
      <c r="Z858" s="4"/>
    </row>
    <row r="859" spans="1:26" ht="12.75">
      <c r="A859" s="4"/>
      <c r="B859" s="4"/>
      <c r="C859" s="15"/>
      <c r="D859" s="4"/>
      <c r="E859" s="4"/>
      <c r="F859" s="4"/>
      <c r="G859" s="4"/>
      <c r="H859" s="4"/>
      <c r="I859" s="4"/>
      <c r="J859" s="4"/>
      <c r="K859" s="4"/>
      <c r="L859" s="4"/>
      <c r="M859" s="4"/>
      <c r="N859" s="4"/>
      <c r="O859" s="4"/>
      <c r="P859" s="4"/>
      <c r="Q859" s="4"/>
      <c r="R859" s="4"/>
      <c r="S859" s="4"/>
      <c r="T859" s="4"/>
      <c r="U859" s="4"/>
      <c r="V859" s="4"/>
      <c r="W859" s="4"/>
      <c r="X859" s="4"/>
      <c r="Y859" s="4"/>
      <c r="Z859" s="4"/>
    </row>
    <row r="860" spans="1:26" ht="12.75">
      <c r="A860" s="4"/>
      <c r="B860" s="4"/>
      <c r="C860" s="15"/>
      <c r="D860" s="4"/>
      <c r="E860" s="4"/>
      <c r="F860" s="4"/>
      <c r="G860" s="4"/>
      <c r="H860" s="4"/>
      <c r="I860" s="4"/>
      <c r="J860" s="4"/>
      <c r="K860" s="4"/>
      <c r="L860" s="4"/>
      <c r="M860" s="4"/>
      <c r="N860" s="4"/>
      <c r="O860" s="4"/>
      <c r="P860" s="4"/>
      <c r="Q860" s="4"/>
      <c r="R860" s="4"/>
      <c r="S860" s="4"/>
      <c r="T860" s="4"/>
      <c r="U860" s="4"/>
      <c r="V860" s="4"/>
      <c r="W860" s="4"/>
      <c r="X860" s="4"/>
      <c r="Y860" s="4"/>
      <c r="Z860" s="4"/>
    </row>
    <row r="861" spans="1:26" ht="12.75">
      <c r="A861" s="4"/>
      <c r="B861" s="4"/>
      <c r="C861" s="15"/>
      <c r="D861" s="4"/>
      <c r="E861" s="4"/>
      <c r="F861" s="4"/>
      <c r="G861" s="4"/>
      <c r="H861" s="4"/>
      <c r="I861" s="4"/>
      <c r="J861" s="4"/>
      <c r="K861" s="4"/>
      <c r="L861" s="4"/>
      <c r="M861" s="4"/>
      <c r="N861" s="4"/>
      <c r="O861" s="4"/>
      <c r="P861" s="4"/>
      <c r="Q861" s="4"/>
      <c r="R861" s="4"/>
      <c r="S861" s="4"/>
      <c r="T861" s="4"/>
      <c r="U861" s="4"/>
      <c r="V861" s="4"/>
      <c r="W861" s="4"/>
      <c r="X861" s="4"/>
      <c r="Y861" s="4"/>
      <c r="Z861" s="4"/>
    </row>
    <row r="862" spans="1:26" ht="12.75">
      <c r="A862" s="4"/>
      <c r="B862" s="4"/>
      <c r="C862" s="15"/>
      <c r="D862" s="4"/>
      <c r="E862" s="4"/>
      <c r="F862" s="4"/>
      <c r="G862" s="4"/>
      <c r="H862" s="4"/>
      <c r="I862" s="4"/>
      <c r="J862" s="4"/>
      <c r="K862" s="4"/>
      <c r="L862" s="4"/>
      <c r="M862" s="4"/>
      <c r="N862" s="4"/>
      <c r="O862" s="4"/>
      <c r="P862" s="4"/>
      <c r="Q862" s="4"/>
      <c r="R862" s="4"/>
      <c r="S862" s="4"/>
      <c r="T862" s="4"/>
      <c r="U862" s="4"/>
      <c r="V862" s="4"/>
      <c r="W862" s="4"/>
      <c r="X862" s="4"/>
      <c r="Y862" s="4"/>
      <c r="Z862" s="4"/>
    </row>
    <row r="863" spans="1:26" ht="12.75">
      <c r="A863" s="4"/>
      <c r="B863" s="4"/>
      <c r="C863" s="15"/>
      <c r="D863" s="4"/>
      <c r="E863" s="4"/>
      <c r="F863" s="4"/>
      <c r="G863" s="4"/>
      <c r="H863" s="4"/>
      <c r="I863" s="4"/>
      <c r="J863" s="4"/>
      <c r="K863" s="4"/>
      <c r="L863" s="4"/>
      <c r="M863" s="4"/>
      <c r="N863" s="4"/>
      <c r="O863" s="4"/>
      <c r="P863" s="4"/>
      <c r="Q863" s="4"/>
      <c r="R863" s="4"/>
      <c r="S863" s="4"/>
      <c r="T863" s="4"/>
      <c r="U863" s="4"/>
      <c r="V863" s="4"/>
      <c r="W863" s="4"/>
      <c r="X863" s="4"/>
      <c r="Y863" s="4"/>
      <c r="Z863" s="4"/>
    </row>
    <row r="864" spans="1:26" ht="12.75">
      <c r="A864" s="4"/>
      <c r="B864" s="4"/>
      <c r="C864" s="15"/>
      <c r="D864" s="4"/>
      <c r="E864" s="4"/>
      <c r="F864" s="4"/>
      <c r="G864" s="4"/>
      <c r="H864" s="4"/>
      <c r="I864" s="4"/>
      <c r="J864" s="4"/>
      <c r="K864" s="4"/>
      <c r="L864" s="4"/>
      <c r="M864" s="4"/>
      <c r="N864" s="4"/>
      <c r="O864" s="4"/>
      <c r="P864" s="4"/>
      <c r="Q864" s="4"/>
      <c r="R864" s="4"/>
      <c r="S864" s="4"/>
      <c r="T864" s="4"/>
      <c r="U864" s="4"/>
      <c r="V864" s="4"/>
      <c r="W864" s="4"/>
      <c r="X864" s="4"/>
      <c r="Y864" s="4"/>
      <c r="Z864" s="4"/>
    </row>
    <row r="865" spans="1:26" ht="12.75">
      <c r="A865" s="4"/>
      <c r="B865" s="4"/>
      <c r="C865" s="15"/>
      <c r="D865" s="4"/>
      <c r="E865" s="4"/>
      <c r="F865" s="4"/>
      <c r="G865" s="4"/>
      <c r="H865" s="4"/>
      <c r="I865" s="4"/>
      <c r="J865" s="4"/>
      <c r="K865" s="4"/>
      <c r="L865" s="4"/>
      <c r="M865" s="4"/>
      <c r="N865" s="4"/>
      <c r="O865" s="4"/>
      <c r="P865" s="4"/>
      <c r="Q865" s="4"/>
      <c r="R865" s="4"/>
      <c r="S865" s="4"/>
      <c r="T865" s="4"/>
      <c r="U865" s="4"/>
      <c r="V865" s="4"/>
      <c r="W865" s="4"/>
      <c r="X865" s="4"/>
      <c r="Y865" s="4"/>
      <c r="Z865" s="4"/>
    </row>
    <row r="866" spans="1:26" ht="12.75">
      <c r="A866" s="4"/>
      <c r="B866" s="4"/>
      <c r="C866" s="15"/>
      <c r="D866" s="4"/>
      <c r="E866" s="4"/>
      <c r="F866" s="4"/>
      <c r="G866" s="4"/>
      <c r="H866" s="4"/>
      <c r="I866" s="4"/>
      <c r="J866" s="4"/>
      <c r="K866" s="4"/>
      <c r="L866" s="4"/>
      <c r="M866" s="4"/>
      <c r="N866" s="4"/>
      <c r="O866" s="4"/>
      <c r="P866" s="4"/>
      <c r="Q866" s="4"/>
      <c r="R866" s="4"/>
      <c r="S866" s="4"/>
      <c r="T866" s="4"/>
      <c r="U866" s="4"/>
      <c r="V866" s="4"/>
      <c r="W866" s="4"/>
      <c r="X866" s="4"/>
      <c r="Y866" s="4"/>
      <c r="Z866" s="4"/>
    </row>
    <row r="867" spans="1:26" ht="12.75">
      <c r="A867" s="4"/>
      <c r="B867" s="4"/>
      <c r="C867" s="15"/>
      <c r="D867" s="4"/>
      <c r="E867" s="4"/>
      <c r="F867" s="4"/>
      <c r="G867" s="4"/>
      <c r="H867" s="4"/>
      <c r="I867" s="4"/>
      <c r="J867" s="4"/>
      <c r="K867" s="4"/>
      <c r="L867" s="4"/>
      <c r="M867" s="4"/>
      <c r="N867" s="4"/>
      <c r="O867" s="4"/>
      <c r="P867" s="4"/>
      <c r="Q867" s="4"/>
      <c r="R867" s="4"/>
      <c r="S867" s="4"/>
      <c r="T867" s="4"/>
      <c r="U867" s="4"/>
      <c r="V867" s="4"/>
      <c r="W867" s="4"/>
      <c r="X867" s="4"/>
      <c r="Y867" s="4"/>
      <c r="Z867" s="4"/>
    </row>
    <row r="868" spans="1:26" ht="12.75">
      <c r="A868" s="4"/>
      <c r="B868" s="4"/>
      <c r="C868" s="15"/>
      <c r="D868" s="4"/>
      <c r="E868" s="4"/>
      <c r="F868" s="4"/>
      <c r="G868" s="4"/>
      <c r="H868" s="4"/>
      <c r="I868" s="4"/>
      <c r="J868" s="4"/>
      <c r="K868" s="4"/>
      <c r="L868" s="4"/>
      <c r="M868" s="4"/>
      <c r="N868" s="4"/>
      <c r="O868" s="4"/>
      <c r="P868" s="4"/>
      <c r="Q868" s="4"/>
      <c r="R868" s="4"/>
      <c r="S868" s="4"/>
      <c r="T868" s="4"/>
      <c r="U868" s="4"/>
      <c r="V868" s="4"/>
      <c r="W868" s="4"/>
      <c r="X868" s="4"/>
      <c r="Y868" s="4"/>
      <c r="Z868" s="4"/>
    </row>
    <row r="869" spans="1:26" ht="12.75">
      <c r="A869" s="4"/>
      <c r="B869" s="4"/>
      <c r="C869" s="15"/>
      <c r="D869" s="4"/>
      <c r="E869" s="4"/>
      <c r="F869" s="4"/>
      <c r="G869" s="4"/>
      <c r="H869" s="4"/>
      <c r="I869" s="4"/>
      <c r="J869" s="4"/>
      <c r="K869" s="4"/>
      <c r="L869" s="4"/>
      <c r="M869" s="4"/>
      <c r="N869" s="4"/>
      <c r="O869" s="4"/>
      <c r="P869" s="4"/>
      <c r="Q869" s="4"/>
      <c r="R869" s="4"/>
      <c r="S869" s="4"/>
      <c r="T869" s="4"/>
      <c r="U869" s="4"/>
      <c r="V869" s="4"/>
      <c r="W869" s="4"/>
      <c r="X869" s="4"/>
      <c r="Y869" s="4"/>
      <c r="Z869" s="4"/>
    </row>
    <row r="870" spans="1:26" ht="12.75">
      <c r="A870" s="4"/>
      <c r="B870" s="4"/>
      <c r="C870" s="15"/>
      <c r="D870" s="4"/>
      <c r="E870" s="4"/>
      <c r="F870" s="4"/>
      <c r="G870" s="4"/>
      <c r="H870" s="4"/>
      <c r="I870" s="4"/>
      <c r="J870" s="4"/>
      <c r="K870" s="4"/>
      <c r="L870" s="4"/>
      <c r="M870" s="4"/>
      <c r="N870" s="4"/>
      <c r="O870" s="4"/>
      <c r="P870" s="4"/>
      <c r="Q870" s="4"/>
      <c r="R870" s="4"/>
      <c r="S870" s="4"/>
      <c r="T870" s="4"/>
      <c r="U870" s="4"/>
      <c r="V870" s="4"/>
      <c r="W870" s="4"/>
      <c r="X870" s="4"/>
      <c r="Y870" s="4"/>
      <c r="Z870" s="4"/>
    </row>
    <row r="871" spans="1:26" ht="12.75">
      <c r="A871" s="4"/>
      <c r="B871" s="4"/>
      <c r="C871" s="15"/>
      <c r="D871" s="4"/>
      <c r="E871" s="4"/>
      <c r="F871" s="4"/>
      <c r="G871" s="4"/>
      <c r="H871" s="4"/>
      <c r="I871" s="4"/>
      <c r="J871" s="4"/>
      <c r="K871" s="4"/>
      <c r="L871" s="4"/>
      <c r="M871" s="4"/>
      <c r="N871" s="4"/>
      <c r="O871" s="4"/>
      <c r="P871" s="4"/>
      <c r="Q871" s="4"/>
      <c r="R871" s="4"/>
      <c r="S871" s="4"/>
      <c r="T871" s="4"/>
      <c r="U871" s="4"/>
      <c r="V871" s="4"/>
      <c r="W871" s="4"/>
      <c r="X871" s="4"/>
      <c r="Y871" s="4"/>
      <c r="Z871" s="4"/>
    </row>
    <row r="872" spans="1:26" ht="12.75">
      <c r="A872" s="4"/>
      <c r="B872" s="4"/>
      <c r="C872" s="15"/>
      <c r="D872" s="4"/>
      <c r="E872" s="4"/>
      <c r="F872" s="4"/>
      <c r="G872" s="4"/>
      <c r="H872" s="4"/>
      <c r="I872" s="4"/>
      <c r="J872" s="4"/>
      <c r="K872" s="4"/>
      <c r="L872" s="4"/>
      <c r="M872" s="4"/>
      <c r="N872" s="4"/>
      <c r="O872" s="4"/>
      <c r="P872" s="4"/>
      <c r="Q872" s="4"/>
      <c r="R872" s="4"/>
      <c r="S872" s="4"/>
      <c r="T872" s="4"/>
      <c r="U872" s="4"/>
      <c r="V872" s="4"/>
      <c r="W872" s="4"/>
      <c r="X872" s="4"/>
      <c r="Y872" s="4"/>
      <c r="Z872" s="4"/>
    </row>
    <row r="873" spans="1:26" ht="12.75">
      <c r="A873" s="4"/>
      <c r="B873" s="4"/>
      <c r="C873" s="15"/>
      <c r="D873" s="4"/>
      <c r="E873" s="4"/>
      <c r="F873" s="4"/>
      <c r="G873" s="4"/>
      <c r="H873" s="4"/>
      <c r="I873" s="4"/>
      <c r="J873" s="4"/>
      <c r="K873" s="4"/>
      <c r="L873" s="4"/>
      <c r="M873" s="4"/>
      <c r="N873" s="4"/>
      <c r="O873" s="4"/>
      <c r="P873" s="4"/>
      <c r="Q873" s="4"/>
      <c r="R873" s="4"/>
      <c r="S873" s="4"/>
      <c r="T873" s="4"/>
      <c r="U873" s="4"/>
      <c r="V873" s="4"/>
      <c r="W873" s="4"/>
      <c r="X873" s="4"/>
      <c r="Y873" s="4"/>
      <c r="Z873" s="4"/>
    </row>
    <row r="874" spans="1:26" ht="12.75">
      <c r="A874" s="4"/>
      <c r="B874" s="4"/>
      <c r="C874" s="15"/>
      <c r="D874" s="4"/>
      <c r="E874" s="4"/>
      <c r="F874" s="4"/>
      <c r="G874" s="4"/>
      <c r="H874" s="4"/>
      <c r="I874" s="4"/>
      <c r="J874" s="4"/>
      <c r="K874" s="4"/>
      <c r="L874" s="4"/>
      <c r="M874" s="4"/>
      <c r="N874" s="4"/>
      <c r="O874" s="4"/>
      <c r="P874" s="4"/>
      <c r="Q874" s="4"/>
      <c r="R874" s="4"/>
      <c r="S874" s="4"/>
      <c r="T874" s="4"/>
      <c r="U874" s="4"/>
      <c r="V874" s="4"/>
      <c r="W874" s="4"/>
      <c r="X874" s="4"/>
      <c r="Y874" s="4"/>
      <c r="Z874" s="4"/>
    </row>
    <row r="875" spans="1:26" ht="12.75">
      <c r="A875" s="4"/>
      <c r="B875" s="4"/>
      <c r="C875" s="15"/>
      <c r="D875" s="4"/>
      <c r="E875" s="4"/>
      <c r="F875" s="4"/>
      <c r="G875" s="4"/>
      <c r="H875" s="4"/>
      <c r="I875" s="4"/>
      <c r="J875" s="4"/>
      <c r="K875" s="4"/>
      <c r="L875" s="4"/>
      <c r="M875" s="4"/>
      <c r="N875" s="4"/>
      <c r="O875" s="4"/>
      <c r="P875" s="4"/>
      <c r="Q875" s="4"/>
      <c r="R875" s="4"/>
      <c r="S875" s="4"/>
      <c r="T875" s="4"/>
      <c r="U875" s="4"/>
      <c r="V875" s="4"/>
      <c r="W875" s="4"/>
      <c r="X875" s="4"/>
      <c r="Y875" s="4"/>
      <c r="Z875" s="4"/>
    </row>
    <row r="876" spans="1:26" ht="12.75">
      <c r="A876" s="4"/>
      <c r="B876" s="4"/>
      <c r="C876" s="15"/>
      <c r="D876" s="4"/>
      <c r="E876" s="4"/>
      <c r="F876" s="4"/>
      <c r="G876" s="4"/>
      <c r="H876" s="4"/>
      <c r="I876" s="4"/>
      <c r="J876" s="4"/>
      <c r="K876" s="4"/>
      <c r="L876" s="4"/>
      <c r="M876" s="4"/>
      <c r="N876" s="4"/>
      <c r="O876" s="4"/>
      <c r="P876" s="4"/>
      <c r="Q876" s="4"/>
      <c r="R876" s="4"/>
      <c r="S876" s="4"/>
      <c r="T876" s="4"/>
      <c r="U876" s="4"/>
      <c r="V876" s="4"/>
      <c r="W876" s="4"/>
      <c r="X876" s="4"/>
      <c r="Y876" s="4"/>
      <c r="Z876" s="4"/>
    </row>
    <row r="877" spans="1:26" ht="12.75">
      <c r="A877" s="4"/>
      <c r="B877" s="4"/>
      <c r="C877" s="15"/>
      <c r="D877" s="4"/>
      <c r="E877" s="4"/>
      <c r="F877" s="4"/>
      <c r="G877" s="4"/>
      <c r="H877" s="4"/>
      <c r="I877" s="4"/>
      <c r="J877" s="4"/>
      <c r="K877" s="4"/>
      <c r="L877" s="4"/>
      <c r="M877" s="4"/>
      <c r="N877" s="4"/>
      <c r="O877" s="4"/>
      <c r="P877" s="4"/>
      <c r="Q877" s="4"/>
      <c r="R877" s="4"/>
      <c r="S877" s="4"/>
      <c r="T877" s="4"/>
      <c r="U877" s="4"/>
      <c r="V877" s="4"/>
      <c r="W877" s="4"/>
      <c r="X877" s="4"/>
      <c r="Y877" s="4"/>
      <c r="Z877" s="4"/>
    </row>
    <row r="878" spans="1:26" ht="12.75">
      <c r="A878" s="4"/>
      <c r="B878" s="4"/>
      <c r="C878" s="15"/>
      <c r="D878" s="4"/>
      <c r="E878" s="4"/>
      <c r="F878" s="4"/>
      <c r="G878" s="4"/>
      <c r="H878" s="4"/>
      <c r="I878" s="4"/>
      <c r="J878" s="4"/>
      <c r="K878" s="4"/>
      <c r="L878" s="4"/>
      <c r="M878" s="4"/>
      <c r="N878" s="4"/>
      <c r="O878" s="4"/>
      <c r="P878" s="4"/>
      <c r="Q878" s="4"/>
      <c r="R878" s="4"/>
      <c r="S878" s="4"/>
      <c r="T878" s="4"/>
      <c r="U878" s="4"/>
      <c r="V878" s="4"/>
      <c r="W878" s="4"/>
      <c r="X878" s="4"/>
      <c r="Y878" s="4"/>
      <c r="Z878" s="4"/>
    </row>
    <row r="879" spans="1:26" ht="12.75">
      <c r="A879" s="4"/>
      <c r="B879" s="4"/>
      <c r="C879" s="15"/>
      <c r="D879" s="4"/>
      <c r="E879" s="4"/>
      <c r="F879" s="4"/>
      <c r="G879" s="4"/>
      <c r="H879" s="4"/>
      <c r="I879" s="4"/>
      <c r="J879" s="4"/>
      <c r="K879" s="4"/>
      <c r="L879" s="4"/>
      <c r="M879" s="4"/>
      <c r="N879" s="4"/>
      <c r="O879" s="4"/>
      <c r="P879" s="4"/>
      <c r="Q879" s="4"/>
      <c r="R879" s="4"/>
      <c r="S879" s="4"/>
      <c r="T879" s="4"/>
      <c r="U879" s="4"/>
      <c r="V879" s="4"/>
      <c r="W879" s="4"/>
      <c r="X879" s="4"/>
      <c r="Y879" s="4"/>
      <c r="Z879" s="4"/>
    </row>
    <row r="880" spans="1:26" ht="12.75">
      <c r="A880" s="4"/>
      <c r="B880" s="4"/>
      <c r="C880" s="15"/>
      <c r="D880" s="4"/>
      <c r="E880" s="4"/>
      <c r="F880" s="4"/>
      <c r="G880" s="4"/>
      <c r="H880" s="4"/>
      <c r="I880" s="4"/>
      <c r="J880" s="4"/>
      <c r="K880" s="4"/>
      <c r="L880" s="4"/>
      <c r="M880" s="4"/>
      <c r="N880" s="4"/>
      <c r="O880" s="4"/>
      <c r="P880" s="4"/>
      <c r="Q880" s="4"/>
      <c r="R880" s="4"/>
      <c r="S880" s="4"/>
      <c r="T880" s="4"/>
      <c r="U880" s="4"/>
      <c r="V880" s="4"/>
      <c r="W880" s="4"/>
      <c r="X880" s="4"/>
      <c r="Y880" s="4"/>
      <c r="Z880" s="4"/>
    </row>
    <row r="881" spans="1:26" ht="12.75">
      <c r="A881" s="4"/>
      <c r="B881" s="4"/>
      <c r="C881" s="15"/>
      <c r="D881" s="4"/>
      <c r="E881" s="4"/>
      <c r="F881" s="4"/>
      <c r="G881" s="4"/>
      <c r="H881" s="4"/>
      <c r="I881" s="4"/>
      <c r="J881" s="4"/>
      <c r="K881" s="4"/>
      <c r="L881" s="4"/>
      <c r="M881" s="4"/>
      <c r="N881" s="4"/>
      <c r="O881" s="4"/>
      <c r="P881" s="4"/>
      <c r="Q881" s="4"/>
      <c r="R881" s="4"/>
      <c r="S881" s="4"/>
      <c r="T881" s="4"/>
      <c r="U881" s="4"/>
      <c r="V881" s="4"/>
      <c r="W881" s="4"/>
      <c r="X881" s="4"/>
      <c r="Y881" s="4"/>
      <c r="Z881" s="4"/>
    </row>
    <row r="882" spans="1:26" ht="12.75">
      <c r="A882" s="4"/>
      <c r="B882" s="4"/>
      <c r="C882" s="15"/>
      <c r="D882" s="4"/>
      <c r="E882" s="4"/>
      <c r="F882" s="4"/>
      <c r="G882" s="4"/>
      <c r="H882" s="4"/>
      <c r="I882" s="4"/>
      <c r="J882" s="4"/>
      <c r="K882" s="4"/>
      <c r="L882" s="4"/>
      <c r="M882" s="4"/>
      <c r="N882" s="4"/>
      <c r="O882" s="4"/>
      <c r="P882" s="4"/>
      <c r="Q882" s="4"/>
      <c r="R882" s="4"/>
      <c r="S882" s="4"/>
      <c r="T882" s="4"/>
      <c r="U882" s="4"/>
      <c r="V882" s="4"/>
      <c r="W882" s="4"/>
      <c r="X882" s="4"/>
      <c r="Y882" s="4"/>
      <c r="Z882" s="4"/>
    </row>
    <row r="883" spans="1:26" ht="12.75">
      <c r="A883" s="4"/>
      <c r="B883" s="4"/>
      <c r="C883" s="15"/>
      <c r="D883" s="4"/>
      <c r="E883" s="4"/>
      <c r="F883" s="4"/>
      <c r="G883" s="4"/>
      <c r="H883" s="4"/>
      <c r="I883" s="4"/>
      <c r="J883" s="4"/>
      <c r="K883" s="4"/>
      <c r="L883" s="4"/>
      <c r="M883" s="4"/>
      <c r="N883" s="4"/>
      <c r="O883" s="4"/>
      <c r="P883" s="4"/>
      <c r="Q883" s="4"/>
      <c r="R883" s="4"/>
      <c r="S883" s="4"/>
      <c r="T883" s="4"/>
      <c r="U883" s="4"/>
      <c r="V883" s="4"/>
      <c r="W883" s="4"/>
      <c r="X883" s="4"/>
      <c r="Y883" s="4"/>
      <c r="Z883" s="4"/>
    </row>
    <row r="884" spans="1:26" ht="12.75">
      <c r="A884" s="4"/>
      <c r="B884" s="4"/>
      <c r="C884" s="15"/>
      <c r="D884" s="4"/>
      <c r="E884" s="4"/>
      <c r="F884" s="4"/>
      <c r="G884" s="4"/>
      <c r="H884" s="4"/>
      <c r="I884" s="4"/>
      <c r="J884" s="4"/>
      <c r="K884" s="4"/>
      <c r="L884" s="4"/>
      <c r="M884" s="4"/>
      <c r="N884" s="4"/>
      <c r="O884" s="4"/>
      <c r="P884" s="4"/>
      <c r="Q884" s="4"/>
      <c r="R884" s="4"/>
      <c r="S884" s="4"/>
      <c r="T884" s="4"/>
      <c r="U884" s="4"/>
      <c r="V884" s="4"/>
      <c r="W884" s="4"/>
      <c r="X884" s="4"/>
      <c r="Y884" s="4"/>
      <c r="Z884" s="4"/>
    </row>
    <row r="885" spans="1:26" ht="12.75">
      <c r="A885" s="4"/>
      <c r="B885" s="4"/>
      <c r="C885" s="15"/>
      <c r="D885" s="4"/>
      <c r="E885" s="4"/>
      <c r="F885" s="4"/>
      <c r="G885" s="4"/>
      <c r="H885" s="4"/>
      <c r="I885" s="4"/>
      <c r="J885" s="4"/>
      <c r="K885" s="4"/>
      <c r="L885" s="4"/>
      <c r="M885" s="4"/>
      <c r="N885" s="4"/>
      <c r="O885" s="4"/>
      <c r="P885" s="4"/>
      <c r="Q885" s="4"/>
      <c r="R885" s="4"/>
      <c r="S885" s="4"/>
      <c r="T885" s="4"/>
      <c r="U885" s="4"/>
      <c r="V885" s="4"/>
      <c r="W885" s="4"/>
      <c r="X885" s="4"/>
      <c r="Y885" s="4"/>
      <c r="Z885" s="4"/>
    </row>
    <row r="886" spans="1:26" ht="12.75">
      <c r="A886" s="4"/>
      <c r="B886" s="4"/>
      <c r="C886" s="15"/>
      <c r="D886" s="4"/>
      <c r="E886" s="4"/>
      <c r="F886" s="4"/>
      <c r="G886" s="4"/>
      <c r="H886" s="4"/>
      <c r="I886" s="4"/>
      <c r="J886" s="4"/>
      <c r="K886" s="4"/>
      <c r="L886" s="4"/>
      <c r="M886" s="4"/>
      <c r="N886" s="4"/>
      <c r="O886" s="4"/>
      <c r="P886" s="4"/>
      <c r="Q886" s="4"/>
      <c r="R886" s="4"/>
      <c r="S886" s="4"/>
      <c r="T886" s="4"/>
      <c r="U886" s="4"/>
      <c r="V886" s="4"/>
      <c r="W886" s="4"/>
      <c r="X886" s="4"/>
      <c r="Y886" s="4"/>
      <c r="Z886" s="4"/>
    </row>
    <row r="887" spans="1:26" ht="12.75">
      <c r="A887" s="4"/>
      <c r="B887" s="4"/>
      <c r="C887" s="15"/>
      <c r="D887" s="4"/>
      <c r="E887" s="4"/>
      <c r="F887" s="4"/>
      <c r="G887" s="4"/>
      <c r="H887" s="4"/>
      <c r="I887" s="4"/>
      <c r="J887" s="4"/>
      <c r="K887" s="4"/>
      <c r="L887" s="4"/>
      <c r="M887" s="4"/>
      <c r="N887" s="4"/>
      <c r="O887" s="4"/>
      <c r="P887" s="4"/>
      <c r="Q887" s="4"/>
      <c r="R887" s="4"/>
      <c r="S887" s="4"/>
      <c r="T887" s="4"/>
      <c r="U887" s="4"/>
      <c r="V887" s="4"/>
      <c r="W887" s="4"/>
      <c r="X887" s="4"/>
      <c r="Y887" s="4"/>
      <c r="Z887" s="4"/>
    </row>
    <row r="888" spans="1:26" ht="12.75">
      <c r="A888" s="4"/>
      <c r="B888" s="4"/>
      <c r="C888" s="15"/>
      <c r="D888" s="4"/>
      <c r="E888" s="4"/>
      <c r="F888" s="4"/>
      <c r="G888" s="4"/>
      <c r="H888" s="4"/>
      <c r="I888" s="4"/>
      <c r="J888" s="4"/>
      <c r="K888" s="4"/>
      <c r="L888" s="4"/>
      <c r="M888" s="4"/>
      <c r="N888" s="4"/>
      <c r="O888" s="4"/>
      <c r="P888" s="4"/>
      <c r="Q888" s="4"/>
      <c r="R888" s="4"/>
      <c r="S888" s="4"/>
      <c r="T888" s="4"/>
      <c r="U888" s="4"/>
      <c r="V888" s="4"/>
      <c r="W888" s="4"/>
      <c r="X888" s="4"/>
      <c r="Y888" s="4"/>
      <c r="Z888" s="4"/>
    </row>
    <row r="889" spans="1:26" ht="12.75">
      <c r="A889" s="4"/>
      <c r="B889" s="4"/>
      <c r="C889" s="15"/>
      <c r="D889" s="4"/>
      <c r="E889" s="4"/>
      <c r="F889" s="4"/>
      <c r="G889" s="4"/>
      <c r="H889" s="4"/>
      <c r="I889" s="4"/>
      <c r="J889" s="4"/>
      <c r="K889" s="4"/>
      <c r="L889" s="4"/>
      <c r="M889" s="4"/>
      <c r="N889" s="4"/>
      <c r="O889" s="4"/>
      <c r="P889" s="4"/>
      <c r="Q889" s="4"/>
      <c r="R889" s="4"/>
      <c r="S889" s="4"/>
      <c r="T889" s="4"/>
      <c r="U889" s="4"/>
      <c r="V889" s="4"/>
      <c r="W889" s="4"/>
      <c r="X889" s="4"/>
      <c r="Y889" s="4"/>
      <c r="Z889" s="4"/>
    </row>
    <row r="890" spans="1:26" ht="12.75">
      <c r="A890" s="4"/>
      <c r="B890" s="4"/>
      <c r="C890" s="15"/>
      <c r="D890" s="4"/>
      <c r="E890" s="4"/>
      <c r="F890" s="4"/>
      <c r="G890" s="4"/>
      <c r="H890" s="4"/>
      <c r="I890" s="4"/>
      <c r="J890" s="4"/>
      <c r="K890" s="4"/>
      <c r="L890" s="4"/>
      <c r="M890" s="4"/>
      <c r="N890" s="4"/>
      <c r="O890" s="4"/>
      <c r="P890" s="4"/>
      <c r="Q890" s="4"/>
      <c r="R890" s="4"/>
      <c r="S890" s="4"/>
      <c r="T890" s="4"/>
      <c r="U890" s="4"/>
      <c r="V890" s="4"/>
      <c r="W890" s="4"/>
      <c r="X890" s="4"/>
      <c r="Y890" s="4"/>
      <c r="Z890" s="4"/>
    </row>
    <row r="891" spans="1:26" ht="12.75">
      <c r="A891" s="4"/>
      <c r="B891" s="4"/>
      <c r="C891" s="15"/>
      <c r="D891" s="4"/>
      <c r="E891" s="4"/>
      <c r="F891" s="4"/>
      <c r="G891" s="4"/>
      <c r="H891" s="4"/>
      <c r="I891" s="4"/>
      <c r="J891" s="4"/>
      <c r="K891" s="4"/>
      <c r="L891" s="4"/>
      <c r="M891" s="4"/>
      <c r="N891" s="4"/>
      <c r="O891" s="4"/>
      <c r="P891" s="4"/>
      <c r="Q891" s="4"/>
      <c r="R891" s="4"/>
      <c r="S891" s="4"/>
      <c r="T891" s="4"/>
      <c r="U891" s="4"/>
      <c r="V891" s="4"/>
      <c r="W891" s="4"/>
      <c r="X891" s="4"/>
      <c r="Y891" s="4"/>
      <c r="Z891" s="4"/>
    </row>
    <row r="892" spans="1:26" ht="12.75">
      <c r="A892" s="4"/>
      <c r="B892" s="4"/>
      <c r="C892" s="15"/>
      <c r="D892" s="4"/>
      <c r="E892" s="4"/>
      <c r="F892" s="4"/>
      <c r="G892" s="4"/>
      <c r="H892" s="4"/>
      <c r="I892" s="4"/>
      <c r="J892" s="4"/>
      <c r="K892" s="4"/>
      <c r="L892" s="4"/>
      <c r="M892" s="4"/>
      <c r="N892" s="4"/>
      <c r="O892" s="4"/>
      <c r="P892" s="4"/>
      <c r="Q892" s="4"/>
      <c r="R892" s="4"/>
      <c r="S892" s="4"/>
      <c r="T892" s="4"/>
      <c r="U892" s="4"/>
      <c r="V892" s="4"/>
      <c r="W892" s="4"/>
      <c r="X892" s="4"/>
      <c r="Y892" s="4"/>
      <c r="Z892" s="4"/>
    </row>
    <row r="893" spans="1:26" ht="12.75">
      <c r="A893" s="4"/>
      <c r="B893" s="4"/>
      <c r="C893" s="15"/>
      <c r="D893" s="4"/>
      <c r="E893" s="4"/>
      <c r="F893" s="4"/>
      <c r="G893" s="4"/>
      <c r="H893" s="4"/>
      <c r="I893" s="4"/>
      <c r="J893" s="4"/>
      <c r="K893" s="4"/>
      <c r="L893" s="4"/>
      <c r="M893" s="4"/>
      <c r="N893" s="4"/>
      <c r="O893" s="4"/>
      <c r="P893" s="4"/>
      <c r="Q893" s="4"/>
      <c r="R893" s="4"/>
      <c r="S893" s="4"/>
      <c r="T893" s="4"/>
      <c r="U893" s="4"/>
      <c r="V893" s="4"/>
      <c r="W893" s="4"/>
      <c r="X893" s="4"/>
      <c r="Y893" s="4"/>
      <c r="Z893" s="4"/>
    </row>
    <row r="894" spans="1:26" ht="12.75">
      <c r="A894" s="4"/>
      <c r="B894" s="4"/>
      <c r="C894" s="15"/>
      <c r="D894" s="4"/>
      <c r="E894" s="4"/>
      <c r="F894" s="4"/>
      <c r="G894" s="4"/>
      <c r="H894" s="4"/>
      <c r="I894" s="4"/>
      <c r="J894" s="4"/>
      <c r="K894" s="4"/>
      <c r="L894" s="4"/>
      <c r="M894" s="4"/>
      <c r="N894" s="4"/>
      <c r="O894" s="4"/>
      <c r="P894" s="4"/>
      <c r="Q894" s="4"/>
      <c r="R894" s="4"/>
      <c r="S894" s="4"/>
      <c r="T894" s="4"/>
      <c r="U894" s="4"/>
      <c r="V894" s="4"/>
      <c r="W894" s="4"/>
      <c r="X894" s="4"/>
      <c r="Y894" s="4"/>
      <c r="Z894" s="4"/>
    </row>
    <row r="895" spans="1:26" ht="12.75">
      <c r="A895" s="4"/>
      <c r="B895" s="4"/>
      <c r="C895" s="15"/>
      <c r="D895" s="4"/>
      <c r="E895" s="4"/>
      <c r="F895" s="4"/>
      <c r="G895" s="4"/>
      <c r="H895" s="4"/>
      <c r="I895" s="4"/>
      <c r="J895" s="4"/>
      <c r="K895" s="4"/>
      <c r="L895" s="4"/>
      <c r="M895" s="4"/>
      <c r="N895" s="4"/>
      <c r="O895" s="4"/>
      <c r="P895" s="4"/>
      <c r="Q895" s="4"/>
      <c r="R895" s="4"/>
      <c r="S895" s="4"/>
      <c r="T895" s="4"/>
      <c r="U895" s="4"/>
      <c r="V895" s="4"/>
      <c r="W895" s="4"/>
      <c r="X895" s="4"/>
      <c r="Y895" s="4"/>
      <c r="Z895" s="4"/>
    </row>
    <row r="896" spans="1:26" ht="12.75">
      <c r="A896" s="4"/>
      <c r="B896" s="4"/>
      <c r="C896" s="15"/>
      <c r="D896" s="4"/>
      <c r="E896" s="4"/>
      <c r="F896" s="4"/>
      <c r="G896" s="4"/>
      <c r="H896" s="4"/>
      <c r="I896" s="4"/>
      <c r="J896" s="4"/>
      <c r="K896" s="4"/>
      <c r="L896" s="4"/>
      <c r="M896" s="4"/>
      <c r="N896" s="4"/>
      <c r="O896" s="4"/>
      <c r="P896" s="4"/>
      <c r="Q896" s="4"/>
      <c r="R896" s="4"/>
      <c r="S896" s="4"/>
      <c r="T896" s="4"/>
      <c r="U896" s="4"/>
      <c r="V896" s="4"/>
      <c r="W896" s="4"/>
      <c r="X896" s="4"/>
      <c r="Y896" s="4"/>
      <c r="Z896" s="4"/>
    </row>
    <row r="897" spans="1:26" ht="12.75">
      <c r="A897" s="4"/>
      <c r="B897" s="4"/>
      <c r="C897" s="15"/>
      <c r="D897" s="4"/>
      <c r="E897" s="4"/>
      <c r="F897" s="4"/>
      <c r="G897" s="4"/>
      <c r="H897" s="4"/>
      <c r="I897" s="4"/>
      <c r="J897" s="4"/>
      <c r="K897" s="4"/>
      <c r="L897" s="4"/>
      <c r="M897" s="4"/>
      <c r="N897" s="4"/>
      <c r="O897" s="4"/>
      <c r="P897" s="4"/>
      <c r="Q897" s="4"/>
      <c r="R897" s="4"/>
      <c r="S897" s="4"/>
      <c r="T897" s="4"/>
      <c r="U897" s="4"/>
      <c r="V897" s="4"/>
      <c r="W897" s="4"/>
      <c r="X897" s="4"/>
      <c r="Y897" s="4"/>
      <c r="Z897" s="4"/>
    </row>
    <row r="898" spans="1:26" ht="12.75">
      <c r="A898" s="4"/>
      <c r="B898" s="4"/>
      <c r="C898" s="15"/>
      <c r="D898" s="4"/>
      <c r="E898" s="4"/>
      <c r="F898" s="4"/>
      <c r="G898" s="4"/>
      <c r="H898" s="4"/>
      <c r="I898" s="4"/>
      <c r="J898" s="4"/>
      <c r="K898" s="4"/>
      <c r="L898" s="4"/>
      <c r="M898" s="4"/>
      <c r="N898" s="4"/>
      <c r="O898" s="4"/>
      <c r="P898" s="4"/>
      <c r="Q898" s="4"/>
      <c r="R898" s="4"/>
      <c r="S898" s="4"/>
      <c r="T898" s="4"/>
      <c r="U898" s="4"/>
      <c r="V898" s="4"/>
      <c r="W898" s="4"/>
      <c r="X898" s="4"/>
      <c r="Y898" s="4"/>
      <c r="Z898" s="4"/>
    </row>
    <row r="899" spans="1:26" ht="12.75">
      <c r="A899" s="4"/>
      <c r="B899" s="4"/>
      <c r="C899" s="15"/>
      <c r="D899" s="4"/>
      <c r="E899" s="4"/>
      <c r="F899" s="4"/>
      <c r="G899" s="4"/>
      <c r="H899" s="4"/>
      <c r="I899" s="4"/>
      <c r="J899" s="4"/>
      <c r="K899" s="4"/>
      <c r="L899" s="4"/>
      <c r="M899" s="4"/>
      <c r="N899" s="4"/>
      <c r="O899" s="4"/>
      <c r="P899" s="4"/>
      <c r="Q899" s="4"/>
      <c r="R899" s="4"/>
      <c r="S899" s="4"/>
      <c r="T899" s="4"/>
      <c r="U899" s="4"/>
      <c r="V899" s="4"/>
      <c r="W899" s="4"/>
      <c r="X899" s="4"/>
      <c r="Y899" s="4"/>
      <c r="Z899" s="4"/>
    </row>
    <row r="900" spans="1:26" ht="12.75">
      <c r="A900" s="4"/>
      <c r="B900" s="4"/>
      <c r="C900" s="15"/>
      <c r="D900" s="4"/>
      <c r="E900" s="4"/>
      <c r="F900" s="4"/>
      <c r="G900" s="4"/>
      <c r="H900" s="4"/>
      <c r="I900" s="4"/>
      <c r="J900" s="4"/>
      <c r="K900" s="4"/>
      <c r="L900" s="4"/>
      <c r="M900" s="4"/>
      <c r="N900" s="4"/>
      <c r="O900" s="4"/>
      <c r="P900" s="4"/>
      <c r="Q900" s="4"/>
      <c r="R900" s="4"/>
      <c r="S900" s="4"/>
      <c r="T900" s="4"/>
      <c r="U900" s="4"/>
      <c r="V900" s="4"/>
      <c r="W900" s="4"/>
      <c r="X900" s="4"/>
      <c r="Y900" s="4"/>
      <c r="Z900" s="4"/>
    </row>
    <row r="901" spans="1:26" ht="12.75">
      <c r="A901" s="4"/>
      <c r="B901" s="4"/>
      <c r="C901" s="15"/>
      <c r="D901" s="4"/>
      <c r="E901" s="4"/>
      <c r="F901" s="4"/>
      <c r="G901" s="4"/>
      <c r="H901" s="4"/>
      <c r="I901" s="4"/>
      <c r="J901" s="4"/>
      <c r="K901" s="4"/>
      <c r="L901" s="4"/>
      <c r="M901" s="4"/>
      <c r="N901" s="4"/>
      <c r="O901" s="4"/>
      <c r="P901" s="4"/>
      <c r="Q901" s="4"/>
      <c r="R901" s="4"/>
      <c r="S901" s="4"/>
      <c r="T901" s="4"/>
      <c r="U901" s="4"/>
      <c r="V901" s="4"/>
      <c r="W901" s="4"/>
      <c r="X901" s="4"/>
      <c r="Y901" s="4"/>
      <c r="Z901" s="4"/>
    </row>
    <row r="902" spans="1:26" ht="12.75">
      <c r="A902" s="4"/>
      <c r="B902" s="4"/>
      <c r="C902" s="15"/>
      <c r="D902" s="4"/>
      <c r="E902" s="4"/>
      <c r="F902" s="4"/>
      <c r="G902" s="4"/>
      <c r="H902" s="4"/>
      <c r="I902" s="4"/>
      <c r="J902" s="4"/>
      <c r="K902" s="4"/>
      <c r="L902" s="4"/>
      <c r="M902" s="4"/>
      <c r="N902" s="4"/>
      <c r="O902" s="4"/>
      <c r="P902" s="4"/>
      <c r="Q902" s="4"/>
      <c r="R902" s="4"/>
      <c r="S902" s="4"/>
      <c r="T902" s="4"/>
      <c r="U902" s="4"/>
      <c r="V902" s="4"/>
      <c r="W902" s="4"/>
      <c r="X902" s="4"/>
      <c r="Y902" s="4"/>
      <c r="Z902" s="4"/>
    </row>
    <row r="903" spans="1:26" ht="12.75">
      <c r="A903" s="4"/>
      <c r="B903" s="4"/>
      <c r="C903" s="15"/>
      <c r="D903" s="4"/>
      <c r="E903" s="4"/>
      <c r="F903" s="4"/>
      <c r="G903" s="4"/>
      <c r="H903" s="4"/>
      <c r="I903" s="4"/>
      <c r="J903" s="4"/>
      <c r="K903" s="4"/>
      <c r="L903" s="4"/>
      <c r="M903" s="4"/>
      <c r="N903" s="4"/>
      <c r="O903" s="4"/>
      <c r="P903" s="4"/>
      <c r="Q903" s="4"/>
      <c r="R903" s="4"/>
      <c r="S903" s="4"/>
      <c r="T903" s="4"/>
      <c r="U903" s="4"/>
      <c r="V903" s="4"/>
      <c r="W903" s="4"/>
      <c r="X903" s="4"/>
      <c r="Y903" s="4"/>
      <c r="Z903" s="4"/>
    </row>
    <row r="904" spans="1:26" ht="12.75">
      <c r="A904" s="4"/>
      <c r="B904" s="4"/>
      <c r="C904" s="15"/>
      <c r="D904" s="4"/>
      <c r="E904" s="4"/>
      <c r="F904" s="4"/>
      <c r="G904" s="4"/>
      <c r="H904" s="4"/>
      <c r="I904" s="4"/>
      <c r="J904" s="4"/>
      <c r="K904" s="4"/>
      <c r="L904" s="4"/>
      <c r="M904" s="4"/>
      <c r="N904" s="4"/>
      <c r="O904" s="4"/>
      <c r="P904" s="4"/>
      <c r="Q904" s="4"/>
      <c r="R904" s="4"/>
      <c r="S904" s="4"/>
      <c r="T904" s="4"/>
      <c r="U904" s="4"/>
      <c r="V904" s="4"/>
      <c r="W904" s="4"/>
      <c r="X904" s="4"/>
      <c r="Y904" s="4"/>
      <c r="Z904" s="4"/>
    </row>
    <row r="905" spans="1:26" ht="12.75">
      <c r="A905" s="4"/>
      <c r="B905" s="4"/>
      <c r="C905" s="15"/>
      <c r="D905" s="4"/>
      <c r="E905" s="4"/>
      <c r="F905" s="4"/>
      <c r="G905" s="4"/>
      <c r="H905" s="4"/>
      <c r="I905" s="4"/>
      <c r="J905" s="4"/>
      <c r="K905" s="4"/>
      <c r="L905" s="4"/>
      <c r="M905" s="4"/>
      <c r="N905" s="4"/>
      <c r="O905" s="4"/>
      <c r="P905" s="4"/>
      <c r="Q905" s="4"/>
      <c r="R905" s="4"/>
      <c r="S905" s="4"/>
      <c r="T905" s="4"/>
      <c r="U905" s="4"/>
      <c r="V905" s="4"/>
      <c r="W905" s="4"/>
      <c r="X905" s="4"/>
      <c r="Y905" s="4"/>
      <c r="Z905" s="4"/>
    </row>
    <row r="906" spans="1:26" ht="12.75">
      <c r="A906" s="4"/>
      <c r="B906" s="4"/>
      <c r="C906" s="15"/>
      <c r="D906" s="4"/>
      <c r="E906" s="4"/>
      <c r="F906" s="4"/>
      <c r="G906" s="4"/>
      <c r="H906" s="4"/>
      <c r="I906" s="4"/>
      <c r="J906" s="4"/>
      <c r="K906" s="4"/>
      <c r="L906" s="4"/>
      <c r="M906" s="4"/>
      <c r="N906" s="4"/>
      <c r="O906" s="4"/>
      <c r="P906" s="4"/>
      <c r="Q906" s="4"/>
      <c r="R906" s="4"/>
      <c r="S906" s="4"/>
      <c r="T906" s="4"/>
      <c r="U906" s="4"/>
      <c r="V906" s="4"/>
      <c r="W906" s="4"/>
      <c r="X906" s="4"/>
      <c r="Y906" s="4"/>
      <c r="Z906" s="4"/>
    </row>
    <row r="907" spans="1:26" ht="12.75">
      <c r="A907" s="4"/>
      <c r="B907" s="4"/>
      <c r="C907" s="15"/>
      <c r="D907" s="4"/>
      <c r="E907" s="4"/>
      <c r="F907" s="4"/>
      <c r="G907" s="4"/>
      <c r="H907" s="4"/>
      <c r="I907" s="4"/>
      <c r="J907" s="4"/>
      <c r="K907" s="4"/>
      <c r="L907" s="4"/>
      <c r="M907" s="4"/>
      <c r="N907" s="4"/>
      <c r="O907" s="4"/>
      <c r="P907" s="4"/>
      <c r="Q907" s="4"/>
      <c r="R907" s="4"/>
      <c r="S907" s="4"/>
      <c r="T907" s="4"/>
      <c r="U907" s="4"/>
      <c r="V907" s="4"/>
      <c r="W907" s="4"/>
      <c r="X907" s="4"/>
      <c r="Y907" s="4"/>
      <c r="Z907" s="4"/>
    </row>
    <row r="908" spans="1:26" ht="12.75">
      <c r="A908" s="4"/>
      <c r="B908" s="4"/>
      <c r="C908" s="15"/>
      <c r="D908" s="4"/>
      <c r="E908" s="4"/>
      <c r="F908" s="4"/>
      <c r="G908" s="4"/>
      <c r="H908" s="4"/>
      <c r="I908" s="4"/>
      <c r="J908" s="4"/>
      <c r="K908" s="4"/>
      <c r="L908" s="4"/>
      <c r="M908" s="4"/>
      <c r="N908" s="4"/>
      <c r="O908" s="4"/>
      <c r="P908" s="4"/>
      <c r="Q908" s="4"/>
      <c r="R908" s="4"/>
      <c r="S908" s="4"/>
      <c r="T908" s="4"/>
      <c r="U908" s="4"/>
      <c r="V908" s="4"/>
      <c r="W908" s="4"/>
      <c r="X908" s="4"/>
      <c r="Y908" s="4"/>
      <c r="Z908" s="4"/>
    </row>
    <row r="909" spans="1:26" ht="12.75">
      <c r="A909" s="4"/>
      <c r="B909" s="4"/>
      <c r="C909" s="15"/>
      <c r="D909" s="4"/>
      <c r="E909" s="4"/>
      <c r="F909" s="4"/>
      <c r="G909" s="4"/>
      <c r="H909" s="4"/>
      <c r="I909" s="4"/>
      <c r="J909" s="4"/>
      <c r="K909" s="4"/>
      <c r="L909" s="4"/>
      <c r="M909" s="4"/>
      <c r="N909" s="4"/>
      <c r="O909" s="4"/>
      <c r="P909" s="4"/>
      <c r="Q909" s="4"/>
      <c r="R909" s="4"/>
      <c r="S909" s="4"/>
      <c r="T909" s="4"/>
      <c r="U909" s="4"/>
      <c r="V909" s="4"/>
      <c r="W909" s="4"/>
      <c r="X909" s="4"/>
      <c r="Y909" s="4"/>
      <c r="Z909" s="4"/>
    </row>
    <row r="910" spans="1:26" ht="12.75">
      <c r="A910" s="4"/>
      <c r="B910" s="4"/>
      <c r="C910" s="15"/>
      <c r="D910" s="4"/>
      <c r="E910" s="4"/>
      <c r="F910" s="4"/>
      <c r="G910" s="4"/>
      <c r="H910" s="4"/>
      <c r="I910" s="4"/>
      <c r="J910" s="4"/>
      <c r="K910" s="4"/>
      <c r="L910" s="4"/>
      <c r="M910" s="4"/>
      <c r="N910" s="4"/>
      <c r="O910" s="4"/>
      <c r="P910" s="4"/>
      <c r="Q910" s="4"/>
      <c r="R910" s="4"/>
      <c r="S910" s="4"/>
      <c r="T910" s="4"/>
      <c r="U910" s="4"/>
      <c r="V910" s="4"/>
      <c r="W910" s="4"/>
      <c r="X910" s="4"/>
      <c r="Y910" s="4"/>
      <c r="Z910" s="4"/>
    </row>
    <row r="911" spans="1:26" ht="12.75">
      <c r="A911" s="4"/>
      <c r="B911" s="4"/>
      <c r="C911" s="15"/>
      <c r="D911" s="4"/>
      <c r="E911" s="4"/>
      <c r="F911" s="4"/>
      <c r="G911" s="4"/>
      <c r="H911" s="4"/>
      <c r="I911" s="4"/>
      <c r="J911" s="4"/>
      <c r="K911" s="4"/>
      <c r="L911" s="4"/>
      <c r="M911" s="4"/>
      <c r="N911" s="4"/>
      <c r="O911" s="4"/>
      <c r="P911" s="4"/>
      <c r="Q911" s="4"/>
      <c r="R911" s="4"/>
      <c r="S911" s="4"/>
      <c r="T911" s="4"/>
      <c r="U911" s="4"/>
      <c r="V911" s="4"/>
      <c r="W911" s="4"/>
      <c r="X911" s="4"/>
      <c r="Y911" s="4"/>
      <c r="Z911" s="4"/>
    </row>
    <row r="912" spans="1:26" ht="12.75">
      <c r="A912" s="4"/>
      <c r="B912" s="4"/>
      <c r="C912" s="15"/>
      <c r="D912" s="4"/>
      <c r="E912" s="4"/>
      <c r="F912" s="4"/>
      <c r="G912" s="4"/>
      <c r="H912" s="4"/>
      <c r="I912" s="4"/>
      <c r="J912" s="4"/>
      <c r="K912" s="4"/>
      <c r="L912" s="4"/>
      <c r="M912" s="4"/>
      <c r="N912" s="4"/>
      <c r="O912" s="4"/>
      <c r="P912" s="4"/>
      <c r="Q912" s="4"/>
      <c r="R912" s="4"/>
      <c r="S912" s="4"/>
      <c r="T912" s="4"/>
      <c r="U912" s="4"/>
      <c r="V912" s="4"/>
      <c r="W912" s="4"/>
      <c r="X912" s="4"/>
      <c r="Y912" s="4"/>
      <c r="Z912" s="4"/>
    </row>
    <row r="913" spans="1:26" ht="12.75">
      <c r="A913" s="4"/>
      <c r="B913" s="4"/>
      <c r="C913" s="15"/>
      <c r="D913" s="4"/>
      <c r="E913" s="4"/>
      <c r="F913" s="4"/>
      <c r="G913" s="4"/>
      <c r="H913" s="4"/>
      <c r="I913" s="4"/>
      <c r="J913" s="4"/>
      <c r="K913" s="4"/>
      <c r="L913" s="4"/>
      <c r="M913" s="4"/>
      <c r="N913" s="4"/>
      <c r="O913" s="4"/>
      <c r="P913" s="4"/>
      <c r="Q913" s="4"/>
      <c r="R913" s="4"/>
      <c r="S913" s="4"/>
      <c r="T913" s="4"/>
      <c r="U913" s="4"/>
      <c r="V913" s="4"/>
      <c r="W913" s="4"/>
      <c r="X913" s="4"/>
      <c r="Y913" s="4"/>
      <c r="Z913" s="4"/>
    </row>
    <row r="914" spans="1:26" ht="12.75">
      <c r="A914" s="4"/>
      <c r="B914" s="4"/>
      <c r="C914" s="15"/>
      <c r="D914" s="4"/>
      <c r="E914" s="4"/>
      <c r="F914" s="4"/>
      <c r="G914" s="4"/>
      <c r="H914" s="4"/>
      <c r="I914" s="4"/>
      <c r="J914" s="4"/>
      <c r="K914" s="4"/>
      <c r="L914" s="4"/>
      <c r="M914" s="4"/>
      <c r="N914" s="4"/>
      <c r="O914" s="4"/>
      <c r="P914" s="4"/>
      <c r="Q914" s="4"/>
      <c r="R914" s="4"/>
      <c r="S914" s="4"/>
      <c r="T914" s="4"/>
      <c r="U914" s="4"/>
      <c r="V914" s="4"/>
      <c r="W914" s="4"/>
      <c r="X914" s="4"/>
      <c r="Y914" s="4"/>
      <c r="Z914" s="4"/>
    </row>
    <row r="915" spans="1:26" ht="12.75">
      <c r="A915" s="4"/>
      <c r="B915" s="4"/>
      <c r="C915" s="15"/>
      <c r="D915" s="4"/>
      <c r="E915" s="4"/>
      <c r="F915" s="4"/>
      <c r="G915" s="4"/>
      <c r="H915" s="4"/>
      <c r="I915" s="4"/>
      <c r="J915" s="4"/>
      <c r="K915" s="4"/>
      <c r="L915" s="4"/>
      <c r="M915" s="4"/>
      <c r="N915" s="4"/>
      <c r="O915" s="4"/>
      <c r="P915" s="4"/>
      <c r="Q915" s="4"/>
      <c r="R915" s="4"/>
      <c r="S915" s="4"/>
      <c r="T915" s="4"/>
      <c r="U915" s="4"/>
      <c r="V915" s="4"/>
      <c r="W915" s="4"/>
      <c r="X915" s="4"/>
      <c r="Y915" s="4"/>
      <c r="Z915" s="4"/>
    </row>
    <row r="916" spans="1:26" ht="12.75">
      <c r="A916" s="4"/>
      <c r="B916" s="4"/>
      <c r="C916" s="15"/>
      <c r="D916" s="4"/>
      <c r="E916" s="4"/>
      <c r="F916" s="4"/>
      <c r="G916" s="4"/>
      <c r="H916" s="4"/>
      <c r="I916" s="4"/>
      <c r="J916" s="4"/>
      <c r="K916" s="4"/>
      <c r="L916" s="4"/>
      <c r="M916" s="4"/>
      <c r="N916" s="4"/>
      <c r="O916" s="4"/>
      <c r="P916" s="4"/>
      <c r="Q916" s="4"/>
      <c r="R916" s="4"/>
      <c r="S916" s="4"/>
      <c r="T916" s="4"/>
      <c r="U916" s="4"/>
      <c r="V916" s="4"/>
      <c r="W916" s="4"/>
      <c r="X916" s="4"/>
      <c r="Y916" s="4"/>
      <c r="Z916" s="4"/>
    </row>
    <row r="917" spans="1:26" ht="12.75">
      <c r="A917" s="4"/>
      <c r="B917" s="4"/>
      <c r="C917" s="15"/>
      <c r="D917" s="4"/>
      <c r="E917" s="4"/>
      <c r="F917" s="4"/>
      <c r="G917" s="4"/>
      <c r="H917" s="4"/>
      <c r="I917" s="4"/>
      <c r="J917" s="4"/>
      <c r="K917" s="4"/>
      <c r="L917" s="4"/>
      <c r="M917" s="4"/>
      <c r="N917" s="4"/>
      <c r="O917" s="4"/>
      <c r="P917" s="4"/>
      <c r="Q917" s="4"/>
      <c r="R917" s="4"/>
      <c r="S917" s="4"/>
      <c r="T917" s="4"/>
      <c r="U917" s="4"/>
      <c r="V917" s="4"/>
      <c r="W917" s="4"/>
      <c r="X917" s="4"/>
      <c r="Y917" s="4"/>
      <c r="Z917" s="4"/>
    </row>
    <row r="918" spans="1:26" ht="12.75">
      <c r="A918" s="4"/>
      <c r="B918" s="4"/>
      <c r="C918" s="15"/>
      <c r="D918" s="4"/>
      <c r="E918" s="4"/>
      <c r="F918" s="4"/>
      <c r="G918" s="4"/>
      <c r="H918" s="4"/>
      <c r="I918" s="4"/>
      <c r="J918" s="4"/>
      <c r="K918" s="4"/>
      <c r="L918" s="4"/>
      <c r="M918" s="4"/>
      <c r="N918" s="4"/>
      <c r="O918" s="4"/>
      <c r="P918" s="4"/>
      <c r="Q918" s="4"/>
      <c r="R918" s="4"/>
      <c r="S918" s="4"/>
      <c r="T918" s="4"/>
      <c r="U918" s="4"/>
      <c r="V918" s="4"/>
      <c r="W918" s="4"/>
      <c r="X918" s="4"/>
      <c r="Y918" s="4"/>
      <c r="Z918" s="4"/>
    </row>
    <row r="919" spans="1:26" ht="12.75">
      <c r="A919" s="4"/>
      <c r="B919" s="4"/>
      <c r="C919" s="15"/>
      <c r="D919" s="4"/>
      <c r="E919" s="4"/>
      <c r="F919" s="4"/>
      <c r="G919" s="4"/>
      <c r="H919" s="4"/>
      <c r="I919" s="4"/>
      <c r="J919" s="4"/>
      <c r="K919" s="4"/>
      <c r="L919" s="4"/>
      <c r="M919" s="4"/>
      <c r="N919" s="4"/>
      <c r="O919" s="4"/>
      <c r="P919" s="4"/>
      <c r="Q919" s="4"/>
      <c r="R919" s="4"/>
      <c r="S919" s="4"/>
      <c r="T919" s="4"/>
      <c r="U919" s="4"/>
      <c r="V919" s="4"/>
      <c r="W919" s="4"/>
      <c r="X919" s="4"/>
      <c r="Y919" s="4"/>
      <c r="Z919" s="4"/>
    </row>
    <row r="920" spans="1:26" ht="12.75">
      <c r="A920" s="4"/>
      <c r="B920" s="4"/>
      <c r="C920" s="15"/>
      <c r="D920" s="4"/>
      <c r="E920" s="4"/>
      <c r="F920" s="4"/>
      <c r="G920" s="4"/>
      <c r="H920" s="4"/>
      <c r="I920" s="4"/>
      <c r="J920" s="4"/>
      <c r="K920" s="4"/>
      <c r="L920" s="4"/>
      <c r="M920" s="4"/>
      <c r="N920" s="4"/>
      <c r="O920" s="4"/>
      <c r="P920" s="4"/>
      <c r="Q920" s="4"/>
      <c r="R920" s="4"/>
      <c r="S920" s="4"/>
      <c r="T920" s="4"/>
      <c r="U920" s="4"/>
      <c r="V920" s="4"/>
      <c r="W920" s="4"/>
      <c r="X920" s="4"/>
      <c r="Y920" s="4"/>
      <c r="Z920" s="4"/>
    </row>
    <row r="921" spans="1:26" ht="12.75">
      <c r="A921" s="4"/>
      <c r="B921" s="4"/>
      <c r="C921" s="15"/>
      <c r="D921" s="4"/>
      <c r="E921" s="4"/>
      <c r="F921" s="4"/>
      <c r="G921" s="4"/>
      <c r="H921" s="4"/>
      <c r="I921" s="4"/>
      <c r="J921" s="4"/>
      <c r="K921" s="4"/>
      <c r="L921" s="4"/>
      <c r="M921" s="4"/>
      <c r="N921" s="4"/>
      <c r="O921" s="4"/>
      <c r="P921" s="4"/>
      <c r="Q921" s="4"/>
      <c r="R921" s="4"/>
      <c r="S921" s="4"/>
      <c r="T921" s="4"/>
      <c r="U921" s="4"/>
      <c r="V921" s="4"/>
      <c r="W921" s="4"/>
      <c r="X921" s="4"/>
      <c r="Y921" s="4"/>
      <c r="Z921" s="4"/>
    </row>
    <row r="922" spans="1:26" ht="12.75">
      <c r="A922" s="4"/>
      <c r="B922" s="4"/>
      <c r="C922" s="15"/>
      <c r="D922" s="4"/>
      <c r="E922" s="4"/>
      <c r="F922" s="4"/>
      <c r="G922" s="4"/>
      <c r="H922" s="4"/>
      <c r="I922" s="4"/>
      <c r="J922" s="4"/>
      <c r="K922" s="4"/>
      <c r="L922" s="4"/>
      <c r="M922" s="4"/>
      <c r="N922" s="4"/>
      <c r="O922" s="4"/>
      <c r="P922" s="4"/>
      <c r="Q922" s="4"/>
      <c r="R922" s="4"/>
      <c r="S922" s="4"/>
      <c r="T922" s="4"/>
      <c r="U922" s="4"/>
      <c r="V922" s="4"/>
      <c r="W922" s="4"/>
      <c r="X922" s="4"/>
      <c r="Y922" s="4"/>
      <c r="Z922" s="4"/>
    </row>
    <row r="923" spans="1:26" ht="12.75">
      <c r="A923" s="4"/>
      <c r="B923" s="4"/>
      <c r="C923" s="15"/>
      <c r="D923" s="4"/>
      <c r="E923" s="4"/>
      <c r="F923" s="4"/>
      <c r="G923" s="4"/>
      <c r="H923" s="4"/>
      <c r="I923" s="4"/>
      <c r="J923" s="4"/>
      <c r="K923" s="4"/>
      <c r="L923" s="4"/>
      <c r="M923" s="4"/>
      <c r="N923" s="4"/>
      <c r="O923" s="4"/>
      <c r="P923" s="4"/>
      <c r="Q923" s="4"/>
      <c r="R923" s="4"/>
      <c r="S923" s="4"/>
      <c r="T923" s="4"/>
      <c r="U923" s="4"/>
      <c r="V923" s="4"/>
      <c r="W923" s="4"/>
      <c r="X923" s="4"/>
      <c r="Y923" s="4"/>
      <c r="Z923" s="4"/>
    </row>
    <row r="924" spans="1:26" ht="12.75">
      <c r="A924" s="4"/>
      <c r="B924" s="4"/>
      <c r="C924" s="15"/>
      <c r="D924" s="4"/>
      <c r="E924" s="4"/>
      <c r="F924" s="4"/>
      <c r="G924" s="4"/>
      <c r="H924" s="4"/>
      <c r="I924" s="4"/>
      <c r="J924" s="4"/>
      <c r="K924" s="4"/>
      <c r="L924" s="4"/>
      <c r="M924" s="4"/>
      <c r="N924" s="4"/>
      <c r="O924" s="4"/>
      <c r="P924" s="4"/>
      <c r="Q924" s="4"/>
      <c r="R924" s="4"/>
      <c r="S924" s="4"/>
      <c r="T924" s="4"/>
      <c r="U924" s="4"/>
      <c r="V924" s="4"/>
      <c r="W924" s="4"/>
      <c r="X924" s="4"/>
      <c r="Y924" s="4"/>
      <c r="Z924" s="4"/>
    </row>
    <row r="925" spans="1:26" ht="12.75">
      <c r="A925" s="4"/>
      <c r="B925" s="4"/>
      <c r="C925" s="15"/>
      <c r="D925" s="4"/>
      <c r="E925" s="4"/>
      <c r="F925" s="4"/>
      <c r="G925" s="4"/>
      <c r="H925" s="4"/>
      <c r="I925" s="4"/>
      <c r="J925" s="4"/>
      <c r="K925" s="4"/>
      <c r="L925" s="4"/>
      <c r="M925" s="4"/>
      <c r="N925" s="4"/>
      <c r="O925" s="4"/>
      <c r="P925" s="4"/>
      <c r="Q925" s="4"/>
      <c r="R925" s="4"/>
      <c r="S925" s="4"/>
      <c r="T925" s="4"/>
      <c r="U925" s="4"/>
      <c r="V925" s="4"/>
      <c r="W925" s="4"/>
      <c r="X925" s="4"/>
      <c r="Y925" s="4"/>
      <c r="Z925" s="4"/>
    </row>
    <row r="926" spans="1:26" ht="12.75">
      <c r="A926" s="4"/>
      <c r="B926" s="4"/>
      <c r="C926" s="15"/>
      <c r="D926" s="4"/>
      <c r="E926" s="4"/>
      <c r="F926" s="4"/>
      <c r="G926" s="4"/>
      <c r="H926" s="4"/>
      <c r="I926" s="4"/>
      <c r="J926" s="4"/>
      <c r="K926" s="4"/>
      <c r="L926" s="4"/>
      <c r="M926" s="4"/>
      <c r="N926" s="4"/>
      <c r="O926" s="4"/>
      <c r="P926" s="4"/>
      <c r="Q926" s="4"/>
      <c r="R926" s="4"/>
      <c r="S926" s="4"/>
      <c r="T926" s="4"/>
      <c r="U926" s="4"/>
      <c r="V926" s="4"/>
      <c r="W926" s="4"/>
      <c r="X926" s="4"/>
      <c r="Y926" s="4"/>
      <c r="Z926" s="4"/>
    </row>
    <row r="927" spans="1:26" ht="12.75">
      <c r="A927" s="4"/>
      <c r="B927" s="4"/>
      <c r="C927" s="15"/>
      <c r="D927" s="4"/>
      <c r="E927" s="4"/>
      <c r="F927" s="4"/>
      <c r="G927" s="4"/>
      <c r="H927" s="4"/>
      <c r="I927" s="4"/>
      <c r="J927" s="4"/>
      <c r="K927" s="4"/>
      <c r="L927" s="4"/>
      <c r="M927" s="4"/>
      <c r="N927" s="4"/>
      <c r="O927" s="4"/>
      <c r="P927" s="4"/>
      <c r="Q927" s="4"/>
      <c r="R927" s="4"/>
      <c r="S927" s="4"/>
      <c r="T927" s="4"/>
      <c r="U927" s="4"/>
      <c r="V927" s="4"/>
      <c r="W927" s="4"/>
      <c r="X927" s="4"/>
      <c r="Y927" s="4"/>
      <c r="Z927" s="4"/>
    </row>
    <row r="928" spans="1:26" ht="12.75">
      <c r="A928" s="4"/>
      <c r="B928" s="4"/>
      <c r="C928" s="15"/>
      <c r="D928" s="4"/>
      <c r="E928" s="4"/>
      <c r="F928" s="4"/>
      <c r="G928" s="4"/>
      <c r="H928" s="4"/>
      <c r="I928" s="4"/>
      <c r="J928" s="4"/>
      <c r="K928" s="4"/>
      <c r="L928" s="4"/>
      <c r="M928" s="4"/>
      <c r="N928" s="4"/>
      <c r="O928" s="4"/>
      <c r="P928" s="4"/>
      <c r="Q928" s="4"/>
      <c r="R928" s="4"/>
      <c r="S928" s="4"/>
      <c r="T928" s="4"/>
      <c r="U928" s="4"/>
      <c r="V928" s="4"/>
      <c r="W928" s="4"/>
      <c r="X928" s="4"/>
      <c r="Y928" s="4"/>
      <c r="Z928" s="4"/>
    </row>
    <row r="929" spans="1:26" ht="12.75">
      <c r="A929" s="4"/>
      <c r="B929" s="4"/>
      <c r="C929" s="15"/>
      <c r="D929" s="4"/>
      <c r="E929" s="4"/>
      <c r="F929" s="4"/>
      <c r="G929" s="4"/>
      <c r="H929" s="4"/>
      <c r="I929" s="4"/>
      <c r="J929" s="4"/>
      <c r="K929" s="4"/>
      <c r="L929" s="4"/>
      <c r="M929" s="4"/>
      <c r="N929" s="4"/>
      <c r="O929" s="4"/>
      <c r="P929" s="4"/>
      <c r="Q929" s="4"/>
      <c r="R929" s="4"/>
      <c r="S929" s="4"/>
      <c r="T929" s="4"/>
      <c r="U929" s="4"/>
      <c r="V929" s="4"/>
      <c r="W929" s="4"/>
      <c r="X929" s="4"/>
      <c r="Y929" s="4"/>
      <c r="Z929" s="4"/>
    </row>
    <row r="930" spans="1:26" ht="12.75">
      <c r="A930" s="4"/>
      <c r="B930" s="4"/>
      <c r="C930" s="15"/>
      <c r="D930" s="4"/>
      <c r="E930" s="4"/>
      <c r="F930" s="4"/>
      <c r="G930" s="4"/>
      <c r="H930" s="4"/>
      <c r="I930" s="4"/>
      <c r="J930" s="4"/>
      <c r="K930" s="4"/>
      <c r="L930" s="4"/>
      <c r="M930" s="4"/>
      <c r="N930" s="4"/>
      <c r="O930" s="4"/>
      <c r="P930" s="4"/>
      <c r="Q930" s="4"/>
      <c r="R930" s="4"/>
      <c r="S930" s="4"/>
      <c r="T930" s="4"/>
      <c r="U930" s="4"/>
      <c r="V930" s="4"/>
      <c r="W930" s="4"/>
      <c r="X930" s="4"/>
      <c r="Y930" s="4"/>
      <c r="Z930" s="4"/>
    </row>
    <row r="931" spans="1:26" ht="12.75">
      <c r="A931" s="4"/>
      <c r="B931" s="4"/>
      <c r="C931" s="15"/>
      <c r="D931" s="4"/>
      <c r="E931" s="4"/>
      <c r="F931" s="4"/>
      <c r="G931" s="4"/>
      <c r="H931" s="4"/>
      <c r="I931" s="4"/>
      <c r="J931" s="4"/>
      <c r="K931" s="4"/>
      <c r="L931" s="4"/>
      <c r="M931" s="4"/>
      <c r="N931" s="4"/>
      <c r="O931" s="4"/>
      <c r="P931" s="4"/>
      <c r="Q931" s="4"/>
      <c r="R931" s="4"/>
      <c r="S931" s="4"/>
      <c r="T931" s="4"/>
      <c r="U931" s="4"/>
      <c r="V931" s="4"/>
      <c r="W931" s="4"/>
      <c r="X931" s="4"/>
      <c r="Y931" s="4"/>
      <c r="Z931" s="4"/>
    </row>
    <row r="932" spans="1:26" ht="12.75">
      <c r="A932" s="4"/>
      <c r="B932" s="4"/>
      <c r="C932" s="15"/>
      <c r="D932" s="4"/>
      <c r="E932" s="4"/>
      <c r="F932" s="4"/>
      <c r="G932" s="4"/>
      <c r="H932" s="4"/>
      <c r="I932" s="4"/>
      <c r="J932" s="4"/>
      <c r="K932" s="4"/>
      <c r="L932" s="4"/>
      <c r="M932" s="4"/>
      <c r="N932" s="4"/>
      <c r="O932" s="4"/>
      <c r="P932" s="4"/>
      <c r="Q932" s="4"/>
      <c r="R932" s="4"/>
      <c r="S932" s="4"/>
      <c r="T932" s="4"/>
      <c r="U932" s="4"/>
      <c r="V932" s="4"/>
      <c r="W932" s="4"/>
      <c r="X932" s="4"/>
      <c r="Y932" s="4"/>
      <c r="Z932" s="4"/>
    </row>
    <row r="933" spans="1:26" ht="12.75">
      <c r="A933" s="4"/>
      <c r="B933" s="4"/>
      <c r="C933" s="15"/>
      <c r="D933" s="4"/>
      <c r="E933" s="4"/>
      <c r="F933" s="4"/>
      <c r="G933" s="4"/>
      <c r="H933" s="4"/>
      <c r="I933" s="4"/>
      <c r="J933" s="4"/>
      <c r="K933" s="4"/>
      <c r="L933" s="4"/>
      <c r="M933" s="4"/>
      <c r="N933" s="4"/>
      <c r="O933" s="4"/>
      <c r="P933" s="4"/>
      <c r="Q933" s="4"/>
      <c r="R933" s="4"/>
      <c r="S933" s="4"/>
      <c r="T933" s="4"/>
      <c r="U933" s="4"/>
      <c r="V933" s="4"/>
      <c r="W933" s="4"/>
      <c r="X933" s="4"/>
      <c r="Y933" s="4"/>
      <c r="Z933" s="4"/>
    </row>
    <row r="934" spans="1:26" ht="12.75">
      <c r="A934" s="4"/>
      <c r="B934" s="4"/>
      <c r="C934" s="15"/>
      <c r="D934" s="4"/>
      <c r="E934" s="4"/>
      <c r="F934" s="4"/>
      <c r="G934" s="4"/>
      <c r="H934" s="4"/>
      <c r="I934" s="4"/>
      <c r="J934" s="4"/>
      <c r="K934" s="4"/>
      <c r="L934" s="4"/>
      <c r="M934" s="4"/>
      <c r="N934" s="4"/>
      <c r="O934" s="4"/>
      <c r="P934" s="4"/>
      <c r="Q934" s="4"/>
      <c r="R934" s="4"/>
      <c r="S934" s="4"/>
      <c r="T934" s="4"/>
      <c r="U934" s="4"/>
      <c r="V934" s="4"/>
      <c r="W934" s="4"/>
      <c r="X934" s="4"/>
      <c r="Y934" s="4"/>
      <c r="Z934" s="4"/>
    </row>
    <row r="935" spans="1:26" ht="12.75">
      <c r="A935" s="4"/>
      <c r="B935" s="4"/>
      <c r="C935" s="15"/>
      <c r="D935" s="4"/>
      <c r="E935" s="4"/>
      <c r="F935" s="4"/>
      <c r="G935" s="4"/>
      <c r="H935" s="4"/>
      <c r="I935" s="4"/>
      <c r="J935" s="4"/>
      <c r="K935" s="4"/>
      <c r="L935" s="4"/>
      <c r="M935" s="4"/>
      <c r="N935" s="4"/>
      <c r="O935" s="4"/>
      <c r="P935" s="4"/>
      <c r="Q935" s="4"/>
      <c r="R935" s="4"/>
      <c r="S935" s="4"/>
      <c r="T935" s="4"/>
      <c r="U935" s="4"/>
      <c r="V935" s="4"/>
      <c r="W935" s="4"/>
      <c r="X935" s="4"/>
      <c r="Y935" s="4"/>
      <c r="Z935" s="4"/>
    </row>
    <row r="936" spans="1:26" ht="12.75">
      <c r="A936" s="4"/>
      <c r="B936" s="4"/>
      <c r="C936" s="15"/>
      <c r="D936" s="4"/>
      <c r="E936" s="4"/>
      <c r="F936" s="4"/>
      <c r="G936" s="4"/>
      <c r="H936" s="4"/>
      <c r="I936" s="4"/>
      <c r="J936" s="4"/>
      <c r="K936" s="4"/>
      <c r="L936" s="4"/>
      <c r="M936" s="4"/>
      <c r="N936" s="4"/>
      <c r="O936" s="4"/>
      <c r="P936" s="4"/>
      <c r="Q936" s="4"/>
      <c r="R936" s="4"/>
      <c r="S936" s="4"/>
      <c r="T936" s="4"/>
      <c r="U936" s="4"/>
      <c r="V936" s="4"/>
      <c r="W936" s="4"/>
      <c r="X936" s="4"/>
      <c r="Y936" s="4"/>
      <c r="Z936" s="4"/>
    </row>
    <row r="937" spans="1:26" ht="12.75">
      <c r="A937" s="4"/>
      <c r="B937" s="4"/>
      <c r="C937" s="15"/>
      <c r="D937" s="4"/>
      <c r="E937" s="4"/>
      <c r="F937" s="4"/>
      <c r="G937" s="4"/>
      <c r="H937" s="4"/>
      <c r="I937" s="4"/>
      <c r="J937" s="4"/>
      <c r="K937" s="4"/>
      <c r="L937" s="4"/>
      <c r="M937" s="4"/>
      <c r="N937" s="4"/>
      <c r="O937" s="4"/>
      <c r="P937" s="4"/>
      <c r="Q937" s="4"/>
      <c r="R937" s="4"/>
      <c r="S937" s="4"/>
      <c r="T937" s="4"/>
      <c r="U937" s="4"/>
      <c r="V937" s="4"/>
      <c r="W937" s="4"/>
      <c r="X937" s="4"/>
      <c r="Y937" s="4"/>
      <c r="Z937" s="4"/>
    </row>
    <row r="938" spans="1:26" ht="12.75">
      <c r="A938" s="4"/>
      <c r="B938" s="4"/>
      <c r="C938" s="15"/>
      <c r="D938" s="4"/>
      <c r="E938" s="4"/>
      <c r="F938" s="4"/>
      <c r="G938" s="4"/>
      <c r="H938" s="4"/>
      <c r="I938" s="4"/>
      <c r="J938" s="4"/>
      <c r="K938" s="4"/>
      <c r="L938" s="4"/>
      <c r="M938" s="4"/>
      <c r="N938" s="4"/>
      <c r="O938" s="4"/>
      <c r="P938" s="4"/>
      <c r="Q938" s="4"/>
      <c r="R938" s="4"/>
      <c r="S938" s="4"/>
      <c r="T938" s="4"/>
      <c r="U938" s="4"/>
      <c r="V938" s="4"/>
      <c r="W938" s="4"/>
      <c r="X938" s="4"/>
      <c r="Y938" s="4"/>
      <c r="Z938" s="4"/>
    </row>
    <row r="939" spans="1:26" ht="12.75">
      <c r="A939" s="4"/>
      <c r="B939" s="4"/>
      <c r="C939" s="15"/>
      <c r="D939" s="4"/>
      <c r="E939" s="4"/>
      <c r="F939" s="4"/>
      <c r="G939" s="4"/>
      <c r="H939" s="4"/>
      <c r="I939" s="4"/>
      <c r="J939" s="4"/>
      <c r="K939" s="4"/>
      <c r="L939" s="4"/>
      <c r="M939" s="4"/>
      <c r="N939" s="4"/>
      <c r="O939" s="4"/>
      <c r="P939" s="4"/>
      <c r="Q939" s="4"/>
      <c r="R939" s="4"/>
      <c r="S939" s="4"/>
      <c r="T939" s="4"/>
      <c r="U939" s="4"/>
      <c r="V939" s="4"/>
      <c r="W939" s="4"/>
      <c r="X939" s="4"/>
      <c r="Y939" s="4"/>
      <c r="Z939" s="4"/>
    </row>
    <row r="940" spans="1:26" ht="12.75">
      <c r="A940" s="4"/>
      <c r="B940" s="4"/>
      <c r="C940" s="15"/>
      <c r="D940" s="4"/>
      <c r="E940" s="4"/>
      <c r="F940" s="4"/>
      <c r="G940" s="4"/>
      <c r="H940" s="4"/>
      <c r="I940" s="4"/>
      <c r="J940" s="4"/>
      <c r="K940" s="4"/>
      <c r="L940" s="4"/>
      <c r="M940" s="4"/>
      <c r="N940" s="4"/>
      <c r="O940" s="4"/>
      <c r="P940" s="4"/>
      <c r="Q940" s="4"/>
      <c r="R940" s="4"/>
      <c r="S940" s="4"/>
      <c r="T940" s="4"/>
      <c r="U940" s="4"/>
      <c r="V940" s="4"/>
      <c r="W940" s="4"/>
      <c r="X940" s="4"/>
      <c r="Y940" s="4"/>
      <c r="Z940" s="4"/>
    </row>
    <row r="941" spans="1:26" ht="12.75">
      <c r="A941" s="4"/>
      <c r="B941" s="4"/>
      <c r="C941" s="15"/>
      <c r="D941" s="4"/>
      <c r="E941" s="4"/>
      <c r="F941" s="4"/>
      <c r="G941" s="4"/>
      <c r="H941" s="4"/>
      <c r="I941" s="4"/>
      <c r="J941" s="4"/>
      <c r="K941" s="4"/>
      <c r="L941" s="4"/>
      <c r="M941" s="4"/>
      <c r="N941" s="4"/>
      <c r="O941" s="4"/>
      <c r="P941" s="4"/>
      <c r="Q941" s="4"/>
      <c r="R941" s="4"/>
      <c r="S941" s="4"/>
      <c r="T941" s="4"/>
      <c r="U941" s="4"/>
      <c r="V941" s="4"/>
      <c r="W941" s="4"/>
      <c r="X941" s="4"/>
      <c r="Y941" s="4"/>
      <c r="Z941" s="4"/>
    </row>
    <row r="942" spans="1:26" ht="12.75">
      <c r="A942" s="4"/>
      <c r="B942" s="4"/>
      <c r="C942" s="15"/>
      <c r="D942" s="4"/>
      <c r="E942" s="4"/>
      <c r="F942" s="4"/>
      <c r="G942" s="4"/>
      <c r="H942" s="4"/>
      <c r="I942" s="4"/>
      <c r="J942" s="4"/>
      <c r="K942" s="4"/>
      <c r="L942" s="4"/>
      <c r="M942" s="4"/>
      <c r="N942" s="4"/>
      <c r="O942" s="4"/>
      <c r="P942" s="4"/>
      <c r="Q942" s="4"/>
      <c r="R942" s="4"/>
      <c r="S942" s="4"/>
      <c r="T942" s="4"/>
      <c r="U942" s="4"/>
      <c r="V942" s="4"/>
      <c r="W942" s="4"/>
      <c r="X942" s="4"/>
      <c r="Y942" s="4"/>
      <c r="Z942" s="4"/>
    </row>
    <row r="943" spans="1:26" ht="12.75">
      <c r="A943" s="4"/>
      <c r="B943" s="4"/>
      <c r="C943" s="15"/>
      <c r="D943" s="4"/>
      <c r="E943" s="4"/>
      <c r="F943" s="4"/>
      <c r="G943" s="4"/>
      <c r="H943" s="4"/>
      <c r="I943" s="4"/>
      <c r="J943" s="4"/>
      <c r="K943" s="4"/>
      <c r="L943" s="4"/>
      <c r="M943" s="4"/>
      <c r="N943" s="4"/>
      <c r="O943" s="4"/>
      <c r="P943" s="4"/>
      <c r="Q943" s="4"/>
      <c r="R943" s="4"/>
      <c r="S943" s="4"/>
      <c r="T943" s="4"/>
      <c r="U943" s="4"/>
      <c r="V943" s="4"/>
      <c r="W943" s="4"/>
      <c r="X943" s="4"/>
      <c r="Y943" s="4"/>
      <c r="Z943" s="4"/>
    </row>
    <row r="944" spans="1:26" ht="12.75">
      <c r="A944" s="4"/>
      <c r="B944" s="4"/>
      <c r="C944" s="15"/>
      <c r="D944" s="4"/>
      <c r="E944" s="4"/>
      <c r="F944" s="4"/>
      <c r="G944" s="4"/>
      <c r="H944" s="4"/>
      <c r="I944" s="4"/>
      <c r="J944" s="4"/>
      <c r="K944" s="4"/>
      <c r="L944" s="4"/>
      <c r="M944" s="4"/>
      <c r="N944" s="4"/>
      <c r="O944" s="4"/>
      <c r="P944" s="4"/>
      <c r="Q944" s="4"/>
      <c r="R944" s="4"/>
      <c r="S944" s="4"/>
      <c r="T944" s="4"/>
      <c r="U944" s="4"/>
      <c r="V944" s="4"/>
      <c r="W944" s="4"/>
      <c r="X944" s="4"/>
      <c r="Y944" s="4"/>
      <c r="Z944" s="4"/>
    </row>
    <row r="945" spans="1:26" ht="12.75">
      <c r="A945" s="4"/>
      <c r="B945" s="4"/>
      <c r="C945" s="15"/>
      <c r="D945" s="4"/>
      <c r="E945" s="4"/>
      <c r="F945" s="4"/>
      <c r="G945" s="4"/>
      <c r="H945" s="4"/>
      <c r="I945" s="4"/>
      <c r="J945" s="4"/>
      <c r="K945" s="4"/>
      <c r="L945" s="4"/>
      <c r="M945" s="4"/>
      <c r="N945" s="4"/>
      <c r="O945" s="4"/>
      <c r="P945" s="4"/>
      <c r="Q945" s="4"/>
      <c r="R945" s="4"/>
      <c r="S945" s="4"/>
      <c r="T945" s="4"/>
      <c r="U945" s="4"/>
      <c r="V945" s="4"/>
      <c r="W945" s="4"/>
      <c r="X945" s="4"/>
      <c r="Y945" s="4"/>
      <c r="Z945" s="4"/>
    </row>
    <row r="946" spans="1:26" ht="12.75">
      <c r="A946" s="4"/>
      <c r="B946" s="4"/>
      <c r="C946" s="15"/>
      <c r="D946" s="4"/>
      <c r="E946" s="4"/>
      <c r="F946" s="4"/>
      <c r="G946" s="4"/>
      <c r="H946" s="4"/>
      <c r="I946" s="4"/>
      <c r="J946" s="4"/>
      <c r="K946" s="4"/>
      <c r="L946" s="4"/>
      <c r="M946" s="4"/>
      <c r="N946" s="4"/>
      <c r="O946" s="4"/>
      <c r="P946" s="4"/>
      <c r="Q946" s="4"/>
      <c r="R946" s="4"/>
      <c r="S946" s="4"/>
      <c r="T946" s="4"/>
      <c r="U946" s="4"/>
      <c r="V946" s="4"/>
      <c r="W946" s="4"/>
      <c r="X946" s="4"/>
      <c r="Y946" s="4"/>
      <c r="Z946" s="4"/>
    </row>
    <row r="947" spans="1:26" ht="12.75">
      <c r="A947" s="4"/>
      <c r="B947" s="4"/>
      <c r="C947" s="15"/>
      <c r="D947" s="4"/>
      <c r="E947" s="4"/>
      <c r="F947" s="4"/>
      <c r="G947" s="4"/>
      <c r="H947" s="4"/>
      <c r="I947" s="4"/>
      <c r="J947" s="4"/>
      <c r="K947" s="4"/>
      <c r="L947" s="4"/>
      <c r="M947" s="4"/>
      <c r="N947" s="4"/>
      <c r="O947" s="4"/>
      <c r="P947" s="4"/>
      <c r="Q947" s="4"/>
      <c r="R947" s="4"/>
      <c r="S947" s="4"/>
      <c r="T947" s="4"/>
      <c r="U947" s="4"/>
      <c r="V947" s="4"/>
      <c r="W947" s="4"/>
      <c r="X947" s="4"/>
      <c r="Y947" s="4"/>
      <c r="Z947" s="4"/>
    </row>
    <row r="948" spans="1:26" ht="12.75">
      <c r="A948" s="4"/>
      <c r="B948" s="4"/>
      <c r="C948" s="15"/>
      <c r="D948" s="4"/>
      <c r="E948" s="4"/>
      <c r="F948" s="4"/>
      <c r="G948" s="4"/>
      <c r="H948" s="4"/>
      <c r="I948" s="4"/>
      <c r="J948" s="4"/>
      <c r="K948" s="4"/>
      <c r="L948" s="4"/>
      <c r="M948" s="4"/>
      <c r="N948" s="4"/>
      <c r="O948" s="4"/>
      <c r="P948" s="4"/>
      <c r="Q948" s="4"/>
      <c r="R948" s="4"/>
      <c r="S948" s="4"/>
      <c r="T948" s="4"/>
      <c r="U948" s="4"/>
      <c r="V948" s="4"/>
      <c r="W948" s="4"/>
      <c r="X948" s="4"/>
      <c r="Y948" s="4"/>
      <c r="Z948" s="4"/>
    </row>
    <row r="949" spans="1:26" ht="12.75">
      <c r="A949" s="4"/>
      <c r="B949" s="4"/>
      <c r="C949" s="15"/>
      <c r="D949" s="4"/>
      <c r="E949" s="4"/>
      <c r="F949" s="4"/>
      <c r="G949" s="4"/>
      <c r="H949" s="4"/>
      <c r="I949" s="4"/>
      <c r="J949" s="4"/>
      <c r="K949" s="4"/>
      <c r="L949" s="4"/>
      <c r="M949" s="4"/>
      <c r="N949" s="4"/>
      <c r="O949" s="4"/>
      <c r="P949" s="4"/>
      <c r="Q949" s="4"/>
      <c r="R949" s="4"/>
      <c r="S949" s="4"/>
      <c r="T949" s="4"/>
      <c r="U949" s="4"/>
      <c r="V949" s="4"/>
      <c r="W949" s="4"/>
      <c r="X949" s="4"/>
      <c r="Y949" s="4"/>
      <c r="Z949" s="4"/>
    </row>
    <row r="950" spans="1:26" ht="12.75">
      <c r="A950" s="4"/>
      <c r="B950" s="4"/>
      <c r="C950" s="15"/>
      <c r="D950" s="4"/>
      <c r="E950" s="4"/>
      <c r="F950" s="4"/>
      <c r="G950" s="4"/>
      <c r="H950" s="4"/>
      <c r="I950" s="4"/>
      <c r="J950" s="4"/>
      <c r="K950" s="4"/>
      <c r="L950" s="4"/>
      <c r="M950" s="4"/>
      <c r="N950" s="4"/>
      <c r="O950" s="4"/>
      <c r="P950" s="4"/>
      <c r="Q950" s="4"/>
      <c r="R950" s="4"/>
      <c r="S950" s="4"/>
      <c r="T950" s="4"/>
      <c r="U950" s="4"/>
      <c r="V950" s="4"/>
      <c r="W950" s="4"/>
      <c r="X950" s="4"/>
      <c r="Y950" s="4"/>
      <c r="Z950" s="4"/>
    </row>
    <row r="951" spans="1:26" ht="12.75">
      <c r="A951" s="4"/>
      <c r="B951" s="4"/>
      <c r="C951" s="15"/>
      <c r="D951" s="4"/>
      <c r="E951" s="4"/>
      <c r="F951" s="4"/>
      <c r="G951" s="4"/>
      <c r="H951" s="4"/>
      <c r="I951" s="4"/>
      <c r="J951" s="4"/>
      <c r="K951" s="4"/>
      <c r="L951" s="4"/>
      <c r="M951" s="4"/>
      <c r="N951" s="4"/>
      <c r="O951" s="4"/>
      <c r="P951" s="4"/>
      <c r="Q951" s="4"/>
      <c r="R951" s="4"/>
      <c r="S951" s="4"/>
      <c r="T951" s="4"/>
      <c r="U951" s="4"/>
      <c r="V951" s="4"/>
      <c r="W951" s="4"/>
      <c r="X951" s="4"/>
      <c r="Y951" s="4"/>
      <c r="Z951" s="4"/>
    </row>
    <row r="952" spans="1:26" ht="12.75">
      <c r="A952" s="4"/>
      <c r="B952" s="4"/>
      <c r="C952" s="15"/>
      <c r="D952" s="4"/>
      <c r="E952" s="4"/>
      <c r="F952" s="4"/>
      <c r="G952" s="4"/>
      <c r="H952" s="4"/>
      <c r="I952" s="4"/>
      <c r="J952" s="4"/>
      <c r="K952" s="4"/>
      <c r="L952" s="4"/>
      <c r="M952" s="4"/>
      <c r="N952" s="4"/>
      <c r="O952" s="4"/>
      <c r="P952" s="4"/>
      <c r="Q952" s="4"/>
      <c r="R952" s="4"/>
      <c r="S952" s="4"/>
      <c r="T952" s="4"/>
      <c r="U952" s="4"/>
      <c r="V952" s="4"/>
      <c r="W952" s="4"/>
      <c r="X952" s="4"/>
      <c r="Y952" s="4"/>
      <c r="Z952" s="4"/>
    </row>
    <row r="953" spans="1:26" ht="12.75">
      <c r="A953" s="4"/>
      <c r="B953" s="4"/>
      <c r="C953" s="15"/>
      <c r="D953" s="4"/>
      <c r="E953" s="4"/>
      <c r="F953" s="4"/>
      <c r="G953" s="4"/>
      <c r="H953" s="4"/>
      <c r="I953" s="4"/>
      <c r="J953" s="4"/>
      <c r="K953" s="4"/>
      <c r="L953" s="4"/>
      <c r="M953" s="4"/>
      <c r="N953" s="4"/>
      <c r="O953" s="4"/>
      <c r="P953" s="4"/>
      <c r="Q953" s="4"/>
      <c r="R953" s="4"/>
      <c r="S953" s="4"/>
      <c r="T953" s="4"/>
      <c r="U953" s="4"/>
      <c r="V953" s="4"/>
      <c r="W953" s="4"/>
      <c r="X953" s="4"/>
      <c r="Y953" s="4"/>
      <c r="Z953" s="4"/>
    </row>
    <row r="954" spans="1:26" ht="12.75">
      <c r="A954" s="4"/>
      <c r="B954" s="4"/>
      <c r="C954" s="15"/>
      <c r="D954" s="4"/>
      <c r="E954" s="4"/>
      <c r="F954" s="4"/>
      <c r="G954" s="4"/>
      <c r="H954" s="4"/>
      <c r="I954" s="4"/>
      <c r="J954" s="4"/>
      <c r="K954" s="4"/>
      <c r="L954" s="4"/>
      <c r="M954" s="4"/>
      <c r="N954" s="4"/>
      <c r="O954" s="4"/>
      <c r="P954" s="4"/>
      <c r="Q954" s="4"/>
      <c r="R954" s="4"/>
      <c r="S954" s="4"/>
      <c r="T954" s="4"/>
      <c r="U954" s="4"/>
      <c r="V954" s="4"/>
      <c r="W954" s="4"/>
      <c r="X954" s="4"/>
      <c r="Y954" s="4"/>
      <c r="Z954" s="4"/>
    </row>
    <row r="955" spans="1:26" ht="12.75">
      <c r="A955" s="4"/>
      <c r="B955" s="4"/>
      <c r="C955" s="15"/>
      <c r="D955" s="4"/>
      <c r="E955" s="4"/>
      <c r="F955" s="4"/>
      <c r="G955" s="4"/>
      <c r="H955" s="4"/>
      <c r="I955" s="4"/>
      <c r="J955" s="4"/>
      <c r="K955" s="4"/>
      <c r="L955" s="4"/>
      <c r="M955" s="4"/>
      <c r="N955" s="4"/>
      <c r="O955" s="4"/>
      <c r="P955" s="4"/>
      <c r="Q955" s="4"/>
      <c r="R955" s="4"/>
      <c r="S955" s="4"/>
      <c r="T955" s="4"/>
      <c r="U955" s="4"/>
      <c r="V955" s="4"/>
      <c r="W955" s="4"/>
      <c r="X955" s="4"/>
      <c r="Y955" s="4"/>
      <c r="Z955" s="4"/>
    </row>
    <row r="956" spans="1:26" ht="12.75">
      <c r="A956" s="4"/>
      <c r="B956" s="4"/>
      <c r="C956" s="15"/>
      <c r="D956" s="4"/>
      <c r="E956" s="4"/>
      <c r="F956" s="4"/>
      <c r="G956" s="4"/>
      <c r="H956" s="4"/>
      <c r="I956" s="4"/>
      <c r="J956" s="4"/>
      <c r="K956" s="4"/>
      <c r="L956" s="4"/>
      <c r="M956" s="4"/>
      <c r="N956" s="4"/>
      <c r="O956" s="4"/>
      <c r="P956" s="4"/>
      <c r="Q956" s="4"/>
      <c r="R956" s="4"/>
      <c r="S956" s="4"/>
      <c r="T956" s="4"/>
      <c r="U956" s="4"/>
      <c r="V956" s="4"/>
      <c r="W956" s="4"/>
      <c r="X956" s="4"/>
      <c r="Y956" s="4"/>
      <c r="Z956" s="4"/>
    </row>
    <row r="957" spans="1:26" ht="12.75">
      <c r="A957" s="4"/>
      <c r="B957" s="4"/>
      <c r="C957" s="15"/>
      <c r="D957" s="4"/>
      <c r="E957" s="4"/>
      <c r="F957" s="4"/>
      <c r="G957" s="4"/>
      <c r="H957" s="4"/>
      <c r="I957" s="4"/>
      <c r="J957" s="4"/>
      <c r="K957" s="4"/>
      <c r="L957" s="4"/>
      <c r="M957" s="4"/>
      <c r="N957" s="4"/>
      <c r="O957" s="4"/>
      <c r="P957" s="4"/>
      <c r="Q957" s="4"/>
      <c r="R957" s="4"/>
      <c r="S957" s="4"/>
      <c r="T957" s="4"/>
      <c r="U957" s="4"/>
      <c r="V957" s="4"/>
      <c r="W957" s="4"/>
      <c r="X957" s="4"/>
      <c r="Y957" s="4"/>
      <c r="Z957" s="4"/>
    </row>
    <row r="958" spans="1:26" ht="12.75">
      <c r="A958" s="4"/>
      <c r="B958" s="4"/>
      <c r="C958" s="15"/>
      <c r="D958" s="4"/>
      <c r="E958" s="4"/>
      <c r="F958" s="4"/>
      <c r="G958" s="4"/>
      <c r="H958" s="4"/>
      <c r="I958" s="4"/>
      <c r="J958" s="4"/>
      <c r="K958" s="4"/>
      <c r="L958" s="4"/>
      <c r="M958" s="4"/>
      <c r="N958" s="4"/>
      <c r="O958" s="4"/>
      <c r="P958" s="4"/>
      <c r="Q958" s="4"/>
      <c r="R958" s="4"/>
      <c r="S958" s="4"/>
      <c r="T958" s="4"/>
      <c r="U958" s="4"/>
      <c r="V958" s="4"/>
      <c r="W958" s="4"/>
      <c r="X958" s="4"/>
      <c r="Y958" s="4"/>
      <c r="Z958" s="4"/>
    </row>
    <row r="959" spans="1:26" ht="12.75">
      <c r="A959" s="4"/>
      <c r="B959" s="4"/>
      <c r="C959" s="15"/>
      <c r="D959" s="4"/>
      <c r="E959" s="4"/>
      <c r="F959" s="4"/>
      <c r="G959" s="4"/>
      <c r="H959" s="4"/>
      <c r="I959" s="4"/>
      <c r="J959" s="4"/>
      <c r="K959" s="4"/>
      <c r="L959" s="4"/>
      <c r="M959" s="4"/>
      <c r="N959" s="4"/>
      <c r="O959" s="4"/>
      <c r="P959" s="4"/>
      <c r="Q959" s="4"/>
      <c r="R959" s="4"/>
      <c r="S959" s="4"/>
      <c r="T959" s="4"/>
      <c r="U959" s="4"/>
      <c r="V959" s="4"/>
      <c r="W959" s="4"/>
      <c r="X959" s="4"/>
      <c r="Y959" s="4"/>
      <c r="Z959" s="4"/>
    </row>
    <row r="960" spans="1:26" ht="12.75">
      <c r="A960" s="4"/>
      <c r="B960" s="4"/>
      <c r="C960" s="15"/>
      <c r="D960" s="4"/>
      <c r="E960" s="4"/>
      <c r="F960" s="4"/>
      <c r="G960" s="4"/>
      <c r="H960" s="4"/>
      <c r="I960" s="4"/>
      <c r="J960" s="4"/>
      <c r="K960" s="4"/>
      <c r="L960" s="4"/>
      <c r="M960" s="4"/>
      <c r="N960" s="4"/>
      <c r="O960" s="4"/>
      <c r="P960" s="4"/>
      <c r="Q960" s="4"/>
      <c r="R960" s="4"/>
      <c r="S960" s="4"/>
      <c r="T960" s="4"/>
      <c r="U960" s="4"/>
      <c r="V960" s="4"/>
      <c r="W960" s="4"/>
      <c r="X960" s="4"/>
      <c r="Y960" s="4"/>
      <c r="Z960" s="4"/>
    </row>
    <row r="961" spans="1:26" ht="12.75">
      <c r="A961" s="4"/>
      <c r="B961" s="4"/>
      <c r="C961" s="15"/>
      <c r="D961" s="4"/>
      <c r="E961" s="4"/>
      <c r="F961" s="4"/>
      <c r="G961" s="4"/>
      <c r="H961" s="4"/>
      <c r="I961" s="4"/>
      <c r="J961" s="4"/>
      <c r="K961" s="4"/>
      <c r="L961" s="4"/>
      <c r="M961" s="4"/>
      <c r="N961" s="4"/>
      <c r="O961" s="4"/>
      <c r="P961" s="4"/>
      <c r="Q961" s="4"/>
      <c r="R961" s="4"/>
      <c r="S961" s="4"/>
      <c r="T961" s="4"/>
      <c r="U961" s="4"/>
      <c r="V961" s="4"/>
      <c r="W961" s="4"/>
      <c r="X961" s="4"/>
      <c r="Y961" s="4"/>
      <c r="Z961" s="4"/>
    </row>
    <row r="962" spans="1:26" ht="12.75">
      <c r="A962" s="4"/>
      <c r="B962" s="4"/>
      <c r="C962" s="15"/>
      <c r="D962" s="4"/>
      <c r="E962" s="4"/>
      <c r="F962" s="4"/>
      <c r="G962" s="4"/>
      <c r="H962" s="4"/>
      <c r="I962" s="4"/>
      <c r="J962" s="4"/>
      <c r="K962" s="4"/>
      <c r="L962" s="4"/>
      <c r="M962" s="4"/>
      <c r="N962" s="4"/>
      <c r="O962" s="4"/>
      <c r="P962" s="4"/>
      <c r="Q962" s="4"/>
      <c r="R962" s="4"/>
      <c r="S962" s="4"/>
      <c r="T962" s="4"/>
      <c r="U962" s="4"/>
      <c r="V962" s="4"/>
      <c r="W962" s="4"/>
      <c r="X962" s="4"/>
      <c r="Y962" s="4"/>
      <c r="Z962" s="4"/>
    </row>
    <row r="963" spans="1:26" ht="12.75">
      <c r="A963" s="4"/>
      <c r="B963" s="4"/>
      <c r="C963" s="15"/>
      <c r="D963" s="4"/>
      <c r="E963" s="4"/>
      <c r="F963" s="4"/>
      <c r="G963" s="4"/>
      <c r="H963" s="4"/>
      <c r="I963" s="4"/>
      <c r="J963" s="4"/>
      <c r="K963" s="4"/>
      <c r="L963" s="4"/>
      <c r="M963" s="4"/>
      <c r="N963" s="4"/>
      <c r="O963" s="4"/>
      <c r="P963" s="4"/>
      <c r="Q963" s="4"/>
      <c r="R963" s="4"/>
      <c r="S963" s="4"/>
      <c r="T963" s="4"/>
      <c r="U963" s="4"/>
      <c r="V963" s="4"/>
      <c r="W963" s="4"/>
      <c r="X963" s="4"/>
      <c r="Y963" s="4"/>
      <c r="Z963" s="4"/>
    </row>
    <row r="964" spans="1:26" ht="12.75">
      <c r="A964" s="4"/>
      <c r="B964" s="4"/>
      <c r="C964" s="15"/>
      <c r="D964" s="4"/>
      <c r="E964" s="4"/>
      <c r="F964" s="4"/>
      <c r="G964" s="4"/>
      <c r="H964" s="4"/>
      <c r="I964" s="4"/>
      <c r="J964" s="4"/>
      <c r="K964" s="4"/>
      <c r="L964" s="4"/>
      <c r="M964" s="4"/>
      <c r="N964" s="4"/>
      <c r="O964" s="4"/>
      <c r="P964" s="4"/>
      <c r="Q964" s="4"/>
      <c r="R964" s="4"/>
      <c r="S964" s="4"/>
      <c r="T964" s="4"/>
      <c r="U964" s="4"/>
      <c r="V964" s="4"/>
      <c r="W964" s="4"/>
      <c r="X964" s="4"/>
      <c r="Y964" s="4"/>
      <c r="Z964" s="4"/>
    </row>
    <row r="965" spans="1:26" ht="12.75">
      <c r="A965" s="4"/>
      <c r="B965" s="4"/>
      <c r="C965" s="15"/>
      <c r="D965" s="4"/>
      <c r="E965" s="4"/>
      <c r="F965" s="4"/>
      <c r="G965" s="4"/>
      <c r="H965" s="4"/>
      <c r="I965" s="4"/>
      <c r="J965" s="4"/>
      <c r="K965" s="4"/>
      <c r="L965" s="4"/>
      <c r="M965" s="4"/>
      <c r="N965" s="4"/>
      <c r="O965" s="4"/>
      <c r="P965" s="4"/>
      <c r="Q965" s="4"/>
      <c r="R965" s="4"/>
      <c r="S965" s="4"/>
      <c r="T965" s="4"/>
      <c r="U965" s="4"/>
      <c r="V965" s="4"/>
      <c r="W965" s="4"/>
      <c r="X965" s="4"/>
      <c r="Y965" s="4"/>
      <c r="Z965" s="4"/>
    </row>
    <row r="966" spans="1:26" ht="12.75">
      <c r="A966" s="4"/>
      <c r="B966" s="4"/>
      <c r="C966" s="15"/>
      <c r="D966" s="4"/>
      <c r="E966" s="4"/>
      <c r="F966" s="4"/>
      <c r="G966" s="4"/>
      <c r="H966" s="4"/>
      <c r="I966" s="4"/>
      <c r="J966" s="4"/>
      <c r="K966" s="4"/>
      <c r="L966" s="4"/>
      <c r="M966" s="4"/>
      <c r="N966" s="4"/>
      <c r="O966" s="4"/>
      <c r="P966" s="4"/>
      <c r="Q966" s="4"/>
      <c r="R966" s="4"/>
      <c r="S966" s="4"/>
      <c r="T966" s="4"/>
      <c r="U966" s="4"/>
      <c r="V966" s="4"/>
      <c r="W966" s="4"/>
      <c r="X966" s="4"/>
      <c r="Y966" s="4"/>
      <c r="Z966" s="4"/>
    </row>
    <row r="967" spans="1:26" ht="12.75">
      <c r="A967" s="4"/>
      <c r="B967" s="4"/>
      <c r="C967" s="15"/>
      <c r="D967" s="4"/>
      <c r="E967" s="4"/>
      <c r="F967" s="4"/>
      <c r="G967" s="4"/>
      <c r="H967" s="4"/>
      <c r="I967" s="4"/>
      <c r="J967" s="4"/>
      <c r="K967" s="4"/>
      <c r="L967" s="4"/>
      <c r="M967" s="4"/>
      <c r="N967" s="4"/>
      <c r="O967" s="4"/>
      <c r="P967" s="4"/>
      <c r="Q967" s="4"/>
      <c r="R967" s="4"/>
      <c r="S967" s="4"/>
      <c r="T967" s="4"/>
      <c r="U967" s="4"/>
      <c r="V967" s="4"/>
      <c r="W967" s="4"/>
      <c r="X967" s="4"/>
      <c r="Y967" s="4"/>
      <c r="Z967" s="4"/>
    </row>
    <row r="968" spans="1:26" ht="12.75">
      <c r="A968" s="4"/>
      <c r="B968" s="4"/>
      <c r="C968" s="15"/>
      <c r="D968" s="4"/>
      <c r="E968" s="4"/>
      <c r="F968" s="4"/>
      <c r="G968" s="4"/>
      <c r="H968" s="4"/>
      <c r="I968" s="4"/>
      <c r="J968" s="4"/>
      <c r="K968" s="4"/>
      <c r="L968" s="4"/>
      <c r="M968" s="4"/>
      <c r="N968" s="4"/>
      <c r="O968" s="4"/>
      <c r="P968" s="4"/>
      <c r="Q968" s="4"/>
      <c r="R968" s="4"/>
      <c r="S968" s="4"/>
      <c r="T968" s="4"/>
      <c r="U968" s="4"/>
      <c r="V968" s="4"/>
      <c r="W968" s="4"/>
      <c r="X968" s="4"/>
      <c r="Y968" s="4"/>
      <c r="Z968" s="4"/>
    </row>
    <row r="969" spans="1:26" ht="12.75">
      <c r="A969" s="4"/>
      <c r="B969" s="4"/>
      <c r="C969" s="15"/>
      <c r="D969" s="4"/>
      <c r="E969" s="4"/>
      <c r="F969" s="4"/>
      <c r="G969" s="4"/>
      <c r="H969" s="4"/>
      <c r="I969" s="4"/>
      <c r="J969" s="4"/>
      <c r="K969" s="4"/>
      <c r="L969" s="4"/>
      <c r="M969" s="4"/>
      <c r="N969" s="4"/>
      <c r="O969" s="4"/>
      <c r="P969" s="4"/>
      <c r="Q969" s="4"/>
      <c r="R969" s="4"/>
      <c r="S969" s="4"/>
      <c r="T969" s="4"/>
      <c r="U969" s="4"/>
      <c r="V969" s="4"/>
      <c r="W969" s="4"/>
      <c r="X969" s="4"/>
      <c r="Y969" s="4"/>
      <c r="Z969" s="4"/>
    </row>
    <row r="970" spans="1:26" ht="12.75">
      <c r="A970" s="4"/>
      <c r="B970" s="4"/>
      <c r="C970" s="15"/>
      <c r="D970" s="4"/>
      <c r="E970" s="4"/>
      <c r="F970" s="4"/>
      <c r="G970" s="4"/>
      <c r="H970" s="4"/>
      <c r="I970" s="4"/>
      <c r="J970" s="4"/>
      <c r="K970" s="4"/>
      <c r="L970" s="4"/>
      <c r="M970" s="4"/>
      <c r="N970" s="4"/>
      <c r="O970" s="4"/>
      <c r="P970" s="4"/>
      <c r="Q970" s="4"/>
      <c r="R970" s="4"/>
      <c r="S970" s="4"/>
      <c r="T970" s="4"/>
      <c r="U970" s="4"/>
      <c r="V970" s="4"/>
      <c r="W970" s="4"/>
      <c r="X970" s="4"/>
      <c r="Y970" s="4"/>
      <c r="Z970" s="4"/>
    </row>
    <row r="971" spans="1:26" ht="12.75">
      <c r="A971" s="4"/>
      <c r="B971" s="4"/>
      <c r="C971" s="15"/>
      <c r="D971" s="4"/>
      <c r="E971" s="4"/>
      <c r="F971" s="4"/>
      <c r="G971" s="4"/>
      <c r="H971" s="4"/>
      <c r="I971" s="4"/>
      <c r="J971" s="4"/>
      <c r="K971" s="4"/>
      <c r="L971" s="4"/>
      <c r="M971" s="4"/>
      <c r="N971" s="4"/>
      <c r="O971" s="4"/>
      <c r="P971" s="4"/>
      <c r="Q971" s="4"/>
      <c r="R971" s="4"/>
      <c r="S971" s="4"/>
      <c r="T971" s="4"/>
      <c r="U971" s="4"/>
      <c r="V971" s="4"/>
      <c r="W971" s="4"/>
      <c r="X971" s="4"/>
      <c r="Y971" s="4"/>
      <c r="Z971" s="4"/>
    </row>
    <row r="972" spans="1:26" ht="12.75">
      <c r="A972" s="4"/>
      <c r="B972" s="4"/>
      <c r="C972" s="15"/>
      <c r="D972" s="4"/>
      <c r="E972" s="4"/>
      <c r="F972" s="4"/>
      <c r="G972" s="4"/>
      <c r="H972" s="4"/>
      <c r="I972" s="4"/>
      <c r="J972" s="4"/>
      <c r="K972" s="4"/>
      <c r="L972" s="4"/>
      <c r="M972" s="4"/>
      <c r="N972" s="4"/>
      <c r="O972" s="4"/>
      <c r="P972" s="4"/>
      <c r="Q972" s="4"/>
      <c r="R972" s="4"/>
      <c r="S972" s="4"/>
      <c r="T972" s="4"/>
      <c r="U972" s="4"/>
      <c r="V972" s="4"/>
      <c r="W972" s="4"/>
      <c r="X972" s="4"/>
      <c r="Y972" s="4"/>
      <c r="Z972" s="4"/>
    </row>
    <row r="973" spans="1:26" ht="12.75">
      <c r="A973" s="4"/>
      <c r="B973" s="4"/>
      <c r="C973" s="15"/>
      <c r="D973" s="4"/>
      <c r="E973" s="4"/>
      <c r="F973" s="4"/>
      <c r="G973" s="4"/>
      <c r="H973" s="4"/>
      <c r="I973" s="4"/>
      <c r="J973" s="4"/>
      <c r="K973" s="4"/>
      <c r="L973" s="4"/>
      <c r="M973" s="4"/>
      <c r="N973" s="4"/>
      <c r="O973" s="4"/>
      <c r="P973" s="4"/>
      <c r="Q973" s="4"/>
      <c r="R973" s="4"/>
      <c r="S973" s="4"/>
      <c r="T973" s="4"/>
      <c r="U973" s="4"/>
      <c r="V973" s="4"/>
      <c r="W973" s="4"/>
      <c r="X973" s="4"/>
      <c r="Y973" s="4"/>
      <c r="Z973" s="4"/>
    </row>
    <row r="974" spans="1:26" ht="12.75">
      <c r="A974" s="4"/>
      <c r="B974" s="4"/>
      <c r="C974" s="15"/>
      <c r="D974" s="4"/>
      <c r="E974" s="4"/>
      <c r="F974" s="4"/>
      <c r="G974" s="4"/>
      <c r="H974" s="4"/>
      <c r="I974" s="4"/>
      <c r="J974" s="4"/>
      <c r="K974" s="4"/>
      <c r="L974" s="4"/>
      <c r="M974" s="4"/>
      <c r="N974" s="4"/>
      <c r="O974" s="4"/>
      <c r="P974" s="4"/>
      <c r="Q974" s="4"/>
      <c r="R974" s="4"/>
      <c r="S974" s="4"/>
      <c r="T974" s="4"/>
      <c r="U974" s="4"/>
      <c r="V974" s="4"/>
      <c r="W974" s="4"/>
      <c r="X974" s="4"/>
      <c r="Y974" s="4"/>
      <c r="Z974" s="4"/>
    </row>
    <row r="975" spans="1:26" ht="12.75">
      <c r="A975" s="4"/>
      <c r="B975" s="4"/>
      <c r="C975" s="15"/>
      <c r="D975" s="4"/>
      <c r="E975" s="4"/>
      <c r="F975" s="4"/>
      <c r="G975" s="4"/>
      <c r="H975" s="4"/>
      <c r="I975" s="4"/>
      <c r="J975" s="4"/>
      <c r="K975" s="4"/>
      <c r="L975" s="4"/>
      <c r="M975" s="4"/>
      <c r="N975" s="4"/>
      <c r="O975" s="4"/>
      <c r="P975" s="4"/>
      <c r="Q975" s="4"/>
      <c r="R975" s="4"/>
      <c r="S975" s="4"/>
      <c r="T975" s="4"/>
      <c r="U975" s="4"/>
      <c r="V975" s="4"/>
      <c r="W975" s="4"/>
      <c r="X975" s="4"/>
      <c r="Y975" s="4"/>
      <c r="Z975" s="4"/>
    </row>
    <row r="976" spans="1:26" ht="12.75">
      <c r="A976" s="4"/>
      <c r="B976" s="4"/>
      <c r="C976" s="15"/>
      <c r="D976" s="4"/>
      <c r="E976" s="4"/>
      <c r="F976" s="4"/>
      <c r="G976" s="4"/>
      <c r="H976" s="4"/>
      <c r="I976" s="4"/>
      <c r="J976" s="4"/>
      <c r="K976" s="4"/>
      <c r="L976" s="4"/>
      <c r="M976" s="4"/>
      <c r="N976" s="4"/>
      <c r="O976" s="4"/>
      <c r="P976" s="4"/>
      <c r="Q976" s="4"/>
      <c r="R976" s="4"/>
      <c r="S976" s="4"/>
      <c r="T976" s="4"/>
      <c r="U976" s="4"/>
      <c r="V976" s="4"/>
      <c r="W976" s="4"/>
      <c r="X976" s="4"/>
      <c r="Y976" s="4"/>
      <c r="Z976" s="4"/>
    </row>
    <row r="977" spans="1:26" ht="12.75">
      <c r="A977" s="4"/>
      <c r="B977" s="4"/>
      <c r="C977" s="15"/>
      <c r="D977" s="4"/>
      <c r="E977" s="4"/>
      <c r="F977" s="4"/>
      <c r="G977" s="4"/>
      <c r="H977" s="4"/>
      <c r="I977" s="4"/>
      <c r="J977" s="4"/>
      <c r="K977" s="4"/>
      <c r="L977" s="4"/>
      <c r="M977" s="4"/>
      <c r="N977" s="4"/>
      <c r="O977" s="4"/>
      <c r="P977" s="4"/>
      <c r="Q977" s="4"/>
      <c r="R977" s="4"/>
      <c r="S977" s="4"/>
      <c r="T977" s="4"/>
      <c r="U977" s="4"/>
      <c r="V977" s="4"/>
      <c r="W977" s="4"/>
      <c r="X977" s="4"/>
      <c r="Y977" s="4"/>
      <c r="Z977" s="4"/>
    </row>
    <row r="978" spans="1:26" ht="12.75">
      <c r="A978" s="4"/>
      <c r="B978" s="4"/>
      <c r="C978" s="15"/>
      <c r="D978" s="4"/>
      <c r="E978" s="4"/>
      <c r="F978" s="4"/>
      <c r="G978" s="4"/>
      <c r="H978" s="4"/>
      <c r="I978" s="4"/>
      <c r="J978" s="4"/>
      <c r="K978" s="4"/>
      <c r="L978" s="4"/>
      <c r="M978" s="4"/>
      <c r="N978" s="4"/>
      <c r="O978" s="4"/>
      <c r="P978" s="4"/>
      <c r="Q978" s="4"/>
      <c r="R978" s="4"/>
      <c r="S978" s="4"/>
      <c r="T978" s="4"/>
      <c r="U978" s="4"/>
      <c r="V978" s="4"/>
      <c r="W978" s="4"/>
      <c r="X978" s="4"/>
      <c r="Y978" s="4"/>
      <c r="Z978" s="4"/>
    </row>
    <row r="979" spans="1:26" ht="12.75">
      <c r="A979" s="4"/>
      <c r="B979" s="4"/>
      <c r="C979" s="15"/>
      <c r="D979" s="4"/>
      <c r="E979" s="4"/>
      <c r="F979" s="4"/>
      <c r="G979" s="4"/>
      <c r="H979" s="4"/>
      <c r="I979" s="4"/>
      <c r="J979" s="4"/>
      <c r="K979" s="4"/>
      <c r="L979" s="4"/>
      <c r="M979" s="4"/>
      <c r="N979" s="4"/>
      <c r="O979" s="4"/>
      <c r="P979" s="4"/>
      <c r="Q979" s="4"/>
      <c r="R979" s="4"/>
      <c r="S979" s="4"/>
      <c r="T979" s="4"/>
      <c r="U979" s="4"/>
      <c r="V979" s="4"/>
      <c r="W979" s="4"/>
      <c r="X979" s="4"/>
      <c r="Y979" s="4"/>
      <c r="Z979" s="4"/>
    </row>
    <row r="980" spans="1:26" ht="12.75">
      <c r="A980" s="4"/>
      <c r="B980" s="4"/>
      <c r="C980" s="15"/>
      <c r="D980" s="4"/>
      <c r="E980" s="4"/>
      <c r="F980" s="4"/>
      <c r="G980" s="4"/>
      <c r="H980" s="4"/>
      <c r="I980" s="4"/>
      <c r="J980" s="4"/>
      <c r="K980" s="4"/>
      <c r="L980" s="4"/>
      <c r="M980" s="4"/>
      <c r="N980" s="4"/>
      <c r="O980" s="4"/>
      <c r="P980" s="4"/>
      <c r="Q980" s="4"/>
      <c r="R980" s="4"/>
      <c r="S980" s="4"/>
      <c r="T980" s="4"/>
      <c r="U980" s="4"/>
      <c r="V980" s="4"/>
      <c r="W980" s="4"/>
      <c r="X980" s="4"/>
      <c r="Y980" s="4"/>
      <c r="Z980" s="4"/>
    </row>
    <row r="981" spans="1:26" ht="12.75">
      <c r="A981" s="4"/>
      <c r="B981" s="4"/>
      <c r="C981" s="15"/>
      <c r="D981" s="4"/>
      <c r="E981" s="4"/>
      <c r="F981" s="4"/>
      <c r="G981" s="4"/>
      <c r="H981" s="4"/>
      <c r="I981" s="4"/>
      <c r="J981" s="4"/>
      <c r="K981" s="4"/>
      <c r="L981" s="4"/>
      <c r="M981" s="4"/>
      <c r="N981" s="4"/>
      <c r="O981" s="4"/>
      <c r="P981" s="4"/>
      <c r="Q981" s="4"/>
      <c r="R981" s="4"/>
      <c r="S981" s="4"/>
      <c r="T981" s="4"/>
      <c r="U981" s="4"/>
      <c r="V981" s="4"/>
      <c r="W981" s="4"/>
      <c r="X981" s="4"/>
      <c r="Y981" s="4"/>
      <c r="Z981" s="4"/>
    </row>
    <row r="982" spans="1:26" ht="12.75">
      <c r="A982" s="4"/>
      <c r="B982" s="4"/>
      <c r="C982" s="15"/>
      <c r="D982" s="4"/>
      <c r="E982" s="4"/>
      <c r="F982" s="4"/>
      <c r="G982" s="4"/>
      <c r="H982" s="4"/>
      <c r="I982" s="4"/>
      <c r="J982" s="4"/>
      <c r="K982" s="4"/>
      <c r="L982" s="4"/>
      <c r="M982" s="4"/>
      <c r="N982" s="4"/>
      <c r="O982" s="4"/>
      <c r="P982" s="4"/>
      <c r="Q982" s="4"/>
      <c r="R982" s="4"/>
      <c r="S982" s="4"/>
      <c r="T982" s="4"/>
      <c r="U982" s="4"/>
      <c r="V982" s="4"/>
      <c r="W982" s="4"/>
      <c r="X982" s="4"/>
      <c r="Y982" s="4"/>
      <c r="Z982" s="4"/>
    </row>
    <row r="983" spans="1:26" ht="12.75">
      <c r="A983" s="4"/>
      <c r="B983" s="4"/>
      <c r="C983" s="15"/>
      <c r="D983" s="4"/>
      <c r="E983" s="4"/>
      <c r="F983" s="4"/>
      <c r="G983" s="4"/>
      <c r="H983" s="4"/>
      <c r="I983" s="4"/>
      <c r="J983" s="4"/>
      <c r="K983" s="4"/>
      <c r="L983" s="4"/>
      <c r="M983" s="4"/>
      <c r="N983" s="4"/>
      <c r="O983" s="4"/>
      <c r="P983" s="4"/>
      <c r="Q983" s="4"/>
      <c r="R983" s="4"/>
      <c r="S983" s="4"/>
      <c r="T983" s="4"/>
      <c r="U983" s="4"/>
      <c r="V983" s="4"/>
      <c r="W983" s="4"/>
      <c r="X983" s="4"/>
      <c r="Y983" s="4"/>
      <c r="Z983" s="4"/>
    </row>
    <row r="984" spans="1:26" ht="12.75">
      <c r="A984" s="4"/>
      <c r="B984" s="4"/>
      <c r="C984" s="15"/>
      <c r="D984" s="4"/>
      <c r="E984" s="4"/>
      <c r="F984" s="4"/>
      <c r="G984" s="4"/>
      <c r="H984" s="4"/>
      <c r="I984" s="4"/>
      <c r="J984" s="4"/>
      <c r="K984" s="4"/>
      <c r="L984" s="4"/>
      <c r="M984" s="4"/>
      <c r="N984" s="4"/>
      <c r="O984" s="4"/>
      <c r="P984" s="4"/>
      <c r="Q984" s="4"/>
      <c r="R984" s="4"/>
      <c r="S984" s="4"/>
      <c r="T984" s="4"/>
      <c r="U984" s="4"/>
      <c r="V984" s="4"/>
      <c r="W984" s="4"/>
      <c r="X984" s="4"/>
      <c r="Y984" s="4"/>
      <c r="Z984" s="4"/>
    </row>
    <row r="985" spans="1:26" ht="12.75">
      <c r="A985" s="4"/>
      <c r="B985" s="4"/>
      <c r="C985" s="15"/>
      <c r="D985" s="4"/>
      <c r="E985" s="4"/>
      <c r="F985" s="4"/>
      <c r="G985" s="4"/>
      <c r="H985" s="4"/>
      <c r="I985" s="4"/>
      <c r="J985" s="4"/>
      <c r="K985" s="4"/>
      <c r="L985" s="4"/>
      <c r="M985" s="4"/>
      <c r="N985" s="4"/>
      <c r="O985" s="4"/>
      <c r="P985" s="4"/>
      <c r="Q985" s="4"/>
      <c r="R985" s="4"/>
      <c r="S985" s="4"/>
      <c r="T985" s="4"/>
      <c r="U985" s="4"/>
      <c r="V985" s="4"/>
      <c r="W985" s="4"/>
      <c r="X985" s="4"/>
      <c r="Y985" s="4"/>
      <c r="Z985" s="4"/>
    </row>
    <row r="986" spans="1:26" ht="12.75">
      <c r="A986" s="4"/>
      <c r="B986" s="4"/>
      <c r="C986" s="15"/>
      <c r="D986" s="4"/>
      <c r="E986" s="4"/>
      <c r="F986" s="4"/>
      <c r="G986" s="4"/>
      <c r="H986" s="4"/>
      <c r="I986" s="4"/>
      <c r="J986" s="4"/>
      <c r="K986" s="4"/>
      <c r="L986" s="4"/>
      <c r="M986" s="4"/>
      <c r="N986" s="4"/>
      <c r="O986" s="4"/>
      <c r="P986" s="4"/>
      <c r="Q986" s="4"/>
      <c r="R986" s="4"/>
      <c r="S986" s="4"/>
      <c r="T986" s="4"/>
      <c r="U986" s="4"/>
      <c r="V986" s="4"/>
      <c r="W986" s="4"/>
      <c r="X986" s="4"/>
      <c r="Y986" s="4"/>
      <c r="Z986" s="4"/>
    </row>
    <row r="987" spans="1:26" ht="12.75">
      <c r="A987" s="4"/>
      <c r="B987" s="4"/>
      <c r="C987" s="15"/>
      <c r="D987" s="4"/>
      <c r="E987" s="4"/>
      <c r="F987" s="4"/>
      <c r="G987" s="4"/>
      <c r="H987" s="4"/>
      <c r="I987" s="4"/>
      <c r="J987" s="4"/>
      <c r="K987" s="4"/>
      <c r="L987" s="4"/>
      <c r="M987" s="4"/>
      <c r="N987" s="4"/>
      <c r="O987" s="4"/>
      <c r="P987" s="4"/>
      <c r="Q987" s="4"/>
      <c r="R987" s="4"/>
      <c r="S987" s="4"/>
      <c r="T987" s="4"/>
      <c r="U987" s="4"/>
      <c r="V987" s="4"/>
      <c r="W987" s="4"/>
      <c r="X987" s="4"/>
      <c r="Y987" s="4"/>
      <c r="Z987" s="4"/>
    </row>
    <row r="988" spans="1:26" ht="12.75">
      <c r="A988" s="4"/>
      <c r="B988" s="4"/>
      <c r="C988" s="15"/>
      <c r="D988" s="4"/>
      <c r="E988" s="4"/>
      <c r="F988" s="4"/>
      <c r="G988" s="4"/>
      <c r="H988" s="4"/>
      <c r="I988" s="4"/>
      <c r="J988" s="4"/>
      <c r="K988" s="4"/>
      <c r="L988" s="4"/>
      <c r="M988" s="4"/>
      <c r="N988" s="4"/>
      <c r="O988" s="4"/>
      <c r="P988" s="4"/>
      <c r="Q988" s="4"/>
      <c r="R988" s="4"/>
      <c r="S988" s="4"/>
      <c r="T988" s="4"/>
      <c r="U988" s="4"/>
      <c r="V988" s="4"/>
      <c r="W988" s="4"/>
      <c r="X988" s="4"/>
      <c r="Y988" s="4"/>
      <c r="Z988" s="4"/>
    </row>
    <row r="989" spans="1:26" ht="12.75">
      <c r="A989" s="4"/>
      <c r="B989" s="4"/>
      <c r="C989" s="15"/>
      <c r="D989" s="4"/>
      <c r="E989" s="4"/>
      <c r="F989" s="4"/>
      <c r="G989" s="4"/>
      <c r="H989" s="4"/>
      <c r="I989" s="4"/>
      <c r="J989" s="4"/>
      <c r="K989" s="4"/>
      <c r="L989" s="4"/>
      <c r="M989" s="4"/>
      <c r="N989" s="4"/>
      <c r="O989" s="4"/>
      <c r="P989" s="4"/>
      <c r="Q989" s="4"/>
      <c r="R989" s="4"/>
      <c r="S989" s="4"/>
      <c r="T989" s="4"/>
      <c r="U989" s="4"/>
      <c r="V989" s="4"/>
      <c r="W989" s="4"/>
      <c r="X989" s="4"/>
      <c r="Y989" s="4"/>
      <c r="Z989" s="4"/>
    </row>
    <row r="990" spans="1:26" ht="12.75">
      <c r="A990" s="4"/>
      <c r="B990" s="4"/>
      <c r="C990" s="15"/>
      <c r="D990" s="4"/>
      <c r="E990" s="4"/>
      <c r="F990" s="4"/>
      <c r="G990" s="4"/>
      <c r="H990" s="4"/>
      <c r="I990" s="4"/>
      <c r="J990" s="4"/>
      <c r="K990" s="4"/>
      <c r="L990" s="4"/>
      <c r="M990" s="4"/>
      <c r="N990" s="4"/>
      <c r="O990" s="4"/>
      <c r="P990" s="4"/>
      <c r="Q990" s="4"/>
      <c r="R990" s="4"/>
      <c r="S990" s="4"/>
      <c r="T990" s="4"/>
      <c r="U990" s="4"/>
      <c r="V990" s="4"/>
      <c r="W990" s="4"/>
      <c r="X990" s="4"/>
      <c r="Y990" s="4"/>
      <c r="Z990" s="4"/>
    </row>
    <row r="991" spans="1:26" ht="12.75">
      <c r="A991" s="4"/>
      <c r="B991" s="4"/>
      <c r="C991" s="15"/>
      <c r="D991" s="4"/>
      <c r="E991" s="4"/>
      <c r="F991" s="4"/>
      <c r="G991" s="4"/>
      <c r="H991" s="4"/>
      <c r="I991" s="4"/>
      <c r="J991" s="4"/>
      <c r="K991" s="4"/>
      <c r="L991" s="4"/>
      <c r="M991" s="4"/>
      <c r="N991" s="4"/>
      <c r="O991" s="4"/>
      <c r="P991" s="4"/>
      <c r="Q991" s="4"/>
      <c r="R991" s="4"/>
      <c r="S991" s="4"/>
      <c r="T991" s="4"/>
      <c r="U991" s="4"/>
      <c r="V991" s="4"/>
      <c r="W991" s="4"/>
      <c r="X991" s="4"/>
      <c r="Y991" s="4"/>
      <c r="Z991" s="4"/>
    </row>
    <row r="992" spans="1:26" ht="12.75">
      <c r="A992" s="4"/>
      <c r="B992" s="4"/>
      <c r="C992" s="15"/>
      <c r="D992" s="4"/>
      <c r="E992" s="4"/>
      <c r="F992" s="4"/>
      <c r="G992" s="4"/>
      <c r="H992" s="4"/>
      <c r="I992" s="4"/>
      <c r="J992" s="4"/>
      <c r="K992" s="4"/>
      <c r="L992" s="4"/>
      <c r="M992" s="4"/>
      <c r="N992" s="4"/>
      <c r="O992" s="4"/>
      <c r="P992" s="4"/>
      <c r="Q992" s="4"/>
      <c r="R992" s="4"/>
      <c r="S992" s="4"/>
      <c r="T992" s="4"/>
      <c r="U992" s="4"/>
      <c r="V992" s="4"/>
      <c r="W992" s="4"/>
      <c r="X992" s="4"/>
      <c r="Y992" s="4"/>
      <c r="Z992" s="4"/>
    </row>
    <row r="993" spans="1:26" ht="12.75">
      <c r="A993" s="4"/>
      <c r="B993" s="4"/>
      <c r="C993" s="15"/>
      <c r="D993" s="4"/>
      <c r="E993" s="4"/>
      <c r="F993" s="4"/>
      <c r="G993" s="4"/>
      <c r="H993" s="4"/>
      <c r="I993" s="4"/>
      <c r="J993" s="4"/>
      <c r="K993" s="4"/>
      <c r="L993" s="4"/>
      <c r="M993" s="4"/>
      <c r="N993" s="4"/>
      <c r="O993" s="4"/>
      <c r="P993" s="4"/>
      <c r="Q993" s="4"/>
      <c r="R993" s="4"/>
      <c r="S993" s="4"/>
      <c r="T993" s="4"/>
      <c r="U993" s="4"/>
      <c r="V993" s="4"/>
      <c r="W993" s="4"/>
      <c r="X993" s="4"/>
      <c r="Y993" s="4"/>
      <c r="Z993" s="4"/>
    </row>
    <row r="994" spans="1:26" ht="12.75">
      <c r="A994" s="4"/>
      <c r="B994" s="4"/>
      <c r="C994" s="15"/>
      <c r="D994" s="4"/>
      <c r="E994" s="4"/>
      <c r="F994" s="4"/>
      <c r="G994" s="4"/>
      <c r="H994" s="4"/>
      <c r="I994" s="4"/>
      <c r="J994" s="4"/>
      <c r="K994" s="4"/>
      <c r="L994" s="4"/>
      <c r="M994" s="4"/>
      <c r="N994" s="4"/>
      <c r="O994" s="4"/>
      <c r="P994" s="4"/>
      <c r="Q994" s="4"/>
      <c r="R994" s="4"/>
      <c r="S994" s="4"/>
      <c r="T994" s="4"/>
      <c r="U994" s="4"/>
      <c r="V994" s="4"/>
      <c r="W994" s="4"/>
      <c r="X994" s="4"/>
      <c r="Y994" s="4"/>
      <c r="Z994" s="4"/>
    </row>
    <row r="995" spans="1:26" ht="12.75">
      <c r="A995" s="4"/>
      <c r="B995" s="4"/>
      <c r="C995" s="15"/>
      <c r="D995" s="4"/>
      <c r="E995" s="4"/>
      <c r="F995" s="4"/>
      <c r="G995" s="4"/>
      <c r="H995" s="4"/>
      <c r="I995" s="4"/>
      <c r="J995" s="4"/>
      <c r="K995" s="4"/>
      <c r="L995" s="4"/>
      <c r="M995" s="4"/>
      <c r="N995" s="4"/>
      <c r="O995" s="4"/>
      <c r="P995" s="4"/>
      <c r="Q995" s="4"/>
      <c r="R995" s="4"/>
      <c r="S995" s="4"/>
      <c r="T995" s="4"/>
      <c r="U995" s="4"/>
      <c r="V995" s="4"/>
      <c r="W995" s="4"/>
      <c r="X995" s="4"/>
      <c r="Y995" s="4"/>
      <c r="Z995" s="4"/>
    </row>
  </sheetData>
  <mergeCells count="3">
    <mergeCell ref="B1:C1"/>
    <mergeCell ref="C4:C30"/>
    <mergeCell ref="C33:C60"/>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7</vt:i4>
      </vt:variant>
    </vt:vector>
  </HeadingPairs>
  <TitlesOfParts>
    <vt:vector size="7" baseType="lpstr">
      <vt:lpstr>Dados analíticos</vt:lpstr>
      <vt:lpstr>Dicionário Dados Analíticos</vt:lpstr>
      <vt:lpstr>Resultados Case Analítico</vt:lpstr>
      <vt:lpstr>Dash Geral - Case Analítico</vt:lpstr>
      <vt:lpstr>Case Analítico Aux Dinâmicas</vt:lpstr>
      <vt:lpstr>Dados SQL</vt:lpstr>
      <vt:lpstr>Resultado SQL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Raphael Da Silva Barradas</dc:creator>
  <cp:lastModifiedBy>Raphael Da Silva Barradas</cp:lastModifiedBy>
  <dcterms:created xsi:type="dcterms:W3CDTF">2021-01-29T22:50:54Z</dcterms:created>
  <dcterms:modified xsi:type="dcterms:W3CDTF">2021-02-08T05:19:01Z</dcterms:modified>
</cp:coreProperties>
</file>